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2"/>
  </bookViews>
  <sheets>
    <sheet name="README" sheetId="2" state="visible" r:id="rId2"/>
    <sheet name="Run_Metadata" sheetId="3" state="visible" r:id="rId3"/>
    <sheet name="Selected_Interventions" sheetId="4" state="visible" r:id="rId4"/>
    <sheet name="Cost_Components" sheetId="5" state="visible" r:id="rId5"/>
    <sheet name="Annual_Mortality" sheetId="6" state="visible" r:id="rId6"/>
    <sheet name="Annual_Cost" sheetId="7" state="visible" r:id="rId7"/>
    <sheet name="Budget_Impact" sheetId="8" state="visible" r:id="rId8"/>
    <sheet name="Cost_Effectiveness" sheetId="9" state="visible" r:id="rId9"/>
    <sheet name="Economic_Value" sheetId="10" state="visible" r:id="rId10"/>
    <sheet name="QA_Checks" sheetId="12" state="visible" r:id="rId12"/>
    <sheet name="Input_Diagnostic" sheetId="11" state="visible" r:id="rId11"/>
    <sheet name="Methods_and_Sources" sheetId="13" state="visible" r:id="rId13"/>
    <sheet name="Calculation_Assumptions" sheetId="1" state="visible" r:id="rId1"/>
    <sheet name="Calculation_Map" sheetId="14" state="visible" r:id="rId14"/>
  </sheets>
  <calcPr calcId="191029" fullCalcOnLoad="1"/>
</workbook>
</file>

<file path=xl/sharedStrings.xml><?xml version="1.0" encoding="utf-8"?>
<sst xmlns="http://schemas.openxmlformats.org/spreadsheetml/2006/main" count="504" uniqueCount="504">
  <si>
    <t xml:space="preserve">parameter_id</t>
  </si>
  <si>
    <t xml:space="preserve">value</t>
  </si>
  <si>
    <t xml:space="preserve">unit</t>
  </si>
  <si>
    <t xml:space="preserve">role</t>
  </si>
  <si>
    <t xml:space="preserve">description</t>
  </si>
  <si>
    <t xml:space="preserve">source</t>
  </si>
  <si>
    <t xml:space="preserve">analysis_start_year</t>
  </si>
  <si>
    <t xml:space="preserve">analysis_end_year</t>
  </si>
  <si>
    <t xml:space="preserve">baseline_scenario_id</t>
  </si>
  <si>
    <t xml:space="preserve">cost_discount_rate</t>
  </si>
  <si>
    <t xml:space="preserve">cost_price_year</t>
  </si>
  <si>
    <t xml:space="preserve">currency</t>
  </si>
  <si>
    <t xml:space="preserve">economic_perspective</t>
  </si>
  <si>
    <t xml:space="preserve">scale_up_shape</t>
  </si>
  <si>
    <t xml:space="preserve">downstream_cost_offsets</t>
  </si>
  <si>
    <t xml:space="preserve">formula_tolerance</t>
  </si>
  <si>
    <t xml:space="preserve">stock_flow_residual_limit</t>
  </si>
  <si>
    <t xml:space="preserve">trace_precision</t>
  </si>
  <si>
    <t xml:space="preserve">r_stock_flow_max_residual</t>
  </si>
  <si>
    <t xml:space="preserve">r_background_distinct_count</t>
  </si>
  <si>
    <t xml:space="preserve">r_negative_state_count</t>
  </si>
  <si>
    <t xml:space="preserve">r_deaths_averted_anchor</t>
  </si>
  <si>
    <t xml:space="preserve">r_disc_incremental_cost_anchor</t>
  </si>
  <si>
    <t xml:space="preserve">r_cost_per_death_anchor</t>
  </si>
  <si>
    <t xml:space="preserve">qa_anchor_scenario</t>
  </si>
  <si>
    <t xml:space="preserve">year</t>
  </si>
  <si>
    <t xml:space="preserve">formula control</t>
  </si>
  <si>
    <t xml:space="preserve">First model and discount year</t>
  </si>
  <si>
    <t xml:space="preserve">indonesia_model_inputs.xlsx / Model 09</t>
  </si>
  <si>
    <t xml:space="preserve">Last model year</t>
  </si>
  <si>
    <t xml:space="preserve">scenario id</t>
  </si>
  <si>
    <t xml:space="preserve">Comparator used for health and cost calculations</t>
  </si>
  <si>
    <t xml:space="preserve">Model 04 / Model 09</t>
  </si>
  <si>
    <t xml:space="preserve">proportion/year</t>
  </si>
  <si>
    <t xml:space="preserve">Annual discount rate applied to costs only</t>
  </si>
  <si>
    <t xml:space="preserve">USD year</t>
  </si>
  <si>
    <t xml:space="preserve">metadata</t>
  </si>
  <si>
    <t xml:space="preserve">Reporting price year</t>
  </si>
  <si>
    <t xml:space="preserve">indonesia_model_inputs.xlsx</t>
  </si>
  <si>
    <t xml:space="preserve">Workbook reporting currency</t>
  </si>
  <si>
    <t xml:space="preserve">text</t>
  </si>
  <si>
    <t xml:space="preserve">Economic evaluation perspective</t>
  </si>
  <si>
    <t xml:space="preserve">Coverage increases linearly from start to target year</t>
  </si>
  <si>
    <t xml:space="preserve">0/1 flag</t>
  </si>
  <si>
    <t xml:space="preserve">scope</t>
  </si>
  <si>
    <t xml:space="preserve">Downstream disease-cost offsets excluded at this stage</t>
  </si>
  <si>
    <t xml:space="preserve">USD/count</t>
  </si>
  <si>
    <t xml:space="preserve">QA control</t>
  </si>
  <si>
    <t xml:space="preserve">Absolute reconciliation tolerance (internal Excel checks)</t>
  </si>
  <si>
    <t xml:space="preserve">Workbook QA rule</t>
  </si>
  <si>
    <t xml:space="preserve">persons</t>
  </si>
  <si>
    <t xml:space="preserve">Review threshold used by the R stock/flow check</t>
  </si>
  <si>
    <t xml:space="preserve">Model 09</t>
  </si>
  <si>
    <t xml:space="preserve">decimal places</t>
  </si>
  <si>
    <t xml:space="preserve">audit note</t>
  </si>
  <si>
    <t xml:space="preserve">Exported model traces are rounded; R quantity helpers keep full precision</t>
  </si>
  <si>
    <t xml:space="preserve">Model 09 export rule</t>
  </si>
  <si>
    <t xml:space="preserve">R QA source</t>
  </si>
  <si>
    <t xml:space="preserve">Maximum stock/flow residual computed in R before export</t>
  </si>
  <si>
    <t xml:space="preserve">Model 09 current run</t>
  </si>
  <si>
    <t xml:space="preserve">count</t>
  </si>
  <si>
    <t xml:space="preserve">Max distinct all-cause mortality values across causes (R)</t>
  </si>
  <si>
    <t xml:space="preserve">Count of impossible negative state/flow values (R)</t>
  </si>
  <si>
    <t xml:space="preserve">deaths</t>
  </si>
  <si>
    <t xml:space="preserve">R reconciliation source</t>
  </si>
  <si>
    <t xml:space="preserve">R engine deaths averted for the anchor scenario</t>
  </si>
  <si>
    <t xml:space="preserve">Model 09 current run (R CEA)</t>
  </si>
  <si>
    <t xml:space="preserve">USD</t>
  </si>
  <si>
    <t xml:space="preserve">R engine discounted incremental cost for the anchor scenario</t>
  </si>
  <si>
    <t xml:space="preserve">USD/death</t>
  </si>
  <si>
    <t xml:space="preserve">R engine USD per death averted for the anchor scenario</t>
  </si>
  <si>
    <t xml:space="preserve">Scenario used for the Excel-vs-R reconciliation checks</t>
  </si>
  <si>
    <t xml:space="preserve">baseline</t>
  </si>
  <si>
    <t xml:space="preserve">health_system</t>
  </si>
  <si>
    <t xml:space="preserve">linear</t>
  </si>
  <si>
    <t xml:space="preserve">all</t>
  </si>
  <si>
    <t xml:space="preserve">Indonesia NCD FAIR Choices - cost &amp; value workbook (formula edition)</t>
  </si>
  <si>
    <t xml:space="preserve">section</t>
  </si>
  <si>
    <t xml:space="preserve">detail</t>
  </si>
  <si>
    <t xml:space="preserve">Purpose</t>
  </si>
  <si>
    <t xml:space="preserve">Costing, budget impact and mortality-based cost-effectiveness for the FAIR Choices CVD interventions selected in indonesia_model_inputs.xlsx.</t>
  </si>
  <si>
    <t xml:space="preserve">How to read</t>
  </si>
  <si>
    <t xml:space="preserve">Grey cells are R-generated source values; light-blue cells are LIVE Excel formulas; pale-yellow cells on Calculation_Assumptions are editable controls. Change a yellow control and the blue results recompute. Calculation_Map lists every dependency.</t>
  </si>
  <si>
    <t xml:space="preserve">Scenarios</t>
  </si>
  <si>
    <t xml:space="preserve">Baseline + one scenario per selected valid intervention + a combined 'all' scenario. Membership derives only from the workbook selections (Model 04).</t>
  </si>
  <si>
    <t xml:space="preserve">Baseline pairing</t>
  </si>
  <si>
    <t xml:space="preserve">Deaths averted = baseline deaths - scenario deaths, matched at location x year x age x sex x cause (aggregated to year x cause here).</t>
  </si>
  <si>
    <t xml:space="preserve">Model aggregates</t>
  </si>
  <si>
    <t xml:space="preserve">Annual_Mortality carries the R health aggregates (cases, deaths, baseline); Annual_Cost carries the full-precision R population quantity before the PIN fraction. The 157k-row state trace stays in the companion R workbook.</t>
  </si>
  <si>
    <t xml:space="preserve">Costing</t>
  </si>
  <si>
    <t xml:space="preserve">annual_cost = population_in_need x coverage(t) x frequency x unit_cost. PIN measure maps 'all'-&gt;eligible population, 'prevalence'-&gt;sick stock, 'incidence'-&gt;new cases.</t>
  </si>
  <si>
    <t xml:space="preserve">Shared costs</t>
  </si>
  <si>
    <t xml:space="preserve">Components flagged 'shared-count-once' (cost_join_key ...__C_SHARED) are counted once at intervention level, never once per affected cause (see Annual_Cost shared_duplicate_count and QA).</t>
  </si>
  <si>
    <t xml:space="preserve">Budget impact</t>
  </si>
  <si>
    <t xml:space="preserve">Budget impact reports UNDISCOUNTED baseline, scenario, incremental and cumulative incremental cost. Discounted costs are separate columns.</t>
  </si>
  <si>
    <t xml:space="preserve">Cost-effectiveness</t>
  </si>
  <si>
    <t xml:space="preserve">USD per death averted = cumulative discounted incremental cost / cumulative (undiscounted) deaths averted over the horizon. Not a DALY-based ICER.</t>
  </si>
  <si>
    <t xml:space="preserve">Economic value</t>
  </si>
  <si>
    <t xml:space="preserve">Value of statistical life (VSL/VSLY) is reused from Model 08 as R source values; only the cost link, supplementary benefit-cost ratio and net benefit are recalculated here.</t>
  </si>
  <si>
    <t xml:space="preserve">QA &amp; reconciliation</t>
  </si>
  <si>
    <t xml:space="preserve">QA_Checks recomputes each invariant in Excel and reconciles the Excel cost-effectiveness headline against the R engine values stored on Calculation_Assumptions. PASS/FAIL/REVIEW are conditionally formatted.</t>
  </si>
  <si>
    <t xml:space="preserve">Colour legend</t>
  </si>
  <si>
    <t xml:space="preserve">Header dark-blue; formula-derived light-blue; R source/helper grey; editable controls pale-yellow; PASS green; FAIL/REVIEW red/orange.</t>
  </si>
  <si>
    <t xml:space="preserve">Companion workbook</t>
  </si>
  <si>
    <t xml:space="preserve">The full R-value workbook (indonesia_model_cost_value.xlsx) keeps the detailed Model_State_Trace and Background_Mortality tables for independent review.</t>
  </si>
  <si>
    <t xml:space="preserve">Deferred</t>
  </si>
  <si>
    <t xml:space="preserve">DALYs, YLL, YLD, disability weights and life-expectancy outcomes are deferred to later work and are NOT in this workbook.</t>
  </si>
  <si>
    <t xml:space="preserve">item</t>
  </si>
  <si>
    <t xml:space="preserve">Workbook title</t>
  </si>
  <si>
    <t xml:space="preserve">Indonesia NCD FAIR Choices - cost &amp; value</t>
  </si>
  <si>
    <t xml:space="preserve">Run date</t>
  </si>
  <si>
    <t xml:space="preserve">2026-08-21</t>
  </si>
  <si>
    <t xml:space="preserve">Model / pipeline</t>
  </si>
  <si>
    <t xml:space="preserve">CVD FAIR Choices (Models 00-06 -&gt; 09)</t>
  </si>
  <si>
    <t xml:space="preserve">Input workbook</t>
  </si>
  <si>
    <t xml:space="preserve">C:/Users/wrgar/OneDrive - UW/02Work/WorldBank-Indonesia/uw-wb-indonesia-ncd/data/indonesia_model_inputs.xlsx</t>
  </si>
  <si>
    <t xml:space="preserve">Model output source</t>
  </si>
  <si>
    <t xml:space="preserve">output/out_model/model_output_*.rds (Model 06)</t>
  </si>
  <si>
    <t xml:space="preserve">Location</t>
  </si>
  <si>
    <t xml:space="preserve">Indonesia</t>
  </si>
  <si>
    <t xml:space="preserve">Analysis years</t>
  </si>
  <si>
    <t xml:space="preserve">2025-2050</t>
  </si>
  <si>
    <t xml:space="preserve">Baseline scenario</t>
  </si>
  <si>
    <t xml:space="preserve">Scenarios costed</t>
  </si>
  <si>
    <t xml:space="preserve">I_CVD_PRIMARY, I_HF_ACUTE, I_HF_CHRONIC, I_IHD_SECONDARY, I_RHD_SECONDARY, I_RHD_SURGERY, I_STROKE_SECONDARY, I_T2D_TREATMENT, all</t>
  </si>
  <si>
    <t xml:space="preserve">Cost discount rate</t>
  </si>
  <si>
    <t xml:space="preserve">3.0%</t>
  </si>
  <si>
    <t xml:space="preserve">Cost price year</t>
  </si>
  <si>
    <t xml:space="preserve">2023</t>
  </si>
  <si>
    <t xml:space="preserve">Currency</t>
  </si>
  <si>
    <t xml:space="preserve">Economic perspective</t>
  </si>
  <si>
    <t xml:space="preserve">Coverage scale-up shape</t>
  </si>
  <si>
    <t xml:space="preserve">Downstream cost offsets</t>
  </si>
  <si>
    <t xml:space="preserve">0</t>
  </si>
  <si>
    <t xml:space="preserve">Health outcomes (DALYs/YLL/YLD)</t>
  </si>
  <si>
    <t xml:space="preserve">Out of scope in this stage (deferred)</t>
  </si>
  <si>
    <t xml:space="preserve">R version</t>
  </si>
  <si>
    <t xml:space="preserve">R version 4.5.1 (2025-06-13 ucrt)</t>
  </si>
  <si>
    <t xml:space="preserve">openxlsx / data.table</t>
  </si>
  <si>
    <t xml:space="preserve">4.2.8 / 1.17.8</t>
  </si>
  <si>
    <t xml:space="preserve">intervention_id</t>
  </si>
  <si>
    <t xml:space="preserve">intervention_cause_key</t>
  </si>
  <si>
    <t xml:space="preserve">intervention_name</t>
  </si>
  <si>
    <t xml:space="preserve">cause_id</t>
  </si>
  <si>
    <t xml:space="preserve">cause_code</t>
  </si>
  <si>
    <t xml:space="preserve">model_name</t>
  </si>
  <si>
    <t xml:space="preserve">transition_from</t>
  </si>
  <si>
    <t xml:space="preserve">transition_to</t>
  </si>
  <si>
    <t xml:space="preserve">model_transition</t>
  </si>
  <si>
    <t xml:space="preserve">effect_value</t>
  </si>
  <si>
    <t xml:space="preserve">affected_fraction</t>
  </si>
  <si>
    <t xml:space="preserve">baseline_coverage</t>
  </si>
  <si>
    <t xml:space="preserve">target_coverage</t>
  </si>
  <si>
    <t xml:space="preserve">start_year</t>
  </si>
  <si>
    <t xml:space="preserve">target_year</t>
  </si>
  <si>
    <t xml:space="preserve">adjusted_effect_at_target</t>
  </si>
  <si>
    <t xml:space="preserve">cost_join_key</t>
  </si>
  <si>
    <t xml:space="preserve">cost_scope</t>
  </si>
  <si>
    <t xml:space="preserve">effect_review</t>
  </si>
  <si>
    <t xml:space="preserve">coverage_review</t>
  </si>
  <si>
    <t xml:space="preserve">key_count</t>
  </si>
  <si>
    <t xml:space="preserve">formula_status</t>
  </si>
  <si>
    <t xml:space="preserve">I_CVD_PRIMARY</t>
  </si>
  <si>
    <t xml:space="preserve">I_CVD_PRIMARY__C_HHD</t>
  </si>
  <si>
    <t xml:space="preserve">Primary prevention of CVD</t>
  </si>
  <si>
    <t xml:space="preserve">C_HHD</t>
  </si>
  <si>
    <t xml:space="preserve">hhd</t>
  </si>
  <si>
    <t xml:space="preserve">Hypertensive heart disease</t>
  </si>
  <si>
    <t xml:space="preserve">well</t>
  </si>
  <si>
    <t xml:space="preserve">sick</t>
  </si>
  <si>
    <t xml:space="preserve">incidence</t>
  </si>
  <si>
    <t xml:space="preserve">I_CVD_PRIMARY__C_SHARED</t>
  </si>
  <si>
    <t xml:space="preserve">shared-count-once</t>
  </si>
  <si>
    <t xml:space="preserve">Provisional</t>
  </si>
  <si>
    <t xml:space="preserve">I_CVD_PRIMARY__C_ICH</t>
  </si>
  <si>
    <t xml:space="preserve">C_ICH</t>
  </si>
  <si>
    <t xml:space="preserve">hstroke</t>
  </si>
  <si>
    <t xml:space="preserve">Intracerebral hemorrhage</t>
  </si>
  <si>
    <t xml:space="preserve">I_CVD_PRIMARY__C_IHD</t>
  </si>
  <si>
    <t xml:space="preserve">C_IHD</t>
  </si>
  <si>
    <t xml:space="preserve">ihd</t>
  </si>
  <si>
    <t xml:space="preserve">Ischemic heart disease</t>
  </si>
  <si>
    <t xml:space="preserve">I_CVD_PRIMARY__C_IS</t>
  </si>
  <si>
    <t xml:space="preserve">C_IS</t>
  </si>
  <si>
    <t xml:space="preserve">istroke</t>
  </si>
  <si>
    <t xml:space="preserve">Ischemic stroke</t>
  </si>
  <si>
    <t xml:space="preserve">I_HF_ACUTE</t>
  </si>
  <si>
    <t xml:space="preserve">I_HF_ACUTE__C_CMP</t>
  </si>
  <si>
    <t xml:space="preserve">Acute heart-failure management</t>
  </si>
  <si>
    <t xml:space="preserve">C_CMP</t>
  </si>
  <si>
    <t xml:space="preserve">cmd</t>
  </si>
  <si>
    <t xml:space="preserve">Cardiomyopathy and myocarditis</t>
  </si>
  <si>
    <t xml:space="preserve">sick_hf</t>
  </si>
  <si>
    <t xml:space="preserve">dead_cmp</t>
  </si>
  <si>
    <t xml:space="preserve">case_fatality</t>
  </si>
  <si>
    <t xml:space="preserve">cause-specific</t>
  </si>
  <si>
    <t xml:space="preserve">I_HF_ACUTE__C_HHD</t>
  </si>
  <si>
    <t xml:space="preserve">dead_hhd</t>
  </si>
  <si>
    <t xml:space="preserve">I_HF_ACUTE__C_IHD</t>
  </si>
  <si>
    <t xml:space="preserve">dead_ihd</t>
  </si>
  <si>
    <t xml:space="preserve">I_HF_CHRONIC</t>
  </si>
  <si>
    <t xml:space="preserve">I_HF_CHRONIC__C_CMP</t>
  </si>
  <si>
    <t xml:space="preserve">Chronic heart-failure management</t>
  </si>
  <si>
    <t xml:space="preserve">I_HF_CHRONIC__C_HHD</t>
  </si>
  <si>
    <t xml:space="preserve">I_HF_CHRONIC__C_IHD</t>
  </si>
  <si>
    <t xml:space="preserve">I_IHD_SECONDARY</t>
  </si>
  <si>
    <t xml:space="preserve">I_IHD_SECONDARY__C_IHD</t>
  </si>
  <si>
    <t xml:space="preserve">Secondary prevention of ischemic heart disease</t>
  </si>
  <si>
    <t xml:space="preserve">I_RHD_SECONDARY</t>
  </si>
  <si>
    <t xml:space="preserve">I_RHD_SECONDARY__C_RHD</t>
  </si>
  <si>
    <t xml:space="preserve">RHD secondary prevention</t>
  </si>
  <si>
    <t xml:space="preserve">C_RHD</t>
  </si>
  <si>
    <t xml:space="preserve">rhd</t>
  </si>
  <si>
    <t xml:space="preserve">Rheumatic heart disease</t>
  </si>
  <si>
    <t xml:space="preserve">dead_rhd</t>
  </si>
  <si>
    <t xml:space="preserve">I_RHD_SURGERY</t>
  </si>
  <si>
    <t xml:space="preserve">I_RHD_SURGERY__C_RHD</t>
  </si>
  <si>
    <t xml:space="preserve">RHD cardiac surgery</t>
  </si>
  <si>
    <t xml:space="preserve">sick_severe</t>
  </si>
  <si>
    <t xml:space="preserve">Review</t>
  </si>
  <si>
    <t xml:space="preserve">I_STROKE_SECONDARY</t>
  </si>
  <si>
    <t xml:space="preserve">I_STROKE_SECONDARY__C_ICH</t>
  </si>
  <si>
    <t xml:space="preserve">Secondary prevention of stroke</t>
  </si>
  <si>
    <t xml:space="preserve">dead_ich</t>
  </si>
  <si>
    <t xml:space="preserve">I_STROKE_SECONDARY__C_IS</t>
  </si>
  <si>
    <t xml:space="preserve">dead_is</t>
  </si>
  <si>
    <t xml:space="preserve">I_T2D_TREATMENT</t>
  </si>
  <si>
    <t xml:space="preserve">I_T2D_TREATMENT__C_T2D</t>
  </si>
  <si>
    <t xml:space="preserve">Longitudinal treatment of type 2 diabetes</t>
  </si>
  <si>
    <t xml:space="preserve">C_T2D</t>
  </si>
  <si>
    <t xml:space="preserve">dm2</t>
  </si>
  <si>
    <t xml:space="preserve">Type 2 diabetes</t>
  </si>
  <si>
    <t xml:space="preserve">dead_t2d</t>
  </si>
  <si>
    <t xml:space="preserve">Missing input</t>
  </si>
  <si>
    <t xml:space="preserve">I_T2D_TREATMENT__C_IHD</t>
  </si>
  <si>
    <t xml:space="preserve">cost_record_id</t>
  </si>
  <si>
    <t xml:space="preserve">cost_component_key</t>
  </si>
  <si>
    <t xml:space="preserve">cost_option</t>
  </si>
  <si>
    <t xml:space="preserve">cost_component</t>
  </si>
  <si>
    <t xml:space="preserve">population_in_need_measure</t>
  </si>
  <si>
    <t xml:space="preserve">population_in_need_fraction</t>
  </si>
  <si>
    <t xml:space="preserve">frequency_per_year</t>
  </si>
  <si>
    <t xml:space="preserve">c_age_start</t>
  </si>
  <si>
    <t xml:space="preserve">c_age_stop</t>
  </si>
  <si>
    <t xml:space="preserve">c_sex</t>
  </si>
  <si>
    <t xml:space="preserve">unit_cost_usd</t>
  </si>
  <si>
    <t xml:space="preserve">price_year</t>
  </si>
  <si>
    <t xml:space="preserve">indonesia_adjusted_flag</t>
  </si>
  <si>
    <t xml:space="preserve">cov_baseline</t>
  </si>
  <si>
    <t xml:space="preserve">cov_target</t>
  </si>
  <si>
    <t xml:space="preserve">cov_start_year</t>
  </si>
  <si>
    <t xml:space="preserve">cov_target_year</t>
  </si>
  <si>
    <t xml:space="preserve">cost_review</t>
  </si>
  <si>
    <t xml:space="preserve">cost_ready</t>
  </si>
  <si>
    <t xml:space="preserve">COST_PRIMARY_TX_A</t>
  </si>
  <si>
    <t xml:space="preserve">CC_PRIMARY_HTN_STATIN</t>
  </si>
  <si>
    <t xml:space="preserve">Option A (selected)</t>
  </si>
  <si>
    <t xml:space="preserve">C_SHARED</t>
  </si>
  <si>
    <t xml:space="preserve">Antihypertensives and statins for absolute CVD risk &gt;20%</t>
  </si>
  <si>
    <t xml:space="preserve">Both</t>
  </si>
  <si>
    <t xml:space="preserve">COST_PRIMARY_SCREEN_A</t>
  </si>
  <si>
    <t xml:space="preserve">CC_PRIMARY_SCREENING</t>
  </si>
  <si>
    <t xml:space="preserve">CVD targeted screening</t>
  </si>
  <si>
    <t xml:space="preserve">COST_HF_ACUTE_C_CMP</t>
  </si>
  <si>
    <t xml:space="preserve">CC_HF_ACUTE_C_CMP</t>
  </si>
  <si>
    <t xml:space="preserve">Base</t>
  </si>
  <si>
    <t xml:space="preserve">Acute heart-failure management package</t>
  </si>
  <si>
    <t xml:space="preserve">prevalence</t>
  </si>
  <si>
    <t xml:space="preserve">COST_HF_ACUTE_C_HHD</t>
  </si>
  <si>
    <t xml:space="preserve">CC_HF_ACUTE_C_HHD</t>
  </si>
  <si>
    <t xml:space="preserve">COST_HF_ACUTE_C_IHD</t>
  </si>
  <si>
    <t xml:space="preserve">CC_HF_ACUTE_C_IHD</t>
  </si>
  <si>
    <t xml:space="preserve">COST_HF_CHRONIC_CMP_ECHO</t>
  </si>
  <si>
    <t xml:space="preserve">CC_HF_CHRONIC_CMP_ECHO</t>
  </si>
  <si>
    <t xml:space="preserve">One cardiac echo per year</t>
  </si>
  <si>
    <t xml:space="preserve">COST_HF_CHRONIC_CMP_LAB_A</t>
  </si>
  <si>
    <t xml:space="preserve">CC_HF_CHRONIC_CMP_FOLLOWUP</t>
  </si>
  <si>
    <t xml:space="preserve">Lab tests and follow-up visits</t>
  </si>
  <si>
    <t xml:space="preserve">COST_HF_CHRONIC_CMP_TX</t>
  </si>
  <si>
    <t xml:space="preserve">CC_HF_CHRONIC_CMP_TREATMENT</t>
  </si>
  <si>
    <t xml:space="preserve">Treatment of heart failure</t>
  </si>
  <si>
    <t xml:space="preserve">COST_HF_CHRONIC_HHD_ECHO</t>
  </si>
  <si>
    <t xml:space="preserve">CC_HF_CHRONIC_HHD_ECHO</t>
  </si>
  <si>
    <t xml:space="preserve">COST_HF_CHRONIC_HHD_LAB_A</t>
  </si>
  <si>
    <t xml:space="preserve">CC_HF_CHRONIC_HHD_FOLLOWUP</t>
  </si>
  <si>
    <t xml:space="preserve">COST_HF_CHRONIC_HHD_TX</t>
  </si>
  <si>
    <t xml:space="preserve">CC_HF_CHRONIC_HHD_TREATMENT</t>
  </si>
  <si>
    <t xml:space="preserve">COST_HF_CHRONIC_IHD_ECHO</t>
  </si>
  <si>
    <t xml:space="preserve">CC_HF_CHRONIC_IHD_ECHO</t>
  </si>
  <si>
    <t xml:space="preserve">COST_HF_CHRONIC_IHD_LAB</t>
  </si>
  <si>
    <t xml:space="preserve">CC_HF_CHRONIC_IHD_FOLLOWUP</t>
  </si>
  <si>
    <t xml:space="preserve">Missing</t>
  </si>
  <si>
    <t xml:space="preserve">COST_HF_CHRONIC_IHD_TX</t>
  </si>
  <si>
    <t xml:space="preserve">CC_HF_CHRONIC_IHD_TREATMENT</t>
  </si>
  <si>
    <t xml:space="preserve">COST_IHD_SEC_CF_A</t>
  </si>
  <si>
    <t xml:space="preserve">CC_IHD_SECONDARY_CASE_FINDING</t>
  </si>
  <si>
    <t xml:space="preserve">Case finding and diagnosis</t>
  </si>
  <si>
    <t xml:space="preserve">COST_IHD_SEC_FU</t>
  </si>
  <si>
    <t xml:space="preserve">CC_IHD_SECONDARY_FOLLOWUP</t>
  </si>
  <si>
    <t xml:space="preserve">Lab tests and follow-up visits for IHD patients</t>
  </si>
  <si>
    <t xml:space="preserve">COST_IHD_SEC_TX</t>
  </si>
  <si>
    <t xml:space="preserve">CC_IHD_SECONDARY_TREATMENT</t>
  </si>
  <si>
    <t xml:space="preserve">Treatment cost for IHD patients</t>
  </si>
  <si>
    <t xml:space="preserve">COST_RHD_SEC_01</t>
  </si>
  <si>
    <t xml:space="preserve">CC_RHD_SECONDARY_PENICILLIN</t>
  </si>
  <si>
    <t xml:space="preserve">Secondary prophylaxis with penicillin</t>
  </si>
  <si>
    <t xml:space="preserve">COST_RHD_SURG_01</t>
  </si>
  <si>
    <t xml:space="preserve">CC_RHD_SURGERY</t>
  </si>
  <si>
    <t xml:space="preserve">Rheumatic heart disease cardiac surgery</t>
  </si>
  <si>
    <t xml:space="preserve">COST_STROKE_ICH_CF_A</t>
  </si>
  <si>
    <t xml:space="preserve">CC_STROKE_ICH_CASE_FINDING</t>
  </si>
  <si>
    <t xml:space="preserve">COST_STROKE_ICH_LAB_A</t>
  </si>
  <si>
    <t xml:space="preserve">CC_STROKE_ICH_FOLLOWUP</t>
  </si>
  <si>
    <t xml:space="preserve">COST_STROKE_ICH_TX</t>
  </si>
  <si>
    <t xml:space="preserve">CC_STROKE_ICH_TREATMENT</t>
  </si>
  <si>
    <t xml:space="preserve">Treatment cost for stroke patients</t>
  </si>
  <si>
    <t xml:space="preserve">COST_STROKE_IS_CF</t>
  </si>
  <si>
    <t xml:space="preserve">CC_STROKE_IS_CASE_FINDING</t>
  </si>
  <si>
    <t xml:space="preserve">COST_STROKE_IS_LAB_A</t>
  </si>
  <si>
    <t xml:space="preserve">CC_STROKE_IS_FOLLOWUP</t>
  </si>
  <si>
    <t xml:space="preserve">COST_STROKE_IS_TX</t>
  </si>
  <si>
    <t xml:space="preserve">CC_STROKE_IS_TREATMENT</t>
  </si>
  <si>
    <t xml:space="preserve">COST_T2D_TREATMENT</t>
  </si>
  <si>
    <t xml:space="preserve">CC_T2D_TREATMENT</t>
  </si>
  <si>
    <t xml:space="preserve">Diabetes screening and treatment</t>
  </si>
  <si>
    <t xml:space="preserve">scenario</t>
  </si>
  <si>
    <t xml:space="preserve">scenario_label</t>
  </si>
  <si>
    <t xml:space="preserve">cause</t>
  </si>
  <si>
    <t xml:space="preserve">cases</t>
  </si>
  <si>
    <t xml:space="preserve">cause_deaths</t>
  </si>
  <si>
    <t xml:space="preserve">base_deaths</t>
  </si>
  <si>
    <t xml:space="preserve">deaths_averted</t>
  </si>
  <si>
    <t xml:space="preserve">base_cases</t>
  </si>
  <si>
    <t xml:space="preserve">cases_averted</t>
  </si>
  <si>
    <t xml:space="preserve">All selected interventions (combined)</t>
  </si>
  <si>
    <t xml:space="preserve">Baseline (no new intervention)</t>
  </si>
  <si>
    <t xml:space="preserve">coverage_scenario</t>
  </si>
  <si>
    <t xml:space="preserve">coverage_baseline</t>
  </si>
  <si>
    <t xml:space="preserve">pin_scenario</t>
  </si>
  <si>
    <t xml:space="preserve">pin_baseline</t>
  </si>
  <si>
    <t xml:space="preserve">annual_cost_baseline</t>
  </si>
  <si>
    <t xml:space="preserve">annual_cost_scenario</t>
  </si>
  <si>
    <t xml:space="preserve">annual_cost_incremental</t>
  </si>
  <si>
    <t xml:space="preserve">discount_factor</t>
  </si>
  <si>
    <t xml:space="preserve">disc_cost_baseline</t>
  </si>
  <si>
    <t xml:space="preserve">disc_cost_scenario</t>
  </si>
  <si>
    <t xml:space="preserve">disc_cost_incremental</t>
  </si>
  <si>
    <t xml:space="preserve">r_quantity_scenario</t>
  </si>
  <si>
    <t xml:space="preserve">r_quantity_baseline</t>
  </si>
  <si>
    <t xml:space="preserve">shared_duplicate_count</t>
  </si>
  <si>
    <t xml:space="preserve">baseline_cost</t>
  </si>
  <si>
    <t xml:space="preserve">scenario_cost</t>
  </si>
  <si>
    <t xml:space="preserve">incremental_cost</t>
  </si>
  <si>
    <t xml:space="preserve">disc_incremental_cost</t>
  </si>
  <si>
    <t xml:space="preserve">cumulative_incremental_cost</t>
  </si>
  <si>
    <t xml:space="preserve">cumulative_disc_incremental_cost</t>
  </si>
  <si>
    <t xml:space="preserve">cost_per_death_averted</t>
  </si>
  <si>
    <t xml:space="preserve">dominance</t>
  </si>
  <si>
    <t xml:space="preserve">reconciliation_status</t>
  </si>
  <si>
    <t xml:space="preserve">note</t>
  </si>
  <si>
    <t xml:space="preserve">Model 08 output (08_vsl_results.rds) not found; economic value omitted.</t>
  </si>
  <si>
    <t xml:space="preserve">item_key</t>
  </si>
  <si>
    <t xml:space="preserve">field</t>
  </si>
  <si>
    <t xml:space="preserve">problem</t>
  </si>
  <si>
    <t xml:space="preserve">severity</t>
  </si>
  <si>
    <t xml:space="preserve">cost</t>
  </si>
  <si>
    <t xml:space="preserve">cost not Indonesia-adjusted (flagged; not treated as ready)</t>
  </si>
  <si>
    <t xml:space="preserve">REVIEW</t>
  </si>
  <si>
    <t xml:space="preserve">cost price year != reporting price year (2023)</t>
  </si>
  <si>
    <t xml:space="preserve">check</t>
  </si>
  <si>
    <t xml:space="preserve">expected</t>
  </si>
  <si>
    <t xml:space="preserve">actual</t>
  </si>
  <si>
    <t xml:space="preserve">status</t>
  </si>
  <si>
    <t xml:space="preserve">Intervention-cause key uniqueness</t>
  </si>
  <si>
    <t xml:space="preserve">Each selected link key appears once</t>
  </si>
  <si>
    <t xml:space="preserve">Workbook FAIL-level issues</t>
  </si>
  <si>
    <t xml:space="preserve">Blocked links/scenarios excluded (see Selected_Interventions / Input_Diagnostic)</t>
  </si>
  <si>
    <t xml:space="preserve">Workbook REVIEW-level issues</t>
  </si>
  <si>
    <t xml:space="preserve">Flagged but usable (e.g. cost not Indonesia-adjusted, missing optional component)</t>
  </si>
  <si>
    <t xml:space="preserve">Every scenario paired to baseline</t>
  </si>
  <si>
    <t xml:space="preserve">TRUE</t>
  </si>
  <si>
    <t xml:space="preserve">Deaths averted = baseline - scenario at matched location/year/cause</t>
  </si>
  <si>
    <t xml:space="preserve">No impossible negative states</t>
  </si>
  <si>
    <t xml:space="preserve">well/sick/new_cases/cause_deaths/population &gt;= 0</t>
  </si>
  <si>
    <t xml:space="preserve">Stock/flow identity pop = well + sick + all-cause deaths</t>
  </si>
  <si>
    <t xml:space="preserve">&lt;= limit</t>
  </si>
  <si>
    <t xml:space="preserve">Per cause row; small residual from 95+ pooling / rounding</t>
  </si>
  <si>
    <t xml:space="preserve">Background mortality constant across cause (not duplicated)</t>
  </si>
  <si>
    <t xml:space="preserve">1</t>
  </si>
  <si>
    <t xml:space="preserve">all.mx taken once per stratum in the R Background sheet</t>
  </si>
  <si>
    <t xml:space="preserve">Cost reconciliation (components -&gt; budget impact)</t>
  </si>
  <si>
    <t xml:space="preserve">&lt;= tol</t>
  </si>
  <si>
    <t xml:space="preserve">Excel component rows sum to Excel annual totals within tolerance</t>
  </si>
  <si>
    <t xml:space="preserve">Shared cost counted once per stratum/year</t>
  </si>
  <si>
    <t xml:space="preserve">shared-count-once components appear once per scenario-year</t>
  </si>
  <si>
    <t xml:space="preserve">CEA reconciliation (detail -&gt; summary ratio)</t>
  </si>
  <si>
    <t xml:space="preserve">consistent</t>
  </si>
  <si>
    <t xml:space="preserve">Every Cost_Effectiveness row's internal reconciliation is consistent</t>
  </si>
  <si>
    <t xml:space="preserve">Excel vs R: deaths averted (anchor scenario)</t>
  </si>
  <si>
    <t xml:space="preserve">match R</t>
  </si>
  <si>
    <t xml:space="preserve">Excel CEA deaths averted reconciles to the R engine value</t>
  </si>
  <si>
    <t xml:space="preserve">Excel vs R: discounted incremental cost (anchor scenario)</t>
  </si>
  <si>
    <t xml:space="preserve">Excel CEA discounted incremental cost reconciles to the R engine value</t>
  </si>
  <si>
    <t xml:space="preserve">Excel vs R: cost per death averted (anchor scenario)</t>
  </si>
  <si>
    <t xml:space="preserve">Excel CEA USD per death averted reconciles to the R engine value</t>
  </si>
  <si>
    <t xml:space="preserve">method_id</t>
  </si>
  <si>
    <t xml:space="preserve">concept</t>
  </si>
  <si>
    <t xml:space="preserve">formula_or_rule</t>
  </si>
  <si>
    <t xml:space="preserve">M01</t>
  </si>
  <si>
    <t xml:space="preserve">Incremental coverage</t>
  </si>
  <si>
    <t xml:space="preserve">delta_cov(t) = coverage(t) - baseline_coverage</t>
  </si>
  <si>
    <t xml:space="preserve">FairChoices_Methods sheet + https://fairchoices.w.uib.no/documentation/fairchoices-methods/</t>
  </si>
  <si>
    <t xml:space="preserve">M02</t>
  </si>
  <si>
    <t xml:space="preserve">FAIR adjusted effect</t>
  </si>
  <si>
    <t xml:space="preserve">e_adj(t) = effect_value * delta_cov(t) / (1 - effect_value * baseline_coverage)</t>
  </si>
  <si>
    <t xml:space="preserve">M03</t>
  </si>
  <si>
    <t xml:space="preserve">Affected fraction</t>
  </si>
  <si>
    <t xml:space="preserve">transition_effect(t) = e_adj(t) * affected_fraction</t>
  </si>
  <si>
    <t xml:space="preserve">M04</t>
  </si>
  <si>
    <t xml:space="preserve">Adjusted transition</t>
  </si>
  <si>
    <t xml:space="preserve">p_scenario(t) = p_baseline(t) * (1 - transition_effect(t)); prevention-&gt;incidence (IR/eff_ir), management-&gt;case fatality (CF/eff_cf)</t>
  </si>
  <si>
    <t xml:space="preserve">M05</t>
  </si>
  <si>
    <t xml:space="preserve">HF/severe mapping</t>
  </si>
  <si>
    <t xml:space="preserve">workbook sick_hf / sick_severe collapse onto the single 'sick' state via affected_fraction; NO new Markov states</t>
  </si>
  <si>
    <t xml:space="preserve">Model 04 translation table (Indonesia Markov adaptation)</t>
  </si>
  <si>
    <t xml:space="preserve">M06</t>
  </si>
  <si>
    <t xml:space="preserve">Annual component cost</t>
  </si>
  <si>
    <t xml:space="preserve">annual_cost = population_in_need * coverage(t) * frequency_per_year * unit_cost_usd</t>
  </si>
  <si>
    <t xml:space="preserve">FairChoices_Methods sheet / input workbook</t>
  </si>
  <si>
    <t xml:space="preserve">M07</t>
  </si>
  <si>
    <t xml:space="preserve">Shared cost</t>
  </si>
  <si>
    <t xml:space="preserve">shared-count-once components counted once per intervention &amp; eligible stratum, not once per affected cause</t>
  </si>
  <si>
    <t xml:space="preserve">M08</t>
  </si>
  <si>
    <t xml:space="preserve">Discounting</t>
  </si>
  <si>
    <t xml:space="preserve">discount_factor(t) = 1 / (1 + cost_discount_rate)^(t - analysis_start_year); costs discounted, death counts undiscounted</t>
  </si>
  <si>
    <t xml:space="preserve">M09</t>
  </si>
  <si>
    <t xml:space="preserve">incremental = scenario_cost - baseline_cost (undiscounted headline; discounted reported separately)</t>
  </si>
  <si>
    <t xml:space="preserve">M10</t>
  </si>
  <si>
    <t xml:space="preserve">USD per death averted = cumulative discounted incremental cost / cumulative deaths averted</t>
  </si>
  <si>
    <t xml:space="preserve">M11</t>
  </si>
  <si>
    <t xml:space="preserve">FAIR unit-cost markups</t>
  </si>
  <si>
    <t xml:space="preserve">not re-applied where indonesia_adjusted_flag = 1 (supplied adjusted costs already include them)</t>
  </si>
  <si>
    <t xml:space="preserve">FairChoices_Methods M08</t>
  </si>
  <si>
    <t xml:space="preserve">M12</t>
  </si>
  <si>
    <t xml:space="preserve">Excel formula lineage</t>
  </si>
  <si>
    <t xml:space="preserve">Formula-derived cells are light blue and depend on visible grey R source/helper cells; Calculation_Map lists the dependency chain.</t>
  </si>
  <si>
    <t xml:space="preserve">This workbook</t>
  </si>
  <si>
    <t xml:space="preserve">M13</t>
  </si>
  <si>
    <t xml:space="preserve">PIN audit quantities</t>
  </si>
  <si>
    <t xml:space="preserve">r_quantity_scenario/baseline (Annual_Cost AF:AG) retain the full-precision R population quantity used before the PIN fraction.</t>
  </si>
  <si>
    <t xml:space="preserve">Model 09 and this workbook</t>
  </si>
  <si>
    <t xml:space="preserve">M14</t>
  </si>
  <si>
    <t xml:space="preserve">Economic value boundary</t>
  </si>
  <si>
    <t xml:space="preserve">Model 08 monetary value columns are R source values; only the cost link, supplementary BCR and net benefit are recalculated here.</t>
  </si>
  <si>
    <t xml:space="preserve">Model 08 / Model 09</t>
  </si>
  <si>
    <t xml:space="preserve">output_sheet</t>
  </si>
  <si>
    <t xml:space="preserve">formula_columns</t>
  </si>
  <si>
    <t xml:space="preserve">depends_on</t>
  </si>
  <si>
    <t xml:space="preserve">calculation</t>
  </si>
  <si>
    <t xml:space="preserve">source_role</t>
  </si>
  <si>
    <t xml:space="preserve">Selected_Interventions</t>
  </si>
  <si>
    <t xml:space="preserve">P, U:V</t>
  </si>
  <si>
    <t xml:space="preserve">selected health links (J:M)</t>
  </si>
  <si>
    <t xml:space="preserve">Adjusted effect at target; key uniqueness/status</t>
  </si>
  <si>
    <t xml:space="preserve">Workbook formula</t>
  </si>
  <si>
    <t xml:space="preserve">Cost_Components</t>
  </si>
  <si>
    <t xml:space="preserve">S:V, X</t>
  </si>
  <si>
    <t xml:space="preserve">Coverage link (INDEX/MATCH) and cost-readiness rule</t>
  </si>
  <si>
    <t xml:space="preserve">Annual_Mortality</t>
  </si>
  <si>
    <t xml:space="preserve">H, J</t>
  </si>
  <si>
    <t xml:space="preserve">R aggregates E:G, I</t>
  </si>
  <si>
    <t xml:space="preserve">Deaths averted and cases averted</t>
  </si>
  <si>
    <t xml:space="preserve">Annual_Cost</t>
  </si>
  <si>
    <t xml:space="preserve">J:AE, AH</t>
  </si>
  <si>
    <t xml:space="preserve">Cost_Components; Calculation_Assumptions; R quantity AF:AG</t>
  </si>
  <si>
    <t xml:space="preserve">Coverage path, PIN, annual + discounted cost, shared-cost QA</t>
  </si>
  <si>
    <t xml:space="preserve">AF:AG</t>
  </si>
  <si>
    <t xml:space="preserve">full-precision Model 06 output</t>
  </si>
  <si>
    <t xml:space="preserve">Scenario/baseline quantity before the PIN fraction</t>
  </si>
  <si>
    <t xml:space="preserve">R value exposed for audit</t>
  </si>
  <si>
    <t xml:space="preserve">Budget_Impact</t>
  </si>
  <si>
    <t xml:space="preserve">C:H</t>
  </si>
  <si>
    <t xml:space="preserve">Annual and cumulative cost by scenario</t>
  </si>
  <si>
    <t xml:space="preserve">Cost_Effectiveness</t>
  </si>
  <si>
    <t xml:space="preserve">C:I</t>
  </si>
  <si>
    <t xml:space="preserve">Annual_Mortality; Budget_Impact; Calculation_Assumptions</t>
  </si>
  <si>
    <t xml:space="preserve">Cumulative health, cost, cost/death, dominance, reconciliation</t>
  </si>
  <si>
    <t xml:space="preserve">Economic_Value</t>
  </si>
  <si>
    <t xml:space="preserve">M:Q</t>
  </si>
  <si>
    <t xml:space="preserve">Cost_Effectiveness; Model 08 values B:L</t>
  </si>
  <si>
    <t xml:space="preserve">Cost link, supplementary benefit-cost ratio and net benefit</t>
  </si>
  <si>
    <t xml:space="preserve">QA_Checks</t>
  </si>
  <si>
    <t xml:space="preserve">C:D</t>
  </si>
  <si>
    <t xml:space="preserve">calculation + diagnostic sheets</t>
  </si>
  <si>
    <t xml:space="preserve">Invariant recomputation and Excel-vs-R reconciliation status</t>
  </si>
  <si>
    <t xml:space="preserve">Run_Metadata</t>
  </si>
  <si>
    <t xml:space="preserve">B8:B16 (subset)</t>
  </si>
  <si>
    <t xml:space="preserve">Calculation_Assumptions</t>
  </si>
  <si>
    <t xml:space="preserve">Metadata pulled from the assumptions controls</t>
  </si>
  <si>
    <t xml:space="preserve">Companion R workbook</t>
  </si>
  <si>
    <t xml:space="preserve">none</t>
  </si>
  <si>
    <t xml:space="preserve">Model 06 / Model 09</t>
  </si>
  <si>
    <t xml:space="preserve">Detailed Model_State_Trace and Background_Mortality</t>
  </si>
  <si>
    <t xml:space="preserve">R source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</si>
</sst>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166" formatCode="0"/>
    <numFmt numFmtId="167" formatCode="0"/>
    <numFmt numFmtId="168" formatCode="0.0%"/>
    <numFmt numFmtId="169" formatCode="0"/>
    <numFmt numFmtId="170" formatCode="0"/>
    <numFmt numFmtId="171" formatCode="0.000"/>
    <numFmt numFmtId="172" formatCode="#,##0"/>
    <numFmt numFmtId="173" formatCode="0"/>
    <numFmt numFmtId="174" formatCode="#,##0.0"/>
    <numFmt numFmtId="175" formatCode="0"/>
    <numFmt numFmtId="176" formatCode="0"/>
    <numFmt numFmtId="177" formatCode="#,##0"/>
    <numFmt numFmtId="178" formatCode="#,##0"/>
    <numFmt numFmtId="179" formatCode="#,##0.00"/>
    <numFmt numFmtId="180" formatCode="0.0%"/>
    <numFmt numFmtId="181" formatCode="0.000"/>
    <numFmt numFmtId="182" formatCode="0.000"/>
    <numFmt numFmtId="183" formatCode="0.0%"/>
    <numFmt numFmtId="184" formatCode="0.0%"/>
    <numFmt numFmtId="185" formatCode="0"/>
    <numFmt numFmtId="186" formatCode="0"/>
    <numFmt numFmtId="187" formatCode="0.0000"/>
    <numFmt numFmtId="188" formatCode="#,##0"/>
    <numFmt numFmtId="189" formatCode="#,##0"/>
    <numFmt numFmtId="190" formatCode="0.0%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8" formatCode="#,##0"/>
    <numFmt numFmtId="199" formatCode="0.0%"/>
    <numFmt numFmtId="200" formatCode="0.00"/>
    <numFmt numFmtId="201" formatCode="0"/>
    <numFmt numFmtId="202" formatCode="0"/>
    <numFmt numFmtId="203" formatCode="#,##0.00"/>
    <numFmt numFmtId="204" formatCode="0"/>
    <numFmt numFmtId="205" formatCode="0.0%"/>
    <numFmt numFmtId="206" formatCode="0.0%"/>
    <numFmt numFmtId="207" formatCode="0"/>
    <numFmt numFmtId="208" formatCode="0"/>
    <numFmt numFmtId="209" formatCode="#,##0"/>
    <numFmt numFmtId="210" formatCode="#,##0"/>
    <numFmt numFmtId="197" formatCode="#,##0"/>
    <numFmt numFmtId="211" formatCode="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0.0%"/>
    <numFmt numFmtId="225" formatCode="0.0%"/>
    <numFmt numFmtId="226" formatCode="0.0%"/>
    <numFmt numFmtId="227" formatCode="0.00"/>
    <numFmt numFmtId="228" formatCode="#,##0.0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0"/>
    <numFmt numFmtId="235" formatCode="0.000"/>
    <numFmt numFmtId="236" formatCode="#,##0"/>
    <numFmt numFmtId="237" formatCode="#,##0"/>
    <numFmt numFmtId="238" formatCode="#,##0"/>
    <numFmt numFmtId="239" formatCode="0.0%"/>
    <numFmt numFmtId="240" formatCode="0"/>
    <numFmt numFmtId="241" formatCode="0"/>
    <numFmt numFmtId="242" formatCode="0"/>
    <numFmt numFmtId="243" formatCode="0"/>
    <numFmt numFmtId="244" formatCode="#,##0.00"/>
    <numFmt numFmtId="245" formatCode="#,##0.00"/>
    <numFmt numFmtId="246" formatCode="#,##0"/>
    <numFmt numFmtId="247" formatCode="0"/>
    <numFmt numFmtId="248" formatCode="#,##0"/>
    <numFmt numFmtId="249" formatCode="#,##0"/>
    <numFmt numFmtId="250" formatCode="#,##0"/>
    <numFmt numFmtId="251" formatCode="#,##0"/>
    <numFmt numFmtId="252" formatCode="#,##0"/>
    <numFmt numFmtId="253" formatCode="#,##0"/>
    <numFmt numFmtId="254" formatCode="#,##0"/>
    <numFmt numFmtId="255" formatCode="#,##0"/>
    <numFmt numFmtId="256" formatCode="#,##0"/>
    <numFmt numFmtId="257" formatCode="#,##0"/>
    <numFmt numFmtId="258" formatCode="#,##0"/>
  </numFmts>
  <fonts count="3">
    <font>
      <sz val="11"/>
      <color rgb="FF000000"/>
      <name val="Carlito"/>
    </font>
    <font>
      <sz val="11"/>
      <color rgb="FFFFFFFF"/>
      <name val="Carlito"/>
      <b/>
    </font>
    <font>
      <sz val="13"/>
      <color rgb="FFFFFFFF"/>
      <name val="Carlito"/>
      <b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0" fillId="4" borderId="0" xfId="0" applyFont="1" applyFill="1"/>
    <xf numFmtId="166" fontId="0" fillId="3" borderId="0" xfId="0" applyFont="1" applyNumberFormat="1" applyFill="1"/>
    <xf numFmtId="167" fontId="0" fillId="3" borderId="0" xfId="0" applyFont="1" applyNumberFormat="1" applyFill="1"/>
    <xf numFmtId="168" fontId="0" fillId="3" borderId="0" xfId="0" applyFont="1" applyNumberFormat="1" applyFill="1"/>
    <xf numFmtId="169" fontId="0" fillId="3" borderId="0" xfId="0" applyFont="1" applyNumberFormat="1" applyFill="1"/>
    <xf numFmtId="170" fontId="0" fillId="3" borderId="0" xfId="0" applyFont="1" applyNumberFormat="1" applyFill="1"/>
    <xf numFmtId="171" fontId="0" fillId="3" borderId="0" xfId="0" applyFont="1" applyNumberFormat="1" applyFill="1"/>
    <xf numFmtId="172" fontId="0" fillId="3" borderId="0" xfId="0" applyFont="1" applyNumberFormat="1" applyFill="1"/>
    <xf numFmtId="173" fontId="0" fillId="3" borderId="0" xfId="0" applyFont="1" applyNumberFormat="1" applyFill="1"/>
    <xf numFmtId="174" fontId="0" fillId="4" borderId="0" xfId="0" applyFont="1" applyNumberFormat="1" applyFill="1"/>
    <xf numFmtId="175" fontId="0" fillId="4" borderId="0" xfId="0" applyFont="1" applyNumberFormat="1" applyFill="1"/>
    <xf numFmtId="176" fontId="0" fillId="4" borderId="0" xfId="0" applyFont="1" applyNumberFormat="1" applyFill="1"/>
    <xf numFmtId="177" fontId="0" fillId="4" borderId="0" xfId="0" applyFont="1" applyNumberFormat="1" applyFill="1"/>
    <xf numFmtId="178" fontId="0" fillId="4" borderId="0" xfId="0" applyFont="1" applyNumberFormat="1" applyFill="1"/>
    <xf numFmtId="179" fontId="0" fillId="4" borderId="0" xfId="0" applyFont="1" applyNumberFormat="1" applyFill="1"/>
    <xf numFmtId="0" fontId="0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0" fillId="5" borderId="0" xfId="0" applyFont="1" applyFill="1"/>
    <xf numFmtId="180" fontId="0" fillId="5" borderId="0" xfId="0" applyFont="1" applyNumberFormat="1" applyFill="1"/>
    <xf numFmtId="181" fontId="0" fillId="0" borderId="0" xfId="0" applyFont="1" applyNumberFormat="1"/>
    <xf numFmtId="182" fontId="0" fillId="0" borderId="0" xfId="0" applyFont="1" applyNumberFormat="1"/>
    <xf numFmtId="183" fontId="0" fillId="0" borderId="0" xfId="0" applyFont="1" applyNumberFormat="1"/>
    <xf numFmtId="184" fontId="0" fillId="0" borderId="0" xfId="0" applyFont="1" applyNumberFormat="1"/>
    <xf numFmtId="185" fontId="0" fillId="0" borderId="0" xfId="0" applyFont="1" applyNumberFormat="1"/>
    <xf numFmtId="186" fontId="0" fillId="0" borderId="0" xfId="0" applyFont="1" applyNumberFormat="1"/>
    <xf numFmtId="187" fontId="0" fillId="5" borderId="0" xfId="0" applyFont="1" applyNumberFormat="1" applyFill="1"/>
    <xf numFmtId="188" fontId="0" fillId="0" borderId="0" xfId="0" applyFont="1" applyNumberFormat="1"/>
    <xf numFmtId="189" fontId="0" fillId="0" borderId="0" xfId="0" applyFont="1" applyNumberFormat="1"/>
    <xf numFmtId="190" fontId="0" fillId="0" borderId="0" xfId="0" applyFont="1" applyNumberFormat="1"/>
    <xf numFmtId="191" fontId="0" fillId="5" borderId="0" xfId="0" applyFont="1" applyNumberFormat="1" applyFill="1"/>
    <xf numFmtId="192" fontId="0" fillId="0" borderId="0" xfId="0" applyFont="1" applyNumberFormat="1"/>
    <xf numFmtId="193" fontId="0" fillId="0" borderId="0" xfId="0" applyFont="1" applyNumberFormat="1"/>
    <xf numFmtId="194" fontId="0" fillId="0" borderId="0" xfId="0" applyFont="1" applyNumberFormat="1"/>
    <xf numFmtId="195" fontId="0" fillId="0" borderId="0" xfId="0" applyFont="1" applyNumberFormat="1"/>
    <xf numFmtId="196" fontId="0" fillId="0" borderId="0" xfId="0" applyFont="1" applyNumberFormat="1"/>
    <xf numFmtId="198" fontId="0" fillId="0" borderId="0" xfId="0" applyFont="1" applyNumberFormat="1"/>
    <xf numFmtId="199" fontId="0" fillId="0" borderId="0" xfId="0" applyFont="1" applyNumberFormat="1"/>
    <xf numFmtId="200" fontId="0" fillId="0" borderId="0" xfId="0" applyFont="1" applyNumberFormat="1"/>
    <xf numFmtId="201" fontId="0" fillId="0" borderId="0" xfId="0" applyFont="1" applyNumberFormat="1"/>
    <xf numFmtId="202" fontId="0" fillId="0" borderId="0" xfId="0" applyFont="1" applyNumberFormat="1"/>
    <xf numFmtId="203" fontId="0" fillId="0" borderId="0" xfId="0" applyFont="1" applyNumberFormat="1"/>
    <xf numFmtId="204" fontId="0" fillId="0" borderId="0" xfId="0" applyFont="1" applyNumberFormat="1"/>
    <xf numFmtId="205" fontId="0" fillId="5" borderId="0" xfId="0" applyFont="1" applyNumberFormat="1" applyFill="1"/>
    <xf numFmtId="206" fontId="0" fillId="5" borderId="0" xfId="0" applyFont="1" applyNumberFormat="1" applyFill="1"/>
    <xf numFmtId="207" fontId="0" fillId="5" borderId="0" xfId="0" applyFont="1" applyNumberFormat="1" applyFill="1"/>
    <xf numFmtId="208" fontId="0" fillId="5" borderId="0" xfId="0" applyFont="1" applyNumberFormat="1" applyFill="1"/>
    <xf numFmtId="209" fontId="0" fillId="0" borderId="0" xfId="0" applyFont="1" applyNumberFormat="1"/>
    <xf numFmtId="210" fontId="0" fillId="5" borderId="0" xfId="0" applyFont="1" applyNumberFormat="1" applyFill="1"/>
    <xf numFmtId="197" fontId="0" fillId="0" borderId="0" xfId="0" applyFont="1" applyNumberFormat="1" applyAlignment="1">
      <alignment vertical="top" wrapText="1"/>
    </xf>
    <xf numFmtId="211" fontId="0" fillId="0" borderId="0" xfId="0" applyFont="1" applyNumberFormat="1"/>
    <xf numFmtId="212" fontId="0" fillId="0" borderId="0" xfId="0" applyFont="1" applyNumberFormat="1"/>
    <xf numFmtId="213" fontId="0" fillId="0" borderId="0" xfId="0" applyFont="1" applyNumberFormat="1"/>
    <xf numFmtId="214" fontId="0" fillId="4" borderId="0" xfId="0" applyFont="1" applyNumberFormat="1" applyFill="1"/>
    <xf numFmtId="215" fontId="0" fillId="5" borderId="0" xfId="0" applyFont="1" applyNumberFormat="1" applyFill="1"/>
    <xf numFmtId="216" fontId="0" fillId="4" borderId="0" xfId="0" applyFont="1" applyNumberFormat="1" applyFill="1"/>
    <xf numFmtId="217" fontId="0" fillId="5" borderId="0" xfId="0" applyFont="1" applyNumberFormat="1" applyFill="1"/>
    <xf numFmtId="218" fontId="0" fillId="0" borderId="0" xfId="0" applyFont="1" applyNumberFormat="1"/>
    <xf numFmtId="219" fontId="0" fillId="0" borderId="0" xfId="0" applyFont="1" applyNumberFormat="1"/>
    <xf numFmtId="220" fontId="0" fillId="0" borderId="0" xfId="0" applyFont="1" applyNumberFormat="1"/>
    <xf numFmtId="221" fontId="0" fillId="0" borderId="0" xfId="0" applyFont="1" applyNumberFormat="1"/>
    <xf numFmtId="222" fontId="0" fillId="0" borderId="0" xfId="0" applyFont="1" applyNumberFormat="1"/>
    <xf numFmtId="223" fontId="0" fillId="0" borderId="0" xfId="0" applyFont="1" applyNumberFormat="1"/>
    <xf numFmtId="224" fontId="0" fillId="5" borderId="0" xfId="0" applyFont="1" applyNumberFormat="1" applyFill="1"/>
    <xf numFmtId="225" fontId="0" fillId="5" borderId="0" xfId="0" applyFont="1" applyNumberFormat="1" applyFill="1"/>
    <xf numFmtId="226" fontId="0" fillId="5" borderId="0" xfId="0" applyFont="1" applyNumberFormat="1" applyFill="1"/>
    <xf numFmtId="227" fontId="0" fillId="5" borderId="0" xfId="0" applyFont="1" applyNumberFormat="1" applyFill="1"/>
    <xf numFmtId="228" fontId="0" fillId="5" borderId="0" xfId="0" applyFont="1" applyNumberFormat="1" applyFill="1"/>
    <xf numFmtId="229" fontId="0" fillId="5" borderId="0" xfId="0" applyFont="1" applyNumberFormat="1" applyFill="1"/>
    <xf numFmtId="230" fontId="0" fillId="5" borderId="0" xfId="0" applyFont="1" applyNumberFormat="1" applyFill="1"/>
    <xf numFmtId="231" fontId="0" fillId="5" borderId="0" xfId="0" applyFont="1" applyNumberFormat="1" applyFill="1"/>
    <xf numFmtId="232" fontId="0" fillId="5" borderId="0" xfId="0" applyFont="1" applyNumberFormat="1" applyFill="1"/>
    <xf numFmtId="233" fontId="0" fillId="5" borderId="0" xfId="0" applyFont="1" applyNumberFormat="1" applyFill="1"/>
    <xf numFmtId="234" fontId="0" fillId="5" borderId="0" xfId="0" applyFont="1" applyNumberFormat="1" applyFill="1"/>
    <xf numFmtId="235" fontId="0" fillId="5" borderId="0" xfId="0" applyFont="1" applyNumberFormat="1" applyFill="1"/>
    <xf numFmtId="236" fontId="0" fillId="5" borderId="0" xfId="0" applyFont="1" applyNumberFormat="1" applyFill="1"/>
    <xf numFmtId="237" fontId="0" fillId="5" borderId="0" xfId="0" applyFont="1" applyNumberFormat="1" applyFill="1"/>
    <xf numFmtId="238" fontId="0" fillId="5" borderId="0" xfId="0" applyFont="1" applyNumberFormat="1" applyFill="1"/>
    <xf numFmtId="239" fontId="0" fillId="5" borderId="0" xfId="0" applyFont="1" applyNumberFormat="1" applyFill="1"/>
    <xf numFmtId="240" fontId="0" fillId="5" borderId="0" xfId="0" applyFont="1" applyNumberFormat="1" applyFill="1"/>
    <xf numFmtId="241" fontId="0" fillId="5" borderId="0" xfId="0" applyFont="1" applyNumberFormat="1" applyFill="1"/>
    <xf numFmtId="242" fontId="0" fillId="5" borderId="0" xfId="0" applyFont="1" applyNumberFormat="1" applyFill="1"/>
    <xf numFmtId="243" fontId="0" fillId="5" borderId="0" xfId="0" applyFont="1" applyNumberFormat="1" applyFill="1"/>
    <xf numFmtId="244" fontId="0" fillId="4" borderId="0" xfId="0" applyFont="1" applyNumberFormat="1" applyFill="1"/>
    <xf numFmtId="245" fontId="0" fillId="4" borderId="0" xfId="0" applyFont="1" applyNumberFormat="1" applyFill="1"/>
    <xf numFmtId="246" fontId="0" fillId="5" borderId="0" xfId="0" applyFont="1" applyNumberFormat="1" applyFill="1"/>
    <xf numFmtId="247" fontId="0" fillId="0" borderId="0" xfId="0" applyFont="1" applyNumberFormat="1"/>
    <xf numFmtId="248" fontId="0" fillId="5" borderId="0" xfId="0" applyFont="1" applyNumberFormat="1" applyFill="1"/>
    <xf numFmtId="249" fontId="0" fillId="5" borderId="0" xfId="0" applyFont="1" applyNumberFormat="1" applyFill="1"/>
    <xf numFmtId="250" fontId="0" fillId="5" borderId="0" xfId="0" applyFont="1" applyNumberFormat="1" applyFill="1"/>
    <xf numFmtId="251" fontId="0" fillId="5" borderId="0" xfId="0" applyFont="1" applyNumberFormat="1" applyFill="1"/>
    <xf numFmtId="252" fontId="0" fillId="5" borderId="0" xfId="0" applyFont="1" applyNumberFormat="1" applyFill="1"/>
    <xf numFmtId="253" fontId="0" fillId="5" borderId="0" xfId="0" applyFont="1" applyNumberFormat="1" applyFill="1"/>
    <xf numFmtId="254" fontId="0" fillId="5" borderId="0" xfId="0" applyFont="1" applyNumberFormat="1" applyFill="1"/>
    <xf numFmtId="255" fontId="0" fillId="5" borderId="0" xfId="0" applyFont="1" applyNumberFormat="1" applyFill="1"/>
    <xf numFmtId="256" fontId="0" fillId="5" borderId="0" xfId="0" applyFont="1" applyNumberFormat="1" applyFill="1"/>
    <xf numFmtId="257" fontId="0" fillId="5" borderId="0" xfId="0" applyFont="1" applyNumberFormat="1" applyFill="1"/>
    <xf numFmtId="258" fontId="0" fillId="5" borderId="0" xfId="0" applyFont="1" applyNumberFormat="1" applyFill="1"/>
    <xf numFmtId="0" fontId="0" fillId="5" borderId="0" xfId="0" applyFont="1" applyFill="1" applyAlignment="1">
      <alignment vertical="top" wrapText="1"/>
    </xf>
  </cellXfs>
  <cellStyles count="1">
    <cellStyle name="Normal" xfId="0" builtinId="0"/>
  </cellStyles>
  <dxfs count="3"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0006"/>
        <name val="Carlito"/>
      </font>
      <fill>
        <patternFill patternType="solid">
          <bgColor rgb="FFFFC7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6.71" hidden="0" customWidth="1"/>
    <col min="3" max="3" width="14.71" hidden="0" customWidth="1"/>
    <col min="4" max="4" width="24.71" hidden="0" customWidth="1"/>
    <col min="5" max="5" width="62.71" hidden="0" customWidth="1"/>
    <col min="6" max="6" width="40.71" hidden="0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s="4" t="n">
        <v>2025</v>
      </c>
      <c r="C2" t="s">
        <v>25</v>
      </c>
      <c r="D2" t="s">
        <v>26</v>
      </c>
      <c r="E2" s="18" t="s">
        <v>27</v>
      </c>
      <c r="F2" t="s">
        <v>28</v>
      </c>
    </row>
    <row r="3">
      <c r="A3" t="s">
        <v>7</v>
      </c>
      <c r="B3" s="5" t="n">
        <v>2050</v>
      </c>
      <c r="C3" t="s">
        <v>25</v>
      </c>
      <c r="D3" t="s">
        <v>26</v>
      </c>
      <c r="E3" s="18" t="s">
        <v>29</v>
      </c>
      <c r="F3" t="s">
        <v>28</v>
      </c>
    </row>
    <row r="4">
      <c r="A4" t="s">
        <v>8</v>
      </c>
      <c r="B4" s="2" t="s">
        <v>72</v>
      </c>
      <c r="C4" t="s">
        <v>30</v>
      </c>
      <c r="D4" t="s">
        <v>26</v>
      </c>
      <c r="E4" s="18" t="s">
        <v>31</v>
      </c>
      <c r="F4" t="s">
        <v>32</v>
      </c>
    </row>
    <row r="5">
      <c r="A5" t="s">
        <v>9</v>
      </c>
      <c r="B5" s="6" t="n">
        <v>0.03</v>
      </c>
      <c r="C5" t="s">
        <v>33</v>
      </c>
      <c r="D5" t="s">
        <v>26</v>
      </c>
      <c r="E5" s="18" t="s">
        <v>34</v>
      </c>
      <c r="F5" t="s">
        <v>28</v>
      </c>
    </row>
    <row r="6">
      <c r="A6" t="s">
        <v>10</v>
      </c>
      <c r="B6" s="7" t="n">
        <v>2023</v>
      </c>
      <c r="C6" t="s">
        <v>35</v>
      </c>
      <c r="D6" t="s">
        <v>36</v>
      </c>
      <c r="E6" s="18" t="s">
        <v>37</v>
      </c>
      <c r="F6" t="s">
        <v>38</v>
      </c>
    </row>
    <row r="7">
      <c r="A7" t="s">
        <v>11</v>
      </c>
      <c r="B7" s="2" t="s">
        <v>67</v>
      </c>
      <c r="C7" t="s">
        <v>11</v>
      </c>
      <c r="D7" t="s">
        <v>36</v>
      </c>
      <c r="E7" s="18" t="s">
        <v>39</v>
      </c>
      <c r="F7" t="s">
        <v>38</v>
      </c>
    </row>
    <row r="8">
      <c r="A8" t="s">
        <v>12</v>
      </c>
      <c r="B8" s="2" t="s">
        <v>73</v>
      </c>
      <c r="C8" t="s">
        <v>40</v>
      </c>
      <c r="D8" t="s">
        <v>36</v>
      </c>
      <c r="E8" s="18" t="s">
        <v>41</v>
      </c>
      <c r="F8" t="s">
        <v>38</v>
      </c>
    </row>
    <row r="9">
      <c r="A9" t="s">
        <v>13</v>
      </c>
      <c r="B9" s="2" t="s">
        <v>74</v>
      </c>
      <c r="C9" t="s">
        <v>40</v>
      </c>
      <c r="D9" t="s">
        <v>26</v>
      </c>
      <c r="E9" s="18" t="s">
        <v>42</v>
      </c>
      <c r="F9" t="s">
        <v>38</v>
      </c>
    </row>
    <row r="10">
      <c r="A10" t="s">
        <v>14</v>
      </c>
      <c r="B10" s="8" t="n">
        <v>0</v>
      </c>
      <c r="C10" t="s">
        <v>43</v>
      </c>
      <c r="D10" t="s">
        <v>44</v>
      </c>
      <c r="E10" s="18" t="s">
        <v>45</v>
      </c>
      <c r="F10" t="s">
        <v>38</v>
      </c>
    </row>
    <row r="11">
      <c r="A11" t="s">
        <v>15</v>
      </c>
      <c r="B11" s="9" t="n">
        <v>0.001</v>
      </c>
      <c r="C11" t="s">
        <v>46</v>
      </c>
      <c r="D11" t="s">
        <v>47</v>
      </c>
      <c r="E11" s="18" t="s">
        <v>48</v>
      </c>
      <c r="F11" t="s">
        <v>49</v>
      </c>
    </row>
    <row r="12">
      <c r="A12" t="s">
        <v>16</v>
      </c>
      <c r="B12" s="10" t="n">
        <v>1000</v>
      </c>
      <c r="C12" t="s">
        <v>50</v>
      </c>
      <c r="D12" t="s">
        <v>47</v>
      </c>
      <c r="E12" s="18" t="s">
        <v>51</v>
      </c>
      <c r="F12" t="s">
        <v>52</v>
      </c>
    </row>
    <row r="13">
      <c r="A13" t="s">
        <v>17</v>
      </c>
      <c r="B13" s="11" t="n">
        <v>2</v>
      </c>
      <c r="C13" t="s">
        <v>53</v>
      </c>
      <c r="D13" t="s">
        <v>54</v>
      </c>
      <c r="E13" s="18" t="s">
        <v>55</v>
      </c>
      <c r="F13" t="s">
        <v>56</v>
      </c>
    </row>
    <row r="14">
      <c r="A14" t="s">
        <v>18</v>
      </c>
      <c r="B14" s="12" t="n">
        <v>108.16</v>
      </c>
      <c r="C14" t="s">
        <v>50</v>
      </c>
      <c r="D14" t="s">
        <v>57</v>
      </c>
      <c r="E14" s="18" t="s">
        <v>58</v>
      </c>
      <c r="F14" t="s">
        <v>59</v>
      </c>
    </row>
    <row r="15">
      <c r="A15" t="s">
        <v>19</v>
      </c>
      <c r="B15" s="13" t="n">
        <v>3</v>
      </c>
      <c r="C15" t="s">
        <v>60</v>
      </c>
      <c r="D15" t="s">
        <v>57</v>
      </c>
      <c r="E15" s="18" t="s">
        <v>61</v>
      </c>
      <c r="F15" t="s">
        <v>59</v>
      </c>
    </row>
    <row r="16">
      <c r="A16" t="s">
        <v>20</v>
      </c>
      <c r="B16" s="14" t="n">
        <v>0</v>
      </c>
      <c r="C16" t="s">
        <v>60</v>
      </c>
      <c r="D16" t="s">
        <v>57</v>
      </c>
      <c r="E16" s="18" t="s">
        <v>62</v>
      </c>
      <c r="F16" t="s">
        <v>59</v>
      </c>
    </row>
    <row r="17">
      <c r="A17" t="s">
        <v>21</v>
      </c>
      <c r="B17" s="15" t="n">
        <v>2560798.1936101</v>
      </c>
      <c r="C17" t="s">
        <v>63</v>
      </c>
      <c r="D17" t="s">
        <v>64</v>
      </c>
      <c r="E17" s="18" t="s">
        <v>65</v>
      </c>
      <c r="F17" t="s">
        <v>66</v>
      </c>
    </row>
    <row r="18">
      <c r="A18" t="s">
        <v>22</v>
      </c>
      <c r="B18" s="16" t="n">
        <v>84180027150.071</v>
      </c>
      <c r="C18" t="s">
        <v>67</v>
      </c>
      <c r="D18" t="s">
        <v>64</v>
      </c>
      <c r="E18" s="18" t="s">
        <v>68</v>
      </c>
      <c r="F18" t="s">
        <v>66</v>
      </c>
    </row>
    <row r="19">
      <c r="A19" t="s">
        <v>23</v>
      </c>
      <c r="B19" s="17" t="n">
        <v>32872.5736218197</v>
      </c>
      <c r="C19" t="s">
        <v>69</v>
      </c>
      <c r="D19" t="s">
        <v>64</v>
      </c>
      <c r="E19" s="18" t="s">
        <v>70</v>
      </c>
      <c r="F19" t="s">
        <v>66</v>
      </c>
    </row>
    <row r="20">
      <c r="A20" t="s">
        <v>24</v>
      </c>
      <c r="B20" s="3" t="s">
        <v>75</v>
      </c>
      <c r="C20" t="s">
        <v>30</v>
      </c>
      <c r="D20" t="s">
        <v>64</v>
      </c>
      <c r="E20" s="18" t="s">
        <v>71</v>
      </c>
      <c r="F20" t="s">
        <v>66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18.71" hidden="0" customWidth="1"/>
  </cols>
  <sheetData>
    <row r="1" ht="22" customHeight="1">
      <c r="A1" s="19" t="s">
        <v>76</v>
      </c>
    </row>
    <row r="3">
      <c r="A3" s="1" t="s">
        <v>77</v>
      </c>
      <c r="B3" s="1" t="s">
        <v>78</v>
      </c>
    </row>
    <row r="4">
      <c r="A4" t="s">
        <v>79</v>
      </c>
      <c r="B4" s="18" t="s">
        <v>80</v>
      </c>
    </row>
    <row r="5">
      <c r="A5" t="s">
        <v>81</v>
      </c>
      <c r="B5" s="18" t="s">
        <v>82</v>
      </c>
    </row>
    <row r="6">
      <c r="A6" t="s">
        <v>83</v>
      </c>
      <c r="B6" s="18" t="s">
        <v>84</v>
      </c>
    </row>
    <row r="7">
      <c r="A7" t="s">
        <v>85</v>
      </c>
      <c r="B7" s="18" t="s">
        <v>86</v>
      </c>
    </row>
    <row r="8">
      <c r="A8" t="s">
        <v>87</v>
      </c>
      <c r="B8" s="18" t="s">
        <v>88</v>
      </c>
    </row>
    <row r="9">
      <c r="A9" t="s">
        <v>89</v>
      </c>
      <c r="B9" s="18" t="s">
        <v>90</v>
      </c>
    </row>
    <row r="10">
      <c r="A10" t="s">
        <v>91</v>
      </c>
      <c r="B10" s="18" t="s">
        <v>92</v>
      </c>
    </row>
    <row r="11">
      <c r="A11" t="s">
        <v>93</v>
      </c>
      <c r="B11" s="18" t="s">
        <v>94</v>
      </c>
    </row>
    <row r="12">
      <c r="A12" t="s">
        <v>95</v>
      </c>
      <c r="B12" s="18" t="s">
        <v>96</v>
      </c>
    </row>
    <row r="13">
      <c r="A13" t="s">
        <v>97</v>
      </c>
      <c r="B13" s="18" t="s">
        <v>98</v>
      </c>
    </row>
    <row r="14">
      <c r="A14" t="s">
        <v>99</v>
      </c>
      <c r="B14" s="18" t="s">
        <v>100</v>
      </c>
    </row>
    <row r="15">
      <c r="A15" t="s">
        <v>101</v>
      </c>
      <c r="B15" s="18" t="s">
        <v>102</v>
      </c>
    </row>
    <row r="16">
      <c r="A16" t="s">
        <v>103</v>
      </c>
      <c r="B16" s="18" t="s">
        <v>104</v>
      </c>
    </row>
    <row r="17">
      <c r="A17" t="s">
        <v>105</v>
      </c>
      <c r="B17" s="18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74.71" hidden="0" customWidth="1"/>
  </cols>
  <sheetData>
    <row r="1" ht="28" customHeight="1">
      <c r="A1" s="1" t="s">
        <v>107</v>
      </c>
      <c r="B1" s="1" t="s">
        <v>1</v>
      </c>
    </row>
    <row r="2">
      <c r="A2" t="s">
        <v>108</v>
      </c>
      <c r="B2" t="s">
        <v>109</v>
      </c>
    </row>
    <row r="3">
      <c r="A3" t="s">
        <v>110</v>
      </c>
      <c r="B3" t="s">
        <v>111</v>
      </c>
    </row>
    <row r="4">
      <c r="A4" t="s">
        <v>112</v>
      </c>
      <c r="B4" t="s">
        <v>113</v>
      </c>
    </row>
    <row r="5">
      <c r="A5" t="s">
        <v>114</v>
      </c>
      <c r="B5" t="s">
        <v>115</v>
      </c>
    </row>
    <row r="6">
      <c r="A6" t="s">
        <v>116</v>
      </c>
      <c r="B6" t="s">
        <v>117</v>
      </c>
    </row>
    <row r="7">
      <c r="A7" t="s">
        <v>118</v>
      </c>
      <c r="B7" t="s">
        <v>119</v>
      </c>
    </row>
    <row r="8">
      <c r="A8" t="s">
        <v>120</v>
      </c>
      <c r="B8" s="20" t="str">
        <f>'Calculation_Assumptions'!B2&amp;"-"&amp;'Calculation_Assumptions'!B3</f>
      </c>
    </row>
    <row r="9">
      <c r="A9" t="s">
        <v>122</v>
      </c>
      <c r="B9" s="20" t="str">
        <f>'Calculation_Assumptions'!B4</f>
      </c>
    </row>
    <row r="10">
      <c r="A10" t="s">
        <v>123</v>
      </c>
      <c r="B10" t="s">
        <v>124</v>
      </c>
    </row>
    <row r="11">
      <c r="A11" t="s">
        <v>125</v>
      </c>
      <c r="B11" s="21" t="str">
        <f>'Calculation_Assumptions'!B5</f>
      </c>
    </row>
    <row r="12">
      <c r="A12" t="s">
        <v>127</v>
      </c>
      <c r="B12" s="20" t="str">
        <f>'Calculation_Assumptions'!B6</f>
      </c>
    </row>
    <row r="13">
      <c r="A13" t="s">
        <v>129</v>
      </c>
      <c r="B13" s="20" t="str">
        <f>'Calculation_Assumptions'!B7</f>
      </c>
    </row>
    <row r="14">
      <c r="A14" t="s">
        <v>130</v>
      </c>
      <c r="B14" s="20" t="str">
        <f>'Calculation_Assumptions'!B8</f>
      </c>
    </row>
    <row r="15">
      <c r="A15" t="s">
        <v>131</v>
      </c>
      <c r="B15" s="20" t="str">
        <f>'Calculation_Assumptions'!B9</f>
      </c>
    </row>
    <row r="16">
      <c r="A16" t="s">
        <v>132</v>
      </c>
      <c r="B16" s="20" t="str">
        <f>'Calculation_Assumptions'!B10</f>
      </c>
    </row>
    <row r="17">
      <c r="A17" t="s">
        <v>134</v>
      </c>
      <c r="B17" t="s">
        <v>135</v>
      </c>
    </row>
    <row r="18">
      <c r="A18" t="s">
        <v>136</v>
      </c>
      <c r="B18" t="s">
        <v>137</v>
      </c>
    </row>
    <row r="19">
      <c r="A19" t="s">
        <v>138</v>
      </c>
      <c r="B19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4.71" hidden="0" customWidth="1"/>
    <col min="3" max="3" width="19.71" hidden="0" customWidth="1"/>
    <col min="4" max="4" width="11.71" hidden="0" customWidth="1"/>
    <col min="5" max="5" width="12.71" hidden="0" customWidth="1"/>
    <col min="6" max="6" width="12.71" hidden="0" customWidth="1"/>
    <col min="7" max="7" width="17.71" hidden="0" customWidth="1"/>
    <col min="8" max="8" width="15.71" hidden="0" customWidth="1"/>
    <col min="9" max="9" width="18.71" hidden="0" customWidth="1"/>
    <col min="10" max="10" width="14.71" hidden="0" customWidth="1"/>
    <col min="11" max="11" width="19.71" hidden="0" customWidth="1"/>
    <col min="12" max="12" width="19.71" hidden="0" customWidth="1"/>
    <col min="13" max="13" width="17.71" hidden="0" customWidth="1"/>
    <col min="14" max="14" width="12.71" hidden="0" customWidth="1"/>
    <col min="15" max="15" width="13.71" hidden="0" customWidth="1"/>
    <col min="16" max="16" width="27.71" hidden="0" customWidth="1"/>
    <col min="17" max="17" width="15.71" hidden="0" customWidth="1"/>
    <col min="18" max="18" width="12.71" hidden="0" customWidth="1"/>
    <col min="19" max="19" width="15.71" hidden="0" customWidth="1"/>
    <col min="20" max="20" width="17.71" hidden="0" customWidth="1"/>
    <col min="21" max="21" width="11.71" hidden="0" customWidth="1"/>
    <col min="22" max="22" width="16.71" hidden="0" customWidth="1"/>
  </cols>
  <sheetData>
    <row r="1" ht="28" customHeight="1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</row>
    <row r="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s="22" t="n">
        <v>0.47</v>
      </c>
      <c r="K2" s="23" t="n">
        <v>1</v>
      </c>
      <c r="L2" s="24" t="n">
        <v>0.31</v>
      </c>
      <c r="M2" s="25" t="n">
        <v>0.8</v>
      </c>
      <c r="N2" s="26" t="n">
        <v>2025</v>
      </c>
      <c r="O2" s="27" t="n">
        <v>2050</v>
      </c>
      <c r="P2" s="28" t="str">
        <f>IF(OR(J2="",K2="",L2="",M2=""),"",ROUND(K2*(J2*(M2-L2)/(1-J2*L2)),4))</f>
      </c>
      <c r="Q2" s="29" t="s">
        <v>171</v>
      </c>
      <c r="R2" s="30" t="s">
        <v>172</v>
      </c>
      <c r="S2" t="s">
        <v>173</v>
      </c>
      <c r="T2" s="31" t="s">
        <v>173</v>
      </c>
      <c r="U2" s="32" t="str">
        <f>COUNTIF($B$2:$B$18,B2)</f>
      </c>
      <c r="V2" s="20" t="str">
        <f>IF(U2=1,"OK","DUPLICATE KEY")</f>
      </c>
    </row>
    <row r="3">
      <c r="A3" t="s">
        <v>162</v>
      </c>
      <c r="B3" t="s">
        <v>174</v>
      </c>
      <c r="C3" t="s">
        <v>164</v>
      </c>
      <c r="D3" t="s">
        <v>175</v>
      </c>
      <c r="E3" t="s">
        <v>176</v>
      </c>
      <c r="F3" t="s">
        <v>177</v>
      </c>
      <c r="G3" t="s">
        <v>168</v>
      </c>
      <c r="H3" t="s">
        <v>169</v>
      </c>
      <c r="I3" t="s">
        <v>170</v>
      </c>
      <c r="J3" s="22" t="n">
        <v>0.49</v>
      </c>
      <c r="K3" s="23" t="n">
        <v>0.8</v>
      </c>
      <c r="L3" s="24" t="n">
        <v>0.31</v>
      </c>
      <c r="M3" s="25" t="n">
        <v>0.8</v>
      </c>
      <c r="N3" s="26" t="n">
        <v>2025</v>
      </c>
      <c r="O3" s="27" t="n">
        <v>2050</v>
      </c>
      <c r="P3" s="28" t="str">
        <f>IF(OR(J3="",K3="",L3="",M3=""),"",ROUND(K3*(J3*(M3-L3)/(1-J3*L3)),4))</f>
      </c>
      <c r="Q3" s="29" t="s">
        <v>171</v>
      </c>
      <c r="R3" s="30" t="s">
        <v>172</v>
      </c>
      <c r="S3" t="s">
        <v>173</v>
      </c>
      <c r="T3" s="31" t="s">
        <v>173</v>
      </c>
      <c r="U3" s="32" t="str">
        <f>COUNTIF($B$2:$B$18,B3)</f>
      </c>
      <c r="V3" s="20" t="str">
        <f>IF(U3=1,"OK","DUPLICATE KEY")</f>
      </c>
    </row>
    <row r="4">
      <c r="A4" t="s">
        <v>162</v>
      </c>
      <c r="B4" t="s">
        <v>178</v>
      </c>
      <c r="C4" t="s">
        <v>164</v>
      </c>
      <c r="D4" t="s">
        <v>179</v>
      </c>
      <c r="E4" t="s">
        <v>180</v>
      </c>
      <c r="F4" t="s">
        <v>181</v>
      </c>
      <c r="G4" t="s">
        <v>168</v>
      </c>
      <c r="H4" t="s">
        <v>169</v>
      </c>
      <c r="I4" t="s">
        <v>170</v>
      </c>
      <c r="J4" s="22" t="n">
        <v>0.58</v>
      </c>
      <c r="K4" s="23" t="n">
        <v>0.8</v>
      </c>
      <c r="L4" s="24" t="n">
        <v>0.31</v>
      </c>
      <c r="M4" s="25" t="n">
        <v>0.8</v>
      </c>
      <c r="N4" s="26" t="n">
        <v>2025</v>
      </c>
      <c r="O4" s="27" t="n">
        <v>2050</v>
      </c>
      <c r="P4" s="28" t="str">
        <f>IF(OR(J4="",K4="",L4="",M4=""),"",ROUND(K4*(J4*(M4-L4)/(1-J4*L4)),4))</f>
      </c>
      <c r="Q4" s="29" t="s">
        <v>171</v>
      </c>
      <c r="R4" s="30" t="s">
        <v>172</v>
      </c>
      <c r="S4" t="s">
        <v>173</v>
      </c>
      <c r="T4" s="31" t="s">
        <v>173</v>
      </c>
      <c r="U4" s="32" t="str">
        <f>COUNTIF($B$2:$B$18,B4)</f>
      </c>
      <c r="V4" s="20" t="str">
        <f>IF(U4=1,"OK","DUPLICATE KEY")</f>
      </c>
    </row>
    <row r="5">
      <c r="A5" t="s">
        <v>162</v>
      </c>
      <c r="B5" t="s">
        <v>182</v>
      </c>
      <c r="C5" t="s">
        <v>164</v>
      </c>
      <c r="D5" t="s">
        <v>183</v>
      </c>
      <c r="E5" t="s">
        <v>184</v>
      </c>
      <c r="F5" t="s">
        <v>185</v>
      </c>
      <c r="G5" t="s">
        <v>168</v>
      </c>
      <c r="H5" t="s">
        <v>169</v>
      </c>
      <c r="I5" t="s">
        <v>170</v>
      </c>
      <c r="J5" s="22" t="n">
        <v>0.54</v>
      </c>
      <c r="K5" s="23" t="n">
        <v>0.8</v>
      </c>
      <c r="L5" s="24" t="n">
        <v>0.31</v>
      </c>
      <c r="M5" s="25" t="n">
        <v>0.8</v>
      </c>
      <c r="N5" s="26" t="n">
        <v>2025</v>
      </c>
      <c r="O5" s="27" t="n">
        <v>2050</v>
      </c>
      <c r="P5" s="28" t="str">
        <f>IF(OR(J5="",K5="",L5="",M5=""),"",ROUND(K5*(J5*(M5-L5)/(1-J5*L5)),4))</f>
      </c>
      <c r="Q5" s="29" t="s">
        <v>171</v>
      </c>
      <c r="R5" s="30" t="s">
        <v>172</v>
      </c>
      <c r="S5" t="s">
        <v>173</v>
      </c>
      <c r="T5" s="31" t="s">
        <v>173</v>
      </c>
      <c r="U5" s="32" t="str">
        <f>COUNTIF($B$2:$B$18,B5)</f>
      </c>
      <c r="V5" s="20" t="str">
        <f>IF(U5=1,"OK","DUPLICATE KEY")</f>
      </c>
    </row>
    <row r="6">
      <c r="A6" t="s">
        <v>186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s="22" t="n">
        <v>0.74</v>
      </c>
      <c r="K6" s="23" t="n">
        <v>0.2</v>
      </c>
      <c r="L6" s="24" t="n">
        <v>0.31</v>
      </c>
      <c r="M6" s="25" t="n">
        <v>0.8</v>
      </c>
      <c r="N6" s="26" t="n">
        <v>2025</v>
      </c>
      <c r="O6" s="27" t="n">
        <v>2050</v>
      </c>
      <c r="P6" s="28" t="str">
        <f>IF(OR(J6="",K6="",L6="",M6=""),"",ROUND(K6*(J6*(M6-L6)/(1-J6*L6)),4))</f>
      </c>
      <c r="Q6" s="29" t="s">
        <v>187</v>
      </c>
      <c r="R6" s="30" t="s">
        <v>195</v>
      </c>
      <c r="S6" t="s">
        <v>173</v>
      </c>
      <c r="T6" s="31" t="s">
        <v>173</v>
      </c>
      <c r="U6" s="32" t="str">
        <f>COUNTIF($B$2:$B$18,B6)</f>
      </c>
      <c r="V6" s="20" t="str">
        <f>IF(U6=1,"OK","DUPLICATE KEY")</f>
      </c>
    </row>
    <row r="7">
      <c r="A7" t="s">
        <v>186</v>
      </c>
      <c r="B7" t="s">
        <v>196</v>
      </c>
      <c r="C7" t="s">
        <v>188</v>
      </c>
      <c r="D7" t="s">
        <v>165</v>
      </c>
      <c r="E7" t="s">
        <v>166</v>
      </c>
      <c r="F7" t="s">
        <v>167</v>
      </c>
      <c r="G7" t="s">
        <v>192</v>
      </c>
      <c r="H7" t="s">
        <v>197</v>
      </c>
      <c r="I7" t="s">
        <v>194</v>
      </c>
      <c r="J7" s="22" t="n">
        <v>0.74</v>
      </c>
      <c r="K7" s="23" t="n">
        <v>0.2</v>
      </c>
      <c r="L7" s="24" t="n">
        <v>0.31</v>
      </c>
      <c r="M7" s="25" t="n">
        <v>0.8</v>
      </c>
      <c r="N7" s="26" t="n">
        <v>2025</v>
      </c>
      <c r="O7" s="27" t="n">
        <v>2050</v>
      </c>
      <c r="P7" s="28" t="str">
        <f>IF(OR(J7="",K7="",L7="",M7=""),"",ROUND(K7*(J7*(M7-L7)/(1-J7*L7)),4))</f>
      </c>
      <c r="Q7" s="29" t="s">
        <v>196</v>
      </c>
      <c r="R7" s="30" t="s">
        <v>195</v>
      </c>
      <c r="S7" t="s">
        <v>173</v>
      </c>
      <c r="T7" s="31" t="s">
        <v>173</v>
      </c>
      <c r="U7" s="32" t="str">
        <f>COUNTIF($B$2:$B$18,B7)</f>
      </c>
      <c r="V7" s="20" t="str">
        <f>IF(U7=1,"OK","DUPLICATE KEY")</f>
      </c>
    </row>
    <row r="8">
      <c r="A8" t="s">
        <v>186</v>
      </c>
      <c r="B8" t="s">
        <v>198</v>
      </c>
      <c r="C8" t="s">
        <v>188</v>
      </c>
      <c r="D8" t="s">
        <v>179</v>
      </c>
      <c r="E8" t="s">
        <v>180</v>
      </c>
      <c r="F8" t="s">
        <v>181</v>
      </c>
      <c r="G8" t="s">
        <v>192</v>
      </c>
      <c r="H8" t="s">
        <v>199</v>
      </c>
      <c r="I8" t="s">
        <v>194</v>
      </c>
      <c r="J8" s="22" t="n">
        <v>0.18</v>
      </c>
      <c r="K8" s="23" t="n">
        <v>0.05</v>
      </c>
      <c r="L8" s="24" t="n">
        <v>0.31</v>
      </c>
      <c r="M8" s="25" t="n">
        <v>0.8</v>
      </c>
      <c r="N8" s="26" t="n">
        <v>2025</v>
      </c>
      <c r="O8" s="27" t="n">
        <v>2050</v>
      </c>
      <c r="P8" s="28" t="str">
        <f>IF(OR(J8="",K8="",L8="",M8=""),"",ROUND(K8*(J8*(M8-L8)/(1-J8*L8)),4))</f>
      </c>
      <c r="Q8" s="29" t="s">
        <v>198</v>
      </c>
      <c r="R8" s="30" t="s">
        <v>195</v>
      </c>
      <c r="S8" t="s">
        <v>173</v>
      </c>
      <c r="T8" s="31" t="s">
        <v>173</v>
      </c>
      <c r="U8" s="32" t="str">
        <f>COUNTIF($B$2:$B$18,B8)</f>
      </c>
      <c r="V8" s="20" t="str">
        <f>IF(U8=1,"OK","DUPLICATE KEY")</f>
      </c>
    </row>
    <row r="9">
      <c r="A9" t="s">
        <v>200</v>
      </c>
      <c r="B9" t="s">
        <v>201</v>
      </c>
      <c r="C9" t="s">
        <v>202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s="22" t="n">
        <v>0.536</v>
      </c>
      <c r="K9" s="23" t="n">
        <v>0.8</v>
      </c>
      <c r="L9" s="24" t="n">
        <v>0.31</v>
      </c>
      <c r="M9" s="25" t="n">
        <v>0.8</v>
      </c>
      <c r="N9" s="26" t="n">
        <v>2025</v>
      </c>
      <c r="O9" s="27" t="n">
        <v>2050</v>
      </c>
      <c r="P9" s="28" t="str">
        <f>IF(OR(J9="",K9="",L9="",M9=""),"",ROUND(K9*(J9*(M9-L9)/(1-J9*L9)),4))</f>
      </c>
      <c r="Q9" s="29" t="s">
        <v>201</v>
      </c>
      <c r="R9" s="30" t="s">
        <v>195</v>
      </c>
      <c r="S9" t="s">
        <v>173</v>
      </c>
      <c r="T9" s="31" t="s">
        <v>173</v>
      </c>
      <c r="U9" s="32" t="str">
        <f>COUNTIF($B$2:$B$18,B9)</f>
      </c>
      <c r="V9" s="20" t="str">
        <f>IF(U9=1,"OK","DUPLICATE KEY")</f>
      </c>
    </row>
    <row r="10">
      <c r="A10" t="s">
        <v>200</v>
      </c>
      <c r="B10" t="s">
        <v>203</v>
      </c>
      <c r="C10" t="s">
        <v>202</v>
      </c>
      <c r="D10" t="s">
        <v>165</v>
      </c>
      <c r="E10" t="s">
        <v>166</v>
      </c>
      <c r="F10" t="s">
        <v>167</v>
      </c>
      <c r="G10" t="s">
        <v>192</v>
      </c>
      <c r="H10" t="s">
        <v>197</v>
      </c>
      <c r="I10" t="s">
        <v>194</v>
      </c>
      <c r="J10" s="22" t="n">
        <v>0.275</v>
      </c>
      <c r="K10" s="23" t="n">
        <v>0.8</v>
      </c>
      <c r="L10" s="24" t="n">
        <v>0.31</v>
      </c>
      <c r="M10" s="25" t="n">
        <v>0.8</v>
      </c>
      <c r="N10" s="26" t="n">
        <v>2025</v>
      </c>
      <c r="O10" s="27" t="n">
        <v>2050</v>
      </c>
      <c r="P10" s="28" t="str">
        <f>IF(OR(J10="",K10="",L10="",M10=""),"",ROUND(K10*(J10*(M10-L10)/(1-J10*L10)),4))</f>
      </c>
      <c r="Q10" s="29" t="s">
        <v>203</v>
      </c>
      <c r="R10" s="30" t="s">
        <v>195</v>
      </c>
      <c r="S10" t="s">
        <v>173</v>
      </c>
      <c r="T10" s="31" t="s">
        <v>173</v>
      </c>
      <c r="U10" s="32" t="str">
        <f>COUNTIF($B$2:$B$18,B10)</f>
      </c>
      <c r="V10" s="20" t="str">
        <f>IF(U10=1,"OK","DUPLICATE KEY")</f>
      </c>
    </row>
    <row r="11">
      <c r="A11" t="s">
        <v>200</v>
      </c>
      <c r="B11" t="s">
        <v>204</v>
      </c>
      <c r="C11" t="s">
        <v>202</v>
      </c>
      <c r="D11" t="s">
        <v>179</v>
      </c>
      <c r="E11" t="s">
        <v>180</v>
      </c>
      <c r="F11" t="s">
        <v>181</v>
      </c>
      <c r="G11" t="s">
        <v>192</v>
      </c>
      <c r="H11" t="s">
        <v>199</v>
      </c>
      <c r="I11" t="s">
        <v>194</v>
      </c>
      <c r="J11" s="22" t="n">
        <v>0.093</v>
      </c>
      <c r="K11" s="23" t="n">
        <v>0.2</v>
      </c>
      <c r="L11" s="24" t="n">
        <v>0.31</v>
      </c>
      <c r="M11" s="25" t="n">
        <v>0.8</v>
      </c>
      <c r="N11" s="26" t="n">
        <v>2025</v>
      </c>
      <c r="O11" s="27" t="n">
        <v>2050</v>
      </c>
      <c r="P11" s="28" t="str">
        <f>IF(OR(J11="",K11="",L11="",M11=""),"",ROUND(K11*(J11*(M11-L11)/(1-J11*L11)),4))</f>
      </c>
      <c r="Q11" s="29" t="s">
        <v>204</v>
      </c>
      <c r="R11" s="30" t="s">
        <v>195</v>
      </c>
      <c r="S11" t="s">
        <v>173</v>
      </c>
      <c r="T11" s="31" t="s">
        <v>173</v>
      </c>
      <c r="U11" s="32" t="str">
        <f>COUNTIF($B$2:$B$18,B11)</f>
      </c>
      <c r="V11" s="20" t="str">
        <f>IF(U11=1,"OK","DUPLICATE KEY")</f>
      </c>
    </row>
    <row r="12">
      <c r="A12" t="s">
        <v>205</v>
      </c>
      <c r="B12" t="s">
        <v>206</v>
      </c>
      <c r="C12" t="s">
        <v>207</v>
      </c>
      <c r="D12" t="s">
        <v>179</v>
      </c>
      <c r="E12" t="s">
        <v>180</v>
      </c>
      <c r="F12" t="s">
        <v>181</v>
      </c>
      <c r="G12" t="s">
        <v>169</v>
      </c>
      <c r="H12" t="s">
        <v>199</v>
      </c>
      <c r="I12" t="s">
        <v>194</v>
      </c>
      <c r="J12" s="22" t="n">
        <v>0.5822</v>
      </c>
      <c r="K12" s="23" t="n">
        <v>0.2</v>
      </c>
      <c r="L12" s="24" t="n">
        <v>0.31</v>
      </c>
      <c r="M12" s="25" t="n">
        <v>0.8</v>
      </c>
      <c r="N12" s="26" t="n">
        <v>2025</v>
      </c>
      <c r="O12" s="27" t="n">
        <v>2050</v>
      </c>
      <c r="P12" s="28" t="str">
        <f>IF(OR(J12="",K12="",L12="",M12=""),"",ROUND(K12*(J12*(M12-L12)/(1-J12*L12)),4))</f>
      </c>
      <c r="Q12" s="29" t="s">
        <v>206</v>
      </c>
      <c r="R12" s="30" t="s">
        <v>195</v>
      </c>
      <c r="S12" t="s">
        <v>173</v>
      </c>
      <c r="T12" s="31" t="s">
        <v>173</v>
      </c>
      <c r="U12" s="32" t="str">
        <f>COUNTIF($B$2:$B$18,B12)</f>
      </c>
      <c r="V12" s="20" t="str">
        <f>IF(U12=1,"OK","DUPLICATE KEY")</f>
      </c>
    </row>
    <row r="13">
      <c r="A13" t="s">
        <v>208</v>
      </c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169</v>
      </c>
      <c r="H13" t="s">
        <v>214</v>
      </c>
      <c r="I13" t="s">
        <v>194</v>
      </c>
      <c r="J13" s="22" t="n">
        <v>0.55</v>
      </c>
      <c r="K13" s="23" t="n">
        <v>1</v>
      </c>
      <c r="L13" s="24" t="n">
        <v>0.31</v>
      </c>
      <c r="M13" s="25" t="n">
        <v>0.8</v>
      </c>
      <c r="N13" s="26" t="n">
        <v>2025</v>
      </c>
      <c r="O13" s="27" t="n">
        <v>2050</v>
      </c>
      <c r="P13" s="28" t="str">
        <f>IF(OR(J13="",K13="",L13="",M13=""),"",ROUND(K13*(J13*(M13-L13)/(1-J13*L13)),4))</f>
      </c>
      <c r="Q13" s="29" t="s">
        <v>209</v>
      </c>
      <c r="R13" s="30" t="s">
        <v>195</v>
      </c>
      <c r="S13" t="s">
        <v>173</v>
      </c>
      <c r="T13" s="31" t="s">
        <v>173</v>
      </c>
      <c r="U13" s="32" t="str">
        <f>COUNTIF($B$2:$B$18,B13)</f>
      </c>
      <c r="V13" s="20" t="str">
        <f>IF(U13=1,"OK","DUPLICATE KEY")</f>
      </c>
    </row>
    <row r="14">
      <c r="A14" t="s">
        <v>215</v>
      </c>
      <c r="B14" t="s">
        <v>216</v>
      </c>
      <c r="C14" t="s">
        <v>217</v>
      </c>
      <c r="D14" t="s">
        <v>211</v>
      </c>
      <c r="E14" t="s">
        <v>212</v>
      </c>
      <c r="F14" t="s">
        <v>213</v>
      </c>
      <c r="G14" t="s">
        <v>218</v>
      </c>
      <c r="H14" t="s">
        <v>214</v>
      </c>
      <c r="I14" t="s">
        <v>194</v>
      </c>
      <c r="J14" s="22" t="n">
        <v>0.75</v>
      </c>
      <c r="K14" s="23" t="n">
        <v>0.09</v>
      </c>
      <c r="L14" s="24" t="n">
        <v>0.1</v>
      </c>
      <c r="M14" s="25" t="n">
        <v>0.8</v>
      </c>
      <c r="N14" s="26" t="n">
        <v>2025</v>
      </c>
      <c r="O14" s="27" t="n">
        <v>2050</v>
      </c>
      <c r="P14" s="28" t="str">
        <f>IF(OR(J14="",K14="",L14="",M14=""),"",ROUND(K14*(J14*(M14-L14)/(1-J14*L14)),4))</f>
      </c>
      <c r="Q14" s="29" t="s">
        <v>216</v>
      </c>
      <c r="R14" s="30" t="s">
        <v>195</v>
      </c>
      <c r="S14" t="s">
        <v>219</v>
      </c>
      <c r="T14" s="31" t="s">
        <v>173</v>
      </c>
      <c r="U14" s="32" t="str">
        <f>COUNTIF($B$2:$B$18,B14)</f>
      </c>
      <c r="V14" s="20" t="str">
        <f>IF(U14=1,"OK","DUPLICATE KEY")</f>
      </c>
    </row>
    <row r="15">
      <c r="A15" t="s">
        <v>220</v>
      </c>
      <c r="B15" t="s">
        <v>221</v>
      </c>
      <c r="C15" t="s">
        <v>222</v>
      </c>
      <c r="D15" t="s">
        <v>175</v>
      </c>
      <c r="E15" t="s">
        <v>176</v>
      </c>
      <c r="F15" t="s">
        <v>177</v>
      </c>
      <c r="G15" t="s">
        <v>169</v>
      </c>
      <c r="H15" t="s">
        <v>223</v>
      </c>
      <c r="I15" t="s">
        <v>194</v>
      </c>
      <c r="J15" s="22" t="n">
        <v>0.08</v>
      </c>
      <c r="K15" s="23" t="n">
        <v>0.2</v>
      </c>
      <c r="L15" s="24" t="n">
        <v>0.31</v>
      </c>
      <c r="M15" s="25" t="n">
        <v>0.8</v>
      </c>
      <c r="N15" s="26" t="n">
        <v>2025</v>
      </c>
      <c r="O15" s="27" t="n">
        <v>2050</v>
      </c>
      <c r="P15" s="28" t="str">
        <f>IF(OR(J15="",K15="",L15="",M15=""),"",ROUND(K15*(J15*(M15-L15)/(1-J15*L15)),4))</f>
      </c>
      <c r="Q15" s="29" t="s">
        <v>221</v>
      </c>
      <c r="R15" s="30" t="s">
        <v>195</v>
      </c>
      <c r="S15" t="s">
        <v>173</v>
      </c>
      <c r="T15" s="31" t="s">
        <v>173</v>
      </c>
      <c r="U15" s="32" t="str">
        <f>COUNTIF($B$2:$B$18,B15)</f>
      </c>
      <c r="V15" s="20" t="str">
        <f>IF(U15=1,"OK","DUPLICATE KEY")</f>
      </c>
    </row>
    <row r="16">
      <c r="A16" t="s">
        <v>220</v>
      </c>
      <c r="B16" t="s">
        <v>224</v>
      </c>
      <c r="C16" t="s">
        <v>222</v>
      </c>
      <c r="D16" t="s">
        <v>183</v>
      </c>
      <c r="E16" t="s">
        <v>184</v>
      </c>
      <c r="F16" t="s">
        <v>185</v>
      </c>
      <c r="G16" t="s">
        <v>169</v>
      </c>
      <c r="H16" t="s">
        <v>225</v>
      </c>
      <c r="I16" t="s">
        <v>194</v>
      </c>
      <c r="J16" s="22" t="n">
        <v>0.23</v>
      </c>
      <c r="K16" s="23" t="n">
        <v>0.2</v>
      </c>
      <c r="L16" s="24" t="n">
        <v>0.31</v>
      </c>
      <c r="M16" s="25" t="n">
        <v>0.8</v>
      </c>
      <c r="N16" s="26" t="n">
        <v>2025</v>
      </c>
      <c r="O16" s="27" t="n">
        <v>2050</v>
      </c>
      <c r="P16" s="28" t="str">
        <f>IF(OR(J16="",K16="",L16="",M16=""),"",ROUND(K16*(J16*(M16-L16)/(1-J16*L16)),4))</f>
      </c>
      <c r="Q16" s="29" t="s">
        <v>224</v>
      </c>
      <c r="R16" s="30" t="s">
        <v>195</v>
      </c>
      <c r="S16" t="s">
        <v>173</v>
      </c>
      <c r="T16" s="31" t="s">
        <v>173</v>
      </c>
      <c r="U16" s="32" t="str">
        <f>COUNTIF($B$2:$B$18,B16)</f>
      </c>
      <c r="V16" s="20" t="str">
        <f>IF(U16=1,"OK","DUPLICATE KEY")</f>
      </c>
    </row>
    <row r="17">
      <c r="A17" t="s">
        <v>226</v>
      </c>
      <c r="B17" t="s">
        <v>227</v>
      </c>
      <c r="C17" t="s">
        <v>228</v>
      </c>
      <c r="D17" t="s">
        <v>229</v>
      </c>
      <c r="E17" t="s">
        <v>230</v>
      </c>
      <c r="F17" t="s">
        <v>231</v>
      </c>
      <c r="G17" t="s">
        <v>169</v>
      </c>
      <c r="H17" t="s">
        <v>232</v>
      </c>
      <c r="I17" t="s">
        <v>194</v>
      </c>
      <c r="J17" s="22" t="n">
        <v>0.28</v>
      </c>
      <c r="K17" s="23" t="n">
        <v>1</v>
      </c>
      <c r="L17" s="24" t="n">
        <v>0.31</v>
      </c>
      <c r="M17" s="25" t="n">
        <v>0.8</v>
      </c>
      <c r="N17" s="26" t="n">
        <v>2025</v>
      </c>
      <c r="O17" s="27" t="n">
        <v>2050</v>
      </c>
      <c r="P17" s="28" t="str">
        <f>IF(OR(J17="",K17="",L17="",M17=""),"",ROUND(K17*(J17*(M17-L17)/(1-J17*L17)),4))</f>
      </c>
      <c r="Q17" s="29" t="s">
        <v>227</v>
      </c>
      <c r="R17" s="30" t="s">
        <v>195</v>
      </c>
      <c r="S17" t="s">
        <v>173</v>
      </c>
      <c r="T17" s="31" t="s">
        <v>233</v>
      </c>
      <c r="U17" s="32" t="str">
        <f>COUNTIF($B$2:$B$18,B17)</f>
      </c>
      <c r="V17" s="20" t="str">
        <f>IF(U17=1,"OK","DUPLICATE KEY")</f>
      </c>
    </row>
    <row r="18">
      <c r="A18" t="s">
        <v>226</v>
      </c>
      <c r="B18" t="s">
        <v>234</v>
      </c>
      <c r="C18" t="s">
        <v>228</v>
      </c>
      <c r="D18" t="s">
        <v>179</v>
      </c>
      <c r="E18" t="s">
        <v>180</v>
      </c>
      <c r="F18" t="s">
        <v>181</v>
      </c>
      <c r="G18" t="s">
        <v>169</v>
      </c>
      <c r="H18" t="s">
        <v>199</v>
      </c>
      <c r="I18" t="s">
        <v>194</v>
      </c>
      <c r="J18" s="22" t="n">
        <v>0.15</v>
      </c>
      <c r="K18" s="23" t="n">
        <v>0.15</v>
      </c>
      <c r="L18" s="24" t="n">
        <v>0.31</v>
      </c>
      <c r="M18" s="25" t="n">
        <v>0.8</v>
      </c>
      <c r="N18" s="26" t="n">
        <v>2025</v>
      </c>
      <c r="O18" s="27" t="n">
        <v>2050</v>
      </c>
      <c r="P18" s="28" t="str">
        <f>IF(OR(J18="",K18="",L18="",M18=""),"",ROUND(K18*(J18*(M18-L18)/(1-J18*L18)),4))</f>
      </c>
      <c r="Q18" s="29" t="s">
        <v>227</v>
      </c>
      <c r="R18" s="30" t="s">
        <v>172</v>
      </c>
      <c r="S18" t="s">
        <v>219</v>
      </c>
      <c r="T18" s="31" t="s">
        <v>233</v>
      </c>
      <c r="U18" s="32" t="str">
        <f>COUNTIF($B$2:$B$18,B18)</f>
      </c>
      <c r="V18" s="20" t="str">
        <f>IF(U18=1,"OK","DUPLICATE KEY")</f>
      </c>
    </row>
  </sheetData>
  <autoFilter ref="A1:V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7.71" hidden="0" customWidth="1"/>
    <col min="5" max="5" width="11.71" hidden="0" customWidth="1"/>
    <col min="6" max="6" width="12.71" hidden="0" customWidth="1"/>
    <col min="7" max="7" width="15.71" hidden="0" customWidth="1"/>
    <col min="8" max="8" width="12.71" hidden="0" customWidth="1"/>
    <col min="9" max="9" width="16.71" hidden="0" customWidth="1"/>
    <col min="10" max="10" width="28.71" hidden="0" customWidth="1"/>
    <col min="11" max="11" width="29.71" hidden="0" customWidth="1"/>
    <col min="12" max="12" width="20.71" hidden="0" customWidth="1"/>
    <col min="13" max="13" width="13.71" hidden="0" customWidth="1"/>
    <col min="14" max="14" width="12.71" hidden="0" customWidth="1"/>
    <col min="15" max="15" width="11.71" hidden="0" customWidth="1"/>
    <col min="16" max="16" width="15.71" hidden="0" customWidth="1"/>
    <col min="17" max="17" width="12.71" hidden="0" customWidth="1"/>
    <col min="18" max="18" width="25.71" hidden="0" customWidth="1"/>
    <col min="19" max="19" width="14.71" hidden="0" customWidth="1"/>
    <col min="20" max="20" width="12.71" hidden="0" customWidth="1"/>
    <col min="21" max="21" width="16.71" hidden="0" customWidth="1"/>
    <col min="22" max="22" width="17.71" hidden="0" customWidth="1"/>
    <col min="23" max="23" width="13.71" hidden="0" customWidth="1"/>
    <col min="24" max="24" width="12.71" hidden="0" customWidth="1"/>
  </cols>
  <sheetData>
    <row r="1" ht="28" customHeight="1">
      <c r="A1" s="1" t="s">
        <v>235</v>
      </c>
      <c r="B1" s="1" t="s">
        <v>236</v>
      </c>
      <c r="C1" s="1" t="s">
        <v>237</v>
      </c>
      <c r="D1" s="1" t="s">
        <v>140</v>
      </c>
      <c r="E1" s="1" t="s">
        <v>143</v>
      </c>
      <c r="F1" s="1" t="s">
        <v>144</v>
      </c>
      <c r="G1" s="1" t="s">
        <v>156</v>
      </c>
      <c r="H1" s="1" t="s">
        <v>157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  <c r="W1" s="1" t="s">
        <v>252</v>
      </c>
      <c r="X1" s="1" t="s">
        <v>253</v>
      </c>
    </row>
    <row r="2">
      <c r="A2" s="33" t="s">
        <v>254</v>
      </c>
      <c r="B2" s="34" t="s">
        <v>255</v>
      </c>
      <c r="C2" s="35" t="s">
        <v>256</v>
      </c>
      <c r="D2" t="s">
        <v>162</v>
      </c>
      <c r="E2" t="s">
        <v>257</v>
      </c>
      <c r="F2"/>
      <c r="G2" s="36" t="s">
        <v>171</v>
      </c>
      <c r="H2" s="37" t="s">
        <v>172</v>
      </c>
      <c r="I2" s="51" t="s">
        <v>258</v>
      </c>
      <c r="J2" s="38" t="s">
        <v>75</v>
      </c>
      <c r="K2" s="39" t="n">
        <v>0.06</v>
      </c>
      <c r="L2" s="40" t="n">
        <v>1</v>
      </c>
      <c r="M2" s="41" t="n">
        <v>30</v>
      </c>
      <c r="N2" s="42" t="n">
        <v>95</v>
      </c>
      <c r="O2" t="s">
        <v>259</v>
      </c>
      <c r="P2" s="43" t="n">
        <v>22.2296</v>
      </c>
      <c r="Q2" s="44" t="n">
        <v>2023</v>
      </c>
      <c r="R2" t="n">
        <v>1</v>
      </c>
      <c r="S2" s="45" t="str">
        <f>IFERROR(INDEX('Selected_Interventions'!$L$2:$L$18,MATCH(G2,'Selected_Interventions'!$Q$2:$Q$18,0)),"")</f>
      </c>
      <c r="T2" s="46" t="str">
        <f>IFERROR(INDEX('Selected_Interventions'!$M$2:$M$18,MATCH(G2,'Selected_Interventions'!$Q$2:$Q$18,0)),"")</f>
      </c>
      <c r="U2" s="47" t="str">
        <f>IFERROR(INDEX('Selected_Interventions'!$N$2:$N$18,MATCH(G2,'Selected_Interventions'!$Q$2:$Q$18,0)),"")</f>
      </c>
      <c r="V2" s="48" t="str">
        <f>IFERROR(INDEX('Selected_Interventions'!$O$2:$O$18,MATCH(G2,'Selected_Interventions'!$Q$2:$Q$18,0)),"")</f>
      </c>
      <c r="W2" s="49" t="s">
        <v>219</v>
      </c>
      <c r="X2" s="50" t="str">
        <f>IF(AND(P2&lt;&gt;"",P2&gt;=0,S2&lt;&gt;"",K2&lt;&gt;"",K2&gt;=0,K2&lt;=1,OR(J2="all",J2="prevalence",J2="incidence")),1,0)</f>
      </c>
    </row>
    <row r="3">
      <c r="A3" s="33" t="s">
        <v>260</v>
      </c>
      <c r="B3" s="34" t="s">
        <v>261</v>
      </c>
      <c r="C3" s="35" t="s">
        <v>256</v>
      </c>
      <c r="D3" t="s">
        <v>162</v>
      </c>
      <c r="E3" t="s">
        <v>257</v>
      </c>
      <c r="F3"/>
      <c r="G3" s="36" t="s">
        <v>171</v>
      </c>
      <c r="H3" s="37" t="s">
        <v>172</v>
      </c>
      <c r="I3" s="51" t="s">
        <v>262</v>
      </c>
      <c r="J3" s="38" t="s">
        <v>75</v>
      </c>
      <c r="K3" s="39" t="n">
        <v>0.2</v>
      </c>
      <c r="L3" s="40" t="n">
        <v>1</v>
      </c>
      <c r="M3" s="41" t="n">
        <v>30</v>
      </c>
      <c r="N3" s="42" t="n">
        <v>95</v>
      </c>
      <c r="O3" t="s">
        <v>259</v>
      </c>
      <c r="P3" s="43" t="n">
        <v>1.291584</v>
      </c>
      <c r="Q3" s="44" t="n">
        <v>2023</v>
      </c>
      <c r="R3" t="n">
        <v>1</v>
      </c>
      <c r="S3" s="45" t="str">
        <f>IFERROR(INDEX('Selected_Interventions'!$L$2:$L$18,MATCH(G3,'Selected_Interventions'!$Q$2:$Q$18,0)),"")</f>
      </c>
      <c r="T3" s="46" t="str">
        <f>IFERROR(INDEX('Selected_Interventions'!$M$2:$M$18,MATCH(G3,'Selected_Interventions'!$Q$2:$Q$18,0)),"")</f>
      </c>
      <c r="U3" s="47" t="str">
        <f>IFERROR(INDEX('Selected_Interventions'!$N$2:$N$18,MATCH(G3,'Selected_Interventions'!$Q$2:$Q$18,0)),"")</f>
      </c>
      <c r="V3" s="48" t="str">
        <f>IFERROR(INDEX('Selected_Interventions'!$O$2:$O$18,MATCH(G3,'Selected_Interventions'!$Q$2:$Q$18,0)),"")</f>
      </c>
      <c r="W3" s="49" t="s">
        <v>219</v>
      </c>
      <c r="X3" s="50" t="str">
        <f>IF(AND(P3&lt;&gt;"",P3&gt;=0,S3&lt;&gt;"",K3&lt;&gt;"",K3&gt;=0,K3&lt;=1,OR(J3="all",J3="prevalence",J3="incidence")),1,0)</f>
      </c>
    </row>
    <row r="4">
      <c r="A4" s="33" t="s">
        <v>263</v>
      </c>
      <c r="B4" s="34" t="s">
        <v>264</v>
      </c>
      <c r="C4" s="35" t="s">
        <v>265</v>
      </c>
      <c r="D4" t="s">
        <v>186</v>
      </c>
      <c r="E4" t="s">
        <v>189</v>
      </c>
      <c r="F4" t="s">
        <v>190</v>
      </c>
      <c r="G4" s="36" t="s">
        <v>187</v>
      </c>
      <c r="H4" s="37" t="s">
        <v>195</v>
      </c>
      <c r="I4" s="51" t="s">
        <v>266</v>
      </c>
      <c r="J4" s="38" t="s">
        <v>267</v>
      </c>
      <c r="K4" s="39" t="n">
        <v>0.5</v>
      </c>
      <c r="L4" s="40" t="n">
        <v>1</v>
      </c>
      <c r="M4" s="41" t="n">
        <v>30</v>
      </c>
      <c r="N4" s="42" t="n">
        <v>95</v>
      </c>
      <c r="O4" t="s">
        <v>259</v>
      </c>
      <c r="P4" s="43" t="n">
        <v>282.512836</v>
      </c>
      <c r="Q4" s="44" t="n">
        <v>2023</v>
      </c>
      <c r="R4" t="n">
        <v>1</v>
      </c>
      <c r="S4" s="45" t="str">
        <f>IFERROR(INDEX('Selected_Interventions'!$L$2:$L$18,MATCH(G4,'Selected_Interventions'!$Q$2:$Q$18,0)),"")</f>
      </c>
      <c r="T4" s="46" t="str">
        <f>IFERROR(INDEX('Selected_Interventions'!$M$2:$M$18,MATCH(G4,'Selected_Interventions'!$Q$2:$Q$18,0)),"")</f>
      </c>
      <c r="U4" s="47" t="str">
        <f>IFERROR(INDEX('Selected_Interventions'!$N$2:$N$18,MATCH(G4,'Selected_Interventions'!$Q$2:$Q$18,0)),"")</f>
      </c>
      <c r="V4" s="48" t="str">
        <f>IFERROR(INDEX('Selected_Interventions'!$O$2:$O$18,MATCH(G4,'Selected_Interventions'!$Q$2:$Q$18,0)),"")</f>
      </c>
      <c r="W4" s="49" t="s">
        <v>173</v>
      </c>
      <c r="X4" s="50" t="str">
        <f>IF(AND(P4&lt;&gt;"",P4&gt;=0,S4&lt;&gt;"",K4&lt;&gt;"",K4&gt;=0,K4&lt;=1,OR(J4="all",J4="prevalence",J4="incidence")),1,0)</f>
      </c>
    </row>
    <row r="5">
      <c r="A5" s="33" t="s">
        <v>268</v>
      </c>
      <c r="B5" s="34" t="s">
        <v>269</v>
      </c>
      <c r="C5" s="35" t="s">
        <v>265</v>
      </c>
      <c r="D5" t="s">
        <v>186</v>
      </c>
      <c r="E5" t="s">
        <v>165</v>
      </c>
      <c r="F5" t="s">
        <v>166</v>
      </c>
      <c r="G5" s="36" t="s">
        <v>196</v>
      </c>
      <c r="H5" s="37" t="s">
        <v>195</v>
      </c>
      <c r="I5" s="51" t="s">
        <v>266</v>
      </c>
      <c r="J5" s="38" t="s">
        <v>267</v>
      </c>
      <c r="K5" s="39" t="n">
        <v>0.5</v>
      </c>
      <c r="L5" s="40" t="n">
        <v>1</v>
      </c>
      <c r="M5" s="41" t="n">
        <v>30</v>
      </c>
      <c r="N5" s="42" t="n">
        <v>95</v>
      </c>
      <c r="O5" t="s">
        <v>259</v>
      </c>
      <c r="P5" s="43" t="n">
        <v>282.512836</v>
      </c>
      <c r="Q5" s="44" t="n">
        <v>2023</v>
      </c>
      <c r="R5" t="n">
        <v>1</v>
      </c>
      <c r="S5" s="45" t="str">
        <f>IFERROR(INDEX('Selected_Interventions'!$L$2:$L$18,MATCH(G5,'Selected_Interventions'!$Q$2:$Q$18,0)),"")</f>
      </c>
      <c r="T5" s="46" t="str">
        <f>IFERROR(INDEX('Selected_Interventions'!$M$2:$M$18,MATCH(G5,'Selected_Interventions'!$Q$2:$Q$18,0)),"")</f>
      </c>
      <c r="U5" s="47" t="str">
        <f>IFERROR(INDEX('Selected_Interventions'!$N$2:$N$18,MATCH(G5,'Selected_Interventions'!$Q$2:$Q$18,0)),"")</f>
      </c>
      <c r="V5" s="48" t="str">
        <f>IFERROR(INDEX('Selected_Interventions'!$O$2:$O$18,MATCH(G5,'Selected_Interventions'!$Q$2:$Q$18,0)),"")</f>
      </c>
      <c r="W5" s="49" t="s">
        <v>173</v>
      </c>
      <c r="X5" s="50" t="str">
        <f>IF(AND(P5&lt;&gt;"",P5&gt;=0,S5&lt;&gt;"",K5&lt;&gt;"",K5&gt;=0,K5&lt;=1,OR(J5="all",J5="prevalence",J5="incidence")),1,0)</f>
      </c>
    </row>
    <row r="6">
      <c r="A6" s="33" t="s">
        <v>270</v>
      </c>
      <c r="B6" s="34" t="s">
        <v>271</v>
      </c>
      <c r="C6" s="35" t="s">
        <v>265</v>
      </c>
      <c r="D6" t="s">
        <v>186</v>
      </c>
      <c r="E6" t="s">
        <v>179</v>
      </c>
      <c r="F6" t="s">
        <v>180</v>
      </c>
      <c r="G6" s="36" t="s">
        <v>198</v>
      </c>
      <c r="H6" s="37" t="s">
        <v>195</v>
      </c>
      <c r="I6" s="51" t="s">
        <v>266</v>
      </c>
      <c r="J6" s="38" t="s">
        <v>267</v>
      </c>
      <c r="K6" s="39" t="n">
        <v>0.1</v>
      </c>
      <c r="L6" s="40" t="n">
        <v>1</v>
      </c>
      <c r="M6" s="41" t="n">
        <v>30</v>
      </c>
      <c r="N6" s="42" t="n">
        <v>95</v>
      </c>
      <c r="O6" t="s">
        <v>259</v>
      </c>
      <c r="P6" s="43" t="n">
        <v>282.512836</v>
      </c>
      <c r="Q6" s="44" t="n">
        <v>2023</v>
      </c>
      <c r="R6" t="n">
        <v>1</v>
      </c>
      <c r="S6" s="45" t="str">
        <f>IFERROR(INDEX('Selected_Interventions'!$L$2:$L$18,MATCH(G6,'Selected_Interventions'!$Q$2:$Q$18,0)),"")</f>
      </c>
      <c r="T6" s="46" t="str">
        <f>IFERROR(INDEX('Selected_Interventions'!$M$2:$M$18,MATCH(G6,'Selected_Interventions'!$Q$2:$Q$18,0)),"")</f>
      </c>
      <c r="U6" s="47" t="str">
        <f>IFERROR(INDEX('Selected_Interventions'!$N$2:$N$18,MATCH(G6,'Selected_Interventions'!$Q$2:$Q$18,0)),"")</f>
      </c>
      <c r="V6" s="48" t="str">
        <f>IFERROR(INDEX('Selected_Interventions'!$O$2:$O$18,MATCH(G6,'Selected_Interventions'!$Q$2:$Q$18,0)),"")</f>
      </c>
      <c r="W6" s="49" t="s">
        <v>173</v>
      </c>
      <c r="X6" s="50" t="str">
        <f>IF(AND(P6&lt;&gt;"",P6&gt;=0,S6&lt;&gt;"",K6&lt;&gt;"",K6&gt;=0,K6&lt;=1,OR(J6="all",J6="prevalence",J6="incidence")),1,0)</f>
      </c>
    </row>
    <row r="7">
      <c r="A7" s="33" t="s">
        <v>272</v>
      </c>
      <c r="B7" s="34" t="s">
        <v>273</v>
      </c>
      <c r="C7" s="35" t="s">
        <v>265</v>
      </c>
      <c r="D7" t="s">
        <v>200</v>
      </c>
      <c r="E7" t="s">
        <v>189</v>
      </c>
      <c r="F7" t="s">
        <v>190</v>
      </c>
      <c r="G7" s="36" t="s">
        <v>201</v>
      </c>
      <c r="H7" s="37" t="s">
        <v>195</v>
      </c>
      <c r="I7" s="51" t="s">
        <v>274</v>
      </c>
      <c r="J7" s="38" t="s">
        <v>267</v>
      </c>
      <c r="K7" s="39" t="n">
        <v>1</v>
      </c>
      <c r="L7" s="40" t="n">
        <v>1</v>
      </c>
      <c r="M7" s="41" t="n">
        <v>0</v>
      </c>
      <c r="N7" s="42" t="n">
        <v>95</v>
      </c>
      <c r="O7" t="s">
        <v>259</v>
      </c>
      <c r="P7" s="43" t="n">
        <v>5.133311</v>
      </c>
      <c r="Q7" s="44" t="n">
        <v>2023</v>
      </c>
      <c r="R7" t="n">
        <v>1</v>
      </c>
      <c r="S7" s="45" t="str">
        <f>IFERROR(INDEX('Selected_Interventions'!$L$2:$L$18,MATCH(G7,'Selected_Interventions'!$Q$2:$Q$18,0)),"")</f>
      </c>
      <c r="T7" s="46" t="str">
        <f>IFERROR(INDEX('Selected_Interventions'!$M$2:$M$18,MATCH(G7,'Selected_Interventions'!$Q$2:$Q$18,0)),"")</f>
      </c>
      <c r="U7" s="47" t="str">
        <f>IFERROR(INDEX('Selected_Interventions'!$N$2:$N$18,MATCH(G7,'Selected_Interventions'!$Q$2:$Q$18,0)),"")</f>
      </c>
      <c r="V7" s="48" t="str">
        <f>IFERROR(INDEX('Selected_Interventions'!$O$2:$O$18,MATCH(G7,'Selected_Interventions'!$Q$2:$Q$18,0)),"")</f>
      </c>
      <c r="W7" s="49" t="s">
        <v>173</v>
      </c>
      <c r="X7" s="50" t="str">
        <f>IF(AND(P7&lt;&gt;"",P7&gt;=0,S7&lt;&gt;"",K7&lt;&gt;"",K7&gt;=0,K7&lt;=1,OR(J7="all",J7="prevalence",J7="incidence")),1,0)</f>
      </c>
    </row>
    <row r="8">
      <c r="A8" s="33" t="s">
        <v>275</v>
      </c>
      <c r="B8" s="34" t="s">
        <v>276</v>
      </c>
      <c r="C8" s="35" t="s">
        <v>256</v>
      </c>
      <c r="D8" t="s">
        <v>200</v>
      </c>
      <c r="E8" t="s">
        <v>189</v>
      </c>
      <c r="F8" t="s">
        <v>190</v>
      </c>
      <c r="G8" s="36" t="s">
        <v>201</v>
      </c>
      <c r="H8" s="37" t="s">
        <v>195</v>
      </c>
      <c r="I8" s="51" t="s">
        <v>277</v>
      </c>
      <c r="J8" s="38" t="s">
        <v>267</v>
      </c>
      <c r="K8" s="39" t="n">
        <v>1</v>
      </c>
      <c r="L8" s="40" t="n">
        <v>1</v>
      </c>
      <c r="M8" s="41" t="n">
        <v>0</v>
      </c>
      <c r="N8" s="42" t="n">
        <v>95</v>
      </c>
      <c r="O8" t="s">
        <v>259</v>
      </c>
      <c r="P8" s="43" t="n">
        <v>35.362649</v>
      </c>
      <c r="Q8" s="44" t="n">
        <v>2023</v>
      </c>
      <c r="R8" t="n">
        <v>1</v>
      </c>
      <c r="S8" s="45" t="str">
        <f>IFERROR(INDEX('Selected_Interventions'!$L$2:$L$18,MATCH(G8,'Selected_Interventions'!$Q$2:$Q$18,0)),"")</f>
      </c>
      <c r="T8" s="46" t="str">
        <f>IFERROR(INDEX('Selected_Interventions'!$M$2:$M$18,MATCH(G8,'Selected_Interventions'!$Q$2:$Q$18,0)),"")</f>
      </c>
      <c r="U8" s="47" t="str">
        <f>IFERROR(INDEX('Selected_Interventions'!$N$2:$N$18,MATCH(G8,'Selected_Interventions'!$Q$2:$Q$18,0)),"")</f>
      </c>
      <c r="V8" s="48" t="str">
        <f>IFERROR(INDEX('Selected_Interventions'!$O$2:$O$18,MATCH(G8,'Selected_Interventions'!$Q$2:$Q$18,0)),"")</f>
      </c>
      <c r="W8" s="49" t="s">
        <v>219</v>
      </c>
      <c r="X8" s="50" t="str">
        <f>IF(AND(P8&lt;&gt;"",P8&gt;=0,S8&lt;&gt;"",K8&lt;&gt;"",K8&gt;=0,K8&lt;=1,OR(J8="all",J8="prevalence",J8="incidence")),1,0)</f>
      </c>
    </row>
    <row r="9">
      <c r="A9" s="33" t="s">
        <v>278</v>
      </c>
      <c r="B9" s="34" t="s">
        <v>279</v>
      </c>
      <c r="C9" s="35" t="s">
        <v>265</v>
      </c>
      <c r="D9" t="s">
        <v>200</v>
      </c>
      <c r="E9" t="s">
        <v>189</v>
      </c>
      <c r="F9" t="s">
        <v>190</v>
      </c>
      <c r="G9" s="36" t="s">
        <v>201</v>
      </c>
      <c r="H9" s="37" t="s">
        <v>195</v>
      </c>
      <c r="I9" s="51" t="s">
        <v>280</v>
      </c>
      <c r="J9" s="38" t="s">
        <v>267</v>
      </c>
      <c r="K9" s="39" t="n">
        <v>1</v>
      </c>
      <c r="L9" s="40" t="n">
        <v>1</v>
      </c>
      <c r="M9" s="41" t="n">
        <v>0</v>
      </c>
      <c r="N9" s="42" t="n">
        <v>95</v>
      </c>
      <c r="O9" t="s">
        <v>259</v>
      </c>
      <c r="P9" s="43" t="n">
        <v>115.106231</v>
      </c>
      <c r="Q9" s="44" t="n">
        <v>2023</v>
      </c>
      <c r="R9" t="n">
        <v>1</v>
      </c>
      <c r="S9" s="45" t="str">
        <f>IFERROR(INDEX('Selected_Interventions'!$L$2:$L$18,MATCH(G9,'Selected_Interventions'!$Q$2:$Q$18,0)),"")</f>
      </c>
      <c r="T9" s="46" t="str">
        <f>IFERROR(INDEX('Selected_Interventions'!$M$2:$M$18,MATCH(G9,'Selected_Interventions'!$Q$2:$Q$18,0)),"")</f>
      </c>
      <c r="U9" s="47" t="str">
        <f>IFERROR(INDEX('Selected_Interventions'!$N$2:$N$18,MATCH(G9,'Selected_Interventions'!$Q$2:$Q$18,0)),"")</f>
      </c>
      <c r="V9" s="48" t="str">
        <f>IFERROR(INDEX('Selected_Interventions'!$O$2:$O$18,MATCH(G9,'Selected_Interventions'!$Q$2:$Q$18,0)),"")</f>
      </c>
      <c r="W9" s="49" t="s">
        <v>173</v>
      </c>
      <c r="X9" s="50" t="str">
        <f>IF(AND(P9&lt;&gt;"",P9&gt;=0,S9&lt;&gt;"",K9&lt;&gt;"",K9&gt;=0,K9&lt;=1,OR(J9="all",J9="prevalence",J9="incidence")),1,0)</f>
      </c>
    </row>
    <row r="10">
      <c r="A10" s="33" t="s">
        <v>281</v>
      </c>
      <c r="B10" s="34" t="s">
        <v>282</v>
      </c>
      <c r="C10" s="35" t="s">
        <v>265</v>
      </c>
      <c r="D10" t="s">
        <v>200</v>
      </c>
      <c r="E10" t="s">
        <v>165</v>
      </c>
      <c r="F10" t="s">
        <v>166</v>
      </c>
      <c r="G10" s="36" t="s">
        <v>203</v>
      </c>
      <c r="H10" s="37" t="s">
        <v>195</v>
      </c>
      <c r="I10" s="51" t="s">
        <v>274</v>
      </c>
      <c r="J10" s="38" t="s">
        <v>267</v>
      </c>
      <c r="K10" s="39" t="n">
        <v>1</v>
      </c>
      <c r="L10" s="40" t="n">
        <v>1</v>
      </c>
      <c r="M10" s="41" t="n">
        <v>30</v>
      </c>
      <c r="N10" s="42" t="n">
        <v>95</v>
      </c>
      <c r="O10" t="s">
        <v>259</v>
      </c>
      <c r="P10" s="43" t="n">
        <v>5.133311</v>
      </c>
      <c r="Q10" s="44" t="n">
        <v>2023</v>
      </c>
      <c r="R10" t="n">
        <v>1</v>
      </c>
      <c r="S10" s="45" t="str">
        <f>IFERROR(INDEX('Selected_Interventions'!$L$2:$L$18,MATCH(G10,'Selected_Interventions'!$Q$2:$Q$18,0)),"")</f>
      </c>
      <c r="T10" s="46" t="str">
        <f>IFERROR(INDEX('Selected_Interventions'!$M$2:$M$18,MATCH(G10,'Selected_Interventions'!$Q$2:$Q$18,0)),"")</f>
      </c>
      <c r="U10" s="47" t="str">
        <f>IFERROR(INDEX('Selected_Interventions'!$N$2:$N$18,MATCH(G10,'Selected_Interventions'!$Q$2:$Q$18,0)),"")</f>
      </c>
      <c r="V10" s="48" t="str">
        <f>IFERROR(INDEX('Selected_Interventions'!$O$2:$O$18,MATCH(G10,'Selected_Interventions'!$Q$2:$Q$18,0)),"")</f>
      </c>
      <c r="W10" s="49" t="s">
        <v>173</v>
      </c>
      <c r="X10" s="50" t="str">
        <f>IF(AND(P10&lt;&gt;"",P10&gt;=0,S10&lt;&gt;"",K10&lt;&gt;"",K10&gt;=0,K10&lt;=1,OR(J10="all",J10="prevalence",J10="incidence")),1,0)</f>
      </c>
    </row>
    <row r="11">
      <c r="A11" s="33" t="s">
        <v>283</v>
      </c>
      <c r="B11" s="34" t="s">
        <v>284</v>
      </c>
      <c r="C11" s="35" t="s">
        <v>256</v>
      </c>
      <c r="D11" t="s">
        <v>200</v>
      </c>
      <c r="E11" t="s">
        <v>165</v>
      </c>
      <c r="F11" t="s">
        <v>166</v>
      </c>
      <c r="G11" s="36" t="s">
        <v>203</v>
      </c>
      <c r="H11" s="37" t="s">
        <v>195</v>
      </c>
      <c r="I11" s="51" t="s">
        <v>277</v>
      </c>
      <c r="J11" s="38" t="s">
        <v>267</v>
      </c>
      <c r="K11" s="39" t="n">
        <v>1</v>
      </c>
      <c r="L11" s="40" t="n">
        <v>1</v>
      </c>
      <c r="M11" s="41" t="n">
        <v>30</v>
      </c>
      <c r="N11" s="42" t="n">
        <v>95</v>
      </c>
      <c r="O11" t="s">
        <v>259</v>
      </c>
      <c r="P11" s="43" t="n">
        <v>35.362649</v>
      </c>
      <c r="Q11" s="44" t="n">
        <v>2023</v>
      </c>
      <c r="R11" t="n">
        <v>1</v>
      </c>
      <c r="S11" s="45" t="str">
        <f>IFERROR(INDEX('Selected_Interventions'!$L$2:$L$18,MATCH(G11,'Selected_Interventions'!$Q$2:$Q$18,0)),"")</f>
      </c>
      <c r="T11" s="46" t="str">
        <f>IFERROR(INDEX('Selected_Interventions'!$M$2:$M$18,MATCH(G11,'Selected_Interventions'!$Q$2:$Q$18,0)),"")</f>
      </c>
      <c r="U11" s="47" t="str">
        <f>IFERROR(INDEX('Selected_Interventions'!$N$2:$N$18,MATCH(G11,'Selected_Interventions'!$Q$2:$Q$18,0)),"")</f>
      </c>
      <c r="V11" s="48" t="str">
        <f>IFERROR(INDEX('Selected_Interventions'!$O$2:$O$18,MATCH(G11,'Selected_Interventions'!$Q$2:$Q$18,0)),"")</f>
      </c>
      <c r="W11" s="49" t="s">
        <v>219</v>
      </c>
      <c r="X11" s="50" t="str">
        <f>IF(AND(P11&lt;&gt;"",P11&gt;=0,S11&lt;&gt;"",K11&lt;&gt;"",K11&gt;=0,K11&lt;=1,OR(J11="all",J11="prevalence",J11="incidence")),1,0)</f>
      </c>
    </row>
    <row r="12">
      <c r="A12" s="33" t="s">
        <v>285</v>
      </c>
      <c r="B12" s="34" t="s">
        <v>286</v>
      </c>
      <c r="C12" s="35" t="s">
        <v>265</v>
      </c>
      <c r="D12" t="s">
        <v>200</v>
      </c>
      <c r="E12" t="s">
        <v>165</v>
      </c>
      <c r="F12" t="s">
        <v>166</v>
      </c>
      <c r="G12" s="36" t="s">
        <v>203</v>
      </c>
      <c r="H12" s="37" t="s">
        <v>195</v>
      </c>
      <c r="I12" s="51" t="s">
        <v>280</v>
      </c>
      <c r="J12" s="38" t="s">
        <v>267</v>
      </c>
      <c r="K12" s="39" t="n">
        <v>1</v>
      </c>
      <c r="L12" s="40" t="n">
        <v>1</v>
      </c>
      <c r="M12" s="41" t="n">
        <v>0</v>
      </c>
      <c r="N12" s="42" t="n">
        <v>95</v>
      </c>
      <c r="O12" t="s">
        <v>259</v>
      </c>
      <c r="P12" s="43" t="n">
        <v>115.106231</v>
      </c>
      <c r="Q12" s="44" t="n">
        <v>2023</v>
      </c>
      <c r="R12" t="n">
        <v>1</v>
      </c>
      <c r="S12" s="45" t="str">
        <f>IFERROR(INDEX('Selected_Interventions'!$L$2:$L$18,MATCH(G12,'Selected_Interventions'!$Q$2:$Q$18,0)),"")</f>
      </c>
      <c r="T12" s="46" t="str">
        <f>IFERROR(INDEX('Selected_Interventions'!$M$2:$M$18,MATCH(G12,'Selected_Interventions'!$Q$2:$Q$18,0)),"")</f>
      </c>
      <c r="U12" s="47" t="str">
        <f>IFERROR(INDEX('Selected_Interventions'!$N$2:$N$18,MATCH(G12,'Selected_Interventions'!$Q$2:$Q$18,0)),"")</f>
      </c>
      <c r="V12" s="48" t="str">
        <f>IFERROR(INDEX('Selected_Interventions'!$O$2:$O$18,MATCH(G12,'Selected_Interventions'!$Q$2:$Q$18,0)),"")</f>
      </c>
      <c r="W12" s="49" t="s">
        <v>173</v>
      </c>
      <c r="X12" s="50" t="str">
        <f>IF(AND(P12&lt;&gt;"",P12&gt;=0,S12&lt;&gt;"",K12&lt;&gt;"",K12&gt;=0,K12&lt;=1,OR(J12="all",J12="prevalence",J12="incidence")),1,0)</f>
      </c>
    </row>
    <row r="13">
      <c r="A13" s="33" t="s">
        <v>287</v>
      </c>
      <c r="B13" s="34" t="s">
        <v>288</v>
      </c>
      <c r="C13" s="35" t="s">
        <v>265</v>
      </c>
      <c r="D13" t="s">
        <v>200</v>
      </c>
      <c r="E13" t="s">
        <v>179</v>
      </c>
      <c r="F13" t="s">
        <v>180</v>
      </c>
      <c r="G13" s="36" t="s">
        <v>204</v>
      </c>
      <c r="H13" s="37" t="s">
        <v>195</v>
      </c>
      <c r="I13" s="51" t="s">
        <v>274</v>
      </c>
      <c r="J13" s="38" t="s">
        <v>267</v>
      </c>
      <c r="K13" s="39" t="n">
        <v>0.2</v>
      </c>
      <c r="L13" s="40" t="n">
        <v>1</v>
      </c>
      <c r="M13" s="41" t="n">
        <v>30</v>
      </c>
      <c r="N13" s="42" t="n">
        <v>95</v>
      </c>
      <c r="O13" t="s">
        <v>259</v>
      </c>
      <c r="P13" s="43" t="n">
        <v>5.133311</v>
      </c>
      <c r="Q13" s="44" t="n">
        <v>2023</v>
      </c>
      <c r="R13" t="n">
        <v>1</v>
      </c>
      <c r="S13" s="45" t="str">
        <f>IFERROR(INDEX('Selected_Interventions'!$L$2:$L$18,MATCH(G13,'Selected_Interventions'!$Q$2:$Q$18,0)),"")</f>
      </c>
      <c r="T13" s="46" t="str">
        <f>IFERROR(INDEX('Selected_Interventions'!$M$2:$M$18,MATCH(G13,'Selected_Interventions'!$Q$2:$Q$18,0)),"")</f>
      </c>
      <c r="U13" s="47" t="str">
        <f>IFERROR(INDEX('Selected_Interventions'!$N$2:$N$18,MATCH(G13,'Selected_Interventions'!$Q$2:$Q$18,0)),"")</f>
      </c>
      <c r="V13" s="48" t="str">
        <f>IFERROR(INDEX('Selected_Interventions'!$O$2:$O$18,MATCH(G13,'Selected_Interventions'!$Q$2:$Q$18,0)),"")</f>
      </c>
      <c r="W13" s="49" t="s">
        <v>173</v>
      </c>
      <c r="X13" s="50" t="str">
        <f>IF(AND(P13&lt;&gt;"",P13&gt;=0,S13&lt;&gt;"",K13&lt;&gt;"",K13&gt;=0,K13&lt;=1,OR(J13="all",J13="prevalence",J13="incidence")),1,0)</f>
      </c>
    </row>
    <row r="14">
      <c r="A14" s="33" t="s">
        <v>289</v>
      </c>
      <c r="B14" s="34" t="s">
        <v>290</v>
      </c>
      <c r="C14" s="35" t="s">
        <v>291</v>
      </c>
      <c r="D14" t="s">
        <v>200</v>
      </c>
      <c r="E14" t="s">
        <v>179</v>
      </c>
      <c r="F14" t="s">
        <v>180</v>
      </c>
      <c r="G14" s="36" t="s">
        <v>204</v>
      </c>
      <c r="H14" s="37" t="s">
        <v>195</v>
      </c>
      <c r="I14" s="51" t="s">
        <v>277</v>
      </c>
      <c r="J14" s="38" t="s">
        <v>267</v>
      </c>
      <c r="K14" s="39" t="n">
        <v>0.2</v>
      </c>
      <c r="L14" s="40" t="n">
        <v>1</v>
      </c>
      <c r="M14" s="41" t="n">
        <v>30</v>
      </c>
      <c r="N14" s="42" t="n">
        <v>95</v>
      </c>
      <c r="O14" t="s">
        <v>259</v>
      </c>
      <c r="P14" s="43" t="n">
        <v>7</v>
      </c>
      <c r="Q14" s="44" t="n">
        <v>2023</v>
      </c>
      <c r="R14" t="n">
        <v>1</v>
      </c>
      <c r="S14" s="45" t="str">
        <f>IFERROR(INDEX('Selected_Interventions'!$L$2:$L$18,MATCH(G14,'Selected_Interventions'!$Q$2:$Q$18,0)),"")</f>
      </c>
      <c r="T14" s="46" t="str">
        <f>IFERROR(INDEX('Selected_Interventions'!$M$2:$M$18,MATCH(G14,'Selected_Interventions'!$Q$2:$Q$18,0)),"")</f>
      </c>
      <c r="U14" s="47" t="str">
        <f>IFERROR(INDEX('Selected_Interventions'!$N$2:$N$18,MATCH(G14,'Selected_Interventions'!$Q$2:$Q$18,0)),"")</f>
      </c>
      <c r="V14" s="48" t="str">
        <f>IFERROR(INDEX('Selected_Interventions'!$O$2:$O$18,MATCH(G14,'Selected_Interventions'!$Q$2:$Q$18,0)),"")</f>
      </c>
      <c r="W14" s="49" t="s">
        <v>233</v>
      </c>
      <c r="X14" s="50" t="str">
        <f>IF(AND(P14&lt;&gt;"",P14&gt;=0,S14&lt;&gt;"",K14&lt;&gt;"",K14&gt;=0,K14&lt;=1,OR(J14="all",J14="prevalence",J14="incidence")),1,0)</f>
      </c>
    </row>
    <row r="15">
      <c r="A15" s="33" t="s">
        <v>292</v>
      </c>
      <c r="B15" s="34" t="s">
        <v>293</v>
      </c>
      <c r="C15" s="35" t="s">
        <v>265</v>
      </c>
      <c r="D15" t="s">
        <v>200</v>
      </c>
      <c r="E15" t="s">
        <v>179</v>
      </c>
      <c r="F15" t="s">
        <v>180</v>
      </c>
      <c r="G15" s="36" t="s">
        <v>204</v>
      </c>
      <c r="H15" s="37" t="s">
        <v>195</v>
      </c>
      <c r="I15" s="51" t="s">
        <v>280</v>
      </c>
      <c r="J15" s="38" t="s">
        <v>267</v>
      </c>
      <c r="K15" s="39" t="n">
        <v>0.2</v>
      </c>
      <c r="L15" s="40" t="n">
        <v>1</v>
      </c>
      <c r="M15" s="41" t="n">
        <v>30</v>
      </c>
      <c r="N15" s="42" t="n">
        <v>95</v>
      </c>
      <c r="O15" t="s">
        <v>259</v>
      </c>
      <c r="P15" s="43" t="n">
        <v>29.216219</v>
      </c>
      <c r="Q15" s="44" t="n">
        <v>2023</v>
      </c>
      <c r="R15" t="n">
        <v>1</v>
      </c>
      <c r="S15" s="45" t="str">
        <f>IFERROR(INDEX('Selected_Interventions'!$L$2:$L$18,MATCH(G15,'Selected_Interventions'!$Q$2:$Q$18,0)),"")</f>
      </c>
      <c r="T15" s="46" t="str">
        <f>IFERROR(INDEX('Selected_Interventions'!$M$2:$M$18,MATCH(G15,'Selected_Interventions'!$Q$2:$Q$18,0)),"")</f>
      </c>
      <c r="U15" s="47" t="str">
        <f>IFERROR(INDEX('Selected_Interventions'!$N$2:$N$18,MATCH(G15,'Selected_Interventions'!$Q$2:$Q$18,0)),"")</f>
      </c>
      <c r="V15" s="48" t="str">
        <f>IFERROR(INDEX('Selected_Interventions'!$O$2:$O$18,MATCH(G15,'Selected_Interventions'!$Q$2:$Q$18,0)),"")</f>
      </c>
      <c r="W15" s="49" t="s">
        <v>173</v>
      </c>
      <c r="X15" s="50" t="str">
        <f>IF(AND(P15&lt;&gt;"",P15&gt;=0,S15&lt;&gt;"",K15&lt;&gt;"",K15&gt;=0,K15&lt;=1,OR(J15="all",J15="prevalence",J15="incidence")),1,0)</f>
      </c>
    </row>
    <row r="16">
      <c r="A16" s="33" t="s">
        <v>294</v>
      </c>
      <c r="B16" s="34" t="s">
        <v>295</v>
      </c>
      <c r="C16" s="35" t="s">
        <v>256</v>
      </c>
      <c r="D16" t="s">
        <v>205</v>
      </c>
      <c r="E16" t="s">
        <v>179</v>
      </c>
      <c r="F16" t="s">
        <v>180</v>
      </c>
      <c r="G16" s="36" t="s">
        <v>206</v>
      </c>
      <c r="H16" s="37" t="s">
        <v>195</v>
      </c>
      <c r="I16" s="51" t="s">
        <v>296</v>
      </c>
      <c r="J16" s="38" t="s">
        <v>170</v>
      </c>
      <c r="K16" s="39" t="n">
        <v>0.52</v>
      </c>
      <c r="L16" s="40" t="n">
        <v>1</v>
      </c>
      <c r="M16" s="41" t="n">
        <v>0</v>
      </c>
      <c r="N16" s="42" t="n">
        <v>95</v>
      </c>
      <c r="O16" t="s">
        <v>259</v>
      </c>
      <c r="P16" s="43" t="n">
        <v>35.362649</v>
      </c>
      <c r="Q16" s="44" t="n">
        <v>2023</v>
      </c>
      <c r="R16" t="n">
        <v>1</v>
      </c>
      <c r="S16" s="45" t="str">
        <f>IFERROR(INDEX('Selected_Interventions'!$L$2:$L$18,MATCH(G16,'Selected_Interventions'!$Q$2:$Q$18,0)),"")</f>
      </c>
      <c r="T16" s="46" t="str">
        <f>IFERROR(INDEX('Selected_Interventions'!$M$2:$M$18,MATCH(G16,'Selected_Interventions'!$Q$2:$Q$18,0)),"")</f>
      </c>
      <c r="U16" s="47" t="str">
        <f>IFERROR(INDEX('Selected_Interventions'!$N$2:$N$18,MATCH(G16,'Selected_Interventions'!$Q$2:$Q$18,0)),"")</f>
      </c>
      <c r="V16" s="48" t="str">
        <f>IFERROR(INDEX('Selected_Interventions'!$O$2:$O$18,MATCH(G16,'Selected_Interventions'!$Q$2:$Q$18,0)),"")</f>
      </c>
      <c r="W16" s="49" t="s">
        <v>219</v>
      </c>
      <c r="X16" s="50" t="str">
        <f>IF(AND(P16&lt;&gt;"",P16&gt;=0,S16&lt;&gt;"",K16&lt;&gt;"",K16&gt;=0,K16&lt;=1,OR(J16="all",J16="prevalence",J16="incidence")),1,0)</f>
      </c>
    </row>
    <row r="17">
      <c r="A17" s="33" t="s">
        <v>297</v>
      </c>
      <c r="B17" s="34" t="s">
        <v>298</v>
      </c>
      <c r="C17" s="35" t="s">
        <v>265</v>
      </c>
      <c r="D17" t="s">
        <v>205</v>
      </c>
      <c r="E17" t="s">
        <v>179</v>
      </c>
      <c r="F17" t="s">
        <v>180</v>
      </c>
      <c r="G17" s="36" t="s">
        <v>206</v>
      </c>
      <c r="H17" s="37" t="s">
        <v>195</v>
      </c>
      <c r="I17" s="51" t="s">
        <v>299</v>
      </c>
      <c r="J17" s="38" t="s">
        <v>267</v>
      </c>
      <c r="K17" s="39" t="n">
        <v>1</v>
      </c>
      <c r="L17" s="40" t="n">
        <v>1</v>
      </c>
      <c r="M17" s="41" t="n">
        <v>0</v>
      </c>
      <c r="N17" s="42" t="n">
        <v>95</v>
      </c>
      <c r="O17" t="s">
        <v>259</v>
      </c>
      <c r="P17" s="43" t="n">
        <v>119.721487</v>
      </c>
      <c r="Q17" s="44" t="n">
        <v>2023</v>
      </c>
      <c r="R17" t="n">
        <v>1</v>
      </c>
      <c r="S17" s="45" t="str">
        <f>IFERROR(INDEX('Selected_Interventions'!$L$2:$L$18,MATCH(G17,'Selected_Interventions'!$Q$2:$Q$18,0)),"")</f>
      </c>
      <c r="T17" s="46" t="str">
        <f>IFERROR(INDEX('Selected_Interventions'!$M$2:$M$18,MATCH(G17,'Selected_Interventions'!$Q$2:$Q$18,0)),"")</f>
      </c>
      <c r="U17" s="47" t="str">
        <f>IFERROR(INDEX('Selected_Interventions'!$N$2:$N$18,MATCH(G17,'Selected_Interventions'!$Q$2:$Q$18,0)),"")</f>
      </c>
      <c r="V17" s="48" t="str">
        <f>IFERROR(INDEX('Selected_Interventions'!$O$2:$O$18,MATCH(G17,'Selected_Interventions'!$Q$2:$Q$18,0)),"")</f>
      </c>
      <c r="W17" s="49" t="s">
        <v>173</v>
      </c>
      <c r="X17" s="50" t="str">
        <f>IF(AND(P17&lt;&gt;"",P17&gt;=0,S17&lt;&gt;"",K17&lt;&gt;"",K17&gt;=0,K17&lt;=1,OR(J17="all",J17="prevalence",J17="incidence")),1,0)</f>
      </c>
    </row>
    <row r="18">
      <c r="A18" s="33" t="s">
        <v>300</v>
      </c>
      <c r="B18" s="34" t="s">
        <v>301</v>
      </c>
      <c r="C18" s="35" t="s">
        <v>265</v>
      </c>
      <c r="D18" t="s">
        <v>205</v>
      </c>
      <c r="E18" t="s">
        <v>179</v>
      </c>
      <c r="F18" t="s">
        <v>180</v>
      </c>
      <c r="G18" s="36" t="s">
        <v>206</v>
      </c>
      <c r="H18" s="37" t="s">
        <v>195</v>
      </c>
      <c r="I18" s="51" t="s">
        <v>302</v>
      </c>
      <c r="J18" s="38" t="s">
        <v>267</v>
      </c>
      <c r="K18" s="39" t="n">
        <v>1</v>
      </c>
      <c r="L18" s="40" t="n">
        <v>1</v>
      </c>
      <c r="M18" s="41" t="n">
        <v>0</v>
      </c>
      <c r="N18" s="42" t="n">
        <v>95</v>
      </c>
      <c r="O18" t="s">
        <v>259</v>
      </c>
      <c r="P18" s="43" t="n">
        <v>36.463998</v>
      </c>
      <c r="Q18" s="44" t="n">
        <v>2023</v>
      </c>
      <c r="R18" t="n">
        <v>1</v>
      </c>
      <c r="S18" s="45" t="str">
        <f>IFERROR(INDEX('Selected_Interventions'!$L$2:$L$18,MATCH(G18,'Selected_Interventions'!$Q$2:$Q$18,0)),"")</f>
      </c>
      <c r="T18" s="46" t="str">
        <f>IFERROR(INDEX('Selected_Interventions'!$M$2:$M$18,MATCH(G18,'Selected_Interventions'!$Q$2:$Q$18,0)),"")</f>
      </c>
      <c r="U18" s="47" t="str">
        <f>IFERROR(INDEX('Selected_Interventions'!$N$2:$N$18,MATCH(G18,'Selected_Interventions'!$Q$2:$Q$18,0)),"")</f>
      </c>
      <c r="V18" s="48" t="str">
        <f>IFERROR(INDEX('Selected_Interventions'!$O$2:$O$18,MATCH(G18,'Selected_Interventions'!$Q$2:$Q$18,0)),"")</f>
      </c>
      <c r="W18" s="49" t="s">
        <v>173</v>
      </c>
      <c r="X18" s="50" t="str">
        <f>IF(AND(P18&lt;&gt;"",P18&gt;=0,S18&lt;&gt;"",K18&lt;&gt;"",K18&gt;=0,K18&lt;=1,OR(J18="all",J18="prevalence",J18="incidence")),1,0)</f>
      </c>
    </row>
    <row r="19">
      <c r="A19" s="33" t="s">
        <v>303</v>
      </c>
      <c r="B19" s="34" t="s">
        <v>304</v>
      </c>
      <c r="C19" s="35" t="s">
        <v>265</v>
      </c>
      <c r="D19" t="s">
        <v>208</v>
      </c>
      <c r="E19" t="s">
        <v>211</v>
      </c>
      <c r="F19" t="s">
        <v>212</v>
      </c>
      <c r="G19" s="36" t="s">
        <v>209</v>
      </c>
      <c r="H19" s="37" t="s">
        <v>195</v>
      </c>
      <c r="I19" s="51" t="s">
        <v>305</v>
      </c>
      <c r="J19" s="38" t="s">
        <v>267</v>
      </c>
      <c r="K19" s="39" t="n">
        <v>1</v>
      </c>
      <c r="L19" s="40" t="n">
        <v>1</v>
      </c>
      <c r="M19" s="41" t="n">
        <v>5</v>
      </c>
      <c r="N19" s="42" t="n">
        <v>39</v>
      </c>
      <c r="O19" t="s">
        <v>259</v>
      </c>
      <c r="P19" s="43" t="n">
        <v>50.857354</v>
      </c>
      <c r="Q19" s="44" t="n">
        <v>2023</v>
      </c>
      <c r="R19" t="n">
        <v>1</v>
      </c>
      <c r="S19" s="45" t="str">
        <f>IFERROR(INDEX('Selected_Interventions'!$L$2:$L$18,MATCH(G19,'Selected_Interventions'!$Q$2:$Q$18,0)),"")</f>
      </c>
      <c r="T19" s="46" t="str">
        <f>IFERROR(INDEX('Selected_Interventions'!$M$2:$M$18,MATCH(G19,'Selected_Interventions'!$Q$2:$Q$18,0)),"")</f>
      </c>
      <c r="U19" s="47" t="str">
        <f>IFERROR(INDEX('Selected_Interventions'!$N$2:$N$18,MATCH(G19,'Selected_Interventions'!$Q$2:$Q$18,0)),"")</f>
      </c>
      <c r="V19" s="48" t="str">
        <f>IFERROR(INDEX('Selected_Interventions'!$O$2:$O$18,MATCH(G19,'Selected_Interventions'!$Q$2:$Q$18,0)),"")</f>
      </c>
      <c r="W19" s="49" t="s">
        <v>173</v>
      </c>
      <c r="X19" s="50" t="str">
        <f>IF(AND(P19&lt;&gt;"",P19&gt;=0,S19&lt;&gt;"",K19&lt;&gt;"",K19&gt;=0,K19&lt;=1,OR(J19="all",J19="prevalence",J19="incidence")),1,0)</f>
      </c>
    </row>
    <row r="20">
      <c r="A20" s="33" t="s">
        <v>306</v>
      </c>
      <c r="B20" s="34" t="s">
        <v>307</v>
      </c>
      <c r="C20" s="35" t="s">
        <v>265</v>
      </c>
      <c r="D20" t="s">
        <v>215</v>
      </c>
      <c r="E20" t="s">
        <v>211</v>
      </c>
      <c r="F20" t="s">
        <v>212</v>
      </c>
      <c r="G20" s="36" t="s">
        <v>216</v>
      </c>
      <c r="H20" s="37" t="s">
        <v>195</v>
      </c>
      <c r="I20" s="51" t="s">
        <v>308</v>
      </c>
      <c r="J20" s="38" t="s">
        <v>267</v>
      </c>
      <c r="K20" s="39" t="n">
        <v>1</v>
      </c>
      <c r="L20" s="40" t="n">
        <v>1</v>
      </c>
      <c r="M20" s="41" t="n">
        <v>5</v>
      </c>
      <c r="N20" s="42" t="n">
        <v>40</v>
      </c>
      <c r="O20" t="s">
        <v>259</v>
      </c>
      <c r="P20" s="43" t="n">
        <v>12488.38616</v>
      </c>
      <c r="Q20" s="44" t="n">
        <v>2023</v>
      </c>
      <c r="R20" t="n">
        <v>1</v>
      </c>
      <c r="S20" s="45" t="str">
        <f>IFERROR(INDEX('Selected_Interventions'!$L$2:$L$18,MATCH(G20,'Selected_Interventions'!$Q$2:$Q$18,0)),"")</f>
      </c>
      <c r="T20" s="46" t="str">
        <f>IFERROR(INDEX('Selected_Interventions'!$M$2:$M$18,MATCH(G20,'Selected_Interventions'!$Q$2:$Q$18,0)),"")</f>
      </c>
      <c r="U20" s="47" t="str">
        <f>IFERROR(INDEX('Selected_Interventions'!$N$2:$N$18,MATCH(G20,'Selected_Interventions'!$Q$2:$Q$18,0)),"")</f>
      </c>
      <c r="V20" s="48" t="str">
        <f>IFERROR(INDEX('Selected_Interventions'!$O$2:$O$18,MATCH(G20,'Selected_Interventions'!$Q$2:$Q$18,0)),"")</f>
      </c>
      <c r="W20" s="49" t="s">
        <v>219</v>
      </c>
      <c r="X20" s="50" t="str">
        <f>IF(AND(P20&lt;&gt;"",P20&gt;=0,S20&lt;&gt;"",K20&lt;&gt;"",K20&gt;=0,K20&lt;=1,OR(J20="all",J20="prevalence",J20="incidence")),1,0)</f>
      </c>
    </row>
    <row r="21">
      <c r="A21" s="33" t="s">
        <v>309</v>
      </c>
      <c r="B21" s="34" t="s">
        <v>310</v>
      </c>
      <c r="C21" s="35" t="s">
        <v>256</v>
      </c>
      <c r="D21" t="s">
        <v>220</v>
      </c>
      <c r="E21" t="s">
        <v>175</v>
      </c>
      <c r="F21" t="s">
        <v>176</v>
      </c>
      <c r="G21" s="36" t="s">
        <v>221</v>
      </c>
      <c r="H21" s="37" t="s">
        <v>195</v>
      </c>
      <c r="I21" s="51" t="s">
        <v>296</v>
      </c>
      <c r="J21" s="38" t="s">
        <v>170</v>
      </c>
      <c r="K21" s="39" t="n">
        <v>0.52</v>
      </c>
      <c r="L21" s="40" t="n">
        <v>1</v>
      </c>
      <c r="M21" s="41" t="n">
        <v>30</v>
      </c>
      <c r="N21" s="42" t="n">
        <v>95</v>
      </c>
      <c r="O21" t="s">
        <v>259</v>
      </c>
      <c r="P21" s="43" t="n">
        <v>550.948289</v>
      </c>
      <c r="Q21" s="44" t="n">
        <v>2023</v>
      </c>
      <c r="R21" t="n">
        <v>1</v>
      </c>
      <c r="S21" s="45" t="str">
        <f>IFERROR(INDEX('Selected_Interventions'!$L$2:$L$18,MATCH(G21,'Selected_Interventions'!$Q$2:$Q$18,0)),"")</f>
      </c>
      <c r="T21" s="46" t="str">
        <f>IFERROR(INDEX('Selected_Interventions'!$M$2:$M$18,MATCH(G21,'Selected_Interventions'!$Q$2:$Q$18,0)),"")</f>
      </c>
      <c r="U21" s="47" t="str">
        <f>IFERROR(INDEX('Selected_Interventions'!$N$2:$N$18,MATCH(G21,'Selected_Interventions'!$Q$2:$Q$18,0)),"")</f>
      </c>
      <c r="V21" s="48" t="str">
        <f>IFERROR(INDEX('Selected_Interventions'!$O$2:$O$18,MATCH(G21,'Selected_Interventions'!$Q$2:$Q$18,0)),"")</f>
      </c>
      <c r="W21" s="49" t="s">
        <v>219</v>
      </c>
      <c r="X21" s="50" t="str">
        <f>IF(AND(P21&lt;&gt;"",P21&gt;=0,S21&lt;&gt;"",K21&lt;&gt;"",K21&gt;=0,K21&lt;=1,OR(J21="all",J21="prevalence",J21="incidence")),1,0)</f>
      </c>
    </row>
    <row r="22">
      <c r="A22" s="33" t="s">
        <v>311</v>
      </c>
      <c r="B22" s="34" t="s">
        <v>312</v>
      </c>
      <c r="C22" s="35" t="s">
        <v>256</v>
      </c>
      <c r="D22" t="s">
        <v>220</v>
      </c>
      <c r="E22" t="s">
        <v>175</v>
      </c>
      <c r="F22" t="s">
        <v>176</v>
      </c>
      <c r="G22" s="36" t="s">
        <v>221</v>
      </c>
      <c r="H22" s="37" t="s">
        <v>195</v>
      </c>
      <c r="I22" s="51" t="s">
        <v>277</v>
      </c>
      <c r="J22" s="38" t="s">
        <v>267</v>
      </c>
      <c r="K22" s="39" t="n">
        <v>0.5</v>
      </c>
      <c r="L22" s="40" t="n">
        <v>1</v>
      </c>
      <c r="M22" s="41" t="n">
        <v>30</v>
      </c>
      <c r="N22" s="42" t="n">
        <v>95</v>
      </c>
      <c r="O22" t="s">
        <v>259</v>
      </c>
      <c r="P22" s="43" t="n">
        <v>35.362649</v>
      </c>
      <c r="Q22" s="44" t="n">
        <v>2023</v>
      </c>
      <c r="R22" t="n">
        <v>1</v>
      </c>
      <c r="S22" s="45" t="str">
        <f>IFERROR(INDEX('Selected_Interventions'!$L$2:$L$18,MATCH(G22,'Selected_Interventions'!$Q$2:$Q$18,0)),"")</f>
      </c>
      <c r="T22" s="46" t="str">
        <f>IFERROR(INDEX('Selected_Interventions'!$M$2:$M$18,MATCH(G22,'Selected_Interventions'!$Q$2:$Q$18,0)),"")</f>
      </c>
      <c r="U22" s="47" t="str">
        <f>IFERROR(INDEX('Selected_Interventions'!$N$2:$N$18,MATCH(G22,'Selected_Interventions'!$Q$2:$Q$18,0)),"")</f>
      </c>
      <c r="V22" s="48" t="str">
        <f>IFERROR(INDEX('Selected_Interventions'!$O$2:$O$18,MATCH(G22,'Selected_Interventions'!$Q$2:$Q$18,0)),"")</f>
      </c>
      <c r="W22" s="49" t="s">
        <v>219</v>
      </c>
      <c r="X22" s="50" t="str">
        <f>IF(AND(P22&lt;&gt;"",P22&gt;=0,S22&lt;&gt;"",K22&lt;&gt;"",K22&gt;=0,K22&lt;=1,OR(J22="all",J22="prevalence",J22="incidence")),1,0)</f>
      </c>
    </row>
    <row r="23">
      <c r="A23" s="33" t="s">
        <v>313</v>
      </c>
      <c r="B23" s="34" t="s">
        <v>314</v>
      </c>
      <c r="C23" s="35" t="s">
        <v>265</v>
      </c>
      <c r="D23" t="s">
        <v>220</v>
      </c>
      <c r="E23" t="s">
        <v>175</v>
      </c>
      <c r="F23" t="s">
        <v>176</v>
      </c>
      <c r="G23" s="36" t="s">
        <v>221</v>
      </c>
      <c r="H23" s="37" t="s">
        <v>195</v>
      </c>
      <c r="I23" s="51" t="s">
        <v>315</v>
      </c>
      <c r="J23" s="38" t="s">
        <v>267</v>
      </c>
      <c r="K23" s="39" t="n">
        <v>0.5</v>
      </c>
      <c r="L23" s="40" t="n">
        <v>1</v>
      </c>
      <c r="M23" s="41" t="n">
        <v>30</v>
      </c>
      <c r="N23" s="42" t="n">
        <v>95</v>
      </c>
      <c r="O23" t="s">
        <v>259</v>
      </c>
      <c r="P23" s="43" t="n">
        <v>119.721487</v>
      </c>
      <c r="Q23" s="44" t="n">
        <v>2023</v>
      </c>
      <c r="R23" t="n">
        <v>1</v>
      </c>
      <c r="S23" s="45" t="str">
        <f>IFERROR(INDEX('Selected_Interventions'!$L$2:$L$18,MATCH(G23,'Selected_Interventions'!$Q$2:$Q$18,0)),"")</f>
      </c>
      <c r="T23" s="46" t="str">
        <f>IFERROR(INDEX('Selected_Interventions'!$M$2:$M$18,MATCH(G23,'Selected_Interventions'!$Q$2:$Q$18,0)),"")</f>
      </c>
      <c r="U23" s="47" t="str">
        <f>IFERROR(INDEX('Selected_Interventions'!$N$2:$N$18,MATCH(G23,'Selected_Interventions'!$Q$2:$Q$18,0)),"")</f>
      </c>
      <c r="V23" s="48" t="str">
        <f>IFERROR(INDEX('Selected_Interventions'!$O$2:$O$18,MATCH(G23,'Selected_Interventions'!$Q$2:$Q$18,0)),"")</f>
      </c>
      <c r="W23" s="49" t="s">
        <v>173</v>
      </c>
      <c r="X23" s="50" t="str">
        <f>IF(AND(P23&lt;&gt;"",P23&gt;=0,S23&lt;&gt;"",K23&lt;&gt;"",K23&gt;=0,K23&lt;=1,OR(J23="all",J23="prevalence",J23="incidence")),1,0)</f>
      </c>
    </row>
    <row r="24">
      <c r="A24" s="33" t="s">
        <v>316</v>
      </c>
      <c r="B24" s="34" t="s">
        <v>317</v>
      </c>
      <c r="C24" s="35" t="s">
        <v>265</v>
      </c>
      <c r="D24" t="s">
        <v>220</v>
      </c>
      <c r="E24" t="s">
        <v>183</v>
      </c>
      <c r="F24" t="s">
        <v>184</v>
      </c>
      <c r="G24" s="36" t="s">
        <v>224</v>
      </c>
      <c r="H24" s="37" t="s">
        <v>195</v>
      </c>
      <c r="I24" s="51" t="s">
        <v>296</v>
      </c>
      <c r="J24" s="38" t="s">
        <v>170</v>
      </c>
      <c r="K24" s="39" t="n">
        <v>0.52</v>
      </c>
      <c r="L24" s="40" t="n">
        <v>1</v>
      </c>
      <c r="M24" s="41" t="n">
        <v>30</v>
      </c>
      <c r="N24" s="42" t="n">
        <v>95</v>
      </c>
      <c r="O24" t="s">
        <v>259</v>
      </c>
      <c r="P24" s="43" t="n">
        <v>186.479792</v>
      </c>
      <c r="Q24" s="44" t="n">
        <v>2023</v>
      </c>
      <c r="R24" t="n">
        <v>1</v>
      </c>
      <c r="S24" s="45" t="str">
        <f>IFERROR(INDEX('Selected_Interventions'!$L$2:$L$18,MATCH(G24,'Selected_Interventions'!$Q$2:$Q$18,0)),"")</f>
      </c>
      <c r="T24" s="46" t="str">
        <f>IFERROR(INDEX('Selected_Interventions'!$M$2:$M$18,MATCH(G24,'Selected_Interventions'!$Q$2:$Q$18,0)),"")</f>
      </c>
      <c r="U24" s="47" t="str">
        <f>IFERROR(INDEX('Selected_Interventions'!$N$2:$N$18,MATCH(G24,'Selected_Interventions'!$Q$2:$Q$18,0)),"")</f>
      </c>
      <c r="V24" s="48" t="str">
        <f>IFERROR(INDEX('Selected_Interventions'!$O$2:$O$18,MATCH(G24,'Selected_Interventions'!$Q$2:$Q$18,0)),"")</f>
      </c>
      <c r="W24" s="49" t="s">
        <v>173</v>
      </c>
      <c r="X24" s="50" t="str">
        <f>IF(AND(P24&lt;&gt;"",P24&gt;=0,S24&lt;&gt;"",K24&lt;&gt;"",K24&gt;=0,K24&lt;=1,OR(J24="all",J24="prevalence",J24="incidence")),1,0)</f>
      </c>
    </row>
    <row r="25">
      <c r="A25" s="33" t="s">
        <v>318</v>
      </c>
      <c r="B25" s="34" t="s">
        <v>319</v>
      </c>
      <c r="C25" s="35" t="s">
        <v>256</v>
      </c>
      <c r="D25" t="s">
        <v>220</v>
      </c>
      <c r="E25" t="s">
        <v>183</v>
      </c>
      <c r="F25" t="s">
        <v>184</v>
      </c>
      <c r="G25" s="36" t="s">
        <v>224</v>
      </c>
      <c r="H25" s="37" t="s">
        <v>195</v>
      </c>
      <c r="I25" s="51" t="s">
        <v>277</v>
      </c>
      <c r="J25" s="38" t="s">
        <v>267</v>
      </c>
      <c r="K25" s="39" t="n">
        <v>0.5</v>
      </c>
      <c r="L25" s="40" t="n">
        <v>1</v>
      </c>
      <c r="M25" s="41" t="n">
        <v>30</v>
      </c>
      <c r="N25" s="42" t="n">
        <v>95</v>
      </c>
      <c r="O25" t="s">
        <v>259</v>
      </c>
      <c r="P25" s="43" t="n">
        <v>35.362649</v>
      </c>
      <c r="Q25" s="44" t="n">
        <v>2023</v>
      </c>
      <c r="R25" t="n">
        <v>1</v>
      </c>
      <c r="S25" s="45" t="str">
        <f>IFERROR(INDEX('Selected_Interventions'!$L$2:$L$18,MATCH(G25,'Selected_Interventions'!$Q$2:$Q$18,0)),"")</f>
      </c>
      <c r="T25" s="46" t="str">
        <f>IFERROR(INDEX('Selected_Interventions'!$M$2:$M$18,MATCH(G25,'Selected_Interventions'!$Q$2:$Q$18,0)),"")</f>
      </c>
      <c r="U25" s="47" t="str">
        <f>IFERROR(INDEX('Selected_Interventions'!$N$2:$N$18,MATCH(G25,'Selected_Interventions'!$Q$2:$Q$18,0)),"")</f>
      </c>
      <c r="V25" s="48" t="str">
        <f>IFERROR(INDEX('Selected_Interventions'!$O$2:$O$18,MATCH(G25,'Selected_Interventions'!$Q$2:$Q$18,0)),"")</f>
      </c>
      <c r="W25" s="49" t="s">
        <v>219</v>
      </c>
      <c r="X25" s="50" t="str">
        <f>IF(AND(P25&lt;&gt;"",P25&gt;=0,S25&lt;&gt;"",K25&lt;&gt;"",K25&gt;=0,K25&lt;=1,OR(J25="all",J25="prevalence",J25="incidence")),1,0)</f>
      </c>
    </row>
    <row r="26">
      <c r="A26" s="33" t="s">
        <v>320</v>
      </c>
      <c r="B26" s="34" t="s">
        <v>321</v>
      </c>
      <c r="C26" s="35" t="s">
        <v>265</v>
      </c>
      <c r="D26" t="s">
        <v>220</v>
      </c>
      <c r="E26" t="s">
        <v>183</v>
      </c>
      <c r="F26" t="s">
        <v>184</v>
      </c>
      <c r="G26" s="36" t="s">
        <v>224</v>
      </c>
      <c r="H26" s="37" t="s">
        <v>195</v>
      </c>
      <c r="I26" s="51" t="s">
        <v>315</v>
      </c>
      <c r="J26" s="38" t="s">
        <v>267</v>
      </c>
      <c r="K26" s="39" t="n">
        <v>0.5</v>
      </c>
      <c r="L26" s="40" t="n">
        <v>1</v>
      </c>
      <c r="M26" s="41" t="n">
        <v>30</v>
      </c>
      <c r="N26" s="42" t="n">
        <v>95</v>
      </c>
      <c r="O26" t="s">
        <v>259</v>
      </c>
      <c r="P26" s="43" t="n">
        <v>119.721487</v>
      </c>
      <c r="Q26" s="44" t="n">
        <v>2023</v>
      </c>
      <c r="R26" t="n">
        <v>1</v>
      </c>
      <c r="S26" s="45" t="str">
        <f>IFERROR(INDEX('Selected_Interventions'!$L$2:$L$18,MATCH(G26,'Selected_Interventions'!$Q$2:$Q$18,0)),"")</f>
      </c>
      <c r="T26" s="46" t="str">
        <f>IFERROR(INDEX('Selected_Interventions'!$M$2:$M$18,MATCH(G26,'Selected_Interventions'!$Q$2:$Q$18,0)),"")</f>
      </c>
      <c r="U26" s="47" t="str">
        <f>IFERROR(INDEX('Selected_Interventions'!$N$2:$N$18,MATCH(G26,'Selected_Interventions'!$Q$2:$Q$18,0)),"")</f>
      </c>
      <c r="V26" s="48" t="str">
        <f>IFERROR(INDEX('Selected_Interventions'!$O$2:$O$18,MATCH(G26,'Selected_Interventions'!$Q$2:$Q$18,0)),"")</f>
      </c>
      <c r="W26" s="49" t="s">
        <v>173</v>
      </c>
      <c r="X26" s="50" t="str">
        <f>IF(AND(P26&lt;&gt;"",P26&gt;=0,S26&lt;&gt;"",K26&lt;&gt;"",K26&gt;=0,K26&lt;=1,OR(J26="all",J26="prevalence",J26="incidence")),1,0)</f>
      </c>
    </row>
    <row r="27">
      <c r="A27" s="33" t="s">
        <v>322</v>
      </c>
      <c r="B27" s="34" t="s">
        <v>323</v>
      </c>
      <c r="C27" s="35" t="s">
        <v>265</v>
      </c>
      <c r="D27" t="s">
        <v>226</v>
      </c>
      <c r="E27" t="s">
        <v>229</v>
      </c>
      <c r="F27" t="s">
        <v>230</v>
      </c>
      <c r="G27" s="36" t="s">
        <v>227</v>
      </c>
      <c r="H27" s="37" t="s">
        <v>195</v>
      </c>
      <c r="I27" s="51" t="s">
        <v>324</v>
      </c>
      <c r="J27" s="38" t="s">
        <v>267</v>
      </c>
      <c r="K27" s="39" t="n">
        <v>0.8</v>
      </c>
      <c r="L27" s="40" t="n">
        <v>1</v>
      </c>
      <c r="M27" s="41" t="n">
        <v>0</v>
      </c>
      <c r="N27" s="42" t="n">
        <v>95</v>
      </c>
      <c r="O27" t="s">
        <v>259</v>
      </c>
      <c r="P27" s="43" t="n">
        <v>176.67</v>
      </c>
      <c r="Q27" s="44" t="n">
        <v>2014</v>
      </c>
      <c r="R27" t="n">
        <v>0</v>
      </c>
      <c r="S27" s="45" t="str">
        <f>IFERROR(INDEX('Selected_Interventions'!$L$2:$L$18,MATCH(G27,'Selected_Interventions'!$Q$2:$Q$18,0)),"")</f>
      </c>
      <c r="T27" s="46" t="str">
        <f>IFERROR(INDEX('Selected_Interventions'!$M$2:$M$18,MATCH(G27,'Selected_Interventions'!$Q$2:$Q$18,0)),"")</f>
      </c>
      <c r="U27" s="47" t="str">
        <f>IFERROR(INDEX('Selected_Interventions'!$N$2:$N$18,MATCH(G27,'Selected_Interventions'!$Q$2:$Q$18,0)),"")</f>
      </c>
      <c r="V27" s="48" t="str">
        <f>IFERROR(INDEX('Selected_Interventions'!$O$2:$O$18,MATCH(G27,'Selected_Interventions'!$Q$2:$Q$18,0)),"")</f>
      </c>
      <c r="W27" s="49" t="s">
        <v>219</v>
      </c>
      <c r="X27" s="50" t="str">
        <f>IF(AND(P27&lt;&gt;"",P27&gt;=0,S27&lt;&gt;"",K27&lt;&gt;"",K27&gt;=0,K27&lt;=1,OR(J27="all",J27="prevalence",J27="incidence")),1,0)</f>
      </c>
    </row>
  </sheetData>
  <autoFilter ref="A1:X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11.71" hidden="0" customWidth="1"/>
    <col min="5" max="5" width="11.71" hidden="0" customWidth="1"/>
    <col min="6" max="6" width="14.71" hidden="0" customWidth="1"/>
    <col min="7" max="7" width="13.71" hidden="0" customWidth="1"/>
    <col min="8" max="8" width="16.71" hidden="0" customWidth="1"/>
    <col min="9" max="9" width="12.71" hidden="0" customWidth="1"/>
    <col min="10" max="10" width="15.71" hidden="0" customWidth="1"/>
  </cols>
  <sheetData>
    <row r="1" ht="28" customHeight="1">
      <c r="A1" s="1" t="s">
        <v>325</v>
      </c>
      <c r="B1" s="1" t="s">
        <v>326</v>
      </c>
      <c r="C1" s="1" t="s">
        <v>25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</row>
    <row r="2">
      <c r="A2" t="s">
        <v>162</v>
      </c>
      <c r="B2" t="s">
        <v>164</v>
      </c>
      <c r="C2" s="52" t="n">
        <v>2025</v>
      </c>
      <c r="D2" t="s">
        <v>190</v>
      </c>
      <c r="E2" s="53" t="n">
        <v>12176.1707137429</v>
      </c>
      <c r="F2" s="54" t="n">
        <v>8959.2701472679</v>
      </c>
      <c r="G2" s="55" t="n">
        <v>8959.2701472679</v>
      </c>
      <c r="H2" s="56" t="str">
        <f>G2-F2</f>
      </c>
      <c r="I2" s="57" t="n">
        <v>12176.1707137429</v>
      </c>
      <c r="J2" s="58" t="str">
        <f>I2-E2</f>
      </c>
    </row>
    <row r="3">
      <c r="A3" t="s">
        <v>162</v>
      </c>
      <c r="B3" t="s">
        <v>164</v>
      </c>
      <c r="C3" s="52" t="n">
        <v>2025</v>
      </c>
      <c r="D3" t="s">
        <v>230</v>
      </c>
      <c r="E3" s="53" t="n">
        <v>1026758.5711338</v>
      </c>
      <c r="F3" s="54" t="n">
        <v>129383.323210315</v>
      </c>
      <c r="G3" s="55" t="n">
        <v>129383.323210315</v>
      </c>
      <c r="H3" s="56" t="str">
        <f>G3-F3</f>
      </c>
      <c r="I3" s="57" t="n">
        <v>1026758.5711338</v>
      </c>
      <c r="J3" s="58" t="str">
        <f>I3-E3</f>
      </c>
    </row>
    <row r="4">
      <c r="A4" t="s">
        <v>162</v>
      </c>
      <c r="B4" t="s">
        <v>164</v>
      </c>
      <c r="C4" s="52" t="n">
        <v>2025</v>
      </c>
      <c r="D4" t="s">
        <v>166</v>
      </c>
      <c r="E4" s="53" t="n">
        <v>114347.210486515</v>
      </c>
      <c r="F4" s="54" t="n">
        <v>67656.5589894958</v>
      </c>
      <c r="G4" s="55" t="n">
        <v>67656.5589894958</v>
      </c>
      <c r="H4" s="56" t="str">
        <f>G4-F4</f>
      </c>
      <c r="I4" s="57" t="n">
        <v>115291.159865467</v>
      </c>
      <c r="J4" s="58" t="str">
        <f>I4-E4</f>
      </c>
    </row>
    <row r="5">
      <c r="A5" t="s">
        <v>162</v>
      </c>
      <c r="B5" t="s">
        <v>164</v>
      </c>
      <c r="C5" s="52" t="n">
        <v>2025</v>
      </c>
      <c r="D5" t="s">
        <v>176</v>
      </c>
      <c r="E5" s="53" t="n">
        <v>279608.742410368</v>
      </c>
      <c r="F5" s="54" t="n">
        <v>263295.70058044</v>
      </c>
      <c r="G5" s="55" t="n">
        <v>263295.70058044</v>
      </c>
      <c r="H5" s="56" t="str">
        <f>G5-F5</f>
      </c>
      <c r="I5" s="57" t="n">
        <v>281662.55341658</v>
      </c>
      <c r="J5" s="58" t="str">
        <f>I5-E5</f>
      </c>
    </row>
    <row r="6">
      <c r="A6" t="s">
        <v>162</v>
      </c>
      <c r="B6" t="s">
        <v>164</v>
      </c>
      <c r="C6" s="52" t="n">
        <v>2025</v>
      </c>
      <c r="D6" t="s">
        <v>180</v>
      </c>
      <c r="E6" s="53" t="n">
        <v>606792.129929831</v>
      </c>
      <c r="F6" s="54" t="n">
        <v>335724.869793767</v>
      </c>
      <c r="G6" s="55" t="n">
        <v>335724.869793767</v>
      </c>
      <c r="H6" s="56" t="str">
        <f>G6-F6</f>
      </c>
      <c r="I6" s="57" t="n">
        <v>612171.634776233</v>
      </c>
      <c r="J6" s="58" t="str">
        <f>I6-E6</f>
      </c>
    </row>
    <row r="7">
      <c r="A7" t="s">
        <v>162</v>
      </c>
      <c r="B7" t="s">
        <v>164</v>
      </c>
      <c r="C7" s="52" t="n">
        <v>2025</v>
      </c>
      <c r="D7" t="s">
        <v>184</v>
      </c>
      <c r="E7" s="53" t="n">
        <v>337040.928069389</v>
      </c>
      <c r="F7" s="54" t="n">
        <v>190841.880003208</v>
      </c>
      <c r="G7" s="55" t="n">
        <v>190841.880003208</v>
      </c>
      <c r="H7" s="56" t="str">
        <f>G7-F7</f>
      </c>
      <c r="I7" s="57" t="n">
        <v>339642.130126733</v>
      </c>
      <c r="J7" s="58" t="str">
        <f>I7-E7</f>
      </c>
    </row>
    <row r="8">
      <c r="A8" t="s">
        <v>162</v>
      </c>
      <c r="B8" t="s">
        <v>164</v>
      </c>
      <c r="C8" s="52" t="n">
        <v>2025</v>
      </c>
      <c r="D8" t="s">
        <v>212</v>
      </c>
      <c r="E8" s="53" t="n">
        <v>39660.8365474078</v>
      </c>
      <c r="F8" s="54" t="n">
        <v>5303.42230174402</v>
      </c>
      <c r="G8" s="55" t="n">
        <v>5303.42230174402</v>
      </c>
      <c r="H8" s="56" t="str">
        <f>G8-F8</f>
      </c>
      <c r="I8" s="57" t="n">
        <v>39660.8365474078</v>
      </c>
      <c r="J8" s="58" t="str">
        <f>I8-E8</f>
      </c>
    </row>
    <row r="9">
      <c r="A9" t="s">
        <v>162</v>
      </c>
      <c r="B9" t="s">
        <v>164</v>
      </c>
      <c r="C9" s="52" t="n">
        <v>2026</v>
      </c>
      <c r="D9" t="s">
        <v>190</v>
      </c>
      <c r="E9" s="53" t="n">
        <v>12568.9386470114</v>
      </c>
      <c r="F9" s="54" t="n">
        <v>9271.1333627081</v>
      </c>
      <c r="G9" s="55" t="n">
        <v>9271.1333627081</v>
      </c>
      <c r="H9" s="56" t="str">
        <f>G9-F9</f>
      </c>
      <c r="I9" s="57" t="n">
        <v>12568.9386470114</v>
      </c>
      <c r="J9" s="58" t="str">
        <f>I9-E9</f>
      </c>
    </row>
    <row r="10">
      <c r="A10" t="s">
        <v>162</v>
      </c>
      <c r="B10" t="s">
        <v>164</v>
      </c>
      <c r="C10" s="52" t="n">
        <v>2026</v>
      </c>
      <c r="D10" t="s">
        <v>230</v>
      </c>
      <c r="E10" s="53" t="n">
        <v>1042135.18581351</v>
      </c>
      <c r="F10" s="54" t="n">
        <v>137145.828958788</v>
      </c>
      <c r="G10" s="55" t="n">
        <v>137145.828958788</v>
      </c>
      <c r="H10" s="56" t="str">
        <f>G10-F10</f>
      </c>
      <c r="I10" s="57" t="n">
        <v>1042135.18581351</v>
      </c>
      <c r="J10" s="58" t="str">
        <f>I10-E10</f>
      </c>
    </row>
    <row r="11">
      <c r="A11" t="s">
        <v>162</v>
      </c>
      <c r="B11" t="s">
        <v>164</v>
      </c>
      <c r="C11" s="52" t="n">
        <v>2026</v>
      </c>
      <c r="D11" t="s">
        <v>166</v>
      </c>
      <c r="E11" s="53" t="n">
        <v>112796.492236587</v>
      </c>
      <c r="F11" s="54" t="n">
        <v>70191.0131622237</v>
      </c>
      <c r="G11" s="55" t="n">
        <v>70326.6034535198</v>
      </c>
      <c r="H11" s="56" t="str">
        <f>G11-F11</f>
      </c>
      <c r="I11" s="57" t="n">
        <v>114707.986926294</v>
      </c>
      <c r="J11" s="58" t="str">
        <f>I11-E11</f>
      </c>
    </row>
    <row r="12">
      <c r="A12" t="s">
        <v>162</v>
      </c>
      <c r="B12" t="s">
        <v>164</v>
      </c>
      <c r="C12" s="52" t="n">
        <v>2026</v>
      </c>
      <c r="D12" t="s">
        <v>176</v>
      </c>
      <c r="E12" s="53" t="n">
        <v>278609.316512903</v>
      </c>
      <c r="F12" s="54" t="n">
        <v>258660.039153561</v>
      </c>
      <c r="G12" s="55" t="n">
        <v>259504.468011332</v>
      </c>
      <c r="H12" s="56" t="str">
        <f>G12-F12</f>
      </c>
      <c r="I12" s="57" t="n">
        <v>282722.537860884</v>
      </c>
      <c r="J12" s="58" t="str">
        <f>I12-E12</f>
      </c>
    </row>
    <row r="13">
      <c r="A13" t="s">
        <v>162</v>
      </c>
      <c r="B13" t="s">
        <v>164</v>
      </c>
      <c r="C13" s="52" t="n">
        <v>2026</v>
      </c>
      <c r="D13" t="s">
        <v>180</v>
      </c>
      <c r="E13" s="53" t="n">
        <v>605871.293114274</v>
      </c>
      <c r="F13" s="54" t="n">
        <v>342642.4810919</v>
      </c>
      <c r="G13" s="55" t="n">
        <v>342960.135281865</v>
      </c>
      <c r="H13" s="56" t="str">
        <f>G13-F13</f>
      </c>
      <c r="I13" s="57" t="n">
        <v>616790.029155755</v>
      </c>
      <c r="J13" s="58" t="str">
        <f>I13-E13</f>
      </c>
    </row>
    <row r="14">
      <c r="A14" t="s">
        <v>162</v>
      </c>
      <c r="B14" t="s">
        <v>164</v>
      </c>
      <c r="C14" s="52" t="n">
        <v>2026</v>
      </c>
      <c r="D14" t="s">
        <v>184</v>
      </c>
      <c r="E14" s="53" t="n">
        <v>333244.109311521</v>
      </c>
      <c r="F14" s="54" t="n">
        <v>190438.835239842</v>
      </c>
      <c r="G14" s="55" t="n">
        <v>190574.613818848</v>
      </c>
      <c r="H14" s="56" t="str">
        <f>G14-F14</f>
      </c>
      <c r="I14" s="57" t="n">
        <v>338499.069421602</v>
      </c>
      <c r="J14" s="58" t="str">
        <f>I14-E14</f>
      </c>
    </row>
    <row r="15">
      <c r="A15" t="s">
        <v>162</v>
      </c>
      <c r="B15" t="s">
        <v>164</v>
      </c>
      <c r="C15" s="52" t="n">
        <v>2026</v>
      </c>
      <c r="D15" t="s">
        <v>212</v>
      </c>
      <c r="E15" s="53" t="n">
        <v>39250.6670180049</v>
      </c>
      <c r="F15" s="54" t="n">
        <v>5105.60955478559</v>
      </c>
      <c r="G15" s="55" t="n">
        <v>5105.60955478559</v>
      </c>
      <c r="H15" s="56" t="str">
        <f>G15-F15</f>
      </c>
      <c r="I15" s="57" t="n">
        <v>39250.6670180049</v>
      </c>
      <c r="J15" s="58" t="str">
        <f>I15-E15</f>
      </c>
    </row>
    <row r="16">
      <c r="A16" t="s">
        <v>162</v>
      </c>
      <c r="B16" t="s">
        <v>164</v>
      </c>
      <c r="C16" s="52" t="n">
        <v>2027</v>
      </c>
      <c r="D16" t="s">
        <v>190</v>
      </c>
      <c r="E16" s="53" t="n">
        <v>12976.4388154756</v>
      </c>
      <c r="F16" s="54" t="n">
        <v>9577.52965486433</v>
      </c>
      <c r="G16" s="55" t="n">
        <v>9577.52965486433</v>
      </c>
      <c r="H16" s="56" t="str">
        <f>G16-F16</f>
      </c>
      <c r="I16" s="57" t="n">
        <v>12976.1031133633</v>
      </c>
      <c r="J16" s="58" t="str">
        <f>I16-E16</f>
      </c>
    </row>
    <row r="17">
      <c r="A17" t="s">
        <v>162</v>
      </c>
      <c r="B17" t="s">
        <v>164</v>
      </c>
      <c r="C17" s="52" t="n">
        <v>2027</v>
      </c>
      <c r="D17" t="s">
        <v>230</v>
      </c>
      <c r="E17" s="53" t="n">
        <v>1057159.32075733</v>
      </c>
      <c r="F17" s="54" t="n">
        <v>145009.441994705</v>
      </c>
      <c r="G17" s="55" t="n">
        <v>145009.441994705</v>
      </c>
      <c r="H17" s="56" t="str">
        <f>G17-F17</f>
      </c>
      <c r="I17" s="57" t="n">
        <v>1057148.31873483</v>
      </c>
      <c r="J17" s="58" t="str">
        <f>I17-E17</f>
      </c>
    </row>
    <row r="18">
      <c r="A18" t="s">
        <v>162</v>
      </c>
      <c r="B18" t="s">
        <v>164</v>
      </c>
      <c r="C18" s="52" t="n">
        <v>2027</v>
      </c>
      <c r="D18" t="s">
        <v>166</v>
      </c>
      <c r="E18" s="53" t="n">
        <v>111262.891759633</v>
      </c>
      <c r="F18" s="54" t="n">
        <v>71907.0428387361</v>
      </c>
      <c r="G18" s="55" t="n">
        <v>72290.1699912091</v>
      </c>
      <c r="H18" s="56" t="str">
        <f>G18-F18</f>
      </c>
      <c r="I18" s="57" t="n">
        <v>114152.944165875</v>
      </c>
      <c r="J18" s="58" t="str">
        <f>I18-E18</f>
      </c>
    </row>
    <row r="19">
      <c r="A19" t="s">
        <v>162</v>
      </c>
      <c r="B19" t="s">
        <v>164</v>
      </c>
      <c r="C19" s="52" t="n">
        <v>2027</v>
      </c>
      <c r="D19" t="s">
        <v>176</v>
      </c>
      <c r="E19" s="53" t="n">
        <v>271736.770230815</v>
      </c>
      <c r="F19" s="54" t="n">
        <v>258308.821915664</v>
      </c>
      <c r="G19" s="55" t="n">
        <v>260330.421136777</v>
      </c>
      <c r="H19" s="56" t="str">
        <f>G19-F19</f>
      </c>
      <c r="I19" s="57" t="n">
        <v>277877.509454571</v>
      </c>
      <c r="J19" s="58" t="str">
        <f>I19-E19</f>
      </c>
    </row>
    <row r="20">
      <c r="A20" t="s">
        <v>162</v>
      </c>
      <c r="B20" t="s">
        <v>164</v>
      </c>
      <c r="C20" s="52" t="n">
        <v>2027</v>
      </c>
      <c r="D20" t="s">
        <v>180</v>
      </c>
      <c r="E20" s="53" t="n">
        <v>604852.620540982</v>
      </c>
      <c r="F20" s="54" t="n">
        <v>348458.673449818</v>
      </c>
      <c r="G20" s="55" t="n">
        <v>349405.300730343</v>
      </c>
      <c r="H20" s="56" t="str">
        <f>G20-F20</f>
      </c>
      <c r="I20" s="57" t="n">
        <v>621430.902801161</v>
      </c>
      <c r="J20" s="58" t="str">
        <f>I20-E20</f>
      </c>
    </row>
    <row r="21">
      <c r="A21" t="s">
        <v>162</v>
      </c>
      <c r="B21" t="s">
        <v>164</v>
      </c>
      <c r="C21" s="52" t="n">
        <v>2027</v>
      </c>
      <c r="D21" t="s">
        <v>184</v>
      </c>
      <c r="E21" s="53" t="n">
        <v>329461.747228964</v>
      </c>
      <c r="F21" s="54" t="n">
        <v>188636.389988786</v>
      </c>
      <c r="G21" s="55" t="n">
        <v>189031.100445512</v>
      </c>
      <c r="H21" s="56" t="str">
        <f>G21-F21</f>
      </c>
      <c r="I21" s="57" t="n">
        <v>337398.949071723</v>
      </c>
      <c r="J21" s="58" t="str">
        <f>I21-E21</f>
      </c>
    </row>
    <row r="22">
      <c r="A22" t="s">
        <v>162</v>
      </c>
      <c r="B22" t="s">
        <v>164</v>
      </c>
      <c r="C22" s="52" t="n">
        <v>2027</v>
      </c>
      <c r="D22" t="s">
        <v>212</v>
      </c>
      <c r="E22" s="53" t="n">
        <v>38773.634527477</v>
      </c>
      <c r="F22" s="54" t="n">
        <v>4921.4971535539</v>
      </c>
      <c r="G22" s="55" t="n">
        <v>4921.4971535539</v>
      </c>
      <c r="H22" s="56" t="str">
        <f>G22-F22</f>
      </c>
      <c r="I22" s="57" t="n">
        <v>38773.6271863431</v>
      </c>
      <c r="J22" s="58" t="str">
        <f>I22-E22</f>
      </c>
    </row>
    <row r="23">
      <c r="A23" t="s">
        <v>162</v>
      </c>
      <c r="B23" t="s">
        <v>164</v>
      </c>
      <c r="C23" s="52" t="n">
        <v>2028</v>
      </c>
      <c r="D23" t="s">
        <v>190</v>
      </c>
      <c r="E23" s="53" t="n">
        <v>13395.887880027</v>
      </c>
      <c r="F23" s="54" t="n">
        <v>9881.97865492991</v>
      </c>
      <c r="G23" s="55" t="n">
        <v>9881.92201892528</v>
      </c>
      <c r="H23" s="56" t="str">
        <f>G23-F23</f>
      </c>
      <c r="I23" s="57" t="n">
        <v>13394.6739315754</v>
      </c>
      <c r="J23" s="58" t="str">
        <f>I23-E23</f>
      </c>
    </row>
    <row r="24">
      <c r="A24" t="s">
        <v>162</v>
      </c>
      <c r="B24" t="s">
        <v>164</v>
      </c>
      <c r="C24" s="52" t="n">
        <v>2028</v>
      </c>
      <c r="D24" t="s">
        <v>230</v>
      </c>
      <c r="E24" s="53" t="n">
        <v>1071865.6753133</v>
      </c>
      <c r="F24" s="54" t="n">
        <v>152971.902970067</v>
      </c>
      <c r="G24" s="55" t="n">
        <v>152971.729388998</v>
      </c>
      <c r="H24" s="56" t="str">
        <f>G24-F24</f>
      </c>
      <c r="I24" s="57" t="n">
        <v>1071826.12505593</v>
      </c>
      <c r="J24" s="58" t="str">
        <f>I24-E24</f>
      </c>
    </row>
    <row r="25">
      <c r="A25" t="s">
        <v>162</v>
      </c>
      <c r="B25" t="s">
        <v>164</v>
      </c>
      <c r="C25" s="52" t="n">
        <v>2028</v>
      </c>
      <c r="D25" t="s">
        <v>166</v>
      </c>
      <c r="E25" s="53" t="n">
        <v>110246.067144264</v>
      </c>
      <c r="F25" s="54" t="n">
        <v>73123.4882974644</v>
      </c>
      <c r="G25" s="55" t="n">
        <v>73846.8742094397</v>
      </c>
      <c r="H25" s="56" t="str">
        <f>G25-F25</f>
      </c>
      <c r="I25" s="57" t="n">
        <v>114139.122924862</v>
      </c>
      <c r="J25" s="58" t="str">
        <f>I25-E25</f>
      </c>
    </row>
    <row r="26">
      <c r="A26" t="s">
        <v>162</v>
      </c>
      <c r="B26" t="s">
        <v>164</v>
      </c>
      <c r="C26" s="52" t="n">
        <v>2028</v>
      </c>
      <c r="D26" t="s">
        <v>176</v>
      </c>
      <c r="E26" s="53" t="n">
        <v>269542.835187677</v>
      </c>
      <c r="F26" s="54" t="n">
        <v>254393.919955295</v>
      </c>
      <c r="G26" s="55" t="n">
        <v>257765.323271705</v>
      </c>
      <c r="H26" s="56" t="str">
        <f>G26-F26</f>
      </c>
      <c r="I26" s="57" t="n">
        <v>277735.696141204</v>
      </c>
      <c r="J26" s="58" t="str">
        <f>I26-E26</f>
      </c>
    </row>
    <row r="27">
      <c r="A27" t="s">
        <v>162</v>
      </c>
      <c r="B27" t="s">
        <v>164</v>
      </c>
      <c r="C27" s="52" t="n">
        <v>2028</v>
      </c>
      <c r="D27" t="s">
        <v>180</v>
      </c>
      <c r="E27" s="53" t="n">
        <v>605298.718705175</v>
      </c>
      <c r="F27" s="54" t="n">
        <v>354283.05114605</v>
      </c>
      <c r="G27" s="55" t="n">
        <v>356159.252906041</v>
      </c>
      <c r="H27" s="56" t="str">
        <f>G27-F27</f>
      </c>
      <c r="I27" s="57" t="n">
        <v>627723.844155296</v>
      </c>
      <c r="J27" s="58" t="str">
        <f>I27-E27</f>
      </c>
    </row>
    <row r="28">
      <c r="A28" t="s">
        <v>162</v>
      </c>
      <c r="B28" t="s">
        <v>164</v>
      </c>
      <c r="C28" s="52" t="n">
        <v>2028</v>
      </c>
      <c r="D28" t="s">
        <v>184</v>
      </c>
      <c r="E28" s="53" t="n">
        <v>326828.679330532</v>
      </c>
      <c r="F28" s="54" t="n">
        <v>186353.518421437</v>
      </c>
      <c r="G28" s="55" t="n">
        <v>187116.639879467</v>
      </c>
      <c r="H28" s="56" t="str">
        <f>G28-F28</f>
      </c>
      <c r="I28" s="57" t="n">
        <v>337514.695524676</v>
      </c>
      <c r="J28" s="58" t="str">
        <f>I28-E28</f>
      </c>
    </row>
    <row r="29">
      <c r="A29" t="s">
        <v>162</v>
      </c>
      <c r="B29" t="s">
        <v>164</v>
      </c>
      <c r="C29" s="52" t="n">
        <v>2028</v>
      </c>
      <c r="D29" t="s">
        <v>212</v>
      </c>
      <c r="E29" s="53" t="n">
        <v>38149.2919578739</v>
      </c>
      <c r="F29" s="54" t="n">
        <v>4742.08563959822</v>
      </c>
      <c r="G29" s="55" t="n">
        <v>4742.08557297834</v>
      </c>
      <c r="H29" s="56" t="str">
        <f>G29-F29</f>
      </c>
      <c r="I29" s="57" t="n">
        <v>38149.2915792319</v>
      </c>
      <c r="J29" s="58" t="str">
        <f>I29-E29</f>
      </c>
    </row>
    <row r="30">
      <c r="A30" t="s">
        <v>162</v>
      </c>
      <c r="B30" t="s">
        <v>164</v>
      </c>
      <c r="C30" s="52" t="n">
        <v>2029</v>
      </c>
      <c r="D30" t="s">
        <v>190</v>
      </c>
      <c r="E30" s="53" t="n">
        <v>13832.8625552249</v>
      </c>
      <c r="F30" s="54" t="n">
        <v>10188.642048007</v>
      </c>
      <c r="G30" s="55" t="n">
        <v>10188.394886281</v>
      </c>
      <c r="H30" s="56" t="str">
        <f>G30-F30</f>
      </c>
      <c r="I30" s="57" t="n">
        <v>13830.0485982781</v>
      </c>
      <c r="J30" s="58" t="str">
        <f>I30-E30</f>
      </c>
    </row>
    <row r="31">
      <c r="A31" t="s">
        <v>162</v>
      </c>
      <c r="B31" t="s">
        <v>164</v>
      </c>
      <c r="C31" s="52" t="n">
        <v>2029</v>
      </c>
      <c r="D31" t="s">
        <v>230</v>
      </c>
      <c r="E31" s="53" t="n">
        <v>1086290.94045596</v>
      </c>
      <c r="F31" s="54" t="n">
        <v>161039.019987912</v>
      </c>
      <c r="G31" s="55" t="n">
        <v>161038.227687319</v>
      </c>
      <c r="H31" s="56" t="str">
        <f>G31-F31</f>
      </c>
      <c r="I31" s="57" t="n">
        <v>1086200.50099061</v>
      </c>
      <c r="J31" s="58" t="str">
        <f>I31-E31</f>
      </c>
    </row>
    <row r="32">
      <c r="A32" t="s">
        <v>162</v>
      </c>
      <c r="B32" t="s">
        <v>164</v>
      </c>
      <c r="C32" s="52" t="n">
        <v>2029</v>
      </c>
      <c r="D32" t="s">
        <v>166</v>
      </c>
      <c r="E32" s="53" t="n">
        <v>109144.642781896</v>
      </c>
      <c r="F32" s="54" t="n">
        <v>74310.0227845078</v>
      </c>
      <c r="G32" s="55" t="n">
        <v>75452.2225775915</v>
      </c>
      <c r="H32" s="56" t="str">
        <f>G32-F32</f>
      </c>
      <c r="I32" s="57" t="n">
        <v>114048.155335882</v>
      </c>
      <c r="J32" s="58" t="str">
        <f>I32-E32</f>
      </c>
    </row>
    <row r="33">
      <c r="A33" t="s">
        <v>162</v>
      </c>
      <c r="B33" t="s">
        <v>164</v>
      </c>
      <c r="C33" s="52" t="n">
        <v>2029</v>
      </c>
      <c r="D33" t="s">
        <v>176</v>
      </c>
      <c r="E33" s="53" t="n">
        <v>265575.609338418</v>
      </c>
      <c r="F33" s="54" t="n">
        <v>253473.398211414</v>
      </c>
      <c r="G33" s="55" t="n">
        <v>258334.317394862</v>
      </c>
      <c r="H33" s="56" t="str">
        <f>G33-F33</f>
      </c>
      <c r="I33" s="57" t="n">
        <v>275821.082992428</v>
      </c>
      <c r="J33" s="58" t="str">
        <f>I33-E33</f>
      </c>
    </row>
    <row r="34">
      <c r="A34" t="s">
        <v>162</v>
      </c>
      <c r="B34" t="s">
        <v>164</v>
      </c>
      <c r="C34" s="52" t="n">
        <v>2029</v>
      </c>
      <c r="D34" t="s">
        <v>180</v>
      </c>
      <c r="E34" s="53" t="n">
        <v>602536.479397021</v>
      </c>
      <c r="F34" s="54" t="n">
        <v>360790.426072384</v>
      </c>
      <c r="G34" s="55" t="n">
        <v>363892.268279926</v>
      </c>
      <c r="H34" s="56" t="str">
        <f>G34-F34</f>
      </c>
      <c r="I34" s="57" t="n">
        <v>630779.369985079</v>
      </c>
      <c r="J34" s="58" t="str">
        <f>I34-E34</f>
      </c>
    </row>
    <row r="35">
      <c r="A35" t="s">
        <v>162</v>
      </c>
      <c r="B35" t="s">
        <v>164</v>
      </c>
      <c r="C35" s="52" t="n">
        <v>2029</v>
      </c>
      <c r="D35" t="s">
        <v>184</v>
      </c>
      <c r="E35" s="53" t="n">
        <v>322550.623923673</v>
      </c>
      <c r="F35" s="54" t="n">
        <v>185592.724550517</v>
      </c>
      <c r="G35" s="55" t="n">
        <v>186821.560087492</v>
      </c>
      <c r="H35" s="56" t="str">
        <f>G35-F35</f>
      </c>
      <c r="I35" s="57" t="n">
        <v>335921.292831796</v>
      </c>
      <c r="J35" s="58" t="str">
        <f>I35-E35</f>
      </c>
    </row>
    <row r="36">
      <c r="A36" t="s">
        <v>162</v>
      </c>
      <c r="B36" t="s">
        <v>164</v>
      </c>
      <c r="C36" s="52" t="n">
        <v>2029</v>
      </c>
      <c r="D36" t="s">
        <v>212</v>
      </c>
      <c r="E36" s="53" t="n">
        <v>37777.4681043314</v>
      </c>
      <c r="F36" s="54" t="n">
        <v>4604.06821407617</v>
      </c>
      <c r="G36" s="55" t="n">
        <v>4604.06814831639</v>
      </c>
      <c r="H36" s="56" t="str">
        <f>G36-F36</f>
      </c>
      <c r="I36" s="57" t="n">
        <v>37777.4672189776</v>
      </c>
      <c r="J36" s="58" t="str">
        <f>I36-E36</f>
      </c>
    </row>
    <row r="37">
      <c r="A37" t="s">
        <v>162</v>
      </c>
      <c r="B37" t="s">
        <v>164</v>
      </c>
      <c r="C37" s="52" t="n">
        <v>2030</v>
      </c>
      <c r="D37" t="s">
        <v>190</v>
      </c>
      <c r="E37" s="53" t="n">
        <v>14287.2775498378</v>
      </c>
      <c r="F37" s="54" t="n">
        <v>10500.9432788044</v>
      </c>
      <c r="G37" s="55" t="n">
        <v>10500.2867221377</v>
      </c>
      <c r="H37" s="56" t="str">
        <f>G37-F37</f>
      </c>
      <c r="I37" s="57" t="n">
        <v>14281.9590395355</v>
      </c>
      <c r="J37" s="58" t="str">
        <f>I37-E37</f>
      </c>
    </row>
    <row r="38">
      <c r="A38" t="s">
        <v>162</v>
      </c>
      <c r="B38" t="s">
        <v>164</v>
      </c>
      <c r="C38" s="52" t="n">
        <v>2030</v>
      </c>
      <c r="D38" t="s">
        <v>230</v>
      </c>
      <c r="E38" s="53" t="n">
        <v>1100359.66192046</v>
      </c>
      <c r="F38" s="54" t="n">
        <v>169198.587143868</v>
      </c>
      <c r="G38" s="55" t="n">
        <v>169196.385350075</v>
      </c>
      <c r="H38" s="56" t="str">
        <f>G38-F38</f>
      </c>
      <c r="I38" s="57" t="n">
        <v>1100191.78654723</v>
      </c>
      <c r="J38" s="58" t="str">
        <f>I38-E38</f>
      </c>
    </row>
    <row r="39">
      <c r="A39" t="s">
        <v>162</v>
      </c>
      <c r="B39" t="s">
        <v>164</v>
      </c>
      <c r="C39" s="52" t="n">
        <v>2030</v>
      </c>
      <c r="D39" t="s">
        <v>166</v>
      </c>
      <c r="E39" s="53" t="n">
        <v>108822.931171607</v>
      </c>
      <c r="F39" s="54" t="n">
        <v>74375.8989417201</v>
      </c>
      <c r="G39" s="55" t="n">
        <v>76004.3747737111</v>
      </c>
      <c r="H39" s="56" t="str">
        <f>G39-F39</f>
      </c>
      <c r="I39" s="57" t="n">
        <v>114781.951575614</v>
      </c>
      <c r="J39" s="58" t="str">
        <f>I39-E39</f>
      </c>
    </row>
    <row r="40">
      <c r="A40" t="s">
        <v>162</v>
      </c>
      <c r="B40" t="s">
        <v>164</v>
      </c>
      <c r="C40" s="52" t="n">
        <v>2030</v>
      </c>
      <c r="D40" t="s">
        <v>176</v>
      </c>
      <c r="E40" s="53" t="n">
        <v>263445.286421436</v>
      </c>
      <c r="F40" s="54" t="n">
        <v>250961.035613544</v>
      </c>
      <c r="G40" s="55" t="n">
        <v>257411.197787159</v>
      </c>
      <c r="H40" s="56" t="str">
        <f>G40-F40</f>
      </c>
      <c r="I40" s="57" t="n">
        <v>275750.816549508</v>
      </c>
      <c r="J40" s="58" t="str">
        <f>I40-E40</f>
      </c>
    </row>
    <row r="41">
      <c r="A41" t="s">
        <v>162</v>
      </c>
      <c r="B41" t="s">
        <v>164</v>
      </c>
      <c r="C41" s="52" t="n">
        <v>2030</v>
      </c>
      <c r="D41" t="s">
        <v>180</v>
      </c>
      <c r="E41" s="53" t="n">
        <v>603867.612779483</v>
      </c>
      <c r="F41" s="54" t="n">
        <v>364315.449902243</v>
      </c>
      <c r="G41" s="55" t="n">
        <v>368920.443479077</v>
      </c>
      <c r="H41" s="56" t="str">
        <f>G41-F41</f>
      </c>
      <c r="I41" s="57" t="n">
        <v>638199.367226914</v>
      </c>
      <c r="J41" s="58" t="str">
        <f>I41-E41</f>
      </c>
    </row>
    <row r="42">
      <c r="A42" t="s">
        <v>162</v>
      </c>
      <c r="B42" t="s">
        <v>164</v>
      </c>
      <c r="C42" s="52" t="n">
        <v>2030</v>
      </c>
      <c r="D42" t="s">
        <v>184</v>
      </c>
      <c r="E42" s="53" t="n">
        <v>321193.785696528</v>
      </c>
      <c r="F42" s="54" t="n">
        <v>183647.962709653</v>
      </c>
      <c r="G42" s="55" t="n">
        <v>185442.493190957</v>
      </c>
      <c r="H42" s="56" t="str">
        <f>G42-F42</f>
      </c>
      <c r="I42" s="57" t="n">
        <v>337374.946866334</v>
      </c>
      <c r="J42" s="58" t="str">
        <f>I42-E42</f>
      </c>
    </row>
    <row r="43">
      <c r="A43" t="s">
        <v>162</v>
      </c>
      <c r="B43" t="s">
        <v>164</v>
      </c>
      <c r="C43" s="52" t="n">
        <v>2030</v>
      </c>
      <c r="D43" t="s">
        <v>212</v>
      </c>
      <c r="E43" s="53" t="n">
        <v>38012.6753408998</v>
      </c>
      <c r="F43" s="54" t="n">
        <v>4432.11691882846</v>
      </c>
      <c r="G43" s="55" t="n">
        <v>4432.1168533299</v>
      </c>
      <c r="H43" s="56" t="str">
        <f>G43-F43</f>
      </c>
      <c r="I43" s="57" t="n">
        <v>38012.6736377562</v>
      </c>
      <c r="J43" s="58" t="str">
        <f>I43-E43</f>
      </c>
    </row>
    <row r="44">
      <c r="A44" t="s">
        <v>162</v>
      </c>
      <c r="B44" t="s">
        <v>164</v>
      </c>
      <c r="C44" s="52" t="n">
        <v>2031</v>
      </c>
      <c r="D44" t="s">
        <v>190</v>
      </c>
      <c r="E44" s="53" t="n">
        <v>14763.3463320401</v>
      </c>
      <c r="F44" s="54" t="n">
        <v>10816.2875357545</v>
      </c>
      <c r="G44" s="55" t="n">
        <v>10814.9178976517</v>
      </c>
      <c r="H44" s="56" t="str">
        <f>G44-F44</f>
      </c>
      <c r="I44" s="57" t="n">
        <v>14754.4294987798</v>
      </c>
      <c r="J44" s="58" t="str">
        <f>I44-E44</f>
      </c>
    </row>
    <row r="45">
      <c r="A45" t="s">
        <v>162</v>
      </c>
      <c r="B45" t="s">
        <v>164</v>
      </c>
      <c r="C45" s="52" t="n">
        <v>2031</v>
      </c>
      <c r="D45" t="s">
        <v>230</v>
      </c>
      <c r="E45" s="53" t="n">
        <v>1114000.29701997</v>
      </c>
      <c r="F45" s="54" t="n">
        <v>177424.986021445</v>
      </c>
      <c r="G45" s="55" t="n">
        <v>177420.195676039</v>
      </c>
      <c r="H45" s="56" t="str">
        <f>G45-F45</f>
      </c>
      <c r="I45" s="57" t="n">
        <v>1113725.22635968</v>
      </c>
      <c r="J45" s="58" t="str">
        <f>I45-E45</f>
      </c>
    </row>
    <row r="46">
      <c r="A46" t="s">
        <v>162</v>
      </c>
      <c r="B46" t="s">
        <v>164</v>
      </c>
      <c r="C46" s="52" t="n">
        <v>2031</v>
      </c>
      <c r="D46" t="s">
        <v>166</v>
      </c>
      <c r="E46" s="53" t="n">
        <v>108706.497203639</v>
      </c>
      <c r="F46" s="54" t="n">
        <v>74395.9853948361</v>
      </c>
      <c r="G46" s="55" t="n">
        <v>76556.6280135149</v>
      </c>
      <c r="H46" s="56" t="str">
        <f>G46-F46</f>
      </c>
      <c r="I46" s="57" t="n">
        <v>115757.018858842</v>
      </c>
      <c r="J46" s="58" t="str">
        <f>I46-E46</f>
      </c>
    </row>
    <row r="47">
      <c r="A47" t="s">
        <v>162</v>
      </c>
      <c r="B47" t="s">
        <v>164</v>
      </c>
      <c r="C47" s="52" t="n">
        <v>2031</v>
      </c>
      <c r="D47" t="s">
        <v>176</v>
      </c>
      <c r="E47" s="53" t="n">
        <v>260367.518070935</v>
      </c>
      <c r="F47" s="54" t="n">
        <v>249145.188108152</v>
      </c>
      <c r="G47" s="55" t="n">
        <v>257245.005480193</v>
      </c>
      <c r="H47" s="56" t="str">
        <f>G47-F47</f>
      </c>
      <c r="I47" s="57" t="n">
        <v>274719.77758767</v>
      </c>
      <c r="J47" s="58" t="str">
        <f>I47-E47</f>
      </c>
    </row>
    <row r="48">
      <c r="A48" t="s">
        <v>162</v>
      </c>
      <c r="B48" t="s">
        <v>164</v>
      </c>
      <c r="C48" s="52" t="n">
        <v>2031</v>
      </c>
      <c r="D48" t="s">
        <v>180</v>
      </c>
      <c r="E48" s="53" t="n">
        <v>605518.178922649</v>
      </c>
      <c r="F48" s="54" t="n">
        <v>367858.211160715</v>
      </c>
      <c r="G48" s="55" t="n">
        <v>374207.729078974</v>
      </c>
      <c r="H48" s="56" t="str">
        <f>G48-F48</f>
      </c>
      <c r="I48" s="57" t="n">
        <v>646110.864169859</v>
      </c>
      <c r="J48" s="58" t="str">
        <f>I48-E48</f>
      </c>
    </row>
    <row r="49">
      <c r="A49" t="s">
        <v>162</v>
      </c>
      <c r="B49" t="s">
        <v>164</v>
      </c>
      <c r="C49" s="52" t="n">
        <v>2031</v>
      </c>
      <c r="D49" t="s">
        <v>184</v>
      </c>
      <c r="E49" s="53" t="n">
        <v>320137.470665677</v>
      </c>
      <c r="F49" s="54" t="n">
        <v>181876.426906673</v>
      </c>
      <c r="G49" s="55" t="n">
        <v>184315.562373235</v>
      </c>
      <c r="H49" s="56" t="str">
        <f>G49-F49</f>
      </c>
      <c r="I49" s="57" t="n">
        <v>339204.419150594</v>
      </c>
      <c r="J49" s="58" t="str">
        <f>I49-E49</f>
      </c>
    </row>
    <row r="50">
      <c r="A50" t="s">
        <v>162</v>
      </c>
      <c r="B50" t="s">
        <v>164</v>
      </c>
      <c r="C50" s="52" t="n">
        <v>2031</v>
      </c>
      <c r="D50" t="s">
        <v>212</v>
      </c>
      <c r="E50" s="53" t="n">
        <v>38191.6254193748</v>
      </c>
      <c r="F50" s="54" t="n">
        <v>4274.72735924748</v>
      </c>
      <c r="G50" s="55" t="n">
        <v>4274.72729327381</v>
      </c>
      <c r="H50" s="56" t="str">
        <f>G50-F50</f>
      </c>
      <c r="I50" s="57" t="n">
        <v>38191.6231000681</v>
      </c>
      <c r="J50" s="58" t="str">
        <f>I50-E50</f>
      </c>
    </row>
    <row r="51">
      <c r="A51" t="s">
        <v>162</v>
      </c>
      <c r="B51" t="s">
        <v>164</v>
      </c>
      <c r="C51" s="52" t="n">
        <v>2032</v>
      </c>
      <c r="D51" t="s">
        <v>190</v>
      </c>
      <c r="E51" s="53" t="n">
        <v>15261.5548233403</v>
      </c>
      <c r="F51" s="54" t="n">
        <v>11134.6566406426</v>
      </c>
      <c r="G51" s="55" t="n">
        <v>11132.1787355836</v>
      </c>
      <c r="H51" s="56" t="str">
        <f>G51-F51</f>
      </c>
      <c r="I51" s="57" t="n">
        <v>15247.769190462</v>
      </c>
      <c r="J51" s="58" t="str">
        <f>I51-E51</f>
      </c>
    </row>
    <row r="52">
      <c r="A52" t="s">
        <v>162</v>
      </c>
      <c r="B52" t="s">
        <v>164</v>
      </c>
      <c r="C52" s="52" t="n">
        <v>2032</v>
      </c>
      <c r="D52" t="s">
        <v>230</v>
      </c>
      <c r="E52" s="53" t="n">
        <v>1127197.71809613</v>
      </c>
      <c r="F52" s="54" t="n">
        <v>185700.465566526</v>
      </c>
      <c r="G52" s="55" t="n">
        <v>185691.45221249</v>
      </c>
      <c r="H52" s="56" t="str">
        <f>G52-F52</f>
      </c>
      <c r="I52" s="57" t="n">
        <v>1126783.31749171</v>
      </c>
      <c r="J52" s="58" t="str">
        <f>I52-E52</f>
      </c>
    </row>
    <row r="53">
      <c r="A53" t="s">
        <v>162</v>
      </c>
      <c r="B53" t="s">
        <v>164</v>
      </c>
      <c r="C53" s="52" t="n">
        <v>2032</v>
      </c>
      <c r="D53" t="s">
        <v>166</v>
      </c>
      <c r="E53" s="53" t="n">
        <v>108722.184394072</v>
      </c>
      <c r="F53" s="54" t="n">
        <v>74462.2336312847</v>
      </c>
      <c r="G53" s="55" t="n">
        <v>77198.3893074221</v>
      </c>
      <c r="H53" s="56" t="str">
        <f>G53-F53</f>
      </c>
      <c r="I53" s="57" t="n">
        <v>116892.91249656</v>
      </c>
      <c r="J53" s="58" t="str">
        <f>I53-E53</f>
      </c>
    </row>
    <row r="54">
      <c r="A54" t="s">
        <v>162</v>
      </c>
      <c r="B54" t="s">
        <v>164</v>
      </c>
      <c r="C54" s="52" t="n">
        <v>2032</v>
      </c>
      <c r="D54" t="s">
        <v>176</v>
      </c>
      <c r="E54" s="53" t="n">
        <v>258015.496657142</v>
      </c>
      <c r="F54" s="54" t="n">
        <v>246940.295591409</v>
      </c>
      <c r="G54" s="55" t="n">
        <v>256745.676365841</v>
      </c>
      <c r="H54" s="56" t="str">
        <f>G54-F54</f>
      </c>
      <c r="I54" s="57" t="n">
        <v>274412.393429799</v>
      </c>
      <c r="J54" s="58" t="str">
        <f>I54-E54</f>
      </c>
    </row>
    <row r="55">
      <c r="A55" t="s">
        <v>162</v>
      </c>
      <c r="B55" t="s">
        <v>164</v>
      </c>
      <c r="C55" s="52" t="n">
        <v>2032</v>
      </c>
      <c r="D55" t="s">
        <v>180</v>
      </c>
      <c r="E55" s="53" t="n">
        <v>607484.923370495</v>
      </c>
      <c r="F55" s="54" t="n">
        <v>371790.716095742</v>
      </c>
      <c r="G55" s="55" t="n">
        <v>380127.647848666</v>
      </c>
      <c r="H55" s="56" t="str">
        <f>G55-F55</f>
      </c>
      <c r="I55" s="57" t="n">
        <v>654519.811420389</v>
      </c>
      <c r="J55" s="58" t="str">
        <f>I55-E55</f>
      </c>
    </row>
    <row r="56">
      <c r="A56" t="s">
        <v>162</v>
      </c>
      <c r="B56" t="s">
        <v>164</v>
      </c>
      <c r="C56" s="52" t="n">
        <v>2032</v>
      </c>
      <c r="D56" t="s">
        <v>184</v>
      </c>
      <c r="E56" s="53" t="n">
        <v>319556.61592006</v>
      </c>
      <c r="F56" s="54" t="n">
        <v>180564.293548359</v>
      </c>
      <c r="G56" s="55" t="n">
        <v>183730.084212538</v>
      </c>
      <c r="H56" s="56" t="str">
        <f>G56-F56</f>
      </c>
      <c r="I56" s="57" t="n">
        <v>341581.65326776</v>
      </c>
      <c r="J56" s="58" t="str">
        <f>I56-E56</f>
      </c>
    </row>
    <row r="57">
      <c r="A57" t="s">
        <v>162</v>
      </c>
      <c r="B57" t="s">
        <v>164</v>
      </c>
      <c r="C57" s="52" t="n">
        <v>2032</v>
      </c>
      <c r="D57" t="s">
        <v>212</v>
      </c>
      <c r="E57" s="53" t="n">
        <v>38037.554700325</v>
      </c>
      <c r="F57" s="54" t="n">
        <v>4125.72254625657</v>
      </c>
      <c r="G57" s="55" t="n">
        <v>4125.72247917104</v>
      </c>
      <c r="H57" s="56" t="str">
        <f>G57-F57</f>
      </c>
      <c r="I57" s="57" t="n">
        <v>38037.5517920999</v>
      </c>
      <c r="J57" s="58" t="str">
        <f>I57-E57</f>
      </c>
    </row>
    <row r="58">
      <c r="A58" t="s">
        <v>162</v>
      </c>
      <c r="B58" t="s">
        <v>164</v>
      </c>
      <c r="C58" s="52" t="n">
        <v>2033</v>
      </c>
      <c r="D58" t="s">
        <v>190</v>
      </c>
      <c r="E58" s="53" t="n">
        <v>15779.6501353859</v>
      </c>
      <c r="F58" s="54" t="n">
        <v>11456.287713639</v>
      </c>
      <c r="G58" s="55" t="n">
        <v>11452.2049974033</v>
      </c>
      <c r="H58" s="56" t="str">
        <f>G58-F58</f>
      </c>
      <c r="I58" s="57" t="n">
        <v>15759.5151167894</v>
      </c>
      <c r="J58" s="58" t="str">
        <f>I58-E58</f>
      </c>
    </row>
    <row r="59">
      <c r="A59" t="s">
        <v>162</v>
      </c>
      <c r="B59" t="s">
        <v>164</v>
      </c>
      <c r="C59" s="52" t="n">
        <v>2033</v>
      </c>
      <c r="D59" t="s">
        <v>230</v>
      </c>
      <c r="E59" s="53" t="n">
        <v>1139860.73293187</v>
      </c>
      <c r="F59" s="54" t="n">
        <v>194020.967954444</v>
      </c>
      <c r="G59" s="55" t="n">
        <v>194005.600566516</v>
      </c>
      <c r="H59" s="56" t="str">
        <f>G59-F59</f>
      </c>
      <c r="I59" s="57" t="n">
        <v>1139272.75378683</v>
      </c>
      <c r="J59" s="58" t="str">
        <f>I59-E59</f>
      </c>
    </row>
    <row r="60">
      <c r="A60" t="s">
        <v>162</v>
      </c>
      <c r="B60" t="s">
        <v>164</v>
      </c>
      <c r="C60" s="52" t="n">
        <v>2033</v>
      </c>
      <c r="D60" t="s">
        <v>166</v>
      </c>
      <c r="E60" s="53" t="n">
        <v>108959.683345468</v>
      </c>
      <c r="F60" s="54" t="n">
        <v>74567.3489145877</v>
      </c>
      <c r="G60" s="55" t="n">
        <v>77917.1620906902</v>
      </c>
      <c r="H60" s="56" t="str">
        <f>G60-F60</f>
      </c>
      <c r="I60" s="57" t="n">
        <v>118281.828559023</v>
      </c>
      <c r="J60" s="58" t="str">
        <f>I60-E60</f>
      </c>
    </row>
    <row r="61">
      <c r="A61" t="s">
        <v>162</v>
      </c>
      <c r="B61" t="s">
        <v>164</v>
      </c>
      <c r="C61" s="52" t="n">
        <v>2033</v>
      </c>
      <c r="D61" t="s">
        <v>176</v>
      </c>
      <c r="E61" s="53" t="n">
        <v>255471.146942834</v>
      </c>
      <c r="F61" s="54" t="n">
        <v>245108.264815874</v>
      </c>
      <c r="G61" s="55" t="n">
        <v>256655.559026211</v>
      </c>
      <c r="H61" s="56" t="str">
        <f>G61-F61</f>
      </c>
      <c r="I61" s="57" t="n">
        <v>273893.528221021</v>
      </c>
      <c r="J61" s="58" t="str">
        <f>I61-E61</f>
      </c>
    </row>
    <row r="62">
      <c r="A62" t="s">
        <v>162</v>
      </c>
      <c r="B62" t="s">
        <v>164</v>
      </c>
      <c r="C62" s="52" t="n">
        <v>2033</v>
      </c>
      <c r="D62" t="s">
        <v>180</v>
      </c>
      <c r="E62" s="53" t="n">
        <v>610314.98006586</v>
      </c>
      <c r="F62" s="54" t="n">
        <v>376025.26677822</v>
      </c>
      <c r="G62" s="55" t="n">
        <v>386583.230936034</v>
      </c>
      <c r="H62" s="56" t="str">
        <f>G62-F62</f>
      </c>
      <c r="I62" s="57" t="n">
        <v>664009.138744924</v>
      </c>
      <c r="J62" s="58" t="str">
        <f>I62-E62</f>
      </c>
    </row>
    <row r="63">
      <c r="A63" t="s">
        <v>162</v>
      </c>
      <c r="B63" t="s">
        <v>164</v>
      </c>
      <c r="C63" s="52" t="n">
        <v>2033</v>
      </c>
      <c r="D63" t="s">
        <v>184</v>
      </c>
      <c r="E63" s="53" t="n">
        <v>319904.75184766</v>
      </c>
      <c r="F63" s="54" t="n">
        <v>179612.163937301</v>
      </c>
      <c r="G63" s="55" t="n">
        <v>183583.042202715</v>
      </c>
      <c r="H63" s="56" t="str">
        <f>G63-F63</f>
      </c>
      <c r="I63" s="57" t="n">
        <v>344995.264629881</v>
      </c>
      <c r="J63" s="58" t="str">
        <f>I63-E63</f>
      </c>
    </row>
    <row r="64">
      <c r="A64" t="s">
        <v>162</v>
      </c>
      <c r="B64" t="s">
        <v>164</v>
      </c>
      <c r="C64" s="52" t="n">
        <v>2033</v>
      </c>
      <c r="D64" t="s">
        <v>212</v>
      </c>
      <c r="E64" s="53" t="n">
        <v>37788.3994046234</v>
      </c>
      <c r="F64" s="54" t="n">
        <v>3977.71443598128</v>
      </c>
      <c r="G64" s="55" t="n">
        <v>3977.71437573526</v>
      </c>
      <c r="H64" s="56" t="str">
        <f>G64-F64</f>
      </c>
      <c r="I64" s="57" t="n">
        <v>37788.395913351</v>
      </c>
      <c r="J64" s="58" t="str">
        <f>I64-E64</f>
      </c>
    </row>
    <row r="65">
      <c r="A65" t="s">
        <v>162</v>
      </c>
      <c r="B65" t="s">
        <v>164</v>
      </c>
      <c r="C65" s="52" t="n">
        <v>2034</v>
      </c>
      <c r="D65" t="s">
        <v>190</v>
      </c>
      <c r="E65" s="53" t="n">
        <v>16313.9676715169</v>
      </c>
      <c r="F65" s="54" t="n">
        <v>11785.7093188611</v>
      </c>
      <c r="G65" s="55" t="n">
        <v>11779.4141755774</v>
      </c>
      <c r="H65" s="56" t="str">
        <f>G65-F65</f>
      </c>
      <c r="I65" s="57" t="n">
        <v>16285.7640376227</v>
      </c>
      <c r="J65" s="58" t="str">
        <f>I65-E65</f>
      </c>
    </row>
    <row r="66">
      <c r="A66" t="s">
        <v>162</v>
      </c>
      <c r="B66" t="s">
        <v>164</v>
      </c>
      <c r="C66" s="52" t="n">
        <v>2034</v>
      </c>
      <c r="D66" t="s">
        <v>230</v>
      </c>
      <c r="E66" s="53" t="n">
        <v>1152030.22486421</v>
      </c>
      <c r="F66" s="54" t="n">
        <v>202345.037915742</v>
      </c>
      <c r="G66" s="55" t="n">
        <v>202320.636121151</v>
      </c>
      <c r="H66" s="56" t="str">
        <f>G66-F66</f>
      </c>
      <c r="I66" s="57" t="n">
        <v>1151232.62464015</v>
      </c>
      <c r="J66" s="58" t="str">
        <f>I66-E66</f>
      </c>
    </row>
    <row r="67">
      <c r="A67" t="s">
        <v>162</v>
      </c>
      <c r="B67" t="s">
        <v>164</v>
      </c>
      <c r="C67" s="52" t="n">
        <v>2034</v>
      </c>
      <c r="D67" t="s">
        <v>166</v>
      </c>
      <c r="E67" s="53" t="n">
        <v>108726.002558215</v>
      </c>
      <c r="F67" s="54" t="n">
        <v>74784.5344402112</v>
      </c>
      <c r="G67" s="55" t="n">
        <v>78781.7232358728</v>
      </c>
      <c r="H67" s="56" t="str">
        <f>G67-F67</f>
      </c>
      <c r="I67" s="57" t="n">
        <v>119173.805374547</v>
      </c>
      <c r="J67" s="58" t="str">
        <f>I67-E67</f>
      </c>
    </row>
    <row r="68">
      <c r="A68" t="s">
        <v>162</v>
      </c>
      <c r="B68" t="s">
        <v>164</v>
      </c>
      <c r="C68" s="52" t="n">
        <v>2034</v>
      </c>
      <c r="D68" t="s">
        <v>176</v>
      </c>
      <c r="E68" s="53" t="n">
        <v>253237.694649106</v>
      </c>
      <c r="F68" s="54" t="n">
        <v>243442.365289954</v>
      </c>
      <c r="G68" s="55" t="n">
        <v>256753.127116244</v>
      </c>
      <c r="H68" s="56" t="str">
        <f>G68-F68</f>
      </c>
      <c r="I68" s="57" t="n">
        <v>273669.650202867</v>
      </c>
      <c r="J68" s="58" t="str">
        <f>I68-E68</f>
      </c>
    </row>
    <row r="69">
      <c r="A69" t="s">
        <v>162</v>
      </c>
      <c r="B69" t="s">
        <v>164</v>
      </c>
      <c r="C69" s="52" t="n">
        <v>2034</v>
      </c>
      <c r="D69" t="s">
        <v>180</v>
      </c>
      <c r="E69" s="53" t="n">
        <v>609481.315831861</v>
      </c>
      <c r="F69" s="54" t="n">
        <v>380793.634974281</v>
      </c>
      <c r="G69" s="55" t="n">
        <v>393806.920121914</v>
      </c>
      <c r="H69" s="56" t="str">
        <f>G69-F69</f>
      </c>
      <c r="I69" s="57" t="n">
        <v>669565.091865969</v>
      </c>
      <c r="J69" s="58" t="str">
        <f>I69-E69</f>
      </c>
    </row>
    <row r="70">
      <c r="A70" t="s">
        <v>162</v>
      </c>
      <c r="B70" t="s">
        <v>164</v>
      </c>
      <c r="C70" s="52" t="n">
        <v>2034</v>
      </c>
      <c r="D70" t="s">
        <v>184</v>
      </c>
      <c r="E70" s="53" t="n">
        <v>317991.529387607</v>
      </c>
      <c r="F70" s="54" t="n">
        <v>179955.253130172</v>
      </c>
      <c r="G70" s="55" t="n">
        <v>184800.885019324</v>
      </c>
      <c r="H70" s="56" t="str">
        <f>G70-F70</f>
      </c>
      <c r="I70" s="57" t="n">
        <v>345926.396497523</v>
      </c>
      <c r="J70" s="58" t="str">
        <f>I70-E70</f>
      </c>
    </row>
    <row r="71">
      <c r="A71" t="s">
        <v>162</v>
      </c>
      <c r="B71" t="s">
        <v>164</v>
      </c>
      <c r="C71" s="52" t="n">
        <v>2034</v>
      </c>
      <c r="D71" t="s">
        <v>212</v>
      </c>
      <c r="E71" s="53" t="n">
        <v>37391.122989921</v>
      </c>
      <c r="F71" s="54" t="n">
        <v>3849.43648660417</v>
      </c>
      <c r="G71" s="55" t="n">
        <v>3849.43642407178</v>
      </c>
      <c r="H71" s="56" t="str">
        <f>G71-F71</f>
      </c>
      <c r="I71" s="57" t="n">
        <v>37391.1189795399</v>
      </c>
      <c r="J71" s="58" t="str">
        <f>I71-E71</f>
      </c>
    </row>
    <row r="72">
      <c r="A72" t="s">
        <v>162</v>
      </c>
      <c r="B72" t="s">
        <v>164</v>
      </c>
      <c r="C72" s="52" t="n">
        <v>2035</v>
      </c>
      <c r="D72" t="s">
        <v>190</v>
      </c>
      <c r="E72" s="53" t="n">
        <v>16868.8543097674</v>
      </c>
      <c r="F72" s="54" t="n">
        <v>12122.0701957345</v>
      </c>
      <c r="G72" s="55" t="n">
        <v>12112.814364394</v>
      </c>
      <c r="H72" s="56" t="str">
        <f>G72-F72</f>
      </c>
      <c r="I72" s="57" t="n">
        <v>16830.6420972909</v>
      </c>
      <c r="J72" s="58" t="str">
        <f>I72-E72</f>
      </c>
    </row>
    <row r="73">
      <c r="A73" t="s">
        <v>162</v>
      </c>
      <c r="B73" t="s">
        <v>164</v>
      </c>
      <c r="C73" s="52" t="n">
        <v>2035</v>
      </c>
      <c r="D73" t="s">
        <v>230</v>
      </c>
      <c r="E73" s="53" t="n">
        <v>1163822.20967603</v>
      </c>
      <c r="F73" s="54" t="n">
        <v>210664.175381221</v>
      </c>
      <c r="G73" s="55" t="n">
        <v>210627.422792314</v>
      </c>
      <c r="H73" s="56" t="str">
        <f>G73-F73</f>
      </c>
      <c r="I73" s="57" t="n">
        <v>1162777.28327874</v>
      </c>
      <c r="J73" s="58" t="str">
        <f>I73-E73</f>
      </c>
    </row>
    <row r="74">
      <c r="A74" t="s">
        <v>162</v>
      </c>
      <c r="B74" t="s">
        <v>164</v>
      </c>
      <c r="C74" s="52" t="n">
        <v>2035</v>
      </c>
      <c r="D74" t="s">
        <v>166</v>
      </c>
      <c r="E74" s="53" t="n">
        <v>109165.50564978</v>
      </c>
      <c r="F74" s="54" t="n">
        <v>74784.528705936</v>
      </c>
      <c r="G74" s="55" t="n">
        <v>79456.6324211876</v>
      </c>
      <c r="H74" s="56" t="str">
        <f>G74-F74</f>
      </c>
      <c r="I74" s="57" t="n">
        <v>120799.065903184</v>
      </c>
      <c r="J74" s="58" t="str">
        <f>I74-E74</f>
      </c>
    </row>
    <row r="75">
      <c r="A75" t="s">
        <v>162</v>
      </c>
      <c r="B75" t="s">
        <v>164</v>
      </c>
      <c r="C75" s="52" t="n">
        <v>2035</v>
      </c>
      <c r="D75" t="s">
        <v>176</v>
      </c>
      <c r="E75" s="53" t="n">
        <v>250944.337896664</v>
      </c>
      <c r="F75" s="54" t="n">
        <v>241721.769393736</v>
      </c>
      <c r="G75" s="55" t="n">
        <v>256807.532230081</v>
      </c>
      <c r="H75" s="56" t="str">
        <f>G75-F75</f>
      </c>
      <c r="I75" s="57" t="n">
        <v>273345.360062938</v>
      </c>
      <c r="J75" s="58" t="str">
        <f>I75-E75</f>
      </c>
    </row>
    <row r="76">
      <c r="A76" t="s">
        <v>162</v>
      </c>
      <c r="B76" t="s">
        <v>164</v>
      </c>
      <c r="C76" s="52" t="n">
        <v>2035</v>
      </c>
      <c r="D76" t="s">
        <v>180</v>
      </c>
      <c r="E76" s="53" t="n">
        <v>611831.13936093</v>
      </c>
      <c r="F76" s="54" t="n">
        <v>383821.912550037</v>
      </c>
      <c r="G76" s="55" t="n">
        <v>399492.950532998</v>
      </c>
      <c r="H76" s="56" t="str">
        <f>G76-F76</f>
      </c>
      <c r="I76" s="57" t="n">
        <v>678638.434521443</v>
      </c>
      <c r="J76" s="58" t="str">
        <f>I76-E76</f>
      </c>
    </row>
    <row r="77">
      <c r="A77" t="s">
        <v>162</v>
      </c>
      <c r="B77" t="s">
        <v>164</v>
      </c>
      <c r="C77" s="52" t="n">
        <v>2035</v>
      </c>
      <c r="D77" t="s">
        <v>184</v>
      </c>
      <c r="E77" s="53" t="n">
        <v>318174.820925641</v>
      </c>
      <c r="F77" s="54" t="n">
        <v>179578.014356022</v>
      </c>
      <c r="G77" s="55" t="n">
        <v>185365.761103579</v>
      </c>
      <c r="H77" s="56" t="str">
        <f>G77-F77</f>
      </c>
      <c r="I77" s="57" t="n">
        <v>349146.062455764</v>
      </c>
      <c r="J77" s="58" t="str">
        <f>I77-E77</f>
      </c>
    </row>
    <row r="78">
      <c r="A78" t="s">
        <v>162</v>
      </c>
      <c r="B78" t="s">
        <v>164</v>
      </c>
      <c r="C78" s="52" t="n">
        <v>2035</v>
      </c>
      <c r="D78" t="s">
        <v>212</v>
      </c>
      <c r="E78" s="53" t="n">
        <v>37274.4023809889</v>
      </c>
      <c r="F78" s="54" t="n">
        <v>3710.43183953496</v>
      </c>
      <c r="G78" s="55" t="n">
        <v>3710.43177455469</v>
      </c>
      <c r="H78" s="56" t="str">
        <f>G78-F78</f>
      </c>
      <c r="I78" s="57" t="n">
        <v>37274.3979018446</v>
      </c>
      <c r="J78" s="58" t="str">
        <f>I78-E78</f>
      </c>
    </row>
    <row r="79">
      <c r="A79" t="s">
        <v>162</v>
      </c>
      <c r="B79" t="s">
        <v>164</v>
      </c>
      <c r="C79" s="52" t="n">
        <v>2036</v>
      </c>
      <c r="D79" t="s">
        <v>190</v>
      </c>
      <c r="E79" s="53" t="n">
        <v>17442.9612463351</v>
      </c>
      <c r="F79" s="54" t="n">
        <v>12465.9543841207</v>
      </c>
      <c r="G79" s="55" t="n">
        <v>12452.8640137516</v>
      </c>
      <c r="H79" s="56" t="str">
        <f>G79-F79</f>
      </c>
      <c r="I79" s="57" t="n">
        <v>17392.6099040701</v>
      </c>
      <c r="J79" s="58" t="str">
        <f>I79-E79</f>
      </c>
    </row>
    <row r="80">
      <c r="A80" t="s">
        <v>162</v>
      </c>
      <c r="B80" t="s">
        <v>164</v>
      </c>
      <c r="C80" s="52" t="n">
        <v>2036</v>
      </c>
      <c r="D80" t="s">
        <v>230</v>
      </c>
      <c r="E80" s="53" t="n">
        <v>1175416.35907533</v>
      </c>
      <c r="F80" s="54" t="n">
        <v>218959.614330067</v>
      </c>
      <c r="G80" s="55" t="n">
        <v>218906.623444501</v>
      </c>
      <c r="H80" s="56" t="str">
        <f>G80-F80</f>
      </c>
      <c r="I80" s="57" t="n">
        <v>1174085.51289072</v>
      </c>
      <c r="J80" s="58" t="str">
        <f>I80-E80</f>
      </c>
    </row>
    <row r="81">
      <c r="A81" t="s">
        <v>162</v>
      </c>
      <c r="B81" t="s">
        <v>164</v>
      </c>
      <c r="C81" s="52" t="n">
        <v>2036</v>
      </c>
      <c r="D81" t="s">
        <v>166</v>
      </c>
      <c r="E81" s="53" t="n">
        <v>109767.800674299</v>
      </c>
      <c r="F81" s="54" t="n">
        <v>74929.2685950289</v>
      </c>
      <c r="G81" s="55" t="n">
        <v>80302.8429955226</v>
      </c>
      <c r="H81" s="56" t="str">
        <f>G81-F81</f>
      </c>
      <c r="I81" s="57" t="n">
        <v>122618.320312187</v>
      </c>
      <c r="J81" s="58" t="str">
        <f>I81-E81</f>
      </c>
    </row>
    <row r="82">
      <c r="A82" t="s">
        <v>162</v>
      </c>
      <c r="B82" t="s">
        <v>164</v>
      </c>
      <c r="C82" s="52" t="n">
        <v>2036</v>
      </c>
      <c r="D82" t="s">
        <v>176</v>
      </c>
      <c r="E82" s="53" t="n">
        <v>248932.688767851</v>
      </c>
      <c r="F82" s="54" t="n">
        <v>240065.201527178</v>
      </c>
      <c r="G82" s="55" t="n">
        <v>256933.398229342</v>
      </c>
      <c r="H82" s="56" t="str">
        <f>G82-F82</f>
      </c>
      <c r="I82" s="57" t="n">
        <v>273297.569822228</v>
      </c>
      <c r="J82" s="58" t="str">
        <f>I82-E82</f>
      </c>
    </row>
    <row r="83">
      <c r="A83" t="s">
        <v>162</v>
      </c>
      <c r="B83" t="s">
        <v>164</v>
      </c>
      <c r="C83" s="52" t="n">
        <v>2036</v>
      </c>
      <c r="D83" t="s">
        <v>180</v>
      </c>
      <c r="E83" s="53" t="n">
        <v>614511.194075018</v>
      </c>
      <c r="F83" s="54" t="n">
        <v>387468.872020568</v>
      </c>
      <c r="G83" s="55" t="n">
        <v>405992.653493878</v>
      </c>
      <c r="H83" s="56" t="str">
        <f>G83-F83</f>
      </c>
      <c r="I83" s="57" t="n">
        <v>688194.684475592</v>
      </c>
      <c r="J83" s="58" t="str">
        <f>I83-E83</f>
      </c>
    </row>
    <row r="84">
      <c r="A84" t="s">
        <v>162</v>
      </c>
      <c r="B84" t="s">
        <v>164</v>
      </c>
      <c r="C84" s="52" t="n">
        <v>2036</v>
      </c>
      <c r="D84" t="s">
        <v>184</v>
      </c>
      <c r="E84" s="53" t="n">
        <v>318532.121315731</v>
      </c>
      <c r="F84" s="54" t="n">
        <v>179624.118205808</v>
      </c>
      <c r="G84" s="55" t="n">
        <v>186417.92722248</v>
      </c>
      <c r="H84" s="56" t="str">
        <f>G84-F84</f>
      </c>
      <c r="I84" s="57" t="n">
        <v>352603.071714204</v>
      </c>
      <c r="J84" s="58" t="str">
        <f>I84-E84</f>
      </c>
    </row>
    <row r="85">
      <c r="A85" t="s">
        <v>162</v>
      </c>
      <c r="B85" t="s">
        <v>164</v>
      </c>
      <c r="C85" s="52" t="n">
        <v>2036</v>
      </c>
      <c r="D85" t="s">
        <v>212</v>
      </c>
      <c r="E85" s="53" t="n">
        <v>37283.032739957</v>
      </c>
      <c r="F85" s="54" t="n">
        <v>3578.66013220732</v>
      </c>
      <c r="G85" s="55" t="n">
        <v>3578.66006488627</v>
      </c>
      <c r="H85" s="56" t="str">
        <f>G85-F85</f>
      </c>
      <c r="I85" s="57" t="n">
        <v>37283.0276293956</v>
      </c>
      <c r="J85" s="58" t="str">
        <f>I85-E85</f>
      </c>
    </row>
    <row r="86">
      <c r="A86" t="s">
        <v>162</v>
      </c>
      <c r="B86" t="s">
        <v>164</v>
      </c>
      <c r="C86" s="52" t="n">
        <v>2037</v>
      </c>
      <c r="D86" t="s">
        <v>190</v>
      </c>
      <c r="E86" s="53" t="n">
        <v>18036.3317407489</v>
      </c>
      <c r="F86" s="54" t="n">
        <v>12817.4084977858</v>
      </c>
      <c r="G86" s="55" t="n">
        <v>12799.4794545616</v>
      </c>
      <c r="H86" s="56" t="str">
        <f>G86-F86</f>
      </c>
      <c r="I86" s="57" t="n">
        <v>17971.4828640642</v>
      </c>
      <c r="J86" s="58" t="str">
        <f>I86-E86</f>
      </c>
    </row>
    <row r="87">
      <c r="A87" t="s">
        <v>162</v>
      </c>
      <c r="B87" t="s">
        <v>164</v>
      </c>
      <c r="C87" s="52" t="n">
        <v>2037</v>
      </c>
      <c r="D87" t="s">
        <v>230</v>
      </c>
      <c r="E87" s="53" t="n">
        <v>1186921.19473923</v>
      </c>
      <c r="F87" s="54" t="n">
        <v>227219.633082298</v>
      </c>
      <c r="G87" s="55" t="n">
        <v>227145.85064844</v>
      </c>
      <c r="H87" s="56" t="str">
        <f>G87-F87</f>
      </c>
      <c r="I87" s="57" t="n">
        <v>1185264.74384977</v>
      </c>
      <c r="J87" s="58" t="str">
        <f>I87-E87</f>
      </c>
    </row>
    <row r="88">
      <c r="A88" t="s">
        <v>162</v>
      </c>
      <c r="B88" t="s">
        <v>164</v>
      </c>
      <c r="C88" s="52" t="n">
        <v>2037</v>
      </c>
      <c r="D88" t="s">
        <v>166</v>
      </c>
      <c r="E88" s="53" t="n">
        <v>110402.112225612</v>
      </c>
      <c r="F88" s="54" t="n">
        <v>75146.872044996</v>
      </c>
      <c r="G88" s="55" t="n">
        <v>81244.6913895843</v>
      </c>
      <c r="H88" s="56" t="str">
        <f>G88-F88</f>
      </c>
      <c r="I88" s="57" t="n">
        <v>124489.429760244</v>
      </c>
      <c r="J88" s="58" t="str">
        <f>I88-E88</f>
      </c>
    </row>
    <row r="89">
      <c r="A89" t="s">
        <v>162</v>
      </c>
      <c r="B89" t="s">
        <v>164</v>
      </c>
      <c r="C89" s="52" t="n">
        <v>2037</v>
      </c>
      <c r="D89" t="s">
        <v>176</v>
      </c>
      <c r="E89" s="53" t="n">
        <v>246895.989418108</v>
      </c>
      <c r="F89" s="54" t="n">
        <v>238417.501853244</v>
      </c>
      <c r="G89" s="55" t="n">
        <v>257070.973149134</v>
      </c>
      <c r="H89" s="56" t="str">
        <f>G89-F89</f>
      </c>
      <c r="I89" s="57" t="n">
        <v>273202.802274069</v>
      </c>
      <c r="J89" s="58" t="str">
        <f>I89-E89</f>
      </c>
    </row>
    <row r="90">
      <c r="A90" t="s">
        <v>162</v>
      </c>
      <c r="B90" t="s">
        <v>164</v>
      </c>
      <c r="C90" s="52" t="n">
        <v>2037</v>
      </c>
      <c r="D90" t="s">
        <v>180</v>
      </c>
      <c r="E90" s="53" t="n">
        <v>617322.225023007</v>
      </c>
      <c r="F90" s="54" t="n">
        <v>391457.297174663</v>
      </c>
      <c r="G90" s="55" t="n">
        <v>413018.343093551</v>
      </c>
      <c r="H90" s="56" t="str">
        <f>G90-F90</f>
      </c>
      <c r="I90" s="57" t="n">
        <v>698060.502126947</v>
      </c>
      <c r="J90" s="58" t="str">
        <f>I90-E90</f>
      </c>
    </row>
    <row r="91">
      <c r="A91" t="s">
        <v>162</v>
      </c>
      <c r="B91" t="s">
        <v>164</v>
      </c>
      <c r="C91" s="52" t="n">
        <v>2037</v>
      </c>
      <c r="D91" t="s">
        <v>184</v>
      </c>
      <c r="E91" s="53" t="n">
        <v>319182.204889374</v>
      </c>
      <c r="F91" s="54" t="n">
        <v>179926.715483882</v>
      </c>
      <c r="G91" s="55" t="n">
        <v>187788.312528489</v>
      </c>
      <c r="H91" s="56" t="str">
        <f>G91-F91</f>
      </c>
      <c r="I91" s="57" t="n">
        <v>356425.678918654</v>
      </c>
      <c r="J91" s="58" t="str">
        <f>I91-E91</f>
      </c>
    </row>
    <row r="92">
      <c r="A92" t="s">
        <v>162</v>
      </c>
      <c r="B92" t="s">
        <v>164</v>
      </c>
      <c r="C92" s="52" t="n">
        <v>2037</v>
      </c>
      <c r="D92" t="s">
        <v>212</v>
      </c>
      <c r="E92" s="53" t="n">
        <v>36837.2833142379</v>
      </c>
      <c r="F92" s="54" t="n">
        <v>3450.19473265851</v>
      </c>
      <c r="G92" s="55" t="n">
        <v>3450.19465573699</v>
      </c>
      <c r="H92" s="56" t="str">
        <f>G92-F92</f>
      </c>
      <c r="I92" s="57" t="n">
        <v>36837.2774807632</v>
      </c>
      <c r="J92" s="58" t="str">
        <f>I92-E92</f>
      </c>
    </row>
    <row r="93">
      <c r="A93" t="s">
        <v>162</v>
      </c>
      <c r="B93" t="s">
        <v>164</v>
      </c>
      <c r="C93" s="52" t="n">
        <v>2038</v>
      </c>
      <c r="D93" t="s">
        <v>190</v>
      </c>
      <c r="E93" s="53" t="n">
        <v>18646.6480915972</v>
      </c>
      <c r="F93" s="54" t="n">
        <v>13179.4994895339</v>
      </c>
      <c r="G93" s="55" t="n">
        <v>13155.6038503287</v>
      </c>
      <c r="H93" s="56" t="str">
        <f>G93-F93</f>
      </c>
      <c r="I93" s="57" t="n">
        <v>18564.7325343064</v>
      </c>
      <c r="J93" s="58" t="str">
        <f>I93-E93</f>
      </c>
    </row>
    <row r="94">
      <c r="A94" t="s">
        <v>162</v>
      </c>
      <c r="B94" t="s">
        <v>164</v>
      </c>
      <c r="C94" s="52" t="n">
        <v>2038</v>
      </c>
      <c r="D94" t="s">
        <v>230</v>
      </c>
      <c r="E94" s="53" t="n">
        <v>1198336.77550682</v>
      </c>
      <c r="F94" s="54" t="n">
        <v>235429.385163213</v>
      </c>
      <c r="G94" s="55" t="n">
        <v>235329.601498619</v>
      </c>
      <c r="H94" s="56" t="str">
        <f>G94-F94</f>
      </c>
      <c r="I94" s="57" t="n">
        <v>1196314.54511457</v>
      </c>
      <c r="J94" s="58" t="str">
        <f>I94-E94</f>
      </c>
    </row>
    <row r="95">
      <c r="A95" t="s">
        <v>162</v>
      </c>
      <c r="B95" t="s">
        <v>164</v>
      </c>
      <c r="C95" s="52" t="n">
        <v>2038</v>
      </c>
      <c r="D95" t="s">
        <v>166</v>
      </c>
      <c r="E95" s="53" t="n">
        <v>111195.945610833</v>
      </c>
      <c r="F95" s="54" t="n">
        <v>75411.8228473405</v>
      </c>
      <c r="G95" s="55" t="n">
        <v>82253.930841494</v>
      </c>
      <c r="H95" s="56" t="str">
        <f>G95-F95</f>
      </c>
      <c r="I95" s="57" t="n">
        <v>126555.833855502</v>
      </c>
      <c r="J95" s="58" t="str">
        <f>I95-E95</f>
      </c>
    </row>
    <row r="96">
      <c r="A96" t="s">
        <v>162</v>
      </c>
      <c r="B96" t="s">
        <v>164</v>
      </c>
      <c r="C96" s="52" t="n">
        <v>2038</v>
      </c>
      <c r="D96" t="s">
        <v>176</v>
      </c>
      <c r="E96" s="53" t="n">
        <v>244823.896738566</v>
      </c>
      <c r="F96" s="54" t="n">
        <v>236703.061072704</v>
      </c>
      <c r="G96" s="55" t="n">
        <v>257130.676610817</v>
      </c>
      <c r="H96" s="56" t="str">
        <f>G96-F96</f>
      </c>
      <c r="I96" s="57" t="n">
        <v>273035.370644084</v>
      </c>
      <c r="J96" s="58" t="str">
        <f>I96-E96</f>
      </c>
    </row>
    <row r="97">
      <c r="A97" t="s">
        <v>162</v>
      </c>
      <c r="B97" t="s">
        <v>164</v>
      </c>
      <c r="C97" s="52" t="n">
        <v>2038</v>
      </c>
      <c r="D97" t="s">
        <v>180</v>
      </c>
      <c r="E97" s="53" t="n">
        <v>620665.776016641</v>
      </c>
      <c r="F97" s="54" t="n">
        <v>395674.34237848</v>
      </c>
      <c r="G97" s="55" t="n">
        <v>420445.264129068</v>
      </c>
      <c r="H97" s="56" t="str">
        <f>G97-F97</f>
      </c>
      <c r="I97" s="57" t="n">
        <v>708674.574961299</v>
      </c>
      <c r="J97" s="58" t="str">
        <f>I97-E97</f>
      </c>
    </row>
    <row r="98">
      <c r="A98" t="s">
        <v>162</v>
      </c>
      <c r="B98" t="s">
        <v>164</v>
      </c>
      <c r="C98" s="52" t="n">
        <v>2038</v>
      </c>
      <c r="D98" t="s">
        <v>184</v>
      </c>
      <c r="E98" s="53" t="n">
        <v>320365.342387907</v>
      </c>
      <c r="F98" s="54" t="n">
        <v>180359.910877575</v>
      </c>
      <c r="G98" s="55" t="n">
        <v>189347.422266605</v>
      </c>
      <c r="H98" s="56" t="str">
        <f>G98-F98</f>
      </c>
      <c r="I98" s="57" t="n">
        <v>360900.93527345</v>
      </c>
      <c r="J98" s="58" t="str">
        <f>I98-E98</f>
      </c>
    </row>
    <row r="99">
      <c r="A99" t="s">
        <v>162</v>
      </c>
      <c r="B99" t="s">
        <v>164</v>
      </c>
      <c r="C99" s="52" t="n">
        <v>2038</v>
      </c>
      <c r="D99" t="s">
        <v>212</v>
      </c>
      <c r="E99" s="53" t="n">
        <v>36551.4488611148</v>
      </c>
      <c r="F99" s="54" t="n">
        <v>3322.82167060101</v>
      </c>
      <c r="G99" s="55" t="n">
        <v>3322.82157442101</v>
      </c>
      <c r="H99" s="56" t="str">
        <f>G99-F99</f>
      </c>
      <c r="I99" s="57" t="n">
        <v>36551.441257779</v>
      </c>
      <c r="J99" s="58" t="str">
        <f>I99-E99</f>
      </c>
    </row>
    <row r="100">
      <c r="A100" t="s">
        <v>162</v>
      </c>
      <c r="B100" t="s">
        <v>164</v>
      </c>
      <c r="C100" s="52" t="n">
        <v>2039</v>
      </c>
      <c r="D100" t="s">
        <v>190</v>
      </c>
      <c r="E100" s="53" t="n">
        <v>19276.13075612</v>
      </c>
      <c r="F100" s="54" t="n">
        <v>13547.8871833038</v>
      </c>
      <c r="G100" s="55" t="n">
        <v>13516.7785061579</v>
      </c>
      <c r="H100" s="56" t="str">
        <f>G100-F100</f>
      </c>
      <c r="I100" s="57" t="n">
        <v>19174.3457459029</v>
      </c>
      <c r="J100" s="58" t="str">
        <f>I100-E100</f>
      </c>
    </row>
    <row r="101">
      <c r="A101" t="s">
        <v>162</v>
      </c>
      <c r="B101" t="s">
        <v>164</v>
      </c>
      <c r="C101" s="52" t="n">
        <v>2039</v>
      </c>
      <c r="D101" t="s">
        <v>230</v>
      </c>
      <c r="E101" s="53" t="n">
        <v>1209354.18533444</v>
      </c>
      <c r="F101" s="54" t="n">
        <v>243615.036835078</v>
      </c>
      <c r="G101" s="55" t="n">
        <v>243483.364034463</v>
      </c>
      <c r="H101" s="56" t="str">
        <f>G101-F101</f>
      </c>
      <c r="I101" s="57" t="n">
        <v>1206925.78308321</v>
      </c>
      <c r="J101" s="58" t="str">
        <f>I101-E101</f>
      </c>
    </row>
    <row r="102">
      <c r="A102" t="s">
        <v>162</v>
      </c>
      <c r="B102" t="s">
        <v>164</v>
      </c>
      <c r="C102" s="52" t="n">
        <v>2039</v>
      </c>
      <c r="D102" t="s">
        <v>166</v>
      </c>
      <c r="E102" s="53" t="n">
        <v>111434.736547694</v>
      </c>
      <c r="F102" s="54" t="n">
        <v>75780.4050733234</v>
      </c>
      <c r="G102" s="55" t="n">
        <v>83389.1809587923</v>
      </c>
      <c r="H102" s="56" t="str">
        <f>G102-F102</f>
      </c>
      <c r="I102" s="57" t="n">
        <v>128001.347826374</v>
      </c>
      <c r="J102" s="58" t="str">
        <f>I102-E102</f>
      </c>
    </row>
    <row r="103">
      <c r="A103" t="s">
        <v>162</v>
      </c>
      <c r="B103" t="s">
        <v>164</v>
      </c>
      <c r="C103" s="52" t="n">
        <v>2039</v>
      </c>
      <c r="D103" t="s">
        <v>176</v>
      </c>
      <c r="E103" s="53" t="n">
        <v>242871.566687247</v>
      </c>
      <c r="F103" s="54" t="n">
        <v>235238.381318486</v>
      </c>
      <c r="G103" s="55" t="n">
        <v>257441.86914337</v>
      </c>
      <c r="H103" s="56" t="str">
        <f>G103-F103</f>
      </c>
      <c r="I103" s="57" t="n">
        <v>272973.34550101</v>
      </c>
      <c r="J103" s="58" t="str">
        <f>I103-E103</f>
      </c>
    </row>
    <row r="104">
      <c r="A104" t="s">
        <v>162</v>
      </c>
      <c r="B104" t="s">
        <v>164</v>
      </c>
      <c r="C104" s="52" t="n">
        <v>2039</v>
      </c>
      <c r="D104" t="s">
        <v>180</v>
      </c>
      <c r="E104" s="53" t="n">
        <v>620733.404125209</v>
      </c>
      <c r="F104" s="54" t="n">
        <v>400275.713385801</v>
      </c>
      <c r="G104" s="55" t="n">
        <v>428444.568481745</v>
      </c>
      <c r="H104" s="56" t="str">
        <f>G104-F104</f>
      </c>
      <c r="I104" s="57" t="n">
        <v>715580.887085385</v>
      </c>
      <c r="J104" s="58" t="str">
        <f>I104-E104</f>
      </c>
    </row>
    <row r="105">
      <c r="A105" t="s">
        <v>162</v>
      </c>
      <c r="B105" t="s">
        <v>164</v>
      </c>
      <c r="C105" s="52" t="n">
        <v>2039</v>
      </c>
      <c r="D105" t="s">
        <v>184</v>
      </c>
      <c r="E105" s="53" t="n">
        <v>319474.387080507</v>
      </c>
      <c r="F105" s="54" t="n">
        <v>181759.14935752</v>
      </c>
      <c r="G105" s="55" t="n">
        <v>191929.610855123</v>
      </c>
      <c r="H105" s="56" t="str">
        <f>G105-F105</f>
      </c>
      <c r="I105" s="57" t="n">
        <v>362969.198365508</v>
      </c>
      <c r="J105" s="58" t="str">
        <f>I105-E105</f>
      </c>
    </row>
    <row r="106">
      <c r="A106" t="s">
        <v>162</v>
      </c>
      <c r="B106" t="s">
        <v>164</v>
      </c>
      <c r="C106" s="52" t="n">
        <v>2039</v>
      </c>
      <c r="D106" t="s">
        <v>212</v>
      </c>
      <c r="E106" s="53" t="n">
        <v>36178.2342811455</v>
      </c>
      <c r="F106" s="54" t="n">
        <v>3198.02326446012</v>
      </c>
      <c r="G106" s="55" t="n">
        <v>3198.02305383022</v>
      </c>
      <c r="H106" s="56" t="str">
        <f>G106-F106</f>
      </c>
      <c r="I106" s="57" t="n">
        <v>36178.2238447184</v>
      </c>
      <c r="J106" s="58" t="str">
        <f>I106-E106</f>
      </c>
    </row>
    <row r="107">
      <c r="A107" t="s">
        <v>162</v>
      </c>
      <c r="B107" t="s">
        <v>164</v>
      </c>
      <c r="C107" s="52" t="n">
        <v>2040</v>
      </c>
      <c r="D107" t="s">
        <v>190</v>
      </c>
      <c r="E107" s="53" t="n">
        <v>19930.2496116672</v>
      </c>
      <c r="F107" s="54" t="n">
        <v>13919.4210535862</v>
      </c>
      <c r="G107" s="55" t="n">
        <v>13879.6732870407</v>
      </c>
      <c r="H107" s="56" t="str">
        <f>G107-F107</f>
      </c>
      <c r="I107" s="57" t="n">
        <v>19805.5058057648</v>
      </c>
      <c r="J107" s="58" t="str">
        <f>I107-E107</f>
      </c>
    </row>
    <row r="108">
      <c r="A108" t="s">
        <v>162</v>
      </c>
      <c r="B108" t="s">
        <v>164</v>
      </c>
      <c r="C108" s="52" t="n">
        <v>2040</v>
      </c>
      <c r="D108" t="s">
        <v>230</v>
      </c>
      <c r="E108" s="53" t="n">
        <v>1219905.41978149</v>
      </c>
      <c r="F108" s="54" t="n">
        <v>251762.069872051</v>
      </c>
      <c r="G108" s="55" t="n">
        <v>251591.898664867</v>
      </c>
      <c r="H108" s="56" t="str">
        <f>G108-F108</f>
      </c>
      <c r="I108" s="57" t="n">
        <v>1217029.49333677</v>
      </c>
      <c r="J108" s="58" t="str">
        <f>I108-E108</f>
      </c>
    </row>
    <row r="109">
      <c r="A109" t="s">
        <v>162</v>
      </c>
      <c r="B109" t="s">
        <v>164</v>
      </c>
      <c r="C109" s="52" t="n">
        <v>2040</v>
      </c>
      <c r="D109" t="s">
        <v>166</v>
      </c>
      <c r="E109" s="53" t="n">
        <v>112228.571925656</v>
      </c>
      <c r="F109" s="54" t="n">
        <v>76045.6114665496</v>
      </c>
      <c r="G109" s="55" t="n">
        <v>84431.8911758369</v>
      </c>
      <c r="H109" s="56" t="str">
        <f>G109-F109</f>
      </c>
      <c r="I109" s="57" t="n">
        <v>130079.117811465</v>
      </c>
      <c r="J109" s="58" t="str">
        <f>I109-E109</f>
      </c>
    </row>
    <row r="110">
      <c r="A110" t="s">
        <v>162</v>
      </c>
      <c r="B110" t="s">
        <v>164</v>
      </c>
      <c r="C110" s="52" t="n">
        <v>2040</v>
      </c>
      <c r="D110" t="s">
        <v>176</v>
      </c>
      <c r="E110" s="53" t="n">
        <v>240839.761782718</v>
      </c>
      <c r="F110" s="54" t="n">
        <v>233499.452603726</v>
      </c>
      <c r="G110" s="55" t="n">
        <v>257451.80463236</v>
      </c>
      <c r="H110" s="56" t="str">
        <f>G110-F110</f>
      </c>
      <c r="I110" s="57" t="n">
        <v>272772.692977532</v>
      </c>
      <c r="J110" s="58" t="str">
        <f>I110-E110</f>
      </c>
    </row>
    <row r="111">
      <c r="A111" t="s">
        <v>162</v>
      </c>
      <c r="B111" t="s">
        <v>164</v>
      </c>
      <c r="C111" s="52" t="n">
        <v>2040</v>
      </c>
      <c r="D111" t="s">
        <v>180</v>
      </c>
      <c r="E111" s="53" t="n">
        <v>623016.323224001</v>
      </c>
      <c r="F111" s="54" t="n">
        <v>403512.002515873</v>
      </c>
      <c r="G111" s="55" t="n">
        <v>435208.840989962</v>
      </c>
      <c r="H111" s="56" t="str">
        <f>G111-F111</f>
      </c>
      <c r="I111" s="57" t="n">
        <v>725057.851356544</v>
      </c>
      <c r="J111" s="58" t="str">
        <f>I111-E111</f>
      </c>
    </row>
    <row r="112">
      <c r="A112" t="s">
        <v>162</v>
      </c>
      <c r="B112" t="s">
        <v>164</v>
      </c>
      <c r="C112" s="52" t="n">
        <v>2040</v>
      </c>
      <c r="D112" t="s">
        <v>184</v>
      </c>
      <c r="E112" s="53" t="n">
        <v>320038.771431516</v>
      </c>
      <c r="F112" s="54" t="n">
        <v>182455.716137969</v>
      </c>
      <c r="G112" s="55" t="n">
        <v>193853.250747764</v>
      </c>
      <c r="H112" s="56" t="str">
        <f>G112-F112</f>
      </c>
      <c r="I112" s="57" t="n">
        <v>366714.045807884</v>
      </c>
      <c r="J112" s="58" t="str">
        <f>I112-E112</f>
      </c>
    </row>
    <row r="113">
      <c r="A113" t="s">
        <v>162</v>
      </c>
      <c r="B113" t="s">
        <v>164</v>
      </c>
      <c r="C113" s="52" t="n">
        <v>2040</v>
      </c>
      <c r="D113" t="s">
        <v>212</v>
      </c>
      <c r="E113" s="53" t="n">
        <v>36005.0426394873</v>
      </c>
      <c r="F113" s="54" t="n">
        <v>3069.2523521644</v>
      </c>
      <c r="G113" s="55" t="n">
        <v>3069.25189350158</v>
      </c>
      <c r="H113" s="56" t="str">
        <f>G113-F113</f>
      </c>
      <c r="I113" s="57" t="n">
        <v>36005.0280863419</v>
      </c>
      <c r="J113" s="58" t="str">
        <f>I113-E113</f>
      </c>
    </row>
    <row r="114">
      <c r="A114" t="s">
        <v>162</v>
      </c>
      <c r="B114" t="s">
        <v>164</v>
      </c>
      <c r="C114" s="52" t="n">
        <v>2041</v>
      </c>
      <c r="D114" t="s">
        <v>190</v>
      </c>
      <c r="E114" s="53" t="n">
        <v>20604.5722893455</v>
      </c>
      <c r="F114" s="54" t="n">
        <v>14299.5078186962</v>
      </c>
      <c r="G114" s="55" t="n">
        <v>14249.5364552167</v>
      </c>
      <c r="H114" s="56" t="str">
        <f>G114-F114</f>
      </c>
      <c r="I114" s="57" t="n">
        <v>20453.6267543422</v>
      </c>
      <c r="J114" s="58" t="str">
        <f>I114-E114</f>
      </c>
    </row>
    <row r="115">
      <c r="A115" t="s">
        <v>162</v>
      </c>
      <c r="B115" t="s">
        <v>164</v>
      </c>
      <c r="C115" s="52" t="n">
        <v>2041</v>
      </c>
      <c r="D115" t="s">
        <v>230</v>
      </c>
      <c r="E115" s="53" t="n">
        <v>1229988.63806945</v>
      </c>
      <c r="F115" s="54" t="n">
        <v>259893.093252715</v>
      </c>
      <c r="G115" s="55" t="n">
        <v>259677.195752453</v>
      </c>
      <c r="H115" s="56" t="str">
        <f>G115-F115</f>
      </c>
      <c r="I115" s="57" t="n">
        <v>1226624.81076703</v>
      </c>
      <c r="J115" s="58" t="str">
        <f>I115-E115</f>
      </c>
    </row>
    <row r="116">
      <c r="A116" t="s">
        <v>162</v>
      </c>
      <c r="B116" t="s">
        <v>164</v>
      </c>
      <c r="C116" s="52" t="n">
        <v>2041</v>
      </c>
      <c r="D116" t="s">
        <v>166</v>
      </c>
      <c r="E116" s="53" t="n">
        <v>113064.189981284</v>
      </c>
      <c r="F116" s="54" t="n">
        <v>76355.2092447629</v>
      </c>
      <c r="G116" s="55" t="n">
        <v>85532.3195906077</v>
      </c>
      <c r="H116" s="56" t="str">
        <f>G116-F116</f>
      </c>
      <c r="I116" s="57" t="n">
        <v>132229.629710176</v>
      </c>
      <c r="J116" s="58" t="str">
        <f>I116-E116</f>
      </c>
    </row>
    <row r="117">
      <c r="A117" t="s">
        <v>162</v>
      </c>
      <c r="B117" t="s">
        <v>164</v>
      </c>
      <c r="C117" s="52" t="n">
        <v>2041</v>
      </c>
      <c r="D117" t="s">
        <v>176</v>
      </c>
      <c r="E117" s="53" t="n">
        <v>238864.548988899</v>
      </c>
      <c r="F117" s="54" t="n">
        <v>231716.826779244</v>
      </c>
      <c r="G117" s="55" t="n">
        <v>257389.631754286</v>
      </c>
      <c r="H117" s="56" t="str">
        <f>G117-F117</f>
      </c>
      <c r="I117" s="57" t="n">
        <v>272611.753671291</v>
      </c>
      <c r="J117" s="58" t="str">
        <f>I117-E117</f>
      </c>
    </row>
    <row r="118">
      <c r="A118" t="s">
        <v>162</v>
      </c>
      <c r="B118" t="s">
        <v>164</v>
      </c>
      <c r="C118" s="52" t="n">
        <v>2041</v>
      </c>
      <c r="D118" t="s">
        <v>180</v>
      </c>
      <c r="E118" s="53" t="n">
        <v>625280.484678122</v>
      </c>
      <c r="F118" s="54" t="n">
        <v>406966.334236411</v>
      </c>
      <c r="G118" s="55" t="n">
        <v>442324.306406792</v>
      </c>
      <c r="H118" s="56" t="str">
        <f>G118-F118</f>
      </c>
      <c r="I118" s="57" t="n">
        <v>734627.740075405</v>
      </c>
      <c r="J118" s="58" t="str">
        <f>I118-E118</f>
      </c>
    </row>
    <row r="119">
      <c r="A119" t="s">
        <v>162</v>
      </c>
      <c r="B119" t="s">
        <v>164</v>
      </c>
      <c r="C119" s="52" t="n">
        <v>2041</v>
      </c>
      <c r="D119" t="s">
        <v>184</v>
      </c>
      <c r="E119" s="53" t="n">
        <v>320539.888543869</v>
      </c>
      <c r="F119" s="54" t="n">
        <v>183257.905522857</v>
      </c>
      <c r="G119" s="55" t="n">
        <v>195926.907201396</v>
      </c>
      <c r="H119" s="56" t="str">
        <f>G119-F119</f>
      </c>
      <c r="I119" s="57" t="n">
        <v>370436.975606793</v>
      </c>
      <c r="J119" s="58" t="str">
        <f>I119-E119</f>
      </c>
    </row>
    <row r="120">
      <c r="A120" t="s">
        <v>162</v>
      </c>
      <c r="B120" t="s">
        <v>164</v>
      </c>
      <c r="C120" s="52" t="n">
        <v>2041</v>
      </c>
      <c r="D120" t="s">
        <v>212</v>
      </c>
      <c r="E120" s="53" t="n">
        <v>35900.7841783689</v>
      </c>
      <c r="F120" s="54" t="n">
        <v>2944.01637491673</v>
      </c>
      <c r="G120" s="55" t="n">
        <v>2944.01552271229</v>
      </c>
      <c r="H120" s="56" t="str">
        <f>G120-F120</f>
      </c>
      <c r="I120" s="57" t="n">
        <v>35900.7650540721</v>
      </c>
      <c r="J120" s="58" t="str">
        <f>I120-E120</f>
      </c>
    </row>
    <row r="121">
      <c r="A121" t="s">
        <v>162</v>
      </c>
      <c r="B121" t="s">
        <v>164</v>
      </c>
      <c r="C121" s="52" t="n">
        <v>2042</v>
      </c>
      <c r="D121" t="s">
        <v>190</v>
      </c>
      <c r="E121" s="53" t="n">
        <v>21296.1402734273</v>
      </c>
      <c r="F121" s="54" t="n">
        <v>14688.225474606</v>
      </c>
      <c r="G121" s="55" t="n">
        <v>14626.3190066004</v>
      </c>
      <c r="H121" s="56" t="str">
        <f>G121-F121</f>
      </c>
      <c r="I121" s="57" t="n">
        <v>21115.5817026885</v>
      </c>
      <c r="J121" s="58" t="str">
        <f>I121-E121</f>
      </c>
    </row>
    <row r="122">
      <c r="A122" t="s">
        <v>162</v>
      </c>
      <c r="B122" t="s">
        <v>164</v>
      </c>
      <c r="C122" s="52" t="n">
        <v>2042</v>
      </c>
      <c r="D122" t="s">
        <v>230</v>
      </c>
      <c r="E122" s="53" t="n">
        <v>1239595.30784484</v>
      </c>
      <c r="F122" s="54" t="n">
        <v>268048.262148113</v>
      </c>
      <c r="G122" s="55" t="n">
        <v>267778.732534162</v>
      </c>
      <c r="H122" s="56" t="str">
        <f>G122-F122</f>
      </c>
      <c r="I122" s="57" t="n">
        <v>1235703.75022274</v>
      </c>
      <c r="J122" s="58" t="str">
        <f>I122-E122</f>
      </c>
    </row>
    <row r="123">
      <c r="A123" t="s">
        <v>162</v>
      </c>
      <c r="B123" t="s">
        <v>164</v>
      </c>
      <c r="C123" s="52" t="n">
        <v>2042</v>
      </c>
      <c r="D123" t="s">
        <v>166</v>
      </c>
      <c r="E123" s="53" t="n">
        <v>113865.958842424</v>
      </c>
      <c r="F123" s="54" t="n">
        <v>76678.0670875782</v>
      </c>
      <c r="G123" s="55" t="n">
        <v>86657.3132213297</v>
      </c>
      <c r="H123" s="56" t="str">
        <f>G123-F123</f>
      </c>
      <c r="I123" s="57" t="n">
        <v>134351.626048708</v>
      </c>
      <c r="J123" s="58" t="str">
        <f>I123-E123</f>
      </c>
    </row>
    <row r="124">
      <c r="A124" t="s">
        <v>162</v>
      </c>
      <c r="B124" t="s">
        <v>164</v>
      </c>
      <c r="C124" s="52" t="n">
        <v>2042</v>
      </c>
      <c r="D124" t="s">
        <v>176</v>
      </c>
      <c r="E124" s="53" t="n">
        <v>236762.803564231</v>
      </c>
      <c r="F124" s="54" t="n">
        <v>229828.309493284</v>
      </c>
      <c r="G124" s="55" t="n">
        <v>257198.349756019</v>
      </c>
      <c r="H124" s="56" t="str">
        <f>G124-F124</f>
      </c>
      <c r="I124" s="57" t="n">
        <v>272280.658720601</v>
      </c>
      <c r="J124" s="58" t="str">
        <f>I124-E124</f>
      </c>
    </row>
    <row r="125">
      <c r="A125" t="s">
        <v>162</v>
      </c>
      <c r="B125" t="s">
        <v>164</v>
      </c>
      <c r="C125" s="52" t="n">
        <v>2042</v>
      </c>
      <c r="D125" t="s">
        <v>180</v>
      </c>
      <c r="E125" s="53" t="n">
        <v>627489.762331289</v>
      </c>
      <c r="F125" s="54" t="n">
        <v>410459.840762242</v>
      </c>
      <c r="G125" s="55" t="n">
        <v>449601.261227495</v>
      </c>
      <c r="H125" s="56" t="str">
        <f>G125-F125</f>
      </c>
      <c r="I125" s="57" t="n">
        <v>744313.272667757</v>
      </c>
      <c r="J125" s="58" t="str">
        <f>I125-E125</f>
      </c>
    </row>
    <row r="126">
      <c r="A126" t="s">
        <v>162</v>
      </c>
      <c r="B126" t="s">
        <v>164</v>
      </c>
      <c r="C126" s="52" t="n">
        <v>2042</v>
      </c>
      <c r="D126" t="s">
        <v>184</v>
      </c>
      <c r="E126" s="53" t="n">
        <v>321219.578360063</v>
      </c>
      <c r="F126" s="54" t="n">
        <v>184099.171412635</v>
      </c>
      <c r="G126" s="55" t="n">
        <v>198082.814103714</v>
      </c>
      <c r="H126" s="56" t="str">
        <f>G126-F126</f>
      </c>
      <c r="I126" s="57" t="n">
        <v>374419.262045636</v>
      </c>
      <c r="J126" s="58" t="str">
        <f>I126-E126</f>
      </c>
    </row>
    <row r="127">
      <c r="A127" t="s">
        <v>162</v>
      </c>
      <c r="B127" t="s">
        <v>164</v>
      </c>
      <c r="C127" s="52" t="n">
        <v>2042</v>
      </c>
      <c r="D127" t="s">
        <v>212</v>
      </c>
      <c r="E127" s="53" t="n">
        <v>35516.8642787402</v>
      </c>
      <c r="F127" s="54" t="n">
        <v>2820.51353281487</v>
      </c>
      <c r="G127" s="55" t="n">
        <v>2820.51221264468</v>
      </c>
      <c r="H127" s="56" t="str">
        <f>G127-F127</f>
      </c>
      <c r="I127" s="57" t="n">
        <v>35516.8405935332</v>
      </c>
      <c r="J127" s="58" t="str">
        <f>I127-E127</f>
      </c>
    </row>
    <row r="128">
      <c r="A128" t="s">
        <v>162</v>
      </c>
      <c r="B128" t="s">
        <v>164</v>
      </c>
      <c r="C128" s="52" t="n">
        <v>2043</v>
      </c>
      <c r="D128" t="s">
        <v>190</v>
      </c>
      <c r="E128" s="53" t="n">
        <v>22002.87970978</v>
      </c>
      <c r="F128" s="54" t="n">
        <v>15079.7376963193</v>
      </c>
      <c r="G128" s="55" t="n">
        <v>15004.0861158129</v>
      </c>
      <c r="H128" s="56" t="str">
        <f>G128-F128</f>
      </c>
      <c r="I128" s="57" t="n">
        <v>21789.1256560335</v>
      </c>
      <c r="J128" s="58" t="str">
        <f>I128-E128</f>
      </c>
    </row>
    <row r="129">
      <c r="A129" t="s">
        <v>162</v>
      </c>
      <c r="B129" t="s">
        <v>164</v>
      </c>
      <c r="C129" s="52" t="n">
        <v>2043</v>
      </c>
      <c r="D129" t="s">
        <v>230</v>
      </c>
      <c r="E129" s="53" t="n">
        <v>1248705.23056494</v>
      </c>
      <c r="F129" s="54" t="n">
        <v>276208.639132603</v>
      </c>
      <c r="G129" s="55" t="n">
        <v>275876.995486318</v>
      </c>
      <c r="H129" s="56" t="str">
        <f>G129-F129</f>
      </c>
      <c r="I129" s="57" t="n">
        <v>1244246.51153606</v>
      </c>
      <c r="J129" s="58" t="str">
        <f>I129-E129</f>
      </c>
    </row>
    <row r="130">
      <c r="A130" t="s">
        <v>162</v>
      </c>
      <c r="B130" t="s">
        <v>164</v>
      </c>
      <c r="C130" s="52" t="n">
        <v>2043</v>
      </c>
      <c r="D130" t="s">
        <v>166</v>
      </c>
      <c r="E130" s="53" t="n">
        <v>114768.132822302</v>
      </c>
      <c r="F130" s="54" t="n">
        <v>76990.5218901498</v>
      </c>
      <c r="G130" s="55" t="n">
        <v>87779.034425801</v>
      </c>
      <c r="H130" s="56" t="str">
        <f>G130-F130</f>
      </c>
      <c r="I130" s="57" t="n">
        <v>136601.974960575</v>
      </c>
      <c r="J130" s="58" t="str">
        <f>I130-E130</f>
      </c>
    </row>
    <row r="131">
      <c r="A131" t="s">
        <v>162</v>
      </c>
      <c r="B131" t="s">
        <v>164</v>
      </c>
      <c r="C131" s="52" t="n">
        <v>2043</v>
      </c>
      <c r="D131" t="s">
        <v>176</v>
      </c>
      <c r="E131" s="53" t="n">
        <v>234475.593603607</v>
      </c>
      <c r="F131" s="54" t="n">
        <v>227760.686892823</v>
      </c>
      <c r="G131" s="55" t="n">
        <v>256777.587157068</v>
      </c>
      <c r="H131" s="56" t="str">
        <f>G131-F131</f>
      </c>
      <c r="I131" s="57" t="n">
        <v>271689.794226751</v>
      </c>
      <c r="J131" s="58" t="str">
        <f>I131-E131</f>
      </c>
    </row>
    <row r="132">
      <c r="A132" t="s">
        <v>162</v>
      </c>
      <c r="B132" t="s">
        <v>164</v>
      </c>
      <c r="C132" s="52" t="n">
        <v>2043</v>
      </c>
      <c r="D132" t="s">
        <v>180</v>
      </c>
      <c r="E132" s="53" t="n">
        <v>629934.210235011</v>
      </c>
      <c r="F132" s="54" t="n">
        <v>413885.926822746</v>
      </c>
      <c r="G132" s="55" t="n">
        <v>456915.722046172</v>
      </c>
      <c r="H132" s="56" t="str">
        <f>G132-F132</f>
      </c>
      <c r="I132" s="57" t="n">
        <v>754370.892413502</v>
      </c>
      <c r="J132" s="58" t="str">
        <f>I132-E132</f>
      </c>
    </row>
    <row r="133">
      <c r="A133" t="s">
        <v>162</v>
      </c>
      <c r="B133" t="s">
        <v>164</v>
      </c>
      <c r="C133" s="52" t="n">
        <v>2043</v>
      </c>
      <c r="D133" t="s">
        <v>184</v>
      </c>
      <c r="E133" s="53" t="n">
        <v>322164.497893958</v>
      </c>
      <c r="F133" s="54" t="n">
        <v>184868.650742317</v>
      </c>
      <c r="G133" s="55" t="n">
        <v>200204.274251736</v>
      </c>
      <c r="H133" s="56" t="str">
        <f>G133-F133</f>
      </c>
      <c r="I133" s="57" t="n">
        <v>378766.534515357</v>
      </c>
      <c r="J133" s="58" t="str">
        <f>I133-E133</f>
      </c>
    </row>
    <row r="134">
      <c r="A134" t="s">
        <v>162</v>
      </c>
      <c r="B134" t="s">
        <v>164</v>
      </c>
      <c r="C134" s="52" t="n">
        <v>2043</v>
      </c>
      <c r="D134" t="s">
        <v>212</v>
      </c>
      <c r="E134" s="53" t="n">
        <v>35328.7966929842</v>
      </c>
      <c r="F134" s="54" t="n">
        <v>2698.33273527608</v>
      </c>
      <c r="G134" s="55" t="n">
        <v>2698.33092960504</v>
      </c>
      <c r="H134" s="56" t="str">
        <f>G134-F134</f>
      </c>
      <c r="I134" s="57" t="n">
        <v>35328.7732033082</v>
      </c>
      <c r="J134" s="58" t="str">
        <f>I134-E134</f>
      </c>
    </row>
    <row r="135">
      <c r="A135" t="s">
        <v>162</v>
      </c>
      <c r="B135" t="s">
        <v>164</v>
      </c>
      <c r="C135" s="52" t="n">
        <v>2044</v>
      </c>
      <c r="D135" t="s">
        <v>190</v>
      </c>
      <c r="E135" s="53" t="n">
        <v>22723.1335814273</v>
      </c>
      <c r="F135" s="54" t="n">
        <v>15479.9588185516</v>
      </c>
      <c r="G135" s="55" t="n">
        <v>15388.6382618872</v>
      </c>
      <c r="H135" s="56" t="str">
        <f>G135-F135</f>
      </c>
      <c r="I135" s="57" t="n">
        <v>22472.4057787798</v>
      </c>
      <c r="J135" s="58" t="str">
        <f>I135-E135</f>
      </c>
    </row>
    <row r="136">
      <c r="A136" t="s">
        <v>162</v>
      </c>
      <c r="B136" t="s">
        <v>164</v>
      </c>
      <c r="C136" s="52" t="n">
        <v>2044</v>
      </c>
      <c r="D136" t="s">
        <v>230</v>
      </c>
      <c r="E136" s="53" t="n">
        <v>1257584.56985088</v>
      </c>
      <c r="F136" s="54" t="n">
        <v>284304.919362888</v>
      </c>
      <c r="G136" s="55" t="n">
        <v>283902.050416871</v>
      </c>
      <c r="H136" s="56" t="str">
        <f>G136-F136</f>
      </c>
      <c r="I136" s="57" t="n">
        <v>1252519.7576167</v>
      </c>
      <c r="J136" s="58" t="str">
        <f>I136-E136</f>
      </c>
    </row>
    <row r="137">
      <c r="A137" t="s">
        <v>162</v>
      </c>
      <c r="B137" t="s">
        <v>164</v>
      </c>
      <c r="C137" s="52" t="n">
        <v>2044</v>
      </c>
      <c r="D137" t="s">
        <v>166</v>
      </c>
      <c r="E137" s="53" t="n">
        <v>115054.653213622</v>
      </c>
      <c r="F137" s="54" t="n">
        <v>77307.4551218326</v>
      </c>
      <c r="G137" s="55" t="n">
        <v>88912.4462868978</v>
      </c>
      <c r="H137" s="56" t="str">
        <f>G137-F137</f>
      </c>
      <c r="I137" s="57" t="n">
        <v>138127.807492249</v>
      </c>
      <c r="J137" s="58" t="str">
        <f>I137-E137</f>
      </c>
    </row>
    <row r="138">
      <c r="A138" t="s">
        <v>162</v>
      </c>
      <c r="B138" t="s">
        <v>164</v>
      </c>
      <c r="C138" s="52" t="n">
        <v>2044</v>
      </c>
      <c r="D138" t="s">
        <v>176</v>
      </c>
      <c r="E138" s="53" t="n">
        <v>232119.018773044</v>
      </c>
      <c r="F138" s="54" t="n">
        <v>225799.684527459</v>
      </c>
      <c r="G138" s="55" t="n">
        <v>256436.399818879</v>
      </c>
      <c r="H138" s="56" t="str">
        <f>G138-F138</f>
      </c>
      <c r="I138" s="57" t="n">
        <v>270981.060601887</v>
      </c>
      <c r="J138" s="58" t="str">
        <f>I138-E138</f>
      </c>
    </row>
    <row r="139">
      <c r="A139" t="s">
        <v>162</v>
      </c>
      <c r="B139" t="s">
        <v>164</v>
      </c>
      <c r="C139" s="52" t="n">
        <v>2044</v>
      </c>
      <c r="D139" t="s">
        <v>180</v>
      </c>
      <c r="E139" s="53" t="n">
        <v>629311.063599968</v>
      </c>
      <c r="F139" s="54" t="n">
        <v>417206.789132203</v>
      </c>
      <c r="G139" s="55" t="n">
        <v>464236.623828497</v>
      </c>
      <c r="H139" s="56" t="str">
        <f>G139-F139</f>
      </c>
      <c r="I139" s="57" t="n">
        <v>760751.529161819</v>
      </c>
      <c r="J139" s="58" t="str">
        <f>I139-E139</f>
      </c>
    </row>
    <row r="140">
      <c r="A140" t="s">
        <v>162</v>
      </c>
      <c r="B140" t="s">
        <v>164</v>
      </c>
      <c r="C140" s="52" t="n">
        <v>2044</v>
      </c>
      <c r="D140" t="s">
        <v>184</v>
      </c>
      <c r="E140" s="53" t="n">
        <v>321188.974122765</v>
      </c>
      <c r="F140" s="54" t="n">
        <v>186045.34465459</v>
      </c>
      <c r="G140" s="55" t="n">
        <v>202762.435405402</v>
      </c>
      <c r="H140" s="56" t="str">
        <f>G140-F140</f>
      </c>
      <c r="I140" s="57" t="n">
        <v>380754.514374576</v>
      </c>
      <c r="J140" s="58" t="str">
        <f>I140-E140</f>
      </c>
    </row>
    <row r="141">
      <c r="A141" t="s">
        <v>162</v>
      </c>
      <c r="B141" t="s">
        <v>164</v>
      </c>
      <c r="C141" s="52" t="n">
        <v>2044</v>
      </c>
      <c r="D141" t="s">
        <v>212</v>
      </c>
      <c r="E141" s="53" t="n">
        <v>35046.720360471</v>
      </c>
      <c r="F141" s="54" t="n">
        <v>2573.79440916957</v>
      </c>
      <c r="G141" s="55" t="n">
        <v>2573.79262430521</v>
      </c>
      <c r="H141" s="56" t="str">
        <f>G141-F141</f>
      </c>
      <c r="I141" s="57" t="n">
        <v>35046.7052079593</v>
      </c>
      <c r="J141" s="58" t="str">
        <f>I141-E141</f>
      </c>
    </row>
    <row r="142">
      <c r="A142" t="s">
        <v>162</v>
      </c>
      <c r="B142" t="s">
        <v>164</v>
      </c>
      <c r="C142" s="52" t="n">
        <v>2045</v>
      </c>
      <c r="D142" t="s">
        <v>190</v>
      </c>
      <c r="E142" s="53" t="n">
        <v>23458.634137289</v>
      </c>
      <c r="F142" s="54" t="n">
        <v>15880.7096898992</v>
      </c>
      <c r="G142" s="55" t="n">
        <v>15771.7189092791</v>
      </c>
      <c r="H142" s="56" t="str">
        <f>G142-F142</f>
      </c>
      <c r="I142" s="57" t="n">
        <v>23166.9456880515</v>
      </c>
      <c r="J142" s="58" t="str">
        <f>I142-E142</f>
      </c>
    </row>
    <row r="143">
      <c r="A143" t="s">
        <v>162</v>
      </c>
      <c r="B143" t="s">
        <v>164</v>
      </c>
      <c r="C143" s="52" t="n">
        <v>2045</v>
      </c>
      <c r="D143" t="s">
        <v>230</v>
      </c>
      <c r="E143" s="53" t="n">
        <v>1266302.11120908</v>
      </c>
      <c r="F143" s="54" t="n">
        <v>292305.776106695</v>
      </c>
      <c r="G143" s="55" t="n">
        <v>291822.027540257</v>
      </c>
      <c r="H143" s="56" t="str">
        <f>G143-F143</f>
      </c>
      <c r="I143" s="57" t="n">
        <v>1260592.98702146</v>
      </c>
      <c r="J143" s="58" t="str">
        <f>I143-E143</f>
      </c>
    </row>
    <row r="144">
      <c r="A144" t="s">
        <v>162</v>
      </c>
      <c r="B144" t="s">
        <v>164</v>
      </c>
      <c r="C144" s="52" t="n">
        <v>2045</v>
      </c>
      <c r="D144" t="s">
        <v>166</v>
      </c>
      <c r="E144" s="53" t="n">
        <v>115786.479529558</v>
      </c>
      <c r="F144" s="54" t="n">
        <v>77611.8152329733</v>
      </c>
      <c r="G144" s="55" t="n">
        <v>90041.6045905888</v>
      </c>
      <c r="H144" s="56" t="str">
        <f>G144-F144</f>
      </c>
      <c r="I144" s="57" t="n">
        <v>140172.774815525</v>
      </c>
      <c r="J144" s="58" t="str">
        <f>I144-E144</f>
      </c>
    </row>
    <row r="145">
      <c r="A145" t="s">
        <v>162</v>
      </c>
      <c r="B145" t="s">
        <v>164</v>
      </c>
      <c r="C145" s="52" t="n">
        <v>2045</v>
      </c>
      <c r="D145" t="s">
        <v>176</v>
      </c>
      <c r="E145" s="53" t="n">
        <v>229945.669091773</v>
      </c>
      <c r="F145" s="54" t="n">
        <v>223752.66969592</v>
      </c>
      <c r="G145" s="55" t="n">
        <v>255976.908113305</v>
      </c>
      <c r="H145" s="56" t="str">
        <f>G145-F145</f>
      </c>
      <c r="I145" s="57" t="n">
        <v>270438.603152282</v>
      </c>
      <c r="J145" s="58" t="str">
        <f>I145-E145</f>
      </c>
    </row>
    <row r="146">
      <c r="A146" t="s">
        <v>162</v>
      </c>
      <c r="B146" t="s">
        <v>164</v>
      </c>
      <c r="C146" s="52" t="n">
        <v>2045</v>
      </c>
      <c r="D146" t="s">
        <v>180</v>
      </c>
      <c r="E146" s="53" t="n">
        <v>630481.249280356</v>
      </c>
      <c r="F146" s="54" t="n">
        <v>419789.246299262</v>
      </c>
      <c r="G146" s="55" t="n">
        <v>470920.29436777</v>
      </c>
      <c r="H146" s="56" t="str">
        <f>G146-F146</f>
      </c>
      <c r="I146" s="57" t="n">
        <v>769313.803212411</v>
      </c>
      <c r="J146" s="58" t="str">
        <f>I146-E146</f>
      </c>
    </row>
    <row r="147">
      <c r="A147" t="s">
        <v>162</v>
      </c>
      <c r="B147" t="s">
        <v>164</v>
      </c>
      <c r="C147" s="52" t="n">
        <v>2045</v>
      </c>
      <c r="D147" t="s">
        <v>184</v>
      </c>
      <c r="E147" s="53" t="n">
        <v>321182.949397498</v>
      </c>
      <c r="F147" s="54" t="n">
        <v>186739.99918041</v>
      </c>
      <c r="G147" s="55" t="n">
        <v>204869.328897989</v>
      </c>
      <c r="H147" s="56" t="str">
        <f>G147-F147</f>
      </c>
      <c r="I147" s="57" t="n">
        <v>383936.192524615</v>
      </c>
      <c r="J147" s="58" t="str">
        <f>I147-E147</f>
      </c>
    </row>
    <row r="148">
      <c r="A148" t="s">
        <v>162</v>
      </c>
      <c r="B148" t="s">
        <v>164</v>
      </c>
      <c r="C148" s="52" t="n">
        <v>2045</v>
      </c>
      <c r="D148" t="s">
        <v>212</v>
      </c>
      <c r="E148" s="53" t="n">
        <v>34846.7320205174</v>
      </c>
      <c r="F148" s="54" t="n">
        <v>2452.74856898973</v>
      </c>
      <c r="G148" s="55" t="n">
        <v>2452.74707379338</v>
      </c>
      <c r="H148" s="56" t="str">
        <f>G148-F148</f>
      </c>
      <c r="I148" s="57" t="n">
        <v>34846.7151562227</v>
      </c>
      <c r="J148" s="58" t="str">
        <f>I148-E148</f>
      </c>
    </row>
    <row r="149">
      <c r="A149" t="s">
        <v>162</v>
      </c>
      <c r="B149" t="s">
        <v>164</v>
      </c>
      <c r="C149" s="52" t="n">
        <v>2046</v>
      </c>
      <c r="D149" t="s">
        <v>190</v>
      </c>
      <c r="E149" s="53" t="n">
        <v>24204.9361751836</v>
      </c>
      <c r="F149" s="54" t="n">
        <v>16294.1594502979</v>
      </c>
      <c r="G149" s="55" t="n">
        <v>16165.2905403234</v>
      </c>
      <c r="H149" s="56" t="str">
        <f>G149-F149</f>
      </c>
      <c r="I149" s="57" t="n">
        <v>23868.2179440388</v>
      </c>
      <c r="J149" s="58" t="str">
        <f>I149-E149</f>
      </c>
    </row>
    <row r="150">
      <c r="A150" t="s">
        <v>162</v>
      </c>
      <c r="B150" t="s">
        <v>164</v>
      </c>
      <c r="C150" s="52" t="n">
        <v>2046</v>
      </c>
      <c r="D150" t="s">
        <v>230</v>
      </c>
      <c r="E150" s="53" t="n">
        <v>1274866.25736097</v>
      </c>
      <c r="F150" s="54" t="n">
        <v>300171.715739264</v>
      </c>
      <c r="G150" s="55" t="n">
        <v>299596.928666138</v>
      </c>
      <c r="H150" s="56" t="str">
        <f>G150-F150</f>
      </c>
      <c r="I150" s="57" t="n">
        <v>1268475.95633212</v>
      </c>
      <c r="J150" s="58" t="str">
        <f>I150-E150</f>
      </c>
    </row>
    <row r="151">
      <c r="A151" t="s">
        <v>162</v>
      </c>
      <c r="B151" t="s">
        <v>164</v>
      </c>
      <c r="C151" s="52" t="n">
        <v>2046</v>
      </c>
      <c r="D151" t="s">
        <v>166</v>
      </c>
      <c r="E151" s="53" t="n">
        <v>116482.305344592</v>
      </c>
      <c r="F151" s="54" t="n">
        <v>77938.3475702853</v>
      </c>
      <c r="G151" s="55" t="n">
        <v>91198.8909425984</v>
      </c>
      <c r="H151" s="56" t="str">
        <f>G151-F151</f>
      </c>
      <c r="I151" s="57" t="n">
        <v>142194.053650607</v>
      </c>
      <c r="J151" s="58" t="str">
        <f>I151-E151</f>
      </c>
    </row>
    <row r="152">
      <c r="A152" t="s">
        <v>162</v>
      </c>
      <c r="B152" t="s">
        <v>164</v>
      </c>
      <c r="C152" s="52" t="n">
        <v>2046</v>
      </c>
      <c r="D152" t="s">
        <v>176</v>
      </c>
      <c r="E152" s="53" t="n">
        <v>227811.769186491</v>
      </c>
      <c r="F152" s="54" t="n">
        <v>221661.612012632</v>
      </c>
      <c r="G152" s="55" t="n">
        <v>255431.161412817</v>
      </c>
      <c r="H152" s="56" t="str">
        <f>G152-F152</f>
      </c>
      <c r="I152" s="57" t="n">
        <v>269923.251682947</v>
      </c>
      <c r="J152" s="58" t="str">
        <f>I152-E152</f>
      </c>
    </row>
    <row r="153">
      <c r="A153" t="s">
        <v>162</v>
      </c>
      <c r="B153" t="s">
        <v>164</v>
      </c>
      <c r="C153" s="52" t="n">
        <v>2046</v>
      </c>
      <c r="D153" t="s">
        <v>180</v>
      </c>
      <c r="E153" s="53" t="n">
        <v>631723.489099781</v>
      </c>
      <c r="F153" s="54" t="n">
        <v>422505.185019098</v>
      </c>
      <c r="G153" s="55" t="n">
        <v>477828.931731945</v>
      </c>
      <c r="H153" s="56" t="str">
        <f>G153-F153</f>
      </c>
      <c r="I153" s="57" t="n">
        <v>778095.842672562</v>
      </c>
      <c r="J153" s="58" t="str">
        <f>I153-E153</f>
      </c>
    </row>
    <row r="154">
      <c r="A154" t="s">
        <v>162</v>
      </c>
      <c r="B154" t="s">
        <v>164</v>
      </c>
      <c r="C154" s="52" t="n">
        <v>2046</v>
      </c>
      <c r="D154" t="s">
        <v>184</v>
      </c>
      <c r="E154" s="53" t="n">
        <v>321158.677225133</v>
      </c>
      <c r="F154" s="54" t="n">
        <v>187477.376407029</v>
      </c>
      <c r="G154" s="55" t="n">
        <v>207048.945254603</v>
      </c>
      <c r="H154" s="56" t="str">
        <f>G154-F154</f>
      </c>
      <c r="I154" s="57" t="n">
        <v>387151.427044792</v>
      </c>
      <c r="J154" s="58" t="str">
        <f>I154-E154</f>
      </c>
    </row>
    <row r="155">
      <c r="A155" t="s">
        <v>162</v>
      </c>
      <c r="B155" t="s">
        <v>164</v>
      </c>
      <c r="C155" s="52" t="n">
        <v>2046</v>
      </c>
      <c r="D155" t="s">
        <v>212</v>
      </c>
      <c r="E155" s="53" t="n">
        <v>34688.3146430647</v>
      </c>
      <c r="F155" s="54" t="n">
        <v>2335.67401385876</v>
      </c>
      <c r="G155" s="55" t="n">
        <v>2335.67260927364</v>
      </c>
      <c r="H155" s="56" t="str">
        <f>G155-F155</f>
      </c>
      <c r="I155" s="57" t="n">
        <v>34688.296767041</v>
      </c>
      <c r="J155" s="58" t="str">
        <f>I155-E155</f>
      </c>
    </row>
    <row r="156">
      <c r="A156" t="s">
        <v>162</v>
      </c>
      <c r="B156" t="s">
        <v>164</v>
      </c>
      <c r="C156" s="52" t="n">
        <v>2047</v>
      </c>
      <c r="D156" t="s">
        <v>190</v>
      </c>
      <c r="E156" s="53" t="n">
        <v>24961.6706726337</v>
      </c>
      <c r="F156" s="54" t="n">
        <v>16719.5902515242</v>
      </c>
      <c r="G156" s="55" t="n">
        <v>16568.5748299244</v>
      </c>
      <c r="H156" s="56" t="str">
        <f>G156-F156</f>
      </c>
      <c r="I156" s="57" t="n">
        <v>24575.6851293632</v>
      </c>
      <c r="J156" s="58" t="str">
        <f>I156-E156</f>
      </c>
    </row>
    <row r="157">
      <c r="A157" t="s">
        <v>162</v>
      </c>
      <c r="B157" t="s">
        <v>164</v>
      </c>
      <c r="C157" s="52" t="n">
        <v>2047</v>
      </c>
      <c r="D157" t="s">
        <v>230</v>
      </c>
      <c r="E157" s="53" t="n">
        <v>1283180.81352384</v>
      </c>
      <c r="F157" s="54" t="n">
        <v>307852.365434876</v>
      </c>
      <c r="G157" s="55" t="n">
        <v>307176.008738621</v>
      </c>
      <c r="H157" s="56" t="str">
        <f>G157-F157</f>
      </c>
      <c r="I157" s="57" t="n">
        <v>1276073.48469778</v>
      </c>
      <c r="J157" s="58" t="str">
        <f>I157-E157</f>
      </c>
    </row>
    <row r="158">
      <c r="A158" t="s">
        <v>162</v>
      </c>
      <c r="B158" t="s">
        <v>164</v>
      </c>
      <c r="C158" s="52" t="n">
        <v>2047</v>
      </c>
      <c r="D158" t="s">
        <v>166</v>
      </c>
      <c r="E158" s="53" t="n">
        <v>117191.823465439</v>
      </c>
      <c r="F158" s="54" t="n">
        <v>78239.8739959651</v>
      </c>
      <c r="G158" s="55" t="n">
        <v>92333.8882911569</v>
      </c>
      <c r="H158" s="56" t="str">
        <f>G158-F158</f>
      </c>
      <c r="I158" s="57" t="n">
        <v>144246.070856709</v>
      </c>
      <c r="J158" s="58" t="str">
        <f>I158-E158</f>
      </c>
    </row>
    <row r="159">
      <c r="A159" t="s">
        <v>162</v>
      </c>
      <c r="B159" t="s">
        <v>164</v>
      </c>
      <c r="C159" s="52" t="n">
        <v>2047</v>
      </c>
      <c r="D159" t="s">
        <v>176</v>
      </c>
      <c r="E159" s="53" t="n">
        <v>225474.144330566</v>
      </c>
      <c r="F159" s="54" t="n">
        <v>219477.277848785</v>
      </c>
      <c r="G159" s="55" t="n">
        <v>254760.803670819</v>
      </c>
      <c r="H159" s="56" t="str">
        <f>G159-F159</f>
      </c>
      <c r="I159" s="57" t="n">
        <v>269145.730668352</v>
      </c>
      <c r="J159" s="58" t="str">
        <f>I159-E159</f>
      </c>
    </row>
    <row r="160">
      <c r="A160" t="s">
        <v>162</v>
      </c>
      <c r="B160" t="s">
        <v>164</v>
      </c>
      <c r="C160" s="52" t="n">
        <v>2047</v>
      </c>
      <c r="D160" t="s">
        <v>180</v>
      </c>
      <c r="E160" s="53" t="n">
        <v>632786.067367661</v>
      </c>
      <c r="F160" s="54" t="n">
        <v>425077.461441192</v>
      </c>
      <c r="G160" s="55" t="n">
        <v>484667.16956347</v>
      </c>
      <c r="H160" s="56" t="str">
        <f>G160-F160</f>
      </c>
      <c r="I160" s="57" t="n">
        <v>786867.366017657</v>
      </c>
      <c r="J160" s="58" t="str">
        <f>I160-E160</f>
      </c>
    </row>
    <row r="161">
      <c r="A161" t="s">
        <v>162</v>
      </c>
      <c r="B161" t="s">
        <v>164</v>
      </c>
      <c r="C161" s="52" t="n">
        <v>2047</v>
      </c>
      <c r="D161" t="s">
        <v>184</v>
      </c>
      <c r="E161" s="53" t="n">
        <v>321261.195379843</v>
      </c>
      <c r="F161" s="54" t="n">
        <v>188122.542863421</v>
      </c>
      <c r="G161" s="55" t="n">
        <v>209160.858915749</v>
      </c>
      <c r="H161" s="56" t="str">
        <f>G161-F161</f>
      </c>
      <c r="I161" s="57" t="n">
        <v>390597.57749153</v>
      </c>
      <c r="J161" s="58" t="str">
        <f>I161-E161</f>
      </c>
    </row>
    <row r="162">
      <c r="A162" t="s">
        <v>162</v>
      </c>
      <c r="B162" t="s">
        <v>164</v>
      </c>
      <c r="C162" s="52" t="n">
        <v>2047</v>
      </c>
      <c r="D162" t="s">
        <v>212</v>
      </c>
      <c r="E162" s="53" t="n">
        <v>34402.4728222346</v>
      </c>
      <c r="F162" s="54" t="n">
        <v>2222.25316254155</v>
      </c>
      <c r="G162" s="55" t="n">
        <v>2222.25178382332</v>
      </c>
      <c r="H162" s="56" t="str">
        <f>G162-F162</f>
      </c>
      <c r="I162" s="57" t="n">
        <v>34402.454286142</v>
      </c>
      <c r="J162" s="58" t="str">
        <f>I162-E162</f>
      </c>
    </row>
    <row r="163">
      <c r="A163" t="s">
        <v>162</v>
      </c>
      <c r="B163" t="s">
        <v>164</v>
      </c>
      <c r="C163" s="52" t="n">
        <v>2048</v>
      </c>
      <c r="D163" t="s">
        <v>190</v>
      </c>
      <c r="E163" s="53" t="n">
        <v>25722.4119970338</v>
      </c>
      <c r="F163" s="54" t="n">
        <v>17158.4644782448</v>
      </c>
      <c r="G163" s="55" t="n">
        <v>16982.9671313776</v>
      </c>
      <c r="H163" s="56" t="str">
        <f>G163-F163</f>
      </c>
      <c r="I163" s="57" t="n">
        <v>25282.866550534</v>
      </c>
      <c r="J163" s="58" t="str">
        <f>I163-E163</f>
      </c>
    </row>
    <row r="164">
      <c r="A164" t="s">
        <v>162</v>
      </c>
      <c r="B164" t="s">
        <v>164</v>
      </c>
      <c r="C164" s="52" t="n">
        <v>2048</v>
      </c>
      <c r="D164" t="s">
        <v>230</v>
      </c>
      <c r="E164" s="53" t="n">
        <v>1291326.59239889</v>
      </c>
      <c r="F164" s="54" t="n">
        <v>315338.622759857</v>
      </c>
      <c r="G164" s="55" t="n">
        <v>314549.83162808</v>
      </c>
      <c r="H164" s="56" t="str">
        <f>G164-F164</f>
      </c>
      <c r="I164" s="57" t="n">
        <v>1283467.75295342</v>
      </c>
      <c r="J164" s="58" t="str">
        <f>I164-E164</f>
      </c>
    </row>
    <row r="165">
      <c r="A165" t="s">
        <v>162</v>
      </c>
      <c r="B165" t="s">
        <v>164</v>
      </c>
      <c r="C165" s="52" t="n">
        <v>2048</v>
      </c>
      <c r="D165" t="s">
        <v>166</v>
      </c>
      <c r="E165" s="53" t="n">
        <v>117993.18984724</v>
      </c>
      <c r="F165" s="54" t="n">
        <v>78502.3877922935</v>
      </c>
      <c r="G165" s="55" t="n">
        <v>93427.507277049</v>
      </c>
      <c r="H165" s="56" t="str">
        <f>G165-F165</f>
      </c>
      <c r="I165" s="57" t="n">
        <v>146413.853149174</v>
      </c>
      <c r="J165" s="58" t="str">
        <f>I165-E165</f>
      </c>
    </row>
    <row r="166">
      <c r="A166" t="s">
        <v>162</v>
      </c>
      <c r="B166" t="s">
        <v>164</v>
      </c>
      <c r="C166" s="52" t="n">
        <v>2048</v>
      </c>
      <c r="D166" t="s">
        <v>176</v>
      </c>
      <c r="E166" s="53" t="n">
        <v>222972.635120559</v>
      </c>
      <c r="F166" s="54" t="n">
        <v>217135.302637667</v>
      </c>
      <c r="G166" s="55" t="n">
        <v>253872.047418824</v>
      </c>
      <c r="H166" s="56" t="str">
        <f>G166-F166</f>
      </c>
      <c r="I166" s="57" t="n">
        <v>268085.447945834</v>
      </c>
      <c r="J166" s="58" t="str">
        <f>I166-E166</f>
      </c>
    </row>
    <row r="167">
      <c r="A167" t="s">
        <v>162</v>
      </c>
      <c r="B167" t="s">
        <v>164</v>
      </c>
      <c r="C167" s="52" t="n">
        <v>2048</v>
      </c>
      <c r="D167" t="s">
        <v>180</v>
      </c>
      <c r="E167" s="53" t="n">
        <v>634065.084168087</v>
      </c>
      <c r="F167" s="54" t="n">
        <v>427407.492657402</v>
      </c>
      <c r="G167" s="55" t="n">
        <v>491307.709328566</v>
      </c>
      <c r="H167" s="56" t="str">
        <f>G167-F167</f>
      </c>
      <c r="I167" s="57" t="n">
        <v>795796.819401734</v>
      </c>
      <c r="J167" s="58" t="str">
        <f>I167-E167</f>
      </c>
    </row>
    <row r="168">
      <c r="A168" t="s">
        <v>162</v>
      </c>
      <c r="B168" t="s">
        <v>164</v>
      </c>
      <c r="C168" s="52" t="n">
        <v>2048</v>
      </c>
      <c r="D168" t="s">
        <v>184</v>
      </c>
      <c r="E168" s="53" t="n">
        <v>321580.00514494</v>
      </c>
      <c r="F168" s="54" t="n">
        <v>188667.048516238</v>
      </c>
      <c r="G168" s="55" t="n">
        <v>211189.299415093</v>
      </c>
      <c r="H168" s="56" t="str">
        <f>G168-F168</f>
      </c>
      <c r="I168" s="57" t="n">
        <v>394306.234009074</v>
      </c>
      <c r="J168" s="58" t="str">
        <f>I168-E168</f>
      </c>
    </row>
    <row r="169">
      <c r="A169" t="s">
        <v>162</v>
      </c>
      <c r="B169" t="s">
        <v>164</v>
      </c>
      <c r="C169" s="52" t="n">
        <v>2048</v>
      </c>
      <c r="D169" t="s">
        <v>212</v>
      </c>
      <c r="E169" s="53" t="n">
        <v>34278.8822664001</v>
      </c>
      <c r="F169" s="54" t="n">
        <v>2112.66311396578</v>
      </c>
      <c r="G169" s="55" t="n">
        <v>2112.66174533725</v>
      </c>
      <c r="H169" s="56" t="str">
        <f>G169-F169</f>
      </c>
      <c r="I169" s="57" t="n">
        <v>34278.8634968121</v>
      </c>
      <c r="J169" s="58" t="str">
        <f>I169-E169</f>
      </c>
    </row>
    <row r="170">
      <c r="A170" t="s">
        <v>162</v>
      </c>
      <c r="B170" t="s">
        <v>164</v>
      </c>
      <c r="C170" s="52" t="n">
        <v>2049</v>
      </c>
      <c r="D170" t="s">
        <v>190</v>
      </c>
      <c r="E170" s="53" t="n">
        <v>26483.9558155209</v>
      </c>
      <c r="F170" s="54" t="n">
        <v>17609.0982606695</v>
      </c>
      <c r="G170" s="55" t="n">
        <v>17406.6591140935</v>
      </c>
      <c r="H170" s="56" t="str">
        <f>G170-F170</f>
      </c>
      <c r="I170" s="57" t="n">
        <v>25986.5373789525</v>
      </c>
      <c r="J170" s="58" t="str">
        <f>I170-E170</f>
      </c>
    </row>
    <row r="171">
      <c r="A171" t="s">
        <v>162</v>
      </c>
      <c r="B171" t="s">
        <v>164</v>
      </c>
      <c r="C171" s="52" t="n">
        <v>2049</v>
      </c>
      <c r="D171" t="s">
        <v>230</v>
      </c>
      <c r="E171" s="53" t="n">
        <v>1299331.53259625</v>
      </c>
      <c r="F171" s="54" t="n">
        <v>322652.983381006</v>
      </c>
      <c r="G171" s="55" t="n">
        <v>321740.501148806</v>
      </c>
      <c r="H171" s="56" t="str">
        <f>G171-F171</f>
      </c>
      <c r="I171" s="57" t="n">
        <v>1290687.53512959</v>
      </c>
      <c r="J171" s="58" t="str">
        <f>I171-E171</f>
      </c>
    </row>
    <row r="172">
      <c r="A172" t="s">
        <v>162</v>
      </c>
      <c r="B172" t="s">
        <v>164</v>
      </c>
      <c r="C172" s="52" t="n">
        <v>2049</v>
      </c>
      <c r="D172" t="s">
        <v>166</v>
      </c>
      <c r="E172" s="53" t="n">
        <v>118236.072646068</v>
      </c>
      <c r="F172" s="54" t="n">
        <v>78783.3355906995</v>
      </c>
      <c r="G172" s="55" t="n">
        <v>94546.8656755522</v>
      </c>
      <c r="H172" s="56" t="str">
        <f>G172-F172</f>
      </c>
      <c r="I172" s="57" t="n">
        <v>147882.099837348</v>
      </c>
      <c r="J172" s="58" t="str">
        <f>I172-E172</f>
      </c>
    </row>
    <row r="173">
      <c r="A173" t="s">
        <v>162</v>
      </c>
      <c r="B173" t="s">
        <v>164</v>
      </c>
      <c r="C173" s="52" t="n">
        <v>2049</v>
      </c>
      <c r="D173" t="s">
        <v>176</v>
      </c>
      <c r="E173" s="53" t="n">
        <v>220495.144577335</v>
      </c>
      <c r="F173" s="54" t="n">
        <v>214942.965024394</v>
      </c>
      <c r="G173" s="55" t="n">
        <v>253105.506935702</v>
      </c>
      <c r="H173" s="56" t="str">
        <f>G173-F173</f>
      </c>
      <c r="I173" s="57" t="n">
        <v>267003.550155027</v>
      </c>
      <c r="J173" s="58" t="str">
        <f>I173-E173</f>
      </c>
    </row>
    <row r="174">
      <c r="A174" t="s">
        <v>162</v>
      </c>
      <c r="B174" t="s">
        <v>164</v>
      </c>
      <c r="C174" s="52" t="n">
        <v>2049</v>
      </c>
      <c r="D174" t="s">
        <v>180</v>
      </c>
      <c r="E174" s="53" t="n">
        <v>632926.129146766</v>
      </c>
      <c r="F174" s="54" t="n">
        <v>429707.807158084</v>
      </c>
      <c r="G174" s="55" t="n">
        <v>498010.651524044</v>
      </c>
      <c r="H174" s="56" t="str">
        <f>G174-F174</f>
      </c>
      <c r="I174" s="57" t="n">
        <v>801596.853664258</v>
      </c>
      <c r="J174" s="58" t="str">
        <f>I174-E174</f>
      </c>
    </row>
    <row r="175">
      <c r="A175" t="s">
        <v>162</v>
      </c>
      <c r="B175" t="s">
        <v>164</v>
      </c>
      <c r="C175" s="52" t="n">
        <v>2049</v>
      </c>
      <c r="D175" t="s">
        <v>184</v>
      </c>
      <c r="E175" s="53" t="n">
        <v>320431.005743532</v>
      </c>
      <c r="F175" s="54" t="n">
        <v>189548.659361725</v>
      </c>
      <c r="G175" s="55" t="n">
        <v>213580.236200068</v>
      </c>
      <c r="H175" s="56" t="str">
        <f>G175-F175</f>
      </c>
      <c r="I175" s="57" t="n">
        <v>396058.615955627</v>
      </c>
      <c r="J175" s="58" t="str">
        <f>I175-E175</f>
      </c>
    </row>
    <row r="176">
      <c r="A176" t="s">
        <v>162</v>
      </c>
      <c r="B176" t="s">
        <v>164</v>
      </c>
      <c r="C176" s="52" t="n">
        <v>2049</v>
      </c>
      <c r="D176" t="s">
        <v>212</v>
      </c>
      <c r="E176" s="53" t="n">
        <v>34087.7708657415</v>
      </c>
      <c r="F176" s="54" t="n">
        <v>1998.59345672868</v>
      </c>
      <c r="G176" s="55" t="n">
        <v>1998.59223363335</v>
      </c>
      <c r="H176" s="56" t="str">
        <f>G176-F176</f>
      </c>
      <c r="I176" s="57" t="n">
        <v>34087.7627067011</v>
      </c>
      <c r="J176" s="58" t="str">
        <f>I176-E176</f>
      </c>
    </row>
    <row r="177">
      <c r="A177" t="s">
        <v>162</v>
      </c>
      <c r="B177" t="s">
        <v>164</v>
      </c>
      <c r="C177" s="52" t="n">
        <v>2050</v>
      </c>
      <c r="D177" t="s">
        <v>190</v>
      </c>
      <c r="E177" s="53" t="n">
        <v>27249.9209005161</v>
      </c>
      <c r="F177" s="54" t="n">
        <v>18060.4756213493</v>
      </c>
      <c r="G177" s="55" t="n">
        <v>17828.637482456</v>
      </c>
      <c r="H177" s="56" t="str">
        <f>G177-F177</f>
      </c>
      <c r="I177" s="57" t="n">
        <v>26690.1101954068</v>
      </c>
      <c r="J177" s="58" t="str">
        <f>I177-E177</f>
      </c>
    </row>
    <row r="178">
      <c r="A178" t="s">
        <v>162</v>
      </c>
      <c r="B178" t="s">
        <v>164</v>
      </c>
      <c r="C178" s="52" t="n">
        <v>2050</v>
      </c>
      <c r="D178" t="s">
        <v>230</v>
      </c>
      <c r="E178" s="53" t="n">
        <v>1307261.3920293</v>
      </c>
      <c r="F178" s="54" t="n">
        <v>329781.645756939</v>
      </c>
      <c r="G178" s="55" t="n">
        <v>328734.061465412</v>
      </c>
      <c r="H178" s="56" t="str">
        <f>G178-F178</f>
      </c>
      <c r="I178" s="57" t="n">
        <v>1297798.19122542</v>
      </c>
      <c r="J178" s="58" t="str">
        <f>I178-E178</f>
      </c>
    </row>
    <row r="179">
      <c r="A179" t="s">
        <v>162</v>
      </c>
      <c r="B179" t="s">
        <v>164</v>
      </c>
      <c r="C179" s="52" t="n">
        <v>2050</v>
      </c>
      <c r="D179" t="s">
        <v>166</v>
      </c>
      <c r="E179" s="53" t="n">
        <v>118664.756263914</v>
      </c>
      <c r="F179" s="54" t="n">
        <v>79027.640991165</v>
      </c>
      <c r="G179" s="55" t="n">
        <v>95625.9439694284</v>
      </c>
      <c r="H179" s="56" t="str">
        <f>G179-F179</f>
      </c>
      <c r="I179" s="57" t="n">
        <v>149549.878981469</v>
      </c>
      <c r="J179" s="58" t="str">
        <f>I179-E179</f>
      </c>
    </row>
    <row r="180">
      <c r="A180" t="s">
        <v>162</v>
      </c>
      <c r="B180" t="s">
        <v>164</v>
      </c>
      <c r="C180" s="52" t="n">
        <v>2050</v>
      </c>
      <c r="D180" t="s">
        <v>176</v>
      </c>
      <c r="E180" s="53" t="n">
        <v>218142.613480985</v>
      </c>
      <c r="F180" s="54" t="n">
        <v>212620.801294246</v>
      </c>
      <c r="G180" s="55" t="n">
        <v>252158.933158969</v>
      </c>
      <c r="H180" s="56" t="str">
        <f>G180-F180</f>
      </c>
      <c r="I180" s="57" t="n">
        <v>266031.496410964</v>
      </c>
      <c r="J180" s="58" t="str">
        <f>I180-E180</f>
      </c>
    </row>
    <row r="181">
      <c r="A181" t="s">
        <v>162</v>
      </c>
      <c r="B181" t="s">
        <v>164</v>
      </c>
      <c r="C181" s="52" t="n">
        <v>2050</v>
      </c>
      <c r="D181" t="s">
        <v>180</v>
      </c>
      <c r="E181" s="53" t="n">
        <v>633046.217236761</v>
      </c>
      <c r="F181" s="54" t="n">
        <v>431348.819641424</v>
      </c>
      <c r="G181" s="55" t="n">
        <v>504089.426791864</v>
      </c>
      <c r="H181" s="56" t="str">
        <f>G181-F181</f>
      </c>
      <c r="I181" s="57" t="n">
        <v>809018.722538968</v>
      </c>
      <c r="J181" s="58" t="str">
        <f>I181-E181</f>
      </c>
    </row>
    <row r="182">
      <c r="A182" t="s">
        <v>162</v>
      </c>
      <c r="B182" t="s">
        <v>164</v>
      </c>
      <c r="C182" s="52" t="n">
        <v>2050</v>
      </c>
      <c r="D182" t="s">
        <v>184</v>
      </c>
      <c r="E182" s="53" t="n">
        <v>319819.807691021</v>
      </c>
      <c r="F182" s="54" t="n">
        <v>190025.302253974</v>
      </c>
      <c r="G182" s="55" t="n">
        <v>215570.737440482</v>
      </c>
      <c r="H182" s="56" t="str">
        <f>G182-F182</f>
      </c>
      <c r="I182" s="57" t="n">
        <v>398560.037918605</v>
      </c>
      <c r="J182" s="58" t="str">
        <f>I182-E182</f>
      </c>
    </row>
    <row r="183">
      <c r="A183" t="s">
        <v>162</v>
      </c>
      <c r="B183" t="s">
        <v>164</v>
      </c>
      <c r="C183" s="52" t="n">
        <v>2050</v>
      </c>
      <c r="D183" t="s">
        <v>212</v>
      </c>
      <c r="E183" s="53" t="n">
        <v>33926.4873846461</v>
      </c>
      <c r="F183" s="54" t="n">
        <v>1888.51567486387</v>
      </c>
      <c r="G183" s="55" t="n">
        <v>1888.51500986557</v>
      </c>
      <c r="H183" s="56" t="str">
        <f>G183-F183</f>
      </c>
      <c r="I183" s="57" t="n">
        <v>33926.4790426967</v>
      </c>
      <c r="J183" s="58" t="str">
        <f>I183-E183</f>
      </c>
    </row>
    <row r="184">
      <c r="A184" t="s">
        <v>186</v>
      </c>
      <c r="B184" t="s">
        <v>188</v>
      </c>
      <c r="C184" s="52" t="n">
        <v>2025</v>
      </c>
      <c r="D184" t="s">
        <v>190</v>
      </c>
      <c r="E184" s="53" t="n">
        <v>12176.1707137429</v>
      </c>
      <c r="F184" s="54" t="n">
        <v>8930.89879841896</v>
      </c>
      <c r="G184" s="55" t="n">
        <v>8959.2701472679</v>
      </c>
      <c r="H184" s="56" t="str">
        <f>G184-F184</f>
      </c>
      <c r="I184" s="57" t="n">
        <v>12176.1707137429</v>
      </c>
      <c r="J184" s="58" t="str">
        <f>I184-E184</f>
      </c>
    </row>
    <row r="185">
      <c r="A185" t="s">
        <v>186</v>
      </c>
      <c r="B185" t="s">
        <v>188</v>
      </c>
      <c r="C185" s="52" t="n">
        <v>2025</v>
      </c>
      <c r="D185" t="s">
        <v>230</v>
      </c>
      <c r="E185" s="53" t="n">
        <v>1026758.5711338</v>
      </c>
      <c r="F185" s="54" t="n">
        <v>129383.323210315</v>
      </c>
      <c r="G185" s="55" t="n">
        <v>129383.323210315</v>
      </c>
      <c r="H185" s="56" t="str">
        <f>G185-F185</f>
      </c>
      <c r="I185" s="57" t="n">
        <v>1026758.5711338</v>
      </c>
      <c r="J185" s="58" t="str">
        <f>I185-E185</f>
      </c>
    </row>
    <row r="186">
      <c r="A186" t="s">
        <v>186</v>
      </c>
      <c r="B186" t="s">
        <v>188</v>
      </c>
      <c r="C186" s="52" t="n">
        <v>2025</v>
      </c>
      <c r="D186" t="s">
        <v>166</v>
      </c>
      <c r="E186" s="53" t="n">
        <v>115291.159865467</v>
      </c>
      <c r="F186" s="54" t="n">
        <v>67412.632643954</v>
      </c>
      <c r="G186" s="55" t="n">
        <v>67656.5589894958</v>
      </c>
      <c r="H186" s="56" t="str">
        <f>G186-F186</f>
      </c>
      <c r="I186" s="57" t="n">
        <v>115291.159865467</v>
      </c>
      <c r="J186" s="58" t="str">
        <f>I186-E186</f>
      </c>
    </row>
    <row r="187">
      <c r="A187" t="s">
        <v>186</v>
      </c>
      <c r="B187" t="s">
        <v>188</v>
      </c>
      <c r="C187" s="52" t="n">
        <v>2025</v>
      </c>
      <c r="D187" t="s">
        <v>176</v>
      </c>
      <c r="E187" s="53" t="n">
        <v>281662.55341658</v>
      </c>
      <c r="F187" s="54" t="n">
        <v>263295.70058044</v>
      </c>
      <c r="G187" s="55" t="n">
        <v>263295.70058044</v>
      </c>
      <c r="H187" s="56" t="str">
        <f>G187-F187</f>
      </c>
      <c r="I187" s="57" t="n">
        <v>281662.55341658</v>
      </c>
      <c r="J187" s="58" t="str">
        <f>I187-E187</f>
      </c>
    </row>
    <row r="188">
      <c r="A188" t="s">
        <v>186</v>
      </c>
      <c r="B188" t="s">
        <v>188</v>
      </c>
      <c r="C188" s="52" t="n">
        <v>2025</v>
      </c>
      <c r="D188" t="s">
        <v>180</v>
      </c>
      <c r="E188" s="53" t="n">
        <v>612171.634776233</v>
      </c>
      <c r="F188" s="54" t="n">
        <v>335665.228076991</v>
      </c>
      <c r="G188" s="55" t="n">
        <v>335724.869793767</v>
      </c>
      <c r="H188" s="56" t="str">
        <f>G188-F188</f>
      </c>
      <c r="I188" s="57" t="n">
        <v>612171.634776233</v>
      </c>
      <c r="J188" s="58" t="str">
        <f>I188-E188</f>
      </c>
    </row>
    <row r="189">
      <c r="A189" t="s">
        <v>186</v>
      </c>
      <c r="B189" t="s">
        <v>188</v>
      </c>
      <c r="C189" s="52" t="n">
        <v>2025</v>
      </c>
      <c r="D189" t="s">
        <v>184</v>
      </c>
      <c r="E189" s="53" t="n">
        <v>339642.130126733</v>
      </c>
      <c r="F189" s="54" t="n">
        <v>190841.880003208</v>
      </c>
      <c r="G189" s="55" t="n">
        <v>190841.880003208</v>
      </c>
      <c r="H189" s="56" t="str">
        <f>G189-F189</f>
      </c>
      <c r="I189" s="57" t="n">
        <v>339642.130126733</v>
      </c>
      <c r="J189" s="58" t="str">
        <f>I189-E189</f>
      </c>
    </row>
    <row r="190">
      <c r="A190" t="s">
        <v>186</v>
      </c>
      <c r="B190" t="s">
        <v>188</v>
      </c>
      <c r="C190" s="52" t="n">
        <v>2025</v>
      </c>
      <c r="D190" t="s">
        <v>212</v>
      </c>
      <c r="E190" s="53" t="n">
        <v>39660.8365474078</v>
      </c>
      <c r="F190" s="54" t="n">
        <v>5303.42230174402</v>
      </c>
      <c r="G190" s="55" t="n">
        <v>5303.42230174402</v>
      </c>
      <c r="H190" s="56" t="str">
        <f>G190-F190</f>
      </c>
      <c r="I190" s="57" t="n">
        <v>39660.8365474078</v>
      </c>
      <c r="J190" s="58" t="str">
        <f>I190-E190</f>
      </c>
    </row>
    <row r="191">
      <c r="A191" t="s">
        <v>186</v>
      </c>
      <c r="B191" t="s">
        <v>188</v>
      </c>
      <c r="C191" s="52" t="n">
        <v>2026</v>
      </c>
      <c r="D191" t="s">
        <v>190</v>
      </c>
      <c r="E191" s="53" t="n">
        <v>12569.0527743697</v>
      </c>
      <c r="F191" s="54" t="n">
        <v>9217.414359587</v>
      </c>
      <c r="G191" s="55" t="n">
        <v>9271.1333627081</v>
      </c>
      <c r="H191" s="56" t="str">
        <f>G191-F191</f>
      </c>
      <c r="I191" s="57" t="n">
        <v>12568.9386470114</v>
      </c>
      <c r="J191" s="58" t="str">
        <f>I191-E191</f>
      </c>
    </row>
    <row r="192">
      <c r="A192" t="s">
        <v>186</v>
      </c>
      <c r="B192" t="s">
        <v>188</v>
      </c>
      <c r="C192" s="52" t="n">
        <v>2026</v>
      </c>
      <c r="D192" t="s">
        <v>230</v>
      </c>
      <c r="E192" s="53" t="n">
        <v>1042137.71867029</v>
      </c>
      <c r="F192" s="54" t="n">
        <v>137145.828958788</v>
      </c>
      <c r="G192" s="55" t="n">
        <v>137145.828958788</v>
      </c>
      <c r="H192" s="56" t="str">
        <f>G192-F192</f>
      </c>
      <c r="I192" s="57" t="n">
        <v>1042135.18581351</v>
      </c>
      <c r="J192" s="58" t="str">
        <f>I192-E192</f>
      </c>
    </row>
    <row r="193">
      <c r="A193" t="s">
        <v>186</v>
      </c>
      <c r="B193" t="s">
        <v>188</v>
      </c>
      <c r="C193" s="52" t="n">
        <v>2026</v>
      </c>
      <c r="D193" t="s">
        <v>166</v>
      </c>
      <c r="E193" s="53" t="n">
        <v>114708.291778234</v>
      </c>
      <c r="F193" s="54" t="n">
        <v>69861.6789668046</v>
      </c>
      <c r="G193" s="55" t="n">
        <v>70326.6034535198</v>
      </c>
      <c r="H193" s="56" t="str">
        <f>G193-F193</f>
      </c>
      <c r="I193" s="57" t="n">
        <v>114707.986926294</v>
      </c>
      <c r="J193" s="58" t="str">
        <f>I193-E193</f>
      </c>
    </row>
    <row r="194">
      <c r="A194" t="s">
        <v>186</v>
      </c>
      <c r="B194" t="s">
        <v>188</v>
      </c>
      <c r="C194" s="52" t="n">
        <v>2026</v>
      </c>
      <c r="D194" t="s">
        <v>176</v>
      </c>
      <c r="E194" s="53" t="n">
        <v>282724.518303138</v>
      </c>
      <c r="F194" s="54" t="n">
        <v>259504.468011332</v>
      </c>
      <c r="G194" s="55" t="n">
        <v>259504.468011332</v>
      </c>
      <c r="H194" s="56" t="str">
        <f>G194-F194</f>
      </c>
      <c r="I194" s="57" t="n">
        <v>282722.537860884</v>
      </c>
      <c r="J194" s="58" t="str">
        <f>I194-E194</f>
      </c>
    </row>
    <row r="195">
      <c r="A195" t="s">
        <v>186</v>
      </c>
      <c r="B195" t="s">
        <v>188</v>
      </c>
      <c r="C195" s="52" t="n">
        <v>2026</v>
      </c>
      <c r="D195" t="s">
        <v>180</v>
      </c>
      <c r="E195" s="53" t="n">
        <v>616793.78527896</v>
      </c>
      <c r="F195" s="54" t="n">
        <v>342844.115753772</v>
      </c>
      <c r="G195" s="55" t="n">
        <v>342960.135281865</v>
      </c>
      <c r="H195" s="56" t="str">
        <f>G195-F195</f>
      </c>
      <c r="I195" s="57" t="n">
        <v>616790.029155755</v>
      </c>
      <c r="J195" s="58" t="str">
        <f>I195-E195</f>
      </c>
    </row>
    <row r="196">
      <c r="A196" t="s">
        <v>186</v>
      </c>
      <c r="B196" t="s">
        <v>188</v>
      </c>
      <c r="C196" s="52" t="n">
        <v>2026</v>
      </c>
      <c r="D196" t="s">
        <v>184</v>
      </c>
      <c r="E196" s="53" t="n">
        <v>338502.240340955</v>
      </c>
      <c r="F196" s="54" t="n">
        <v>190574.613818848</v>
      </c>
      <c r="G196" s="55" t="n">
        <v>190574.613818848</v>
      </c>
      <c r="H196" s="56" t="str">
        <f>G196-F196</f>
      </c>
      <c r="I196" s="57" t="n">
        <v>338499.069421602</v>
      </c>
      <c r="J196" s="58" t="str">
        <f>I196-E196</f>
      </c>
    </row>
    <row r="197">
      <c r="A197" t="s">
        <v>186</v>
      </c>
      <c r="B197" t="s">
        <v>188</v>
      </c>
      <c r="C197" s="52" t="n">
        <v>2026</v>
      </c>
      <c r="D197" t="s">
        <v>212</v>
      </c>
      <c r="E197" s="53" t="n">
        <v>39250.6742859757</v>
      </c>
      <c r="F197" s="54" t="n">
        <v>5105.60955478559</v>
      </c>
      <c r="G197" s="55" t="n">
        <v>5105.60955478559</v>
      </c>
      <c r="H197" s="56" t="str">
        <f>G197-F197</f>
      </c>
      <c r="I197" s="57" t="n">
        <v>39250.6670180049</v>
      </c>
      <c r="J197" s="58" t="str">
        <f>I197-E197</f>
      </c>
    </row>
    <row r="198">
      <c r="A198" t="s">
        <v>186</v>
      </c>
      <c r="B198" t="s">
        <v>188</v>
      </c>
      <c r="C198" s="52" t="n">
        <v>2027</v>
      </c>
      <c r="D198" t="s">
        <v>190</v>
      </c>
      <c r="E198" s="53" t="n">
        <v>12976.4390959127</v>
      </c>
      <c r="F198" s="54" t="n">
        <v>9500.53164642214</v>
      </c>
      <c r="G198" s="55" t="n">
        <v>9577.52965486433</v>
      </c>
      <c r="H198" s="56" t="str">
        <f>G198-F198</f>
      </c>
      <c r="I198" s="57" t="n">
        <v>12976.1031133633</v>
      </c>
      <c r="J198" s="58" t="str">
        <f>I198-E198</f>
      </c>
    </row>
    <row r="199">
      <c r="A199" t="s">
        <v>186</v>
      </c>
      <c r="B199" t="s">
        <v>188</v>
      </c>
      <c r="C199" s="52" t="n">
        <v>2027</v>
      </c>
      <c r="D199" t="s">
        <v>230</v>
      </c>
      <c r="E199" s="53" t="n">
        <v>1057155.62550757</v>
      </c>
      <c r="F199" s="54" t="n">
        <v>145009.492550202</v>
      </c>
      <c r="G199" s="55" t="n">
        <v>145009.441994705</v>
      </c>
      <c r="H199" s="56" t="str">
        <f>G199-F199</f>
      </c>
      <c r="I199" s="57" t="n">
        <v>1057148.31873483</v>
      </c>
      <c r="J199" s="58" t="str">
        <f>I199-E199</f>
      </c>
    </row>
    <row r="200">
      <c r="A200" t="s">
        <v>186</v>
      </c>
      <c r="B200" t="s">
        <v>188</v>
      </c>
      <c r="C200" s="52" t="n">
        <v>2027</v>
      </c>
      <c r="D200" t="s">
        <v>166</v>
      </c>
      <c r="E200" s="53" t="n">
        <v>114153.805958881</v>
      </c>
      <c r="F200" s="54" t="n">
        <v>71625.4797499288</v>
      </c>
      <c r="G200" s="55" t="n">
        <v>72290.1699912091</v>
      </c>
      <c r="H200" s="56" t="str">
        <f>G200-F200</f>
      </c>
      <c r="I200" s="57" t="n">
        <v>114152.944165875</v>
      </c>
      <c r="J200" s="58" t="str">
        <f>I200-E200</f>
      </c>
    </row>
    <row r="201">
      <c r="A201" t="s">
        <v>186</v>
      </c>
      <c r="B201" t="s">
        <v>188</v>
      </c>
      <c r="C201" s="52" t="n">
        <v>2027</v>
      </c>
      <c r="D201" t="s">
        <v>176</v>
      </c>
      <c r="E201" s="53" t="n">
        <v>277882.674336039</v>
      </c>
      <c r="F201" s="54" t="n">
        <v>260331.800975326</v>
      </c>
      <c r="G201" s="55" t="n">
        <v>260330.421136777</v>
      </c>
      <c r="H201" s="56" t="str">
        <f>G201-F201</f>
      </c>
      <c r="I201" s="57" t="n">
        <v>277877.509454571</v>
      </c>
      <c r="J201" s="58" t="str">
        <f>I201-E201</f>
      </c>
    </row>
    <row r="202">
      <c r="A202" t="s">
        <v>186</v>
      </c>
      <c r="B202" t="s">
        <v>188</v>
      </c>
      <c r="C202" s="52" t="n">
        <v>2027</v>
      </c>
      <c r="D202" t="s">
        <v>180</v>
      </c>
      <c r="E202" s="53" t="n">
        <v>621441.119251595</v>
      </c>
      <c r="F202" s="54" t="n">
        <v>349236.180287308</v>
      </c>
      <c r="G202" s="55" t="n">
        <v>349405.300730343</v>
      </c>
      <c r="H202" s="56" t="str">
        <f>G202-F202</f>
      </c>
      <c r="I202" s="57" t="n">
        <v>621430.902801161</v>
      </c>
      <c r="J202" s="58" t="str">
        <f>I202-E202</f>
      </c>
    </row>
    <row r="203">
      <c r="A203" t="s">
        <v>186</v>
      </c>
      <c r="B203" t="s">
        <v>188</v>
      </c>
      <c r="C203" s="52" t="n">
        <v>2027</v>
      </c>
      <c r="D203" t="s">
        <v>184</v>
      </c>
      <c r="E203" s="53" t="n">
        <v>337407.457830847</v>
      </c>
      <c r="F203" s="54" t="n">
        <v>189031.8591973</v>
      </c>
      <c r="G203" s="55" t="n">
        <v>189031.100445512</v>
      </c>
      <c r="H203" s="56" t="str">
        <f>G203-F203</f>
      </c>
      <c r="I203" s="57" t="n">
        <v>337398.949071723</v>
      </c>
      <c r="J203" s="58" t="str">
        <f>I203-E203</f>
      </c>
    </row>
    <row r="204">
      <c r="A204" t="s">
        <v>186</v>
      </c>
      <c r="B204" t="s">
        <v>188</v>
      </c>
      <c r="C204" s="52" t="n">
        <v>2027</v>
      </c>
      <c r="D204" t="s">
        <v>212</v>
      </c>
      <c r="E204" s="53" t="n">
        <v>38773.6401930115</v>
      </c>
      <c r="F204" s="54" t="n">
        <v>4921.49746790706</v>
      </c>
      <c r="G204" s="55" t="n">
        <v>4921.4971535539</v>
      </c>
      <c r="H204" s="56" t="str">
        <f>G204-F204</f>
      </c>
      <c r="I204" s="57" t="n">
        <v>38773.6271863431</v>
      </c>
      <c r="J204" s="58" t="str">
        <f>I204-E204</f>
      </c>
    </row>
    <row r="205">
      <c r="A205" t="s">
        <v>186</v>
      </c>
      <c r="B205" t="s">
        <v>188</v>
      </c>
      <c r="C205" s="52" t="n">
        <v>2028</v>
      </c>
      <c r="D205" t="s">
        <v>190</v>
      </c>
      <c r="E205" s="53" t="n">
        <v>13395.324591297</v>
      </c>
      <c r="F205" s="54" t="n">
        <v>9783.00940911385</v>
      </c>
      <c r="G205" s="55" t="n">
        <v>9881.92201892528</v>
      </c>
      <c r="H205" s="56" t="str">
        <f>G205-F205</f>
      </c>
      <c r="I205" s="57" t="n">
        <v>13394.6739315754</v>
      </c>
      <c r="J205" s="58" t="str">
        <f>I205-E205</f>
      </c>
    </row>
    <row r="206">
      <c r="A206" t="s">
        <v>186</v>
      </c>
      <c r="B206" t="s">
        <v>188</v>
      </c>
      <c r="C206" s="52" t="n">
        <v>2028</v>
      </c>
      <c r="D206" t="s">
        <v>230</v>
      </c>
      <c r="E206" s="53" t="n">
        <v>1071840.16988363</v>
      </c>
      <c r="F206" s="54" t="n">
        <v>152971.924607341</v>
      </c>
      <c r="G206" s="55" t="n">
        <v>152971.729388998</v>
      </c>
      <c r="H206" s="56" t="str">
        <f>G206-F206</f>
      </c>
      <c r="I206" s="57" t="n">
        <v>1071826.12505593</v>
      </c>
      <c r="J206" s="58" t="str">
        <f>I206-E206</f>
      </c>
    </row>
    <row r="207">
      <c r="A207" t="s">
        <v>186</v>
      </c>
      <c r="B207" t="s">
        <v>188</v>
      </c>
      <c r="C207" s="52" t="n">
        <v>2028</v>
      </c>
      <c r="D207" t="s">
        <v>166</v>
      </c>
      <c r="E207" s="53" t="n">
        <v>114140.714632991</v>
      </c>
      <c r="F207" s="54" t="n">
        <v>72999.8708689678</v>
      </c>
      <c r="G207" s="55" t="n">
        <v>73846.8742094397</v>
      </c>
      <c r="H207" s="56" t="str">
        <f>G207-F207</f>
      </c>
      <c r="I207" s="57" t="n">
        <v>114139.122924862</v>
      </c>
      <c r="J207" s="58" t="str">
        <f>I207-E207</f>
      </c>
    </row>
    <row r="208">
      <c r="A208" t="s">
        <v>186</v>
      </c>
      <c r="B208" t="s">
        <v>188</v>
      </c>
      <c r="C208" s="52" t="n">
        <v>2028</v>
      </c>
      <c r="D208" t="s">
        <v>176</v>
      </c>
      <c r="E208" s="53" t="n">
        <v>277745.357920601</v>
      </c>
      <c r="F208" s="54" t="n">
        <v>257769.102788805</v>
      </c>
      <c r="G208" s="55" t="n">
        <v>257765.323271705</v>
      </c>
      <c r="H208" s="56" t="str">
        <f>G208-F208</f>
      </c>
      <c r="I208" s="57" t="n">
        <v>277735.696141204</v>
      </c>
      <c r="J208" s="58" t="str">
        <f>I208-E208</f>
      </c>
    </row>
    <row r="209">
      <c r="A209" t="s">
        <v>186</v>
      </c>
      <c r="B209" t="s">
        <v>188</v>
      </c>
      <c r="C209" s="52" t="n">
        <v>2028</v>
      </c>
      <c r="D209" t="s">
        <v>180</v>
      </c>
      <c r="E209" s="53" t="n">
        <v>627742.17658133</v>
      </c>
      <c r="F209" s="54" t="n">
        <v>355939.352448455</v>
      </c>
      <c r="G209" s="55" t="n">
        <v>356159.252906041</v>
      </c>
      <c r="H209" s="56" t="str">
        <f>G209-F209</f>
      </c>
      <c r="I209" s="57" t="n">
        <v>627723.844155296</v>
      </c>
      <c r="J209" s="58" t="str">
        <f>I209-E209</f>
      </c>
    </row>
    <row r="210">
      <c r="A210" t="s">
        <v>186</v>
      </c>
      <c r="B210" t="s">
        <v>188</v>
      </c>
      <c r="C210" s="52" t="n">
        <v>2028</v>
      </c>
      <c r="D210" t="s">
        <v>184</v>
      </c>
      <c r="E210" s="53" t="n">
        <v>337529.758590966</v>
      </c>
      <c r="F210" s="54" t="n">
        <v>187118.971694697</v>
      </c>
      <c r="G210" s="55" t="n">
        <v>187116.639879467</v>
      </c>
      <c r="H210" s="56" t="str">
        <f>G210-F210</f>
      </c>
      <c r="I210" s="57" t="n">
        <v>337514.695524676</v>
      </c>
      <c r="J210" s="58" t="str">
        <f>I210-E210</f>
      </c>
    </row>
    <row r="211">
      <c r="A211" t="s">
        <v>186</v>
      </c>
      <c r="B211" t="s">
        <v>188</v>
      </c>
      <c r="C211" s="52" t="n">
        <v>2028</v>
      </c>
      <c r="D211" t="s">
        <v>212</v>
      </c>
      <c r="E211" s="53" t="n">
        <v>38149.304326983</v>
      </c>
      <c r="F211" s="54" t="n">
        <v>4742.08642006344</v>
      </c>
      <c r="G211" s="55" t="n">
        <v>4742.08557297834</v>
      </c>
      <c r="H211" s="56" t="str">
        <f>G211-F211</f>
      </c>
      <c r="I211" s="57" t="n">
        <v>38149.2915792319</v>
      </c>
      <c r="J211" s="58" t="str">
        <f>I211-E211</f>
      </c>
    </row>
    <row r="212">
      <c r="A212" t="s">
        <v>186</v>
      </c>
      <c r="B212" t="s">
        <v>188</v>
      </c>
      <c r="C212" s="52" t="n">
        <v>2029</v>
      </c>
      <c r="D212" t="s">
        <v>190</v>
      </c>
      <c r="E212" s="53" t="n">
        <v>13831.0944904858</v>
      </c>
      <c r="F212" s="54" t="n">
        <v>10068.4529625146</v>
      </c>
      <c r="G212" s="55" t="n">
        <v>10188.394886281</v>
      </c>
      <c r="H212" s="56" t="str">
        <f>G212-F212</f>
      </c>
      <c r="I212" s="57" t="n">
        <v>13830.0485982781</v>
      </c>
      <c r="J212" s="58" t="str">
        <f>I212-E212</f>
      </c>
    </row>
    <row r="213">
      <c r="A213" t="s">
        <v>186</v>
      </c>
      <c r="B213" t="s">
        <v>188</v>
      </c>
      <c r="C213" s="52" t="n">
        <v>2029</v>
      </c>
      <c r="D213" t="s">
        <v>230</v>
      </c>
      <c r="E213" s="53" t="n">
        <v>1086223.00949682</v>
      </c>
      <c r="F213" s="54" t="n">
        <v>161038.696637224</v>
      </c>
      <c r="G213" s="55" t="n">
        <v>161038.227687319</v>
      </c>
      <c r="H213" s="56" t="str">
        <f>G213-F213</f>
      </c>
      <c r="I213" s="57" t="n">
        <v>1086200.50099061</v>
      </c>
      <c r="J213" s="58" t="str">
        <f>I213-E213</f>
      </c>
    </row>
    <row r="214">
      <c r="A214" t="s">
        <v>186</v>
      </c>
      <c r="B214" t="s">
        <v>188</v>
      </c>
      <c r="C214" s="52" t="n">
        <v>2029</v>
      </c>
      <c r="D214" t="s">
        <v>166</v>
      </c>
      <c r="E214" s="53" t="n">
        <v>114050.68424225</v>
      </c>
      <c r="F214" s="54" t="n">
        <v>74433.2237110663</v>
      </c>
      <c r="G214" s="55" t="n">
        <v>75452.2225775915</v>
      </c>
      <c r="H214" s="56" t="str">
        <f>G214-F214</f>
      </c>
      <c r="I214" s="57" t="n">
        <v>114048.155335882</v>
      </c>
      <c r="J214" s="58" t="str">
        <f>I214-E214</f>
      </c>
    </row>
    <row r="215">
      <c r="A215" t="s">
        <v>186</v>
      </c>
      <c r="B215" t="s">
        <v>188</v>
      </c>
      <c r="C215" s="52" t="n">
        <v>2029</v>
      </c>
      <c r="D215" t="s">
        <v>176</v>
      </c>
      <c r="E215" s="53" t="n">
        <v>275835.434230292</v>
      </c>
      <c r="F215" s="54" t="n">
        <v>258341.569008166</v>
      </c>
      <c r="G215" s="55" t="n">
        <v>258334.317394862</v>
      </c>
      <c r="H215" s="56" t="str">
        <f>G215-F215</f>
      </c>
      <c r="I215" s="57" t="n">
        <v>275821.082992428</v>
      </c>
      <c r="J215" s="58" t="str">
        <f>I215-E215</f>
      </c>
    </row>
    <row r="216">
      <c r="A216" t="s">
        <v>186</v>
      </c>
      <c r="B216" t="s">
        <v>188</v>
      </c>
      <c r="C216" s="52" t="n">
        <v>2029</v>
      </c>
      <c r="D216" t="s">
        <v>180</v>
      </c>
      <c r="E216" s="53" t="n">
        <v>630808.248572184</v>
      </c>
      <c r="F216" s="54" t="n">
        <v>363622.932392118</v>
      </c>
      <c r="G216" s="55" t="n">
        <v>363892.268279926</v>
      </c>
      <c r="H216" s="56" t="str">
        <f>G216-F216</f>
      </c>
      <c r="I216" s="57" t="n">
        <v>630779.369985079</v>
      </c>
      <c r="J216" s="58" t="str">
        <f>I216-E216</f>
      </c>
    </row>
    <row r="217">
      <c r="A217" t="s">
        <v>186</v>
      </c>
      <c r="B217" t="s">
        <v>188</v>
      </c>
      <c r="C217" s="52" t="n">
        <v>2029</v>
      </c>
      <c r="D217" t="s">
        <v>184</v>
      </c>
      <c r="E217" s="53" t="n">
        <v>335944.806356237</v>
      </c>
      <c r="F217" s="54" t="n">
        <v>186826.108512323</v>
      </c>
      <c r="G217" s="55" t="n">
        <v>186821.560087492</v>
      </c>
      <c r="H217" s="56" t="str">
        <f>G217-F217</f>
      </c>
      <c r="I217" s="57" t="n">
        <v>335921.292831796</v>
      </c>
      <c r="J217" s="58" t="str">
        <f>I217-E217</f>
      </c>
    </row>
    <row r="218">
      <c r="A218" t="s">
        <v>186</v>
      </c>
      <c r="B218" t="s">
        <v>188</v>
      </c>
      <c r="C218" s="52" t="n">
        <v>2029</v>
      </c>
      <c r="D218" t="s">
        <v>212</v>
      </c>
      <c r="E218" s="53" t="n">
        <v>37777.4837635097</v>
      </c>
      <c r="F218" s="54" t="n">
        <v>4604.06957286516</v>
      </c>
      <c r="G218" s="55" t="n">
        <v>4604.06814831639</v>
      </c>
      <c r="H218" s="56" t="str">
        <f>G218-F218</f>
      </c>
      <c r="I218" s="57" t="n">
        <v>37777.4672189776</v>
      </c>
      <c r="J218" s="58" t="str">
        <f>I218-E218</f>
      </c>
    </row>
    <row r="219">
      <c r="A219" t="s">
        <v>186</v>
      </c>
      <c r="B219" t="s">
        <v>188</v>
      </c>
      <c r="C219" s="52" t="n">
        <v>2030</v>
      </c>
      <c r="D219" t="s">
        <v>190</v>
      </c>
      <c r="E219" s="53" t="n">
        <v>14283.4690730589</v>
      </c>
      <c r="F219" s="54" t="n">
        <v>10359.8116385429</v>
      </c>
      <c r="G219" s="55" t="n">
        <v>10500.2867221377</v>
      </c>
      <c r="H219" s="56" t="str">
        <f>G219-F219</f>
      </c>
      <c r="I219" s="57" t="n">
        <v>14281.9590395355</v>
      </c>
      <c r="J219" s="58" t="str">
        <f>I219-E219</f>
      </c>
    </row>
    <row r="220">
      <c r="A220" t="s">
        <v>186</v>
      </c>
      <c r="B220" t="s">
        <v>188</v>
      </c>
      <c r="C220" s="52" t="n">
        <v>2030</v>
      </c>
      <c r="D220" t="s">
        <v>230</v>
      </c>
      <c r="E220" s="53" t="n">
        <v>1100224.30280966</v>
      </c>
      <c r="F220" s="54" t="n">
        <v>169197.282227593</v>
      </c>
      <c r="G220" s="55" t="n">
        <v>169196.385350075</v>
      </c>
      <c r="H220" s="56" t="str">
        <f>G220-F220</f>
      </c>
      <c r="I220" s="57" t="n">
        <v>1100191.78654723</v>
      </c>
      <c r="J220" s="58" t="str">
        <f>I220-E220</f>
      </c>
    </row>
    <row r="221">
      <c r="A221" t="s">
        <v>186</v>
      </c>
      <c r="B221" t="s">
        <v>188</v>
      </c>
      <c r="C221" s="52" t="n">
        <v>2030</v>
      </c>
      <c r="D221" t="s">
        <v>166</v>
      </c>
      <c r="E221" s="53" t="n">
        <v>114785.483711482</v>
      </c>
      <c r="F221" s="54" t="n">
        <v>74835.2615562116</v>
      </c>
      <c r="G221" s="55" t="n">
        <v>76004.3747737111</v>
      </c>
      <c r="H221" s="56" t="str">
        <f>G221-F221</f>
      </c>
      <c r="I221" s="57" t="n">
        <v>114781.951575614</v>
      </c>
      <c r="J221" s="58" t="str">
        <f>I221-E221</f>
      </c>
    </row>
    <row r="222">
      <c r="A222" t="s">
        <v>186</v>
      </c>
      <c r="B222" t="s">
        <v>188</v>
      </c>
      <c r="C222" s="52" t="n">
        <v>2030</v>
      </c>
      <c r="D222" t="s">
        <v>176</v>
      </c>
      <c r="E222" s="53" t="n">
        <v>275770.781037399</v>
      </c>
      <c r="F222" s="54" t="n">
        <v>257422.259369904</v>
      </c>
      <c r="G222" s="55" t="n">
        <v>257411.197787159</v>
      </c>
      <c r="H222" s="56" t="str">
        <f>G222-F222</f>
      </c>
      <c r="I222" s="57" t="n">
        <v>275750.816549508</v>
      </c>
      <c r="J222" s="58" t="str">
        <f>I222-E222</f>
      </c>
    </row>
    <row r="223">
      <c r="A223" t="s">
        <v>186</v>
      </c>
      <c r="B223" t="s">
        <v>188</v>
      </c>
      <c r="C223" s="52" t="n">
        <v>2030</v>
      </c>
      <c r="D223" t="s">
        <v>180</v>
      </c>
      <c r="E223" s="53" t="n">
        <v>638238.788949745</v>
      </c>
      <c r="F223" s="54" t="n">
        <v>368605.137591584</v>
      </c>
      <c r="G223" s="55" t="n">
        <v>368920.443479077</v>
      </c>
      <c r="H223" s="56" t="str">
        <f>G223-F223</f>
      </c>
      <c r="I223" s="57" t="n">
        <v>638199.367226914</v>
      </c>
      <c r="J223" s="58" t="str">
        <f>I223-E223</f>
      </c>
    </row>
    <row r="224">
      <c r="A224" t="s">
        <v>186</v>
      </c>
      <c r="B224" t="s">
        <v>188</v>
      </c>
      <c r="C224" s="52" t="n">
        <v>2030</v>
      </c>
      <c r="D224" t="s">
        <v>184</v>
      </c>
      <c r="E224" s="53" t="n">
        <v>337406.709789402</v>
      </c>
      <c r="F224" s="54" t="n">
        <v>185449.787594293</v>
      </c>
      <c r="G224" s="55" t="n">
        <v>185442.493190957</v>
      </c>
      <c r="H224" s="56" t="str">
        <f>G224-F224</f>
      </c>
      <c r="I224" s="57" t="n">
        <v>337374.946866334</v>
      </c>
      <c r="J224" s="58" t="str">
        <f>I224-E224</f>
      </c>
    </row>
    <row r="225">
      <c r="A225" t="s">
        <v>186</v>
      </c>
      <c r="B225" t="s">
        <v>188</v>
      </c>
      <c r="C225" s="52" t="n">
        <v>2030</v>
      </c>
      <c r="D225" t="s">
        <v>212</v>
      </c>
      <c r="E225" s="53" t="n">
        <v>38012.6929015344</v>
      </c>
      <c r="F225" s="54" t="n">
        <v>4432.11883950405</v>
      </c>
      <c r="G225" s="55" t="n">
        <v>4432.1168533299</v>
      </c>
      <c r="H225" s="56" t="str">
        <f>G225-F225</f>
      </c>
      <c r="I225" s="57" t="n">
        <v>38012.6736377562</v>
      </c>
      <c r="J225" s="58" t="str">
        <f>I225-E225</f>
      </c>
    </row>
    <row r="226">
      <c r="A226" t="s">
        <v>186</v>
      </c>
      <c r="B226" t="s">
        <v>188</v>
      </c>
      <c r="C226" s="52" t="n">
        <v>2031</v>
      </c>
      <c r="D226" t="s">
        <v>190</v>
      </c>
      <c r="E226" s="53" t="n">
        <v>14756.4658813847</v>
      </c>
      <c r="F226" s="54" t="n">
        <v>10654.1846506641</v>
      </c>
      <c r="G226" s="55" t="n">
        <v>10814.9178976517</v>
      </c>
      <c r="H226" s="56" t="str">
        <f>G226-F226</f>
      </c>
      <c r="I226" s="57" t="n">
        <v>14754.4294987798</v>
      </c>
      <c r="J226" s="58" t="str">
        <f>I226-E226</f>
      </c>
    </row>
    <row r="227">
      <c r="A227" t="s">
        <v>186</v>
      </c>
      <c r="B227" t="s">
        <v>188</v>
      </c>
      <c r="C227" s="52" t="n">
        <v>2031</v>
      </c>
      <c r="D227" t="s">
        <v>230</v>
      </c>
      <c r="E227" s="53" t="n">
        <v>1113769.03560513</v>
      </c>
      <c r="F227" s="54" t="n">
        <v>177421.696478885</v>
      </c>
      <c r="G227" s="55" t="n">
        <v>177420.195676039</v>
      </c>
      <c r="H227" s="56" t="str">
        <f>G227-F227</f>
      </c>
      <c r="I227" s="57" t="n">
        <v>1113725.22635968</v>
      </c>
      <c r="J227" s="58" t="str">
        <f>I227-E227</f>
      </c>
    </row>
    <row r="228">
      <c r="A228" t="s">
        <v>186</v>
      </c>
      <c r="B228" t="s">
        <v>188</v>
      </c>
      <c r="C228" s="52" t="n">
        <v>2031</v>
      </c>
      <c r="D228" t="s">
        <v>166</v>
      </c>
      <c r="E228" s="53" t="n">
        <v>115761.644249221</v>
      </c>
      <c r="F228" s="54" t="n">
        <v>75243.3615631131</v>
      </c>
      <c r="G228" s="55" t="n">
        <v>76556.6280135149</v>
      </c>
      <c r="H228" s="56" t="str">
        <f>G228-F228</f>
      </c>
      <c r="I228" s="57" t="n">
        <v>115757.018858842</v>
      </c>
      <c r="J228" s="58" t="str">
        <f>I228-E228</f>
      </c>
    </row>
    <row r="229">
      <c r="A229" t="s">
        <v>186</v>
      </c>
      <c r="B229" t="s">
        <v>188</v>
      </c>
      <c r="C229" s="52" t="n">
        <v>2031</v>
      </c>
      <c r="D229" t="s">
        <v>176</v>
      </c>
      <c r="E229" s="53" t="n">
        <v>274745.217822833</v>
      </c>
      <c r="F229" s="54" t="n">
        <v>257260.636580122</v>
      </c>
      <c r="G229" s="55" t="n">
        <v>257245.005480193</v>
      </c>
      <c r="H229" s="56" t="str">
        <f>G229-F229</f>
      </c>
      <c r="I229" s="57" t="n">
        <v>274719.77758767</v>
      </c>
      <c r="J229" s="58" t="str">
        <f>I229-E229</f>
      </c>
    </row>
    <row r="230">
      <c r="A230" t="s">
        <v>186</v>
      </c>
      <c r="B230" t="s">
        <v>188</v>
      </c>
      <c r="C230" s="52" t="n">
        <v>2031</v>
      </c>
      <c r="D230" t="s">
        <v>180</v>
      </c>
      <c r="E230" s="53" t="n">
        <v>646161.433534431</v>
      </c>
      <c r="F230" s="54" t="n">
        <v>373847.652488586</v>
      </c>
      <c r="G230" s="55" t="n">
        <v>374207.729078974</v>
      </c>
      <c r="H230" s="56" t="str">
        <f>G230-F230</f>
      </c>
      <c r="I230" s="57" t="n">
        <v>646110.864169859</v>
      </c>
      <c r="J230" s="58" t="str">
        <f>I230-E230</f>
      </c>
    </row>
    <row r="231">
      <c r="A231" t="s">
        <v>186</v>
      </c>
      <c r="B231" t="s">
        <v>188</v>
      </c>
      <c r="C231" s="52" t="n">
        <v>2031</v>
      </c>
      <c r="D231" t="s">
        <v>184</v>
      </c>
      <c r="E231" s="53" t="n">
        <v>339244.735022128</v>
      </c>
      <c r="F231" s="54" t="n">
        <v>184325.970309018</v>
      </c>
      <c r="G231" s="55" t="n">
        <v>184315.562373235</v>
      </c>
      <c r="H231" s="56" t="str">
        <f>G231-F231</f>
      </c>
      <c r="I231" s="57" t="n">
        <v>339204.419150594</v>
      </c>
      <c r="J231" s="58" t="str">
        <f>I231-E231</f>
      </c>
    </row>
    <row r="232">
      <c r="A232" t="s">
        <v>186</v>
      </c>
      <c r="B232" t="s">
        <v>188</v>
      </c>
      <c r="C232" s="52" t="n">
        <v>2031</v>
      </c>
      <c r="D232" t="s">
        <v>212</v>
      </c>
      <c r="E232" s="53" t="n">
        <v>38191.6444513867</v>
      </c>
      <c r="F232" s="54" t="n">
        <v>4274.72974521449</v>
      </c>
      <c r="G232" s="55" t="n">
        <v>4274.72729327381</v>
      </c>
      <c r="H232" s="56" t="str">
        <f>G232-F232</f>
      </c>
      <c r="I232" s="57" t="n">
        <v>38191.6231000681</v>
      </c>
      <c r="J232" s="58" t="str">
        <f>I232-E232</f>
      </c>
    </row>
    <row r="233">
      <c r="A233" t="s">
        <v>186</v>
      </c>
      <c r="B233" t="s">
        <v>188</v>
      </c>
      <c r="C233" s="52" t="n">
        <v>2032</v>
      </c>
      <c r="D233" t="s">
        <v>190</v>
      </c>
      <c r="E233" s="53" t="n">
        <v>15250.3905509966</v>
      </c>
      <c r="F233" s="54" t="n">
        <v>10951.2751191243</v>
      </c>
      <c r="G233" s="55" t="n">
        <v>11132.1787355836</v>
      </c>
      <c r="H233" s="56" t="str">
        <f>G233-F233</f>
      </c>
      <c r="I233" s="57" t="n">
        <v>15247.769190462</v>
      </c>
      <c r="J233" s="58" t="str">
        <f>I233-E233</f>
      </c>
    </row>
    <row r="234">
      <c r="A234" t="s">
        <v>186</v>
      </c>
      <c r="B234" t="s">
        <v>188</v>
      </c>
      <c r="C234" s="52" t="n">
        <v>2032</v>
      </c>
      <c r="D234" t="s">
        <v>230</v>
      </c>
      <c r="E234" s="53" t="n">
        <v>1126839.5793716</v>
      </c>
      <c r="F234" s="54" t="n">
        <v>185693.748028246</v>
      </c>
      <c r="G234" s="55" t="n">
        <v>185691.45221249</v>
      </c>
      <c r="H234" s="56" t="str">
        <f>G234-F234</f>
      </c>
      <c r="I234" s="57" t="n">
        <v>1126783.31749171</v>
      </c>
      <c r="J234" s="58" t="str">
        <f>I234-E234</f>
      </c>
    </row>
    <row r="235">
      <c r="A235" t="s">
        <v>186</v>
      </c>
      <c r="B235" t="s">
        <v>188</v>
      </c>
      <c r="C235" s="52" t="n">
        <v>2032</v>
      </c>
      <c r="D235" t="s">
        <v>166</v>
      </c>
      <c r="E235" s="53" t="n">
        <v>116898.699906659</v>
      </c>
      <c r="F235" s="54" t="n">
        <v>75742.6287962989</v>
      </c>
      <c r="G235" s="55" t="n">
        <v>77198.3893074221</v>
      </c>
      <c r="H235" s="56" t="str">
        <f>G235-F235</f>
      </c>
      <c r="I235" s="57" t="n">
        <v>116892.91249656</v>
      </c>
      <c r="J235" s="58" t="str">
        <f>I235-E235</f>
      </c>
    </row>
    <row r="236">
      <c r="A236" t="s">
        <v>186</v>
      </c>
      <c r="B236" t="s">
        <v>188</v>
      </c>
      <c r="C236" s="52" t="n">
        <v>2032</v>
      </c>
      <c r="D236" t="s">
        <v>176</v>
      </c>
      <c r="E236" s="53" t="n">
        <v>274443.902171633</v>
      </c>
      <c r="F236" s="54" t="n">
        <v>256765.960006833</v>
      </c>
      <c r="G236" s="55" t="n">
        <v>256745.676365841</v>
      </c>
      <c r="H236" s="56" t="str">
        <f>G236-F236</f>
      </c>
      <c r="I236" s="57" t="n">
        <v>274412.393429799</v>
      </c>
      <c r="J236" s="58" t="str">
        <f>I236-E236</f>
      </c>
    </row>
    <row r="237">
      <c r="A237" t="s">
        <v>186</v>
      </c>
      <c r="B237" t="s">
        <v>188</v>
      </c>
      <c r="C237" s="52" t="n">
        <v>2032</v>
      </c>
      <c r="D237" t="s">
        <v>180</v>
      </c>
      <c r="E237" s="53" t="n">
        <v>654581.991360405</v>
      </c>
      <c r="F237" s="54" t="n">
        <v>379723.138856354</v>
      </c>
      <c r="G237" s="55" t="n">
        <v>380127.647848666</v>
      </c>
      <c r="H237" s="56" t="str">
        <f>G237-F237</f>
      </c>
      <c r="I237" s="57" t="n">
        <v>654519.811420389</v>
      </c>
      <c r="J237" s="58" t="str">
        <f>I237-E237</f>
      </c>
    </row>
    <row r="238">
      <c r="A238" t="s">
        <v>186</v>
      </c>
      <c r="B238" t="s">
        <v>188</v>
      </c>
      <c r="C238" s="52" t="n">
        <v>2032</v>
      </c>
      <c r="D238" t="s">
        <v>184</v>
      </c>
      <c r="E238" s="53" t="n">
        <v>341630.705140918</v>
      </c>
      <c r="F238" s="54" t="n">
        <v>183743.878825127</v>
      </c>
      <c r="G238" s="55" t="n">
        <v>183730.084212538</v>
      </c>
      <c r="H238" s="56" t="str">
        <f>G238-F238</f>
      </c>
      <c r="I238" s="57" t="n">
        <v>341581.65326776</v>
      </c>
      <c r="J238" s="58" t="str">
        <f>I238-E238</f>
      </c>
    </row>
    <row r="239">
      <c r="A239" t="s">
        <v>186</v>
      </c>
      <c r="B239" t="s">
        <v>188</v>
      </c>
      <c r="C239" s="52" t="n">
        <v>2032</v>
      </c>
      <c r="D239" t="s">
        <v>212</v>
      </c>
      <c r="E239" s="53" t="n">
        <v>38037.5748745499</v>
      </c>
      <c r="F239" s="54" t="n">
        <v>4125.7252899318</v>
      </c>
      <c r="G239" s="55" t="n">
        <v>4125.72247917104</v>
      </c>
      <c r="H239" s="56" t="str">
        <f>G239-F239</f>
      </c>
      <c r="I239" s="57" t="n">
        <v>38037.5517920999</v>
      </c>
      <c r="J239" s="58" t="str">
        <f>I239-E239</f>
      </c>
    </row>
    <row r="240">
      <c r="A240" t="s">
        <v>186</v>
      </c>
      <c r="B240" t="s">
        <v>188</v>
      </c>
      <c r="C240" s="52" t="n">
        <v>2033</v>
      </c>
      <c r="D240" t="s">
        <v>190</v>
      </c>
      <c r="E240" s="53" t="n">
        <v>15762.784261822</v>
      </c>
      <c r="F240" s="54" t="n">
        <v>11250.9500312131</v>
      </c>
      <c r="G240" s="55" t="n">
        <v>11452.2049974033</v>
      </c>
      <c r="H240" s="56" t="str">
        <f>G240-F240</f>
      </c>
      <c r="I240" s="57" t="n">
        <v>15759.5151167894</v>
      </c>
      <c r="J240" s="58" t="str">
        <f>I240-E240</f>
      </c>
    </row>
    <row r="241">
      <c r="A241" t="s">
        <v>186</v>
      </c>
      <c r="B241" t="s">
        <v>188</v>
      </c>
      <c r="C241" s="52" t="n">
        <v>2033</v>
      </c>
      <c r="D241" t="s">
        <v>230</v>
      </c>
      <c r="E241" s="53" t="n">
        <v>1139342.557811</v>
      </c>
      <c r="F241" s="54" t="n">
        <v>194008.895148893</v>
      </c>
      <c r="G241" s="55" t="n">
        <v>194005.600566516</v>
      </c>
      <c r="H241" s="56" t="str">
        <f>G241-F241</f>
      </c>
      <c r="I241" s="57" t="n">
        <v>1139272.75378683</v>
      </c>
      <c r="J241" s="58" t="str">
        <f>I241-E241</f>
      </c>
    </row>
    <row r="242">
      <c r="A242" t="s">
        <v>186</v>
      </c>
      <c r="B242" t="s">
        <v>188</v>
      </c>
      <c r="C242" s="52" t="n">
        <v>2033</v>
      </c>
      <c r="D242" t="s">
        <v>166</v>
      </c>
      <c r="E242" s="53" t="n">
        <v>118288.817049499</v>
      </c>
      <c r="F242" s="54" t="n">
        <v>76319.036302814</v>
      </c>
      <c r="G242" s="55" t="n">
        <v>77917.1620906902</v>
      </c>
      <c r="H242" s="56" t="str">
        <f>G242-F242</f>
      </c>
      <c r="I242" s="57" t="n">
        <v>118281.828559023</v>
      </c>
      <c r="J242" s="58" t="str">
        <f>I242-E242</f>
      </c>
    </row>
    <row r="243">
      <c r="A243" t="s">
        <v>186</v>
      </c>
      <c r="B243" t="s">
        <v>188</v>
      </c>
      <c r="C243" s="52" t="n">
        <v>2033</v>
      </c>
      <c r="D243" t="s">
        <v>176</v>
      </c>
      <c r="E243" s="53" t="n">
        <v>273931.073854205</v>
      </c>
      <c r="F243" s="54" t="n">
        <v>256681.026480661</v>
      </c>
      <c r="G243" s="55" t="n">
        <v>256655.559026211</v>
      </c>
      <c r="H243" s="56" t="str">
        <f>G243-F243</f>
      </c>
      <c r="I243" s="57" t="n">
        <v>273893.528221021</v>
      </c>
      <c r="J243" s="58" t="str">
        <f>I243-E243</f>
      </c>
    </row>
    <row r="244">
      <c r="A244" t="s">
        <v>186</v>
      </c>
      <c r="B244" t="s">
        <v>188</v>
      </c>
      <c r="C244" s="52" t="n">
        <v>2033</v>
      </c>
      <c r="D244" t="s">
        <v>180</v>
      </c>
      <c r="E244" s="53" t="n">
        <v>664083.24037941</v>
      </c>
      <c r="F244" s="54" t="n">
        <v>386134.390600638</v>
      </c>
      <c r="G244" s="55" t="n">
        <v>386583.230936034</v>
      </c>
      <c r="H244" s="56" t="str">
        <f>G244-F244</f>
      </c>
      <c r="I244" s="57" t="n">
        <v>664009.138744924</v>
      </c>
      <c r="J244" s="58" t="str">
        <f>I244-E244</f>
      </c>
    </row>
    <row r="245">
      <c r="A245" t="s">
        <v>186</v>
      </c>
      <c r="B245" t="s">
        <v>188</v>
      </c>
      <c r="C245" s="52" t="n">
        <v>2033</v>
      </c>
      <c r="D245" t="s">
        <v>184</v>
      </c>
      <c r="E245" s="53" t="n">
        <v>345053.077959422</v>
      </c>
      <c r="F245" s="54" t="n">
        <v>183600.434184248</v>
      </c>
      <c r="G245" s="55" t="n">
        <v>183583.042202715</v>
      </c>
      <c r="H245" s="56" t="str">
        <f>G245-F245</f>
      </c>
      <c r="I245" s="57" t="n">
        <v>344995.264629881</v>
      </c>
      <c r="J245" s="58" t="str">
        <f>I245-E245</f>
      </c>
    </row>
    <row r="246">
      <c r="A246" t="s">
        <v>186</v>
      </c>
      <c r="B246" t="s">
        <v>188</v>
      </c>
      <c r="C246" s="52" t="n">
        <v>2033</v>
      </c>
      <c r="D246" t="s">
        <v>212</v>
      </c>
      <c r="E246" s="53" t="n">
        <v>37788.418776206</v>
      </c>
      <c r="F246" s="54" t="n">
        <v>3977.71744711957</v>
      </c>
      <c r="G246" s="55" t="n">
        <v>3977.71437573526</v>
      </c>
      <c r="H246" s="56" t="str">
        <f>G246-F246</f>
      </c>
      <c r="I246" s="57" t="n">
        <v>37788.395913351</v>
      </c>
      <c r="J246" s="58" t="str">
        <f>I246-E246</f>
      </c>
    </row>
    <row r="247">
      <c r="A247" t="s">
        <v>186</v>
      </c>
      <c r="B247" t="s">
        <v>188</v>
      </c>
      <c r="C247" s="52" t="n">
        <v>2034</v>
      </c>
      <c r="D247" t="s">
        <v>190</v>
      </c>
      <c r="E247" s="53" t="n">
        <v>16289.7445023822</v>
      </c>
      <c r="F247" s="54" t="n">
        <v>11557.3774256349</v>
      </c>
      <c r="G247" s="55" t="n">
        <v>11779.4141755774</v>
      </c>
      <c r="H247" s="56" t="str">
        <f>G247-F247</f>
      </c>
      <c r="I247" s="57" t="n">
        <v>16285.7640376227</v>
      </c>
      <c r="J247" s="58" t="str">
        <f>I247-E247</f>
      </c>
    </row>
    <row r="248">
      <c r="A248" t="s">
        <v>186</v>
      </c>
      <c r="B248" t="s">
        <v>188</v>
      </c>
      <c r="C248" s="52" t="n">
        <v>2034</v>
      </c>
      <c r="D248" t="s">
        <v>230</v>
      </c>
      <c r="E248" s="53" t="n">
        <v>1151317.0058164</v>
      </c>
      <c r="F248" s="54" t="n">
        <v>202325.147850089</v>
      </c>
      <c r="G248" s="55" t="n">
        <v>202320.636121151</v>
      </c>
      <c r="H248" s="56" t="str">
        <f>G248-F248</f>
      </c>
      <c r="I248" s="57" t="n">
        <v>1151232.62464015</v>
      </c>
      <c r="J248" s="58" t="str">
        <f>I248-E248</f>
      </c>
    </row>
    <row r="249">
      <c r="A249" t="s">
        <v>186</v>
      </c>
      <c r="B249" t="s">
        <v>188</v>
      </c>
      <c r="C249" s="52" t="n">
        <v>2034</v>
      </c>
      <c r="D249" t="s">
        <v>166</v>
      </c>
      <c r="E249" s="53" t="n">
        <v>119182.27653552</v>
      </c>
      <c r="F249" s="54" t="n">
        <v>77039.5031573789</v>
      </c>
      <c r="G249" s="55" t="n">
        <v>78781.7232358728</v>
      </c>
      <c r="H249" s="56" t="str">
        <f>G249-F249</f>
      </c>
      <c r="I249" s="57" t="n">
        <v>119173.805374547</v>
      </c>
      <c r="J249" s="58" t="str">
        <f>I249-E249</f>
      </c>
    </row>
    <row r="250">
      <c r="A250" t="s">
        <v>186</v>
      </c>
      <c r="B250" t="s">
        <v>188</v>
      </c>
      <c r="C250" s="52" t="n">
        <v>2034</v>
      </c>
      <c r="D250" t="s">
        <v>176</v>
      </c>
      <c r="E250" s="53" t="n">
        <v>273713.543286053</v>
      </c>
      <c r="F250" s="54" t="n">
        <v>256783.729889207</v>
      </c>
      <c r="G250" s="55" t="n">
        <v>256753.127116244</v>
      </c>
      <c r="H250" s="56" t="str">
        <f>G250-F250</f>
      </c>
      <c r="I250" s="57" t="n">
        <v>273669.650202867</v>
      </c>
      <c r="J250" s="58" t="str">
        <f>I250-E250</f>
      </c>
    </row>
    <row r="251">
      <c r="A251" t="s">
        <v>186</v>
      </c>
      <c r="B251" t="s">
        <v>188</v>
      </c>
      <c r="C251" s="52" t="n">
        <v>2034</v>
      </c>
      <c r="D251" t="s">
        <v>180</v>
      </c>
      <c r="E251" s="53" t="n">
        <v>669653.511376094</v>
      </c>
      <c r="F251" s="54" t="n">
        <v>393313.260768571</v>
      </c>
      <c r="G251" s="55" t="n">
        <v>393806.920121914</v>
      </c>
      <c r="H251" s="56" t="str">
        <f>G251-F251</f>
      </c>
      <c r="I251" s="57" t="n">
        <v>669565.091865969</v>
      </c>
      <c r="J251" s="58" t="str">
        <f>I251-E251</f>
      </c>
    </row>
    <row r="252">
      <c r="A252" t="s">
        <v>186</v>
      </c>
      <c r="B252" t="s">
        <v>188</v>
      </c>
      <c r="C252" s="52" t="n">
        <v>2034</v>
      </c>
      <c r="D252" t="s">
        <v>184</v>
      </c>
      <c r="E252" s="53" t="n">
        <v>345995.249267126</v>
      </c>
      <c r="F252" s="54" t="n">
        <v>184822.040650005</v>
      </c>
      <c r="G252" s="55" t="n">
        <v>184800.885019324</v>
      </c>
      <c r="H252" s="56" t="str">
        <f>G252-F252</f>
      </c>
      <c r="I252" s="57" t="n">
        <v>345926.396497523</v>
      </c>
      <c r="J252" s="58" t="str">
        <f>I252-E252</f>
      </c>
    </row>
    <row r="253">
      <c r="A253" t="s">
        <v>186</v>
      </c>
      <c r="B253" t="s">
        <v>188</v>
      </c>
      <c r="C253" s="52" t="n">
        <v>2034</v>
      </c>
      <c r="D253" t="s">
        <v>212</v>
      </c>
      <c r="E253" s="53" t="n">
        <v>37391.1428916158</v>
      </c>
      <c r="F253" s="54" t="n">
        <v>3849.43962749553</v>
      </c>
      <c r="G253" s="55" t="n">
        <v>3849.43642407178</v>
      </c>
      <c r="H253" s="56" t="str">
        <f>G253-F253</f>
      </c>
      <c r="I253" s="57" t="n">
        <v>37391.1189795399</v>
      </c>
      <c r="J253" s="58" t="str">
        <f>I253-E253</f>
      </c>
    </row>
    <row r="254">
      <c r="A254" t="s">
        <v>186</v>
      </c>
      <c r="B254" t="s">
        <v>188</v>
      </c>
      <c r="C254" s="52" t="n">
        <v>2035</v>
      </c>
      <c r="D254" t="s">
        <v>190</v>
      </c>
      <c r="E254" s="53" t="n">
        <v>16835.3944246714</v>
      </c>
      <c r="F254" s="54" t="n">
        <v>11869.4151233251</v>
      </c>
      <c r="G254" s="55" t="n">
        <v>12112.814364394</v>
      </c>
      <c r="H254" s="56" t="str">
        <f>G254-F254</f>
      </c>
      <c r="I254" s="57" t="n">
        <v>16830.6420972909</v>
      </c>
      <c r="J254" s="58" t="str">
        <f>I254-E254</f>
      </c>
    </row>
    <row r="255">
      <c r="A255" t="s">
        <v>186</v>
      </c>
      <c r="B255" t="s">
        <v>188</v>
      </c>
      <c r="C255" s="52" t="n">
        <v>2035</v>
      </c>
      <c r="D255" t="s">
        <v>230</v>
      </c>
      <c r="E255" s="53" t="n">
        <v>1162877.14545718</v>
      </c>
      <c r="F255" s="54" t="n">
        <v>210633.370744054</v>
      </c>
      <c r="G255" s="55" t="n">
        <v>210627.422792314</v>
      </c>
      <c r="H255" s="56" t="str">
        <f>G255-F255</f>
      </c>
      <c r="I255" s="57" t="n">
        <v>1162777.28327874</v>
      </c>
      <c r="J255" s="58" t="str">
        <f>I255-E255</f>
      </c>
    </row>
    <row r="256">
      <c r="A256" t="s">
        <v>186</v>
      </c>
      <c r="B256" t="s">
        <v>188</v>
      </c>
      <c r="C256" s="52" t="n">
        <v>2035</v>
      </c>
      <c r="D256" t="s">
        <v>166</v>
      </c>
      <c r="E256" s="53" t="n">
        <v>120808.923419568</v>
      </c>
      <c r="F256" s="54" t="n">
        <v>77571.9764900085</v>
      </c>
      <c r="G256" s="55" t="n">
        <v>79456.6324211876</v>
      </c>
      <c r="H256" s="56" t="str">
        <f>G256-F256</f>
      </c>
      <c r="I256" s="57" t="n">
        <v>120799.065903184</v>
      </c>
      <c r="J256" s="58" t="str">
        <f>I256-E256</f>
      </c>
    </row>
    <row r="257">
      <c r="A257" t="s">
        <v>186</v>
      </c>
      <c r="B257" t="s">
        <v>188</v>
      </c>
      <c r="C257" s="52" t="n">
        <v>2035</v>
      </c>
      <c r="D257" t="s">
        <v>176</v>
      </c>
      <c r="E257" s="53" t="n">
        <v>273395.618994791</v>
      </c>
      <c r="F257" s="54" t="n">
        <v>256843.62732731</v>
      </c>
      <c r="G257" s="55" t="n">
        <v>256807.532230081</v>
      </c>
      <c r="H257" s="56" t="str">
        <f>G257-F257</f>
      </c>
      <c r="I257" s="57" t="n">
        <v>273345.360062938</v>
      </c>
      <c r="J257" s="58" t="str">
        <f>I257-E257</f>
      </c>
    </row>
    <row r="258">
      <c r="A258" t="s">
        <v>186</v>
      </c>
      <c r="B258" t="s">
        <v>188</v>
      </c>
      <c r="C258" s="52" t="n">
        <v>2035</v>
      </c>
      <c r="D258" t="s">
        <v>180</v>
      </c>
      <c r="E258" s="53" t="n">
        <v>678740.195095095</v>
      </c>
      <c r="F258" s="54" t="n">
        <v>398956.840410525</v>
      </c>
      <c r="G258" s="55" t="n">
        <v>399492.950532998</v>
      </c>
      <c r="H258" s="56" t="str">
        <f>G258-F258</f>
      </c>
      <c r="I258" s="57" t="n">
        <v>678638.434521443</v>
      </c>
      <c r="J258" s="58" t="str">
        <f>I258-E258</f>
      </c>
    </row>
    <row r="259">
      <c r="A259" t="s">
        <v>186</v>
      </c>
      <c r="B259" t="s">
        <v>188</v>
      </c>
      <c r="C259" s="52" t="n">
        <v>2035</v>
      </c>
      <c r="D259" t="s">
        <v>184</v>
      </c>
      <c r="E259" s="53" t="n">
        <v>349224.633889403</v>
      </c>
      <c r="F259" s="54" t="n">
        <v>185390.947831809</v>
      </c>
      <c r="G259" s="55" t="n">
        <v>185365.761103579</v>
      </c>
      <c r="H259" s="56" t="str">
        <f>G259-F259</f>
      </c>
      <c r="I259" s="57" t="n">
        <v>349146.062455764</v>
      </c>
      <c r="J259" s="58" t="str">
        <f>I259-E259</f>
      </c>
    </row>
    <row r="260">
      <c r="A260" t="s">
        <v>186</v>
      </c>
      <c r="B260" t="s">
        <v>188</v>
      </c>
      <c r="C260" s="52" t="n">
        <v>2035</v>
      </c>
      <c r="D260" t="s">
        <v>212</v>
      </c>
      <c r="E260" s="53" t="n">
        <v>37274.4226749781</v>
      </c>
      <c r="F260" s="54" t="n">
        <v>3710.43504501748</v>
      </c>
      <c r="G260" s="55" t="n">
        <v>3710.43177455469</v>
      </c>
      <c r="H260" s="56" t="str">
        <f>G260-F260</f>
      </c>
      <c r="I260" s="57" t="n">
        <v>37274.3979018446</v>
      </c>
      <c r="J260" s="58" t="str">
        <f>I260-E260</f>
      </c>
    </row>
    <row r="261">
      <c r="A261" t="s">
        <v>186</v>
      </c>
      <c r="B261" t="s">
        <v>188</v>
      </c>
      <c r="C261" s="52" t="n">
        <v>2036</v>
      </c>
      <c r="D261" t="s">
        <v>190</v>
      </c>
      <c r="E261" s="53" t="n">
        <v>17398.1998005046</v>
      </c>
      <c r="F261" s="54" t="n">
        <v>12187.2845489003</v>
      </c>
      <c r="G261" s="55" t="n">
        <v>12452.8640137516</v>
      </c>
      <c r="H261" s="56" t="str">
        <f>G261-F261</f>
      </c>
      <c r="I261" s="57" t="n">
        <v>17392.6099040701</v>
      </c>
      <c r="J261" s="58" t="str">
        <f>I261-E261</f>
      </c>
    </row>
    <row r="262">
      <c r="A262" t="s">
        <v>186</v>
      </c>
      <c r="B262" t="s">
        <v>188</v>
      </c>
      <c r="C262" s="52" t="n">
        <v>2036</v>
      </c>
      <c r="D262" t="s">
        <v>230</v>
      </c>
      <c r="E262" s="53" t="n">
        <v>1174201.78796245</v>
      </c>
      <c r="F262" s="54" t="n">
        <v>218914.239806021</v>
      </c>
      <c r="G262" s="55" t="n">
        <v>218906.623444501</v>
      </c>
      <c r="H262" s="56" t="str">
        <f>G262-F262</f>
      </c>
      <c r="I262" s="57" t="n">
        <v>1174085.51289072</v>
      </c>
      <c r="J262" s="58" t="str">
        <f>I262-E262</f>
      </c>
    </row>
    <row r="263">
      <c r="A263" t="s">
        <v>186</v>
      </c>
      <c r="B263" t="s">
        <v>188</v>
      </c>
      <c r="C263" s="52" t="n">
        <v>2036</v>
      </c>
      <c r="D263" t="s">
        <v>166</v>
      </c>
      <c r="E263" s="53" t="n">
        <v>122629.652280233</v>
      </c>
      <c r="F263" s="54" t="n">
        <v>78269.9449508643</v>
      </c>
      <c r="G263" s="55" t="n">
        <v>80302.8429955226</v>
      </c>
      <c r="H263" s="56" t="str">
        <f>G263-F263</f>
      </c>
      <c r="I263" s="57" t="n">
        <v>122618.320312187</v>
      </c>
      <c r="J263" s="58" t="str">
        <f>I263-E263</f>
      </c>
    </row>
    <row r="264">
      <c r="A264" t="s">
        <v>186</v>
      </c>
      <c r="B264" t="s">
        <v>188</v>
      </c>
      <c r="C264" s="52" t="n">
        <v>2036</v>
      </c>
      <c r="D264" t="s">
        <v>176</v>
      </c>
      <c r="E264" s="53" t="n">
        <v>273354.519685775</v>
      </c>
      <c r="F264" s="54" t="n">
        <v>256975.115691076</v>
      </c>
      <c r="G264" s="55" t="n">
        <v>256933.398229342</v>
      </c>
      <c r="H264" s="56" t="str">
        <f>G264-F264</f>
      </c>
      <c r="I264" s="57" t="n">
        <v>273297.569822228</v>
      </c>
      <c r="J264" s="58" t="str">
        <f>I264-E264</f>
      </c>
    </row>
    <row r="265">
      <c r="A265" t="s">
        <v>186</v>
      </c>
      <c r="B265" t="s">
        <v>188</v>
      </c>
      <c r="C265" s="52" t="n">
        <v>2036</v>
      </c>
      <c r="D265" t="s">
        <v>180</v>
      </c>
      <c r="E265" s="53" t="n">
        <v>688310.523512036</v>
      </c>
      <c r="F265" s="54" t="n">
        <v>405413.215877959</v>
      </c>
      <c r="G265" s="55" t="n">
        <v>405992.653493878</v>
      </c>
      <c r="H265" s="56" t="str">
        <f>G265-F265</f>
      </c>
      <c r="I265" s="57" t="n">
        <v>688194.684475592</v>
      </c>
      <c r="J265" s="58" t="str">
        <f>I265-E265</f>
      </c>
    </row>
    <row r="266">
      <c r="A266" t="s">
        <v>186</v>
      </c>
      <c r="B266" t="s">
        <v>188</v>
      </c>
      <c r="C266" s="52" t="n">
        <v>2036</v>
      </c>
      <c r="D266" t="s">
        <v>184</v>
      </c>
      <c r="E266" s="53" t="n">
        <v>352691.687093656</v>
      </c>
      <c r="F266" s="54" t="n">
        <v>186447.347344601</v>
      </c>
      <c r="G266" s="55" t="n">
        <v>186417.92722248</v>
      </c>
      <c r="H266" s="56" t="str">
        <f>G266-F266</f>
      </c>
      <c r="I266" s="57" t="n">
        <v>352603.071714204</v>
      </c>
      <c r="J266" s="58" t="str">
        <f>I266-E266</f>
      </c>
    </row>
    <row r="267">
      <c r="A267" t="s">
        <v>186</v>
      </c>
      <c r="B267" t="s">
        <v>188</v>
      </c>
      <c r="C267" s="52" t="n">
        <v>2036</v>
      </c>
      <c r="D267" t="s">
        <v>212</v>
      </c>
      <c r="E267" s="53" t="n">
        <v>37283.0523215299</v>
      </c>
      <c r="F267" s="54" t="n">
        <v>3578.66335353299</v>
      </c>
      <c r="G267" s="55" t="n">
        <v>3578.66006488627</v>
      </c>
      <c r="H267" s="56" t="str">
        <f>G267-F267</f>
      </c>
      <c r="I267" s="57" t="n">
        <v>37283.0276293956</v>
      </c>
      <c r="J267" s="58" t="str">
        <f>I267-E267</f>
      </c>
    </row>
    <row r="268">
      <c r="A268" t="s">
        <v>186</v>
      </c>
      <c r="B268" t="s">
        <v>188</v>
      </c>
      <c r="C268" s="52" t="n">
        <v>2037</v>
      </c>
      <c r="D268" t="s">
        <v>190</v>
      </c>
      <c r="E268" s="53" t="n">
        <v>17977.9802745312</v>
      </c>
      <c r="F268" s="54" t="n">
        <v>12510.7190190684</v>
      </c>
      <c r="G268" s="55" t="n">
        <v>12799.4794545616</v>
      </c>
      <c r="H268" s="56" t="str">
        <f>G268-F268</f>
      </c>
      <c r="I268" s="57" t="n">
        <v>17971.4828640642</v>
      </c>
      <c r="J268" s="58" t="str">
        <f>I268-E268</f>
      </c>
    </row>
    <row r="269">
      <c r="A269" t="s">
        <v>186</v>
      </c>
      <c r="B269" t="s">
        <v>188</v>
      </c>
      <c r="C269" s="52" t="n">
        <v>2037</v>
      </c>
      <c r="D269" t="s">
        <v>230</v>
      </c>
      <c r="E269" s="53" t="n">
        <v>1185398.38125288</v>
      </c>
      <c r="F269" s="54" t="n">
        <v>227155.376086866</v>
      </c>
      <c r="G269" s="55" t="n">
        <v>227145.85064844</v>
      </c>
      <c r="H269" s="56" t="str">
        <f>G269-F269</f>
      </c>
      <c r="I269" s="57" t="n">
        <v>1185264.74384977</v>
      </c>
      <c r="J269" s="58" t="str">
        <f>I269-E269</f>
      </c>
    </row>
    <row r="270">
      <c r="A270" t="s">
        <v>186</v>
      </c>
      <c r="B270" t="s">
        <v>188</v>
      </c>
      <c r="C270" s="52" t="n">
        <v>2037</v>
      </c>
      <c r="D270" t="s">
        <v>166</v>
      </c>
      <c r="E270" s="53" t="n">
        <v>124502.305876449</v>
      </c>
      <c r="F270" s="54" t="n">
        <v>79058.7381276872</v>
      </c>
      <c r="G270" s="55" t="n">
        <v>81244.6913895843</v>
      </c>
      <c r="H270" s="56" t="str">
        <f>G270-F270</f>
      </c>
      <c r="I270" s="57" t="n">
        <v>124489.429760244</v>
      </c>
      <c r="J270" s="58" t="str">
        <f>I270-E270</f>
      </c>
    </row>
    <row r="271">
      <c r="A271" t="s">
        <v>186</v>
      </c>
      <c r="B271" t="s">
        <v>188</v>
      </c>
      <c r="C271" s="52" t="n">
        <v>2037</v>
      </c>
      <c r="D271" t="s">
        <v>176</v>
      </c>
      <c r="E271" s="53" t="n">
        <v>273266.577125611</v>
      </c>
      <c r="F271" s="54" t="n">
        <v>257118.594161556</v>
      </c>
      <c r="G271" s="55" t="n">
        <v>257070.973149134</v>
      </c>
      <c r="H271" s="56" t="str">
        <f>G271-F271</f>
      </c>
      <c r="I271" s="57" t="n">
        <v>273202.802274069</v>
      </c>
      <c r="J271" s="58" t="str">
        <f>I271-E271</f>
      </c>
    </row>
    <row r="272">
      <c r="A272" t="s">
        <v>186</v>
      </c>
      <c r="B272" t="s">
        <v>188</v>
      </c>
      <c r="C272" s="52" t="n">
        <v>2037</v>
      </c>
      <c r="D272" t="s">
        <v>180</v>
      </c>
      <c r="E272" s="53" t="n">
        <v>698191.141995786</v>
      </c>
      <c r="F272" s="54" t="n">
        <v>412395.011405733</v>
      </c>
      <c r="G272" s="55" t="n">
        <v>413018.343093551</v>
      </c>
      <c r="H272" s="56" t="str">
        <f>G272-F272</f>
      </c>
      <c r="I272" s="57" t="n">
        <v>698060.502126947</v>
      </c>
      <c r="J272" s="58" t="str">
        <f>I272-E272</f>
      </c>
    </row>
    <row r="273">
      <c r="A273" t="s">
        <v>186</v>
      </c>
      <c r="B273" t="s">
        <v>188</v>
      </c>
      <c r="C273" s="52" t="n">
        <v>2037</v>
      </c>
      <c r="D273" t="s">
        <v>184</v>
      </c>
      <c r="E273" s="53" t="n">
        <v>356524.718985996</v>
      </c>
      <c r="F273" s="54" t="n">
        <v>187822.186430901</v>
      </c>
      <c r="G273" s="55" t="n">
        <v>187788.312528489</v>
      </c>
      <c r="H273" s="56" t="str">
        <f>G273-F273</f>
      </c>
      <c r="I273" s="57" t="n">
        <v>356425.678918654</v>
      </c>
      <c r="J273" s="58" t="str">
        <f>I273-E273</f>
      </c>
    </row>
    <row r="274">
      <c r="A274" t="s">
        <v>186</v>
      </c>
      <c r="B274" t="s">
        <v>188</v>
      </c>
      <c r="C274" s="52" t="n">
        <v>2037</v>
      </c>
      <c r="D274" t="s">
        <v>212</v>
      </c>
      <c r="E274" s="53" t="n">
        <v>36837.2991063819</v>
      </c>
      <c r="F274" s="54" t="n">
        <v>3450.19789717597</v>
      </c>
      <c r="G274" s="55" t="n">
        <v>3450.19465573699</v>
      </c>
      <c r="H274" s="56" t="str">
        <f>G274-F274</f>
      </c>
      <c r="I274" s="57" t="n">
        <v>36837.2774807632</v>
      </c>
      <c r="J274" s="58" t="str">
        <f>I274-E274</f>
      </c>
    </row>
    <row r="275">
      <c r="A275" t="s">
        <v>186</v>
      </c>
      <c r="B275" t="s">
        <v>188</v>
      </c>
      <c r="C275" s="52" t="n">
        <v>2038</v>
      </c>
      <c r="D275" t="s">
        <v>190</v>
      </c>
      <c r="E275" s="53" t="n">
        <v>18572.2161536753</v>
      </c>
      <c r="F275" s="54" t="n">
        <v>12842.5801594072</v>
      </c>
      <c r="G275" s="55" t="n">
        <v>13155.6038503287</v>
      </c>
      <c r="H275" s="56" t="str">
        <f>G275-F275</f>
      </c>
      <c r="I275" s="57" t="n">
        <v>18564.7325343064</v>
      </c>
      <c r="J275" s="58" t="str">
        <f>I275-E275</f>
      </c>
    </row>
    <row r="276">
      <c r="A276" t="s">
        <v>186</v>
      </c>
      <c r="B276" t="s">
        <v>188</v>
      </c>
      <c r="C276" s="52" t="n">
        <v>2038</v>
      </c>
      <c r="D276" t="s">
        <v>230</v>
      </c>
      <c r="E276" s="53" t="n">
        <v>1196466.5004465</v>
      </c>
      <c r="F276" s="54" t="n">
        <v>235341.289392264</v>
      </c>
      <c r="G276" s="55" t="n">
        <v>235329.601498619</v>
      </c>
      <c r="H276" s="56" t="str">
        <f>G276-F276</f>
      </c>
      <c r="I276" s="57" t="n">
        <v>1196314.54511457</v>
      </c>
      <c r="J276" s="58" t="str">
        <f>I276-E276</f>
      </c>
    </row>
    <row r="277">
      <c r="A277" t="s">
        <v>186</v>
      </c>
      <c r="B277" t="s">
        <v>188</v>
      </c>
      <c r="C277" s="52" t="n">
        <v>2038</v>
      </c>
      <c r="D277" t="s">
        <v>166</v>
      </c>
      <c r="E277" s="53" t="n">
        <v>126570.305922176</v>
      </c>
      <c r="F277" s="54" t="n">
        <v>79910.4653827096</v>
      </c>
      <c r="G277" s="55" t="n">
        <v>82253.930841494</v>
      </c>
      <c r="H277" s="56" t="str">
        <f>G277-F277</f>
      </c>
      <c r="I277" s="57" t="n">
        <v>126555.833855502</v>
      </c>
      <c r="J277" s="58" t="str">
        <f>I277-E277</f>
      </c>
    </row>
    <row r="278">
      <c r="A278" t="s">
        <v>186</v>
      </c>
      <c r="B278" t="s">
        <v>188</v>
      </c>
      <c r="C278" s="52" t="n">
        <v>2038</v>
      </c>
      <c r="D278" t="s">
        <v>176</v>
      </c>
      <c r="E278" s="53" t="n">
        <v>273106.237941477</v>
      </c>
      <c r="F278" s="54" t="n">
        <v>257184.387973262</v>
      </c>
      <c r="G278" s="55" t="n">
        <v>257130.676610817</v>
      </c>
      <c r="H278" s="56" t="str">
        <f>G278-F278</f>
      </c>
      <c r="I278" s="57" t="n">
        <v>273035.370644084</v>
      </c>
      <c r="J278" s="58" t="str">
        <f>I278-E278</f>
      </c>
    </row>
    <row r="279">
      <c r="A279" t="s">
        <v>186</v>
      </c>
      <c r="B279" t="s">
        <v>188</v>
      </c>
      <c r="C279" s="52" t="n">
        <v>2038</v>
      </c>
      <c r="D279" t="s">
        <v>180</v>
      </c>
      <c r="E279" s="53" t="n">
        <v>708820.687573491</v>
      </c>
      <c r="F279" s="54" t="n">
        <v>419777.601981695</v>
      </c>
      <c r="G279" s="55" t="n">
        <v>420445.264129068</v>
      </c>
      <c r="H279" s="56" t="str">
        <f>G279-F279</f>
      </c>
      <c r="I279" s="57" t="n">
        <v>708674.574961299</v>
      </c>
      <c r="J279" s="58" t="str">
        <f>I279-E279</f>
      </c>
    </row>
    <row r="280">
      <c r="A280" t="s">
        <v>186</v>
      </c>
      <c r="B280" t="s">
        <v>188</v>
      </c>
      <c r="C280" s="52" t="n">
        <v>2038</v>
      </c>
      <c r="D280" t="s">
        <v>184</v>
      </c>
      <c r="E280" s="53" t="n">
        <v>361010.661677942</v>
      </c>
      <c r="F280" s="54" t="n">
        <v>189385.9851032</v>
      </c>
      <c r="G280" s="55" t="n">
        <v>189347.422266605</v>
      </c>
      <c r="H280" s="56" t="str">
        <f>G280-F280</f>
      </c>
      <c r="I280" s="57" t="n">
        <v>360900.93527345</v>
      </c>
      <c r="J280" s="58" t="str">
        <f>I280-E280</f>
      </c>
    </row>
    <row r="281">
      <c r="A281" t="s">
        <v>186</v>
      </c>
      <c r="B281" t="s">
        <v>188</v>
      </c>
      <c r="C281" s="52" t="n">
        <v>2038</v>
      </c>
      <c r="D281" t="s">
        <v>212</v>
      </c>
      <c r="E281" s="53" t="n">
        <v>36551.4602065401</v>
      </c>
      <c r="F281" s="54" t="n">
        <v>3322.82461997992</v>
      </c>
      <c r="G281" s="55" t="n">
        <v>3322.82157442101</v>
      </c>
      <c r="H281" s="56" t="str">
        <f>G281-F281</f>
      </c>
      <c r="I281" s="57" t="n">
        <v>36551.441257779</v>
      </c>
      <c r="J281" s="58" t="str">
        <f>I281-E281</f>
      </c>
    </row>
    <row r="282">
      <c r="A282" t="s">
        <v>186</v>
      </c>
      <c r="B282" t="s">
        <v>188</v>
      </c>
      <c r="C282" s="52" t="n">
        <v>2039</v>
      </c>
      <c r="D282" t="s">
        <v>190</v>
      </c>
      <c r="E282" s="53" t="n">
        <v>19182.9036621079</v>
      </c>
      <c r="F282" s="54" t="n">
        <v>13178.3371626349</v>
      </c>
      <c r="G282" s="55" t="n">
        <v>13516.7785061579</v>
      </c>
      <c r="H282" s="56" t="str">
        <f>G282-F282</f>
      </c>
      <c r="I282" s="57" t="n">
        <v>19174.3457459029</v>
      </c>
      <c r="J282" s="58" t="str">
        <f>I282-E282</f>
      </c>
    </row>
    <row r="283">
      <c r="A283" t="s">
        <v>186</v>
      </c>
      <c r="B283" t="s">
        <v>188</v>
      </c>
      <c r="C283" s="52" t="n">
        <v>2039</v>
      </c>
      <c r="D283" t="s">
        <v>230</v>
      </c>
      <c r="E283" s="53" t="n">
        <v>1207097.01467438</v>
      </c>
      <c r="F283" s="54" t="n">
        <v>243497.474794218</v>
      </c>
      <c r="G283" s="55" t="n">
        <v>243483.364034463</v>
      </c>
      <c r="H283" s="56" t="str">
        <f>G283-F283</f>
      </c>
      <c r="I283" s="57" t="n">
        <v>1206925.78308321</v>
      </c>
      <c r="J283" s="58" t="str">
        <f>I283-E283</f>
      </c>
    </row>
    <row r="284">
      <c r="A284" t="s">
        <v>186</v>
      </c>
      <c r="B284" t="s">
        <v>188</v>
      </c>
      <c r="C284" s="52" t="n">
        <v>2039</v>
      </c>
      <c r="D284" t="s">
        <v>166</v>
      </c>
      <c r="E284" s="53" t="n">
        <v>128017.839434006</v>
      </c>
      <c r="F284" s="54" t="n">
        <v>80881.8855076863</v>
      </c>
      <c r="G284" s="55" t="n">
        <v>83389.1809587923</v>
      </c>
      <c r="H284" s="56" t="str">
        <f>G284-F284</f>
      </c>
      <c r="I284" s="57" t="n">
        <v>128001.347826374</v>
      </c>
      <c r="J284" s="58" t="str">
        <f>I284-E284</f>
      </c>
    </row>
    <row r="285">
      <c r="A285" t="s">
        <v>186</v>
      </c>
      <c r="B285" t="s">
        <v>188</v>
      </c>
      <c r="C285" s="52" t="n">
        <v>2039</v>
      </c>
      <c r="D285" t="s">
        <v>176</v>
      </c>
      <c r="E285" s="53" t="n">
        <v>273051.463268925</v>
      </c>
      <c r="F285" s="54" t="n">
        <v>257501.786365913</v>
      </c>
      <c r="G285" s="55" t="n">
        <v>257441.86914337</v>
      </c>
      <c r="H285" s="56" t="str">
        <f>G285-F285</f>
      </c>
      <c r="I285" s="57" t="n">
        <v>272973.34550101</v>
      </c>
      <c r="J285" s="58" t="str">
        <f>I285-E285</f>
      </c>
    </row>
    <row r="286">
      <c r="A286" t="s">
        <v>186</v>
      </c>
      <c r="B286" t="s">
        <v>188</v>
      </c>
      <c r="C286" s="52" t="n">
        <v>2039</v>
      </c>
      <c r="D286" t="s">
        <v>180</v>
      </c>
      <c r="E286" s="53" t="n">
        <v>715744.520723561</v>
      </c>
      <c r="F286" s="54" t="n">
        <v>427731.719584447</v>
      </c>
      <c r="G286" s="55" t="n">
        <v>428444.568481745</v>
      </c>
      <c r="H286" s="56" t="str">
        <f>G286-F286</f>
      </c>
      <c r="I286" s="57" t="n">
        <v>715580.887085385</v>
      </c>
      <c r="J286" s="58" t="str">
        <f>I286-E286</f>
      </c>
    </row>
    <row r="287">
      <c r="A287" t="s">
        <v>186</v>
      </c>
      <c r="B287" t="s">
        <v>188</v>
      </c>
      <c r="C287" s="52" t="n">
        <v>2039</v>
      </c>
      <c r="D287" t="s">
        <v>184</v>
      </c>
      <c r="E287" s="53" t="n">
        <v>363091.730348465</v>
      </c>
      <c r="F287" s="54" t="n">
        <v>191973.190413458</v>
      </c>
      <c r="G287" s="55" t="n">
        <v>191929.610855123</v>
      </c>
      <c r="H287" s="56" t="str">
        <f>G287-F287</f>
      </c>
      <c r="I287" s="57" t="n">
        <v>362969.198365508</v>
      </c>
      <c r="J287" s="58" t="str">
        <f>I287-E287</f>
      </c>
    </row>
    <row r="288">
      <c r="A288" t="s">
        <v>186</v>
      </c>
      <c r="B288" t="s">
        <v>188</v>
      </c>
      <c r="C288" s="52" t="n">
        <v>2039</v>
      </c>
      <c r="D288" t="s">
        <v>212</v>
      </c>
      <c r="E288" s="53" t="n">
        <v>36178.2427817326</v>
      </c>
      <c r="F288" s="54" t="n">
        <v>3198.02574062679</v>
      </c>
      <c r="G288" s="55" t="n">
        <v>3198.02305383022</v>
      </c>
      <c r="H288" s="56" t="str">
        <f>G288-F288</f>
      </c>
      <c r="I288" s="57" t="n">
        <v>36178.2238447184</v>
      </c>
      <c r="J288" s="58" t="str">
        <f>I288-E288</f>
      </c>
    </row>
    <row r="289">
      <c r="A289" t="s">
        <v>186</v>
      </c>
      <c r="B289" t="s">
        <v>188</v>
      </c>
      <c r="C289" s="52" t="n">
        <v>2040</v>
      </c>
      <c r="D289" t="s">
        <v>190</v>
      </c>
      <c r="E289" s="53" t="n">
        <v>19815.2388298264</v>
      </c>
      <c r="F289" s="54" t="n">
        <v>13514.7259148818</v>
      </c>
      <c r="G289" s="55" t="n">
        <v>13879.6732870407</v>
      </c>
      <c r="H289" s="56" t="str">
        <f>G289-F289</f>
      </c>
      <c r="I289" s="57" t="n">
        <v>19805.5058057648</v>
      </c>
      <c r="J289" s="58" t="str">
        <f>I289-E289</f>
      </c>
    </row>
    <row r="290">
      <c r="A290" t="s">
        <v>186</v>
      </c>
      <c r="B290" t="s">
        <v>188</v>
      </c>
      <c r="C290" s="52" t="n">
        <v>2040</v>
      </c>
      <c r="D290" t="s">
        <v>230</v>
      </c>
      <c r="E290" s="53" t="n">
        <v>1217220.90036471</v>
      </c>
      <c r="F290" s="54" t="n">
        <v>251608.685897713</v>
      </c>
      <c r="G290" s="55" t="n">
        <v>251591.898664867</v>
      </c>
      <c r="H290" s="56" t="str">
        <f>G290-F290</f>
      </c>
      <c r="I290" s="57" t="n">
        <v>1217029.49333677</v>
      </c>
      <c r="J290" s="58" t="str">
        <f>I290-E290</f>
      </c>
    </row>
    <row r="291">
      <c r="A291" t="s">
        <v>186</v>
      </c>
      <c r="B291" t="s">
        <v>188</v>
      </c>
      <c r="C291" s="52" t="n">
        <v>2040</v>
      </c>
      <c r="D291" t="s">
        <v>166</v>
      </c>
      <c r="E291" s="53" t="n">
        <v>130097.453932274</v>
      </c>
      <c r="F291" s="54" t="n">
        <v>81758.5794100715</v>
      </c>
      <c r="G291" s="55" t="n">
        <v>84431.8911758369</v>
      </c>
      <c r="H291" s="56" t="str">
        <f>G291-F291</f>
      </c>
      <c r="I291" s="57" t="n">
        <v>130079.117811465</v>
      </c>
      <c r="J291" s="58" t="str">
        <f>I291-E291</f>
      </c>
    </row>
    <row r="292">
      <c r="A292" t="s">
        <v>186</v>
      </c>
      <c r="B292" t="s">
        <v>188</v>
      </c>
      <c r="C292" s="52" t="n">
        <v>2040</v>
      </c>
      <c r="D292" t="s">
        <v>176</v>
      </c>
      <c r="E292" s="53" t="n">
        <v>272858.1879622</v>
      </c>
      <c r="F292" s="54" t="n">
        <v>257518.122749532</v>
      </c>
      <c r="G292" s="55" t="n">
        <v>257451.80463236</v>
      </c>
      <c r="H292" s="56" t="str">
        <f>G292-F292</f>
      </c>
      <c r="I292" s="57" t="n">
        <v>272772.692977532</v>
      </c>
      <c r="J292" s="58" t="str">
        <f>I292-E292</f>
      </c>
    </row>
    <row r="293">
      <c r="A293" t="s">
        <v>186</v>
      </c>
      <c r="B293" t="s">
        <v>188</v>
      </c>
      <c r="C293" s="52" t="n">
        <v>2040</v>
      </c>
      <c r="D293" t="s">
        <v>180</v>
      </c>
      <c r="E293" s="53" t="n">
        <v>725238.804748409</v>
      </c>
      <c r="F293" s="54" t="n">
        <v>434453.148267304</v>
      </c>
      <c r="G293" s="55" t="n">
        <v>435208.840989962</v>
      </c>
      <c r="H293" s="56" t="str">
        <f>G293-F293</f>
      </c>
      <c r="I293" s="57" t="n">
        <v>725057.851356544</v>
      </c>
      <c r="J293" s="58" t="str">
        <f>I293-E293</f>
      </c>
    </row>
    <row r="294">
      <c r="A294" t="s">
        <v>186</v>
      </c>
      <c r="B294" t="s">
        <v>188</v>
      </c>
      <c r="C294" s="52" t="n">
        <v>2040</v>
      </c>
      <c r="D294" t="s">
        <v>184</v>
      </c>
      <c r="E294" s="53" t="n">
        <v>366848.508289786</v>
      </c>
      <c r="F294" s="54" t="n">
        <v>193902.201815547</v>
      </c>
      <c r="G294" s="55" t="n">
        <v>193853.250747764</v>
      </c>
      <c r="H294" s="56" t="str">
        <f>G294-F294</f>
      </c>
      <c r="I294" s="57" t="n">
        <v>366714.045807884</v>
      </c>
      <c r="J294" s="58" t="str">
        <f>I294-E294</f>
      </c>
    </row>
    <row r="295">
      <c r="A295" t="s">
        <v>186</v>
      </c>
      <c r="B295" t="s">
        <v>188</v>
      </c>
      <c r="C295" s="52" t="n">
        <v>2040</v>
      </c>
      <c r="D295" t="s">
        <v>212</v>
      </c>
      <c r="E295" s="53" t="n">
        <v>36005.0464301997</v>
      </c>
      <c r="F295" s="54" t="n">
        <v>3069.25429694713</v>
      </c>
      <c r="G295" s="55" t="n">
        <v>3069.25189350158</v>
      </c>
      <c r="H295" s="56" t="str">
        <f>G295-F295</f>
      </c>
      <c r="I295" s="57" t="n">
        <v>36005.0280863419</v>
      </c>
      <c r="J295" s="58" t="str">
        <f>I295-E295</f>
      </c>
    </row>
    <row r="296">
      <c r="A296" t="s">
        <v>186</v>
      </c>
      <c r="B296" t="s">
        <v>188</v>
      </c>
      <c r="C296" s="52" t="n">
        <v>2041</v>
      </c>
      <c r="D296" t="s">
        <v>190</v>
      </c>
      <c r="E296" s="53" t="n">
        <v>20464.638270535</v>
      </c>
      <c r="F296" s="54" t="n">
        <v>13856.5104344559</v>
      </c>
      <c r="G296" s="55" t="n">
        <v>14249.5364552167</v>
      </c>
      <c r="H296" s="56" t="str">
        <f>G296-F296</f>
      </c>
      <c r="I296" s="57" t="n">
        <v>20453.6267543422</v>
      </c>
      <c r="J296" s="58" t="str">
        <f>I296-E296</f>
      </c>
    </row>
    <row r="297">
      <c r="A297" t="s">
        <v>186</v>
      </c>
      <c r="B297" t="s">
        <v>188</v>
      </c>
      <c r="C297" s="52" t="n">
        <v>2041</v>
      </c>
      <c r="D297" t="s">
        <v>230</v>
      </c>
      <c r="E297" s="53" t="n">
        <v>1226837.3002981</v>
      </c>
      <c r="F297" s="54" t="n">
        <v>259696.929137541</v>
      </c>
      <c r="G297" s="55" t="n">
        <v>259677.195752453</v>
      </c>
      <c r="H297" s="56" t="str">
        <f>G297-F297</f>
      </c>
      <c r="I297" s="57" t="n">
        <v>1226624.81076703</v>
      </c>
      <c r="J297" s="58" t="str">
        <f>I297-E297</f>
      </c>
    </row>
    <row r="298">
      <c r="A298" t="s">
        <v>186</v>
      </c>
      <c r="B298" t="s">
        <v>188</v>
      </c>
      <c r="C298" s="52" t="n">
        <v>2041</v>
      </c>
      <c r="D298" t="s">
        <v>166</v>
      </c>
      <c r="E298" s="53" t="n">
        <v>132249.918337097</v>
      </c>
      <c r="F298" s="54" t="n">
        <v>82687.5349004421</v>
      </c>
      <c r="G298" s="55" t="n">
        <v>85532.3195906077</v>
      </c>
      <c r="H298" s="56" t="str">
        <f>G298-F298</f>
      </c>
      <c r="I298" s="57" t="n">
        <v>132229.629710176</v>
      </c>
      <c r="J298" s="58" t="str">
        <f>I298-E298</f>
      </c>
    </row>
    <row r="299">
      <c r="A299" t="s">
        <v>186</v>
      </c>
      <c r="B299" t="s">
        <v>188</v>
      </c>
      <c r="C299" s="52" t="n">
        <v>2041</v>
      </c>
      <c r="D299" t="s">
        <v>176</v>
      </c>
      <c r="E299" s="53" t="n">
        <v>272704.817976259</v>
      </c>
      <c r="F299" s="54" t="n">
        <v>257462.533878508</v>
      </c>
      <c r="G299" s="55" t="n">
        <v>257389.631754286</v>
      </c>
      <c r="H299" s="56" t="str">
        <f>G299-F299</f>
      </c>
      <c r="I299" s="57" t="n">
        <v>272611.753671291</v>
      </c>
      <c r="J299" s="58" t="str">
        <f>I299-E299</f>
      </c>
    </row>
    <row r="300">
      <c r="A300" t="s">
        <v>186</v>
      </c>
      <c r="B300" t="s">
        <v>188</v>
      </c>
      <c r="C300" s="52" t="n">
        <v>2041</v>
      </c>
      <c r="D300" t="s">
        <v>180</v>
      </c>
      <c r="E300" s="53" t="n">
        <v>734826.913691352</v>
      </c>
      <c r="F300" s="54" t="n">
        <v>441525.256984259</v>
      </c>
      <c r="G300" s="55" t="n">
        <v>442324.306406792</v>
      </c>
      <c r="H300" s="56" t="str">
        <f>G300-F300</f>
      </c>
      <c r="I300" s="57" t="n">
        <v>734627.740075405</v>
      </c>
      <c r="J300" s="58" t="str">
        <f>I300-E300</f>
      </c>
    </row>
    <row r="301">
      <c r="A301" t="s">
        <v>186</v>
      </c>
      <c r="B301" t="s">
        <v>188</v>
      </c>
      <c r="C301" s="52" t="n">
        <v>2041</v>
      </c>
      <c r="D301" t="s">
        <v>184</v>
      </c>
      <c r="E301" s="53" t="n">
        <v>370583.783112199</v>
      </c>
      <c r="F301" s="54" t="n">
        <v>195981.526659546</v>
      </c>
      <c r="G301" s="55" t="n">
        <v>195926.907201396</v>
      </c>
      <c r="H301" s="56" t="str">
        <f>G301-F301</f>
      </c>
      <c r="I301" s="57" t="n">
        <v>370436.975606793</v>
      </c>
      <c r="J301" s="58" t="str">
        <f>I301-E301</f>
      </c>
    </row>
    <row r="302">
      <c r="A302" t="s">
        <v>186</v>
      </c>
      <c r="B302" t="s">
        <v>188</v>
      </c>
      <c r="C302" s="52" t="n">
        <v>2041</v>
      </c>
      <c r="D302" t="s">
        <v>212</v>
      </c>
      <c r="E302" s="53" t="n">
        <v>35900.782678965</v>
      </c>
      <c r="F302" s="54" t="n">
        <v>2944.01769864167</v>
      </c>
      <c r="G302" s="55" t="n">
        <v>2944.01552271229</v>
      </c>
      <c r="H302" s="56" t="str">
        <f>G302-F302</f>
      </c>
      <c r="I302" s="57" t="n">
        <v>35900.7650540721</v>
      </c>
      <c r="J302" s="58" t="str">
        <f>I302-E302</f>
      </c>
    </row>
    <row r="303">
      <c r="A303" t="s">
        <v>186</v>
      </c>
      <c r="B303" t="s">
        <v>188</v>
      </c>
      <c r="C303" s="52" t="n">
        <v>2042</v>
      </c>
      <c r="D303" t="s">
        <v>190</v>
      </c>
      <c r="E303" s="53" t="n">
        <v>21127.9771714918</v>
      </c>
      <c r="F303" s="54" t="n">
        <v>14203.4824104086</v>
      </c>
      <c r="G303" s="55" t="n">
        <v>14626.3190066004</v>
      </c>
      <c r="H303" s="56" t="str">
        <f>G303-F303</f>
      </c>
      <c r="I303" s="57" t="n">
        <v>21115.5817026885</v>
      </c>
      <c r="J303" s="58" t="str">
        <f>I303-E303</f>
      </c>
    </row>
    <row r="304">
      <c r="A304" t="s">
        <v>186</v>
      </c>
      <c r="B304" t="s">
        <v>188</v>
      </c>
      <c r="C304" s="52" t="n">
        <v>2042</v>
      </c>
      <c r="D304" t="s">
        <v>230</v>
      </c>
      <c r="E304" s="53" t="n">
        <v>1235938.24128733</v>
      </c>
      <c r="F304" s="54" t="n">
        <v>267801.698316389</v>
      </c>
      <c r="G304" s="55" t="n">
        <v>267778.732534162</v>
      </c>
      <c r="H304" s="56" t="str">
        <f>G304-F304</f>
      </c>
      <c r="I304" s="57" t="n">
        <v>1235703.75022274</v>
      </c>
      <c r="J304" s="58" t="str">
        <f>I304-E304</f>
      </c>
    </row>
    <row r="305">
      <c r="A305" t="s">
        <v>186</v>
      </c>
      <c r="B305" t="s">
        <v>188</v>
      </c>
      <c r="C305" s="52" t="n">
        <v>2042</v>
      </c>
      <c r="D305" t="s">
        <v>166</v>
      </c>
      <c r="E305" s="53" t="n">
        <v>134373.959355184</v>
      </c>
      <c r="F305" s="54" t="n">
        <v>83636.2891720489</v>
      </c>
      <c r="G305" s="55" t="n">
        <v>86657.3132213297</v>
      </c>
      <c r="H305" s="56" t="str">
        <f>G305-F305</f>
      </c>
      <c r="I305" s="57" t="n">
        <v>134351.626048708</v>
      </c>
      <c r="J305" s="58" t="str">
        <f>I305-E305</f>
      </c>
    </row>
    <row r="306">
      <c r="A306" t="s">
        <v>186</v>
      </c>
      <c r="B306" t="s">
        <v>188</v>
      </c>
      <c r="C306" s="52" t="n">
        <v>2042</v>
      </c>
      <c r="D306" t="s">
        <v>176</v>
      </c>
      <c r="E306" s="53" t="n">
        <v>272381.457878839</v>
      </c>
      <c r="F306" s="54" t="n">
        <v>257277.991280164</v>
      </c>
      <c r="G306" s="55" t="n">
        <v>257198.349756019</v>
      </c>
      <c r="H306" s="56" t="str">
        <f>G306-F306</f>
      </c>
      <c r="I306" s="57" t="n">
        <v>272280.658720601</v>
      </c>
      <c r="J306" s="58" t="str">
        <f>I306-E306</f>
      </c>
    </row>
    <row r="307">
      <c r="A307" t="s">
        <v>186</v>
      </c>
      <c r="B307" t="s">
        <v>188</v>
      </c>
      <c r="C307" s="52" t="n">
        <v>2042</v>
      </c>
      <c r="D307" t="s">
        <v>180</v>
      </c>
      <c r="E307" s="53" t="n">
        <v>744531.572284405</v>
      </c>
      <c r="F307" s="54" t="n">
        <v>448758.732441107</v>
      </c>
      <c r="G307" s="55" t="n">
        <v>449601.261227495</v>
      </c>
      <c r="H307" s="56" t="str">
        <f>G307-F307</f>
      </c>
      <c r="I307" s="57" t="n">
        <v>744313.272667757</v>
      </c>
      <c r="J307" s="58" t="str">
        <f>I307-E307</f>
      </c>
    </row>
    <row r="308">
      <c r="A308" t="s">
        <v>186</v>
      </c>
      <c r="B308" t="s">
        <v>188</v>
      </c>
      <c r="C308" s="52" t="n">
        <v>2042</v>
      </c>
      <c r="D308" t="s">
        <v>184</v>
      </c>
      <c r="E308" s="53" t="n">
        <v>374578.860521836</v>
      </c>
      <c r="F308" s="54" t="n">
        <v>198143.407985472</v>
      </c>
      <c r="G308" s="55" t="n">
        <v>198082.814103714</v>
      </c>
      <c r="H308" s="56" t="str">
        <f>G308-F308</f>
      </c>
      <c r="I308" s="57" t="n">
        <v>374419.262045636</v>
      </c>
      <c r="J308" s="58" t="str">
        <f>I308-E308</f>
      </c>
    </row>
    <row r="309">
      <c r="A309" t="s">
        <v>186</v>
      </c>
      <c r="B309" t="s">
        <v>188</v>
      </c>
      <c r="C309" s="52" t="n">
        <v>2042</v>
      </c>
      <c r="D309" t="s">
        <v>212</v>
      </c>
      <c r="E309" s="53" t="n">
        <v>35516.8574587224</v>
      </c>
      <c r="F309" s="54" t="n">
        <v>2820.51418959981</v>
      </c>
      <c r="G309" s="55" t="n">
        <v>2820.51221264468</v>
      </c>
      <c r="H309" s="56" t="str">
        <f>G309-F309</f>
      </c>
      <c r="I309" s="57" t="n">
        <v>35516.8405935332</v>
      </c>
      <c r="J309" s="58" t="str">
        <f>I309-E309</f>
      </c>
    </row>
    <row r="310">
      <c r="A310" t="s">
        <v>186</v>
      </c>
      <c r="B310" t="s">
        <v>188</v>
      </c>
      <c r="C310" s="52" t="n">
        <v>2043</v>
      </c>
      <c r="D310" t="s">
        <v>190</v>
      </c>
      <c r="E310" s="53" t="n">
        <v>21803.0203095377</v>
      </c>
      <c r="F310" s="54" t="n">
        <v>14549.6980902628</v>
      </c>
      <c r="G310" s="55" t="n">
        <v>15004.0861158129</v>
      </c>
      <c r="H310" s="56" t="str">
        <f>G310-F310</f>
      </c>
      <c r="I310" s="57" t="n">
        <v>21789.1256560335</v>
      </c>
      <c r="J310" s="58" t="str">
        <f>I310-E310</f>
      </c>
    </row>
    <row r="311">
      <c r="A311" t="s">
        <v>186</v>
      </c>
      <c r="B311" t="s">
        <v>188</v>
      </c>
      <c r="C311" s="52" t="n">
        <v>2043</v>
      </c>
      <c r="D311" t="s">
        <v>230</v>
      </c>
      <c r="E311" s="53" t="n">
        <v>1244503.94373035</v>
      </c>
      <c r="F311" s="54" t="n">
        <v>275903.497299263</v>
      </c>
      <c r="G311" s="55" t="n">
        <v>275876.995486318</v>
      </c>
      <c r="H311" s="56" t="str">
        <f>G311-F311</f>
      </c>
      <c r="I311" s="57" t="n">
        <v>1244246.51153606</v>
      </c>
      <c r="J311" s="58" t="str">
        <f>I311-E311</f>
      </c>
    </row>
    <row r="312">
      <c r="A312" t="s">
        <v>186</v>
      </c>
      <c r="B312" t="s">
        <v>188</v>
      </c>
      <c r="C312" s="52" t="n">
        <v>2043</v>
      </c>
      <c r="D312" t="s">
        <v>166</v>
      </c>
      <c r="E312" s="53" t="n">
        <v>136626.43731195</v>
      </c>
      <c r="F312" s="54" t="n">
        <v>84577.8451030235</v>
      </c>
      <c r="G312" s="55" t="n">
        <v>87779.034425801</v>
      </c>
      <c r="H312" s="56" t="str">
        <f>G312-F312</f>
      </c>
      <c r="I312" s="57" t="n">
        <v>136601.974960575</v>
      </c>
      <c r="J312" s="58" t="str">
        <f>I312-E312</f>
      </c>
    </row>
    <row r="313">
      <c r="A313" t="s">
        <v>186</v>
      </c>
      <c r="B313" t="s">
        <v>188</v>
      </c>
      <c r="C313" s="52" t="n">
        <v>2043</v>
      </c>
      <c r="D313" t="s">
        <v>176</v>
      </c>
      <c r="E313" s="53" t="n">
        <v>271798.466157755</v>
      </c>
      <c r="F313" s="54" t="n">
        <v>256864.090001821</v>
      </c>
      <c r="G313" s="55" t="n">
        <v>256777.587157068</v>
      </c>
      <c r="H313" s="56" t="str">
        <f>G313-F313</f>
      </c>
      <c r="I313" s="57" t="n">
        <v>271689.794226751</v>
      </c>
      <c r="J313" s="58" t="str">
        <f>I313-E313</f>
      </c>
    </row>
    <row r="314">
      <c r="A314" t="s">
        <v>186</v>
      </c>
      <c r="B314" t="s">
        <v>188</v>
      </c>
      <c r="C314" s="52" t="n">
        <v>2043</v>
      </c>
      <c r="D314" t="s">
        <v>180</v>
      </c>
      <c r="E314" s="53" t="n">
        <v>754609.247099467</v>
      </c>
      <c r="F314" s="54" t="n">
        <v>456029.871249048</v>
      </c>
      <c r="G314" s="55" t="n">
        <v>456915.722046172</v>
      </c>
      <c r="H314" s="56" t="str">
        <f>G314-F314</f>
      </c>
      <c r="I314" s="57" t="n">
        <v>754370.892413502</v>
      </c>
      <c r="J314" s="58" t="str">
        <f>I314-E314</f>
      </c>
    </row>
    <row r="315">
      <c r="A315" t="s">
        <v>186</v>
      </c>
      <c r="B315" t="s">
        <v>188</v>
      </c>
      <c r="C315" s="52" t="n">
        <v>2043</v>
      </c>
      <c r="D315" t="s">
        <v>184</v>
      </c>
      <c r="E315" s="53" t="n">
        <v>378939.293763413</v>
      </c>
      <c r="F315" s="54" t="n">
        <v>200271.126091146</v>
      </c>
      <c r="G315" s="55" t="n">
        <v>200204.274251736</v>
      </c>
      <c r="H315" s="56" t="str">
        <f>G315-F315</f>
      </c>
      <c r="I315" s="57" t="n">
        <v>378766.534515357</v>
      </c>
      <c r="J315" s="58" t="str">
        <f>I315-E315</f>
      </c>
    </row>
    <row r="316">
      <c r="A316" t="s">
        <v>186</v>
      </c>
      <c r="B316" t="s">
        <v>188</v>
      </c>
      <c r="C316" s="52" t="n">
        <v>2043</v>
      </c>
      <c r="D316" t="s">
        <v>212</v>
      </c>
      <c r="E316" s="53" t="n">
        <v>35328.7880594171</v>
      </c>
      <c r="F316" s="54" t="n">
        <v>2698.3327226349</v>
      </c>
      <c r="G316" s="55" t="n">
        <v>2698.33092960504</v>
      </c>
      <c r="H316" s="56" t="str">
        <f>G316-F316</f>
      </c>
      <c r="I316" s="57" t="n">
        <v>35328.7732033082</v>
      </c>
      <c r="J316" s="58" t="str">
        <f>I316-E316</f>
      </c>
    </row>
    <row r="317">
      <c r="A317" t="s">
        <v>186</v>
      </c>
      <c r="B317" t="s">
        <v>188</v>
      </c>
      <c r="C317" s="52" t="n">
        <v>2044</v>
      </c>
      <c r="D317" t="s">
        <v>190</v>
      </c>
      <c r="E317" s="53" t="n">
        <v>22487.9172876728</v>
      </c>
      <c r="F317" s="54" t="n">
        <v>14901.127524811</v>
      </c>
      <c r="G317" s="55" t="n">
        <v>15388.6382618872</v>
      </c>
      <c r="H317" s="56" t="str">
        <f>G317-F317</f>
      </c>
      <c r="I317" s="57" t="n">
        <v>22472.4057787798</v>
      </c>
      <c r="J317" s="58" t="str">
        <f>I317-E317</f>
      </c>
    </row>
    <row r="318">
      <c r="A318" t="s">
        <v>186</v>
      </c>
      <c r="B318" t="s">
        <v>188</v>
      </c>
      <c r="C318" s="52" t="n">
        <v>2044</v>
      </c>
      <c r="D318" t="s">
        <v>230</v>
      </c>
      <c r="E318" s="53" t="n">
        <v>1252801.0901418</v>
      </c>
      <c r="F318" s="54" t="n">
        <v>283932.406019174</v>
      </c>
      <c r="G318" s="55" t="n">
        <v>283902.050416871</v>
      </c>
      <c r="H318" s="56" t="str">
        <f>G318-F318</f>
      </c>
      <c r="I318" s="57" t="n">
        <v>1252519.7576167</v>
      </c>
      <c r="J318" s="58" t="str">
        <f>I318-E318</f>
      </c>
    </row>
    <row r="319">
      <c r="A319" t="s">
        <v>186</v>
      </c>
      <c r="B319" t="s">
        <v>188</v>
      </c>
      <c r="C319" s="52" t="n">
        <v>2044</v>
      </c>
      <c r="D319" t="s">
        <v>166</v>
      </c>
      <c r="E319" s="53" t="n">
        <v>138154.8474065</v>
      </c>
      <c r="F319" s="54" t="n">
        <v>85526.0415464748</v>
      </c>
      <c r="G319" s="55" t="n">
        <v>88912.4462868978</v>
      </c>
      <c r="H319" s="56" t="str">
        <f>G319-F319</f>
      </c>
      <c r="I319" s="57" t="n">
        <v>138127.807492249</v>
      </c>
      <c r="J319" s="58" t="str">
        <f>I319-E319</f>
      </c>
    </row>
    <row r="320">
      <c r="A320" t="s">
        <v>186</v>
      </c>
      <c r="B320" t="s">
        <v>188</v>
      </c>
      <c r="C320" s="52" t="n">
        <v>2044</v>
      </c>
      <c r="D320" t="s">
        <v>176</v>
      </c>
      <c r="E320" s="53" t="n">
        <v>271097.711635549</v>
      </c>
      <c r="F320" s="54" t="n">
        <v>256529.842129127</v>
      </c>
      <c r="G320" s="55" t="n">
        <v>256436.399818879</v>
      </c>
      <c r="H320" s="56" t="str">
        <f>G320-F320</f>
      </c>
      <c r="I320" s="57" t="n">
        <v>270981.060601887</v>
      </c>
      <c r="J320" s="58" t="str">
        <f>I320-E320</f>
      </c>
    </row>
    <row r="321">
      <c r="A321" t="s">
        <v>186</v>
      </c>
      <c r="B321" t="s">
        <v>188</v>
      </c>
      <c r="C321" s="52" t="n">
        <v>2044</v>
      </c>
      <c r="D321" t="s">
        <v>180</v>
      </c>
      <c r="E321" s="53" t="n">
        <v>761010.984503419</v>
      </c>
      <c r="F321" s="54" t="n">
        <v>463307.433005992</v>
      </c>
      <c r="G321" s="55" t="n">
        <v>464236.623828497</v>
      </c>
      <c r="H321" s="56" t="str">
        <f>G321-F321</f>
      </c>
      <c r="I321" s="57" t="n">
        <v>760751.529161819</v>
      </c>
      <c r="J321" s="58" t="str">
        <f>I321-E321</f>
      </c>
    </row>
    <row r="322">
      <c r="A322" t="s">
        <v>186</v>
      </c>
      <c r="B322" t="s">
        <v>188</v>
      </c>
      <c r="C322" s="52" t="n">
        <v>2044</v>
      </c>
      <c r="D322" t="s">
        <v>184</v>
      </c>
      <c r="E322" s="53" t="n">
        <v>380941.719832511</v>
      </c>
      <c r="F322" s="54" t="n">
        <v>202835.812156259</v>
      </c>
      <c r="G322" s="55" t="n">
        <v>202762.435405402</v>
      </c>
      <c r="H322" s="56" t="str">
        <f>G322-F322</f>
      </c>
      <c r="I322" s="57" t="n">
        <v>380754.514374576</v>
      </c>
      <c r="J322" s="58" t="str">
        <f>I322-E322</f>
      </c>
    </row>
    <row r="323">
      <c r="A323" t="s">
        <v>186</v>
      </c>
      <c r="B323" t="s">
        <v>188</v>
      </c>
      <c r="C323" s="52" t="n">
        <v>2044</v>
      </c>
      <c r="D323" t="s">
        <v>212</v>
      </c>
      <c r="E323" s="53" t="n">
        <v>35046.7127382531</v>
      </c>
      <c r="F323" s="54" t="n">
        <v>2573.79408000833</v>
      </c>
      <c r="G323" s="55" t="n">
        <v>2573.79262430521</v>
      </c>
      <c r="H323" s="56" t="str">
        <f>G323-F323</f>
      </c>
      <c r="I323" s="57" t="n">
        <v>35046.7052079593</v>
      </c>
      <c r="J323" s="58" t="str">
        <f>I323-E323</f>
      </c>
    </row>
    <row r="324">
      <c r="A324" t="s">
        <v>186</v>
      </c>
      <c r="B324" t="s">
        <v>188</v>
      </c>
      <c r="C324" s="52" t="n">
        <v>2045</v>
      </c>
      <c r="D324" t="s">
        <v>190</v>
      </c>
      <c r="E324" s="53" t="n">
        <v>23184.1891490084</v>
      </c>
      <c r="F324" s="54" t="n">
        <v>15249.9375595768</v>
      </c>
      <c r="G324" s="55" t="n">
        <v>15771.7189092791</v>
      </c>
      <c r="H324" s="56" t="str">
        <f>G324-F324</f>
      </c>
      <c r="I324" s="57" t="n">
        <v>23166.9456880515</v>
      </c>
      <c r="J324" s="58" t="str">
        <f>I324-E324</f>
      </c>
    </row>
    <row r="325">
      <c r="A325" t="s">
        <v>186</v>
      </c>
      <c r="B325" t="s">
        <v>188</v>
      </c>
      <c r="C325" s="52" t="n">
        <v>2045</v>
      </c>
      <c r="D325" t="s">
        <v>230</v>
      </c>
      <c r="E325" s="53" t="n">
        <v>1260899.18136208</v>
      </c>
      <c r="F325" s="54" t="n">
        <v>291856.572019814</v>
      </c>
      <c r="G325" s="55" t="n">
        <v>291822.027540257</v>
      </c>
      <c r="H325" s="56" t="str">
        <f>G325-F325</f>
      </c>
      <c r="I325" s="57" t="n">
        <v>1260592.98702146</v>
      </c>
      <c r="J325" s="58" t="str">
        <f>I325-E325</f>
      </c>
    </row>
    <row r="326">
      <c r="A326" t="s">
        <v>186</v>
      </c>
      <c r="B326" t="s">
        <v>188</v>
      </c>
      <c r="C326" s="52" t="n">
        <v>2045</v>
      </c>
      <c r="D326" t="s">
        <v>166</v>
      </c>
      <c r="E326" s="53" t="n">
        <v>140202.206164202</v>
      </c>
      <c r="F326" s="54" t="n">
        <v>86465.4795474405</v>
      </c>
      <c r="G326" s="55" t="n">
        <v>90041.6045905888</v>
      </c>
      <c r="H326" s="56" t="str">
        <f>G326-F326</f>
      </c>
      <c r="I326" s="57" t="n">
        <v>140172.774815525</v>
      </c>
      <c r="J326" s="58" t="str">
        <f>I326-E326</f>
      </c>
    </row>
    <row r="327">
      <c r="A327" t="s">
        <v>186</v>
      </c>
      <c r="B327" t="s">
        <v>188</v>
      </c>
      <c r="C327" s="52" t="n">
        <v>2045</v>
      </c>
      <c r="D327" t="s">
        <v>176</v>
      </c>
      <c r="E327" s="53" t="n">
        <v>270563.389780143</v>
      </c>
      <c r="F327" s="54" t="n">
        <v>256077.425217479</v>
      </c>
      <c r="G327" s="55" t="n">
        <v>255976.908113305</v>
      </c>
      <c r="H327" s="56" t="str">
        <f>G327-F327</f>
      </c>
      <c r="I327" s="57" t="n">
        <v>270438.603152282</v>
      </c>
      <c r="J327" s="58" t="str">
        <f>I327-E327</f>
      </c>
    </row>
    <row r="328">
      <c r="A328" t="s">
        <v>186</v>
      </c>
      <c r="B328" t="s">
        <v>188</v>
      </c>
      <c r="C328" s="52" t="n">
        <v>2045</v>
      </c>
      <c r="D328" t="s">
        <v>180</v>
      </c>
      <c r="E328" s="53" t="n">
        <v>769595.079249034</v>
      </c>
      <c r="F328" s="54" t="n">
        <v>469949.332987574</v>
      </c>
      <c r="G328" s="55" t="n">
        <v>470920.29436777</v>
      </c>
      <c r="H328" s="56" t="str">
        <f>G328-F328</f>
      </c>
      <c r="I328" s="57" t="n">
        <v>769313.803212411</v>
      </c>
      <c r="J328" s="58" t="str">
        <f>I328-E328</f>
      </c>
    </row>
    <row r="329">
      <c r="A329" t="s">
        <v>186</v>
      </c>
      <c r="B329" t="s">
        <v>188</v>
      </c>
      <c r="C329" s="52" t="n">
        <v>2045</v>
      </c>
      <c r="D329" t="s">
        <v>184</v>
      </c>
      <c r="E329" s="53" t="n">
        <v>384137.376745458</v>
      </c>
      <c r="F329" s="54" t="n">
        <v>204949.550135237</v>
      </c>
      <c r="G329" s="55" t="n">
        <v>204869.328897989</v>
      </c>
      <c r="H329" s="56" t="str">
        <f>G329-F329</f>
      </c>
      <c r="I329" s="57" t="n">
        <v>383936.192524615</v>
      </c>
      <c r="J329" s="58" t="str">
        <f>I329-E329</f>
      </c>
    </row>
    <row r="330">
      <c r="A330" t="s">
        <v>186</v>
      </c>
      <c r="B330" t="s">
        <v>188</v>
      </c>
      <c r="C330" s="52" t="n">
        <v>2045</v>
      </c>
      <c r="D330" t="s">
        <v>212</v>
      </c>
      <c r="E330" s="53" t="n">
        <v>34846.7226692734</v>
      </c>
      <c r="F330" s="54" t="n">
        <v>2452.7480882273</v>
      </c>
      <c r="G330" s="55" t="n">
        <v>2452.74707379338</v>
      </c>
      <c r="H330" s="56" t="str">
        <f>G330-F330</f>
      </c>
      <c r="I330" s="57" t="n">
        <v>34846.7151562227</v>
      </c>
      <c r="J330" s="58" t="str">
        <f>I330-E330</f>
      </c>
    </row>
    <row r="331">
      <c r="A331" t="s">
        <v>186</v>
      </c>
      <c r="B331" t="s">
        <v>188</v>
      </c>
      <c r="C331" s="52" t="n">
        <v>2046</v>
      </c>
      <c r="D331" t="s">
        <v>190</v>
      </c>
      <c r="E331" s="53" t="n">
        <v>23887.3150052067</v>
      </c>
      <c r="F331" s="54" t="n">
        <v>15607.5426918104</v>
      </c>
      <c r="G331" s="55" t="n">
        <v>16165.2905403234</v>
      </c>
      <c r="H331" s="56" t="str">
        <f>G331-F331</f>
      </c>
      <c r="I331" s="57" t="n">
        <v>23868.2179440388</v>
      </c>
      <c r="J331" s="58" t="str">
        <f>I331-E331</f>
      </c>
    </row>
    <row r="332">
      <c r="A332" t="s">
        <v>186</v>
      </c>
      <c r="B332" t="s">
        <v>188</v>
      </c>
      <c r="C332" s="52" t="n">
        <v>2046</v>
      </c>
      <c r="D332" t="s">
        <v>230</v>
      </c>
      <c r="E332" s="53" t="n">
        <v>1268807.93082653</v>
      </c>
      <c r="F332" s="54" t="n">
        <v>299636.004722082</v>
      </c>
      <c r="G332" s="55" t="n">
        <v>299596.928666138</v>
      </c>
      <c r="H332" s="56" t="str">
        <f>G332-F332</f>
      </c>
      <c r="I332" s="57" t="n">
        <v>1268475.95633212</v>
      </c>
      <c r="J332" s="58" t="str">
        <f>I332-E332</f>
      </c>
    </row>
    <row r="333">
      <c r="A333" t="s">
        <v>186</v>
      </c>
      <c r="B333" t="s">
        <v>188</v>
      </c>
      <c r="C333" s="52" t="n">
        <v>2046</v>
      </c>
      <c r="D333" t="s">
        <v>166</v>
      </c>
      <c r="E333" s="53" t="n">
        <v>142226.005569003</v>
      </c>
      <c r="F333" s="54" t="n">
        <v>87428.1254847553</v>
      </c>
      <c r="G333" s="55" t="n">
        <v>91198.8909425984</v>
      </c>
      <c r="H333" s="56" t="str">
        <f>G333-F333</f>
      </c>
      <c r="I333" s="57" t="n">
        <v>142194.053650607</v>
      </c>
      <c r="J333" s="58" t="str">
        <f>I333-E333</f>
      </c>
    </row>
    <row r="334">
      <c r="A334" t="s">
        <v>186</v>
      </c>
      <c r="B334" t="s">
        <v>188</v>
      </c>
      <c r="C334" s="52" t="n">
        <v>2046</v>
      </c>
      <c r="D334" t="s">
        <v>176</v>
      </c>
      <c r="E334" s="53" t="n">
        <v>270056.295726502</v>
      </c>
      <c r="F334" s="54" t="n">
        <v>255538.86759243</v>
      </c>
      <c r="G334" s="55" t="n">
        <v>255431.161412817</v>
      </c>
      <c r="H334" s="56" t="str">
        <f>G334-F334</f>
      </c>
      <c r="I334" s="57" t="n">
        <v>269923.251682947</v>
      </c>
      <c r="J334" s="58" t="str">
        <f>I334-E334</f>
      </c>
    </row>
    <row r="335">
      <c r="A335" t="s">
        <v>186</v>
      </c>
      <c r="B335" t="s">
        <v>188</v>
      </c>
      <c r="C335" s="52" t="n">
        <v>2046</v>
      </c>
      <c r="D335" t="s">
        <v>180</v>
      </c>
      <c r="E335" s="53" t="n">
        <v>778399.970773684</v>
      </c>
      <c r="F335" s="54" t="n">
        <v>476816.024549857</v>
      </c>
      <c r="G335" s="55" t="n">
        <v>477828.931731945</v>
      </c>
      <c r="H335" s="56" t="str">
        <f>G335-F335</f>
      </c>
      <c r="I335" s="57" t="n">
        <v>778095.842672562</v>
      </c>
      <c r="J335" s="58" t="str">
        <f>I335-E335</f>
      </c>
    </row>
    <row r="336">
      <c r="A336" t="s">
        <v>186</v>
      </c>
      <c r="B336" t="s">
        <v>188</v>
      </c>
      <c r="C336" s="52" t="n">
        <v>2046</v>
      </c>
      <c r="D336" t="s">
        <v>184</v>
      </c>
      <c r="E336" s="53" t="n">
        <v>387367.076807834</v>
      </c>
      <c r="F336" s="54" t="n">
        <v>207136.323944005</v>
      </c>
      <c r="G336" s="55" t="n">
        <v>207048.945254603</v>
      </c>
      <c r="H336" s="56" t="str">
        <f>G336-F336</f>
      </c>
      <c r="I336" s="57" t="n">
        <v>387151.427044792</v>
      </c>
      <c r="J336" s="58" t="str">
        <f>I336-E336</f>
      </c>
    </row>
    <row r="337">
      <c r="A337" t="s">
        <v>186</v>
      </c>
      <c r="B337" t="s">
        <v>188</v>
      </c>
      <c r="C337" s="52" t="n">
        <v>2046</v>
      </c>
      <c r="D337" t="s">
        <v>212</v>
      </c>
      <c r="E337" s="53" t="n">
        <v>34688.3041782124</v>
      </c>
      <c r="F337" s="54" t="n">
        <v>2335.67335939115</v>
      </c>
      <c r="G337" s="55" t="n">
        <v>2335.67260927364</v>
      </c>
      <c r="H337" s="56" t="str">
        <f>G337-F337</f>
      </c>
      <c r="I337" s="57" t="n">
        <v>34688.296767041</v>
      </c>
      <c r="J337" s="58" t="str">
        <f>I337-E337</f>
      </c>
    </row>
    <row r="338">
      <c r="A338" t="s">
        <v>186</v>
      </c>
      <c r="B338" t="s">
        <v>188</v>
      </c>
      <c r="C338" s="52" t="n">
        <v>2047</v>
      </c>
      <c r="D338" t="s">
        <v>190</v>
      </c>
      <c r="E338" s="53" t="n">
        <v>24596.7625481107</v>
      </c>
      <c r="F338" s="54" t="n">
        <v>15973.4290703881</v>
      </c>
      <c r="G338" s="55" t="n">
        <v>16568.5748299244</v>
      </c>
      <c r="H338" s="56" t="str">
        <f>G338-F338</f>
      </c>
      <c r="I338" s="57" t="n">
        <v>24575.6851293632</v>
      </c>
      <c r="J338" s="58" t="str">
        <f>I338-E338</f>
      </c>
    </row>
    <row r="339">
      <c r="A339" t="s">
        <v>186</v>
      </c>
      <c r="B339" t="s">
        <v>188</v>
      </c>
      <c r="C339" s="52" t="n">
        <v>2047</v>
      </c>
      <c r="D339" t="s">
        <v>230</v>
      </c>
      <c r="E339" s="53" t="n">
        <v>1276432.14310612</v>
      </c>
      <c r="F339" s="54" t="n">
        <v>307219.969112485</v>
      </c>
      <c r="G339" s="55" t="n">
        <v>307176.008738621</v>
      </c>
      <c r="H339" s="56" t="str">
        <f>G339-F339</f>
      </c>
      <c r="I339" s="57" t="n">
        <v>1276073.48469778</v>
      </c>
      <c r="J339" s="58" t="str">
        <f>I339-E339</f>
      </c>
    </row>
    <row r="340">
      <c r="A340" t="s">
        <v>186</v>
      </c>
      <c r="B340" t="s">
        <v>188</v>
      </c>
      <c r="C340" s="52" t="n">
        <v>2047</v>
      </c>
      <c r="D340" t="s">
        <v>166</v>
      </c>
      <c r="E340" s="53" t="n">
        <v>144280.645368604</v>
      </c>
      <c r="F340" s="54" t="n">
        <v>88365.620952334</v>
      </c>
      <c r="G340" s="55" t="n">
        <v>92333.8882911569</v>
      </c>
      <c r="H340" s="56" t="str">
        <f>G340-F340</f>
      </c>
      <c r="I340" s="57" t="n">
        <v>144246.070856709</v>
      </c>
      <c r="J340" s="58" t="str">
        <f>I340-E340</f>
      </c>
    </row>
    <row r="341">
      <c r="A341" t="s">
        <v>186</v>
      </c>
      <c r="B341" t="s">
        <v>188</v>
      </c>
      <c r="C341" s="52" t="n">
        <v>2047</v>
      </c>
      <c r="D341" t="s">
        <v>176</v>
      </c>
      <c r="E341" s="53" t="n">
        <v>269287.074791117</v>
      </c>
      <c r="F341" s="54" t="n">
        <v>254875.759884589</v>
      </c>
      <c r="G341" s="55" t="n">
        <v>254760.803670819</v>
      </c>
      <c r="H341" s="56" t="str">
        <f>G341-F341</f>
      </c>
      <c r="I341" s="57" t="n">
        <v>269145.730668352</v>
      </c>
      <c r="J341" s="58" t="str">
        <f>I341-E341</f>
      </c>
    </row>
    <row r="342">
      <c r="A342" t="s">
        <v>186</v>
      </c>
      <c r="B342" t="s">
        <v>188</v>
      </c>
      <c r="C342" s="52" t="n">
        <v>2047</v>
      </c>
      <c r="D342" t="s">
        <v>180</v>
      </c>
      <c r="E342" s="53" t="n">
        <v>787195.248683559</v>
      </c>
      <c r="F342" s="54" t="n">
        <v>483612.653059122</v>
      </c>
      <c r="G342" s="55" t="n">
        <v>484667.16956347</v>
      </c>
      <c r="H342" s="56" t="str">
        <f>G342-F342</f>
      </c>
      <c r="I342" s="57" t="n">
        <v>786867.366017657</v>
      </c>
      <c r="J342" s="58" t="str">
        <f>I342-E342</f>
      </c>
    </row>
    <row r="343">
      <c r="A343" t="s">
        <v>186</v>
      </c>
      <c r="B343" t="s">
        <v>188</v>
      </c>
      <c r="C343" s="52" t="n">
        <v>2047</v>
      </c>
      <c r="D343" t="s">
        <v>184</v>
      </c>
      <c r="E343" s="53" t="n">
        <v>390828.075351191</v>
      </c>
      <c r="F343" s="54" t="n">
        <v>209255.622473741</v>
      </c>
      <c r="G343" s="55" t="n">
        <v>209160.858915749</v>
      </c>
      <c r="H343" s="56" t="str">
        <f>G343-F343</f>
      </c>
      <c r="I343" s="57" t="n">
        <v>390597.57749153</v>
      </c>
      <c r="J343" s="58" t="str">
        <f>I343-E343</f>
      </c>
    </row>
    <row r="344">
      <c r="A344" t="s">
        <v>186</v>
      </c>
      <c r="B344" t="s">
        <v>188</v>
      </c>
      <c r="C344" s="52" t="n">
        <v>2047</v>
      </c>
      <c r="D344" t="s">
        <v>212</v>
      </c>
      <c r="E344" s="53" t="n">
        <v>34402.4616327502</v>
      </c>
      <c r="F344" s="54" t="n">
        <v>2222.25236388064</v>
      </c>
      <c r="G344" s="55" t="n">
        <v>2222.25178382332</v>
      </c>
      <c r="H344" s="56" t="str">
        <f>G344-F344</f>
      </c>
      <c r="I344" s="57" t="n">
        <v>34402.454286142</v>
      </c>
      <c r="J344" s="58" t="str">
        <f>I344-E344</f>
      </c>
    </row>
    <row r="345">
      <c r="A345" t="s">
        <v>186</v>
      </c>
      <c r="B345" t="s">
        <v>188</v>
      </c>
      <c r="C345" s="52" t="n">
        <v>2048</v>
      </c>
      <c r="D345" t="s">
        <v>190</v>
      </c>
      <c r="E345" s="53" t="n">
        <v>25306.0537646202</v>
      </c>
      <c r="F345" s="54" t="n">
        <v>16349.8822018462</v>
      </c>
      <c r="G345" s="55" t="n">
        <v>16982.9671313776</v>
      </c>
      <c r="H345" s="56" t="str">
        <f>G345-F345</f>
      </c>
      <c r="I345" s="57" t="n">
        <v>25282.866550534</v>
      </c>
      <c r="J345" s="58" t="str">
        <f>I345-E345</f>
      </c>
    </row>
    <row r="346">
      <c r="A346" t="s">
        <v>186</v>
      </c>
      <c r="B346" t="s">
        <v>188</v>
      </c>
      <c r="C346" s="52" t="n">
        <v>2048</v>
      </c>
      <c r="D346" t="s">
        <v>230</v>
      </c>
      <c r="E346" s="53" t="n">
        <v>1283853.97385634</v>
      </c>
      <c r="F346" s="54" t="n">
        <v>314599.031884003</v>
      </c>
      <c r="G346" s="55" t="n">
        <v>314549.83162808</v>
      </c>
      <c r="H346" s="56" t="str">
        <f>G346-F346</f>
      </c>
      <c r="I346" s="57" t="n">
        <v>1283467.75295342</v>
      </c>
      <c r="J346" s="58" t="str">
        <f>I346-E346</f>
      </c>
    </row>
    <row r="347">
      <c r="A347" t="s">
        <v>186</v>
      </c>
      <c r="B347" t="s">
        <v>188</v>
      </c>
      <c r="C347" s="52" t="n">
        <v>2048</v>
      </c>
      <c r="D347" t="s">
        <v>166</v>
      </c>
      <c r="E347" s="53" t="n">
        <v>146451.149153615</v>
      </c>
      <c r="F347" s="54" t="n">
        <v>89259.4486210487</v>
      </c>
      <c r="G347" s="55" t="n">
        <v>93427.507277049</v>
      </c>
      <c r="H347" s="56" t="str">
        <f>G347-F347</f>
      </c>
      <c r="I347" s="57" t="n">
        <v>146413.853149174</v>
      </c>
      <c r="J347" s="58" t="str">
        <f>I347-E347</f>
      </c>
    </row>
    <row r="348">
      <c r="A348" t="s">
        <v>186</v>
      </c>
      <c r="B348" t="s">
        <v>188</v>
      </c>
      <c r="C348" s="52" t="n">
        <v>2048</v>
      </c>
      <c r="D348" t="s">
        <v>176</v>
      </c>
      <c r="E348" s="53" t="n">
        <v>268235.126324467</v>
      </c>
      <c r="F348" s="54" t="n">
        <v>253994.285879634</v>
      </c>
      <c r="G348" s="55" t="n">
        <v>253872.047418824</v>
      </c>
      <c r="H348" s="56" t="str">
        <f>G348-F348</f>
      </c>
      <c r="I348" s="57" t="n">
        <v>268085.447945834</v>
      </c>
      <c r="J348" s="58" t="str">
        <f>I348-E348</f>
      </c>
    </row>
    <row r="349">
      <c r="A349" t="s">
        <v>186</v>
      </c>
      <c r="B349" t="s">
        <v>188</v>
      </c>
      <c r="C349" s="52" t="n">
        <v>2048</v>
      </c>
      <c r="D349" t="s">
        <v>180</v>
      </c>
      <c r="E349" s="53" t="n">
        <v>796149.46174493</v>
      </c>
      <c r="F349" s="54" t="n">
        <v>490212.507206201</v>
      </c>
      <c r="G349" s="55" t="n">
        <v>491307.709328566</v>
      </c>
      <c r="H349" s="56" t="str">
        <f>G349-F349</f>
      </c>
      <c r="I349" s="57" t="n">
        <v>795796.819401734</v>
      </c>
      <c r="J349" s="58" t="str">
        <f>I349-E349</f>
      </c>
    </row>
    <row r="350">
      <c r="A350" t="s">
        <v>186</v>
      </c>
      <c r="B350" t="s">
        <v>188</v>
      </c>
      <c r="C350" s="52" t="n">
        <v>2048</v>
      </c>
      <c r="D350" t="s">
        <v>184</v>
      </c>
      <c r="E350" s="53" t="n">
        <v>394551.984478695</v>
      </c>
      <c r="F350" s="54" t="n">
        <v>211291.658706642</v>
      </c>
      <c r="G350" s="55" t="n">
        <v>211189.299415093</v>
      </c>
      <c r="H350" s="56" t="str">
        <f>G350-F350</f>
      </c>
      <c r="I350" s="57" t="n">
        <v>394306.234009074</v>
      </c>
      <c r="J350" s="58" t="str">
        <f>I350-E350</f>
      </c>
    </row>
    <row r="351">
      <c r="A351" t="s">
        <v>186</v>
      </c>
      <c r="B351" t="s">
        <v>188</v>
      </c>
      <c r="C351" s="52" t="n">
        <v>2048</v>
      </c>
      <c r="D351" t="s">
        <v>212</v>
      </c>
      <c r="E351" s="53" t="n">
        <v>34278.870783325</v>
      </c>
      <c r="F351" s="54" t="n">
        <v>2112.66221105288</v>
      </c>
      <c r="G351" s="55" t="n">
        <v>2112.66174533725</v>
      </c>
      <c r="H351" s="56" t="str">
        <f>G351-F351</f>
      </c>
      <c r="I351" s="57" t="n">
        <v>34278.8634968121</v>
      </c>
      <c r="J351" s="58" t="str">
        <f>I351-E351</f>
      </c>
    </row>
    <row r="352">
      <c r="A352" t="s">
        <v>186</v>
      </c>
      <c r="B352" t="s">
        <v>188</v>
      </c>
      <c r="C352" s="52" t="n">
        <v>2049</v>
      </c>
      <c r="D352" t="s">
        <v>190</v>
      </c>
      <c r="E352" s="53" t="n">
        <v>26011.9620427876</v>
      </c>
      <c r="F352" s="54" t="n">
        <v>16734.0022090582</v>
      </c>
      <c r="G352" s="55" t="n">
        <v>17406.6591140935</v>
      </c>
      <c r="H352" s="56" t="str">
        <f>G352-F352</f>
      </c>
      <c r="I352" s="57" t="n">
        <v>25986.5373789525</v>
      </c>
      <c r="J352" s="58" t="str">
        <f>I352-E352</f>
      </c>
    </row>
    <row r="353">
      <c r="A353" t="s">
        <v>186</v>
      </c>
      <c r="B353" t="s">
        <v>188</v>
      </c>
      <c r="C353" s="52" t="n">
        <v>2049</v>
      </c>
      <c r="D353" t="s">
        <v>230</v>
      </c>
      <c r="E353" s="53" t="n">
        <v>1291102.17153571</v>
      </c>
      <c r="F353" s="54" t="n">
        <v>321795.297313683</v>
      </c>
      <c r="G353" s="55" t="n">
        <v>321740.501148806</v>
      </c>
      <c r="H353" s="56" t="str">
        <f>G353-F353</f>
      </c>
      <c r="I353" s="57" t="n">
        <v>1290687.53512959</v>
      </c>
      <c r="J353" s="58" t="str">
        <f>I353-E353</f>
      </c>
    </row>
    <row r="354">
      <c r="A354" t="s">
        <v>186</v>
      </c>
      <c r="B354" t="s">
        <v>188</v>
      </c>
      <c r="C354" s="52" t="n">
        <v>2049</v>
      </c>
      <c r="D354" t="s">
        <v>166</v>
      </c>
      <c r="E354" s="53" t="n">
        <v>147922.524278632</v>
      </c>
      <c r="F354" s="54" t="n">
        <v>90172.3710028598</v>
      </c>
      <c r="G354" s="55" t="n">
        <v>94546.8656755522</v>
      </c>
      <c r="H354" s="56" t="str">
        <f>G354-F354</f>
      </c>
      <c r="I354" s="57" t="n">
        <v>147882.099837348</v>
      </c>
      <c r="J354" s="58" t="str">
        <f>I354-E354</f>
      </c>
    </row>
    <row r="355">
      <c r="A355" t="s">
        <v>186</v>
      </c>
      <c r="B355" t="s">
        <v>188</v>
      </c>
      <c r="C355" s="52" t="n">
        <v>2049</v>
      </c>
      <c r="D355" t="s">
        <v>176</v>
      </c>
      <c r="E355" s="53" t="n">
        <v>267161.688808624</v>
      </c>
      <c r="F355" s="54" t="n">
        <v>253235.101178351</v>
      </c>
      <c r="G355" s="55" t="n">
        <v>253105.506935702</v>
      </c>
      <c r="H355" s="56" t="str">
        <f>G355-F355</f>
      </c>
      <c r="I355" s="57" t="n">
        <v>267003.550155027</v>
      </c>
      <c r="J355" s="58" t="str">
        <f>I355-E355</f>
      </c>
    </row>
    <row r="356">
      <c r="A356" t="s">
        <v>186</v>
      </c>
      <c r="B356" t="s">
        <v>188</v>
      </c>
      <c r="C356" s="52" t="n">
        <v>2049</v>
      </c>
      <c r="D356" t="s">
        <v>180</v>
      </c>
      <c r="E356" s="53" t="n">
        <v>801974.805875637</v>
      </c>
      <c r="F356" s="54" t="n">
        <v>496874.610276847</v>
      </c>
      <c r="G356" s="55" t="n">
        <v>498010.651524044</v>
      </c>
      <c r="H356" s="56" t="str">
        <f>G356-F356</f>
      </c>
      <c r="I356" s="57" t="n">
        <v>801596.853664258</v>
      </c>
      <c r="J356" s="58" t="str">
        <f>I356-E356</f>
      </c>
    </row>
    <row r="357">
      <c r="A357" t="s">
        <v>186</v>
      </c>
      <c r="B357" t="s">
        <v>188</v>
      </c>
      <c r="C357" s="52" t="n">
        <v>2049</v>
      </c>
      <c r="D357" t="s">
        <v>184</v>
      </c>
      <c r="E357" s="53" t="n">
        <v>396320.700625936</v>
      </c>
      <c r="F357" s="54" t="n">
        <v>213690.442528563</v>
      </c>
      <c r="G357" s="55" t="n">
        <v>213580.236200068</v>
      </c>
      <c r="H357" s="56" t="str">
        <f>G357-F357</f>
      </c>
      <c r="I357" s="57" t="n">
        <v>396058.615955627</v>
      </c>
      <c r="J357" s="58" t="str">
        <f>I357-E357</f>
      </c>
    </row>
    <row r="358">
      <c r="A358" t="s">
        <v>186</v>
      </c>
      <c r="B358" t="s">
        <v>188</v>
      </c>
      <c r="C358" s="52" t="n">
        <v>2049</v>
      </c>
      <c r="D358" t="s">
        <v>212</v>
      </c>
      <c r="E358" s="53" t="n">
        <v>34087.7680699168</v>
      </c>
      <c r="F358" s="54" t="n">
        <v>1998.59258658457</v>
      </c>
      <c r="G358" s="55" t="n">
        <v>1998.59223363335</v>
      </c>
      <c r="H358" s="56" t="str">
        <f>G358-F358</f>
      </c>
      <c r="I358" s="57" t="n">
        <v>34087.7627067011</v>
      </c>
      <c r="J358" s="58" t="str">
        <f>I358-E358</f>
      </c>
    </row>
    <row r="359">
      <c r="A359" t="s">
        <v>186</v>
      </c>
      <c r="B359" t="s">
        <v>188</v>
      </c>
      <c r="C359" s="52" t="n">
        <v>2050</v>
      </c>
      <c r="D359" t="s">
        <v>190</v>
      </c>
      <c r="E359" s="53" t="n">
        <v>26717.9012198718</v>
      </c>
      <c r="F359" s="54" t="n">
        <v>17115.4206283332</v>
      </c>
      <c r="G359" s="55" t="n">
        <v>17828.637482456</v>
      </c>
      <c r="H359" s="56" t="str">
        <f>G359-F359</f>
      </c>
      <c r="I359" s="57" t="n">
        <v>26690.1101954068</v>
      </c>
      <c r="J359" s="58" t="str">
        <f>I359-E359</f>
      </c>
    </row>
    <row r="360">
      <c r="A360" t="s">
        <v>186</v>
      </c>
      <c r="B360" t="s">
        <v>188</v>
      </c>
      <c r="C360" s="52" t="n">
        <v>2050</v>
      </c>
      <c r="D360" t="s">
        <v>230</v>
      </c>
      <c r="E360" s="53" t="n">
        <v>1298242.13713432</v>
      </c>
      <c r="F360" s="54" t="n">
        <v>328794.821409917</v>
      </c>
      <c r="G360" s="55" t="n">
        <v>328734.061465412</v>
      </c>
      <c r="H360" s="56" t="str">
        <f>G360-F360</f>
      </c>
      <c r="I360" s="57" t="n">
        <v>1297798.19122542</v>
      </c>
      <c r="J360" s="58" t="str">
        <f>I360-E360</f>
      </c>
    </row>
    <row r="361">
      <c r="A361" t="s">
        <v>186</v>
      </c>
      <c r="B361" t="s">
        <v>188</v>
      </c>
      <c r="C361" s="52" t="n">
        <v>2050</v>
      </c>
      <c r="D361" t="s">
        <v>166</v>
      </c>
      <c r="E361" s="53" t="n">
        <v>149593.247509555</v>
      </c>
      <c r="F361" s="54" t="n">
        <v>91043.4533584451</v>
      </c>
      <c r="G361" s="55" t="n">
        <v>95625.9439694284</v>
      </c>
      <c r="H361" s="56" t="str">
        <f>G361-F361</f>
      </c>
      <c r="I361" s="57" t="n">
        <v>149549.878981469</v>
      </c>
      <c r="J361" s="58" t="str">
        <f>I361-E361</f>
      </c>
    </row>
    <row r="362">
      <c r="A362" t="s">
        <v>186</v>
      </c>
      <c r="B362" t="s">
        <v>188</v>
      </c>
      <c r="C362" s="52" t="n">
        <v>2050</v>
      </c>
      <c r="D362" t="s">
        <v>176</v>
      </c>
      <c r="E362" s="53" t="n">
        <v>266198.140223013</v>
      </c>
      <c r="F362" s="54" t="n">
        <v>252295.901342276</v>
      </c>
      <c r="G362" s="55" t="n">
        <v>252158.933158969</v>
      </c>
      <c r="H362" s="56" t="str">
        <f>G362-F362</f>
      </c>
      <c r="I362" s="57" t="n">
        <v>266031.496410964</v>
      </c>
      <c r="J362" s="58" t="str">
        <f>I362-E362</f>
      </c>
    </row>
    <row r="363">
      <c r="A363" t="s">
        <v>186</v>
      </c>
      <c r="B363" t="s">
        <v>188</v>
      </c>
      <c r="C363" s="52" t="n">
        <v>2050</v>
      </c>
      <c r="D363" t="s">
        <v>180</v>
      </c>
      <c r="E363" s="53" t="n">
        <v>809422.937935238</v>
      </c>
      <c r="F363" s="54" t="n">
        <v>502914.178798288</v>
      </c>
      <c r="G363" s="55" t="n">
        <v>504089.426791864</v>
      </c>
      <c r="H363" s="56" t="str">
        <f>G363-F363</f>
      </c>
      <c r="I363" s="57" t="n">
        <v>809018.722538968</v>
      </c>
      <c r="J363" s="58" t="str">
        <f>I363-E363</f>
      </c>
    </row>
    <row r="364">
      <c r="A364" t="s">
        <v>186</v>
      </c>
      <c r="B364" t="s">
        <v>188</v>
      </c>
      <c r="C364" s="52" t="n">
        <v>2050</v>
      </c>
      <c r="D364" t="s">
        <v>184</v>
      </c>
      <c r="E364" s="53" t="n">
        <v>398837.782186872</v>
      </c>
      <c r="F364" s="54" t="n">
        <v>215689.017633604</v>
      </c>
      <c r="G364" s="55" t="n">
        <v>215570.737440482</v>
      </c>
      <c r="H364" s="56" t="str">
        <f>G364-F364</f>
      </c>
      <c r="I364" s="57" t="n">
        <v>398560.037918605</v>
      </c>
      <c r="J364" s="58" t="str">
        <f>I364-E364</f>
      </c>
    </row>
    <row r="365">
      <c r="A365" t="s">
        <v>186</v>
      </c>
      <c r="B365" t="s">
        <v>188</v>
      </c>
      <c r="C365" s="52" t="n">
        <v>2050</v>
      </c>
      <c r="D365" t="s">
        <v>212</v>
      </c>
      <c r="E365" s="53" t="n">
        <v>33926.4845460474</v>
      </c>
      <c r="F365" s="54" t="n">
        <v>1888.51521726598</v>
      </c>
      <c r="G365" s="55" t="n">
        <v>1888.51500986557</v>
      </c>
      <c r="H365" s="56" t="str">
        <f>G365-F365</f>
      </c>
      <c r="I365" s="57" t="n">
        <v>33926.4790426967</v>
      </c>
      <c r="J365" s="58" t="str">
        <f>I365-E365</f>
      </c>
    </row>
    <row r="366">
      <c r="A366" t="s">
        <v>200</v>
      </c>
      <c r="B366" t="s">
        <v>202</v>
      </c>
      <c r="C366" s="52" t="n">
        <v>2025</v>
      </c>
      <c r="D366" t="s">
        <v>190</v>
      </c>
      <c r="E366" s="53" t="n">
        <v>12176.1707137429</v>
      </c>
      <c r="F366" s="54" t="n">
        <v>8901.8860655993</v>
      </c>
      <c r="G366" s="55" t="n">
        <v>8959.2701472679</v>
      </c>
      <c r="H366" s="56" t="str">
        <f>G366-F366</f>
      </c>
      <c r="I366" s="57" t="n">
        <v>12176.1707137429</v>
      </c>
      <c r="J366" s="58" t="str">
        <f>I366-E366</f>
      </c>
    </row>
    <row r="367">
      <c r="A367" t="s">
        <v>200</v>
      </c>
      <c r="B367" t="s">
        <v>202</v>
      </c>
      <c r="C367" s="52" t="n">
        <v>2025</v>
      </c>
      <c r="D367" t="s">
        <v>230</v>
      </c>
      <c r="E367" s="53" t="n">
        <v>1026758.5711338</v>
      </c>
      <c r="F367" s="54" t="n">
        <v>129383.323210315</v>
      </c>
      <c r="G367" s="55" t="n">
        <v>129383.323210315</v>
      </c>
      <c r="H367" s="56" t="str">
        <f>G367-F367</f>
      </c>
      <c r="I367" s="57" t="n">
        <v>1026758.5711338</v>
      </c>
      <c r="J367" s="58" t="str">
        <f>I367-E367</f>
      </c>
    </row>
    <row r="368">
      <c r="A368" t="s">
        <v>200</v>
      </c>
      <c r="B368" t="s">
        <v>202</v>
      </c>
      <c r="C368" s="52" t="n">
        <v>2025</v>
      </c>
      <c r="D368" t="s">
        <v>166</v>
      </c>
      <c r="E368" s="53" t="n">
        <v>115291.159865467</v>
      </c>
      <c r="F368" s="54" t="n">
        <v>67418.9773811693</v>
      </c>
      <c r="G368" s="55" t="n">
        <v>67656.5589894958</v>
      </c>
      <c r="H368" s="56" t="str">
        <f>G368-F368</f>
      </c>
      <c r="I368" s="57" t="n">
        <v>115291.159865467</v>
      </c>
      <c r="J368" s="58" t="str">
        <f>I368-E368</f>
      </c>
    </row>
    <row r="369">
      <c r="A369" t="s">
        <v>200</v>
      </c>
      <c r="B369" t="s">
        <v>202</v>
      </c>
      <c r="C369" s="52" t="n">
        <v>2025</v>
      </c>
      <c r="D369" t="s">
        <v>176</v>
      </c>
      <c r="E369" s="53" t="n">
        <v>281662.55341658</v>
      </c>
      <c r="F369" s="54" t="n">
        <v>263295.70058044</v>
      </c>
      <c r="G369" s="55" t="n">
        <v>263295.70058044</v>
      </c>
      <c r="H369" s="56" t="str">
        <f>G369-F369</f>
      </c>
      <c r="I369" s="57" t="n">
        <v>281662.55341658</v>
      </c>
      <c r="J369" s="58" t="str">
        <f>I369-E369</f>
      </c>
    </row>
    <row r="370">
      <c r="A370" t="s">
        <v>200</v>
      </c>
      <c r="B370" t="s">
        <v>202</v>
      </c>
      <c r="C370" s="52" t="n">
        <v>2025</v>
      </c>
      <c r="D370" t="s">
        <v>180</v>
      </c>
      <c r="E370" s="53" t="n">
        <v>612171.634776233</v>
      </c>
      <c r="F370" s="54" t="n">
        <v>335630.387056961</v>
      </c>
      <c r="G370" s="55" t="n">
        <v>335724.869793767</v>
      </c>
      <c r="H370" s="56" t="str">
        <f>G370-F370</f>
      </c>
      <c r="I370" s="57" t="n">
        <v>612171.634776233</v>
      </c>
      <c r="J370" s="58" t="str">
        <f>I370-E370</f>
      </c>
    </row>
    <row r="371">
      <c r="A371" t="s">
        <v>200</v>
      </c>
      <c r="B371" t="s">
        <v>202</v>
      </c>
      <c r="C371" s="52" t="n">
        <v>2025</v>
      </c>
      <c r="D371" t="s">
        <v>184</v>
      </c>
      <c r="E371" s="53" t="n">
        <v>339642.130126733</v>
      </c>
      <c r="F371" s="54" t="n">
        <v>190841.880003208</v>
      </c>
      <c r="G371" s="55" t="n">
        <v>190841.880003208</v>
      </c>
      <c r="H371" s="56" t="str">
        <f>G371-F371</f>
      </c>
      <c r="I371" s="57" t="n">
        <v>339642.130126733</v>
      </c>
      <c r="J371" s="58" t="str">
        <f>I371-E371</f>
      </c>
    </row>
    <row r="372">
      <c r="A372" t="s">
        <v>200</v>
      </c>
      <c r="B372" t="s">
        <v>202</v>
      </c>
      <c r="C372" s="52" t="n">
        <v>2025</v>
      </c>
      <c r="D372" t="s">
        <v>212</v>
      </c>
      <c r="E372" s="53" t="n">
        <v>39660.8365474078</v>
      </c>
      <c r="F372" s="54" t="n">
        <v>5303.42230174402</v>
      </c>
      <c r="G372" s="55" t="n">
        <v>5303.42230174402</v>
      </c>
      <c r="H372" s="56" t="str">
        <f>G372-F372</f>
      </c>
      <c r="I372" s="57" t="n">
        <v>39660.8365474078</v>
      </c>
      <c r="J372" s="58" t="str">
        <f>I372-E372</f>
      </c>
    </row>
    <row r="373">
      <c r="A373" t="s">
        <v>200</v>
      </c>
      <c r="B373" t="s">
        <v>202</v>
      </c>
      <c r="C373" s="52" t="n">
        <v>2026</v>
      </c>
      <c r="D373" t="s">
        <v>190</v>
      </c>
      <c r="E373" s="53" t="n">
        <v>12568.9966308808</v>
      </c>
      <c r="F373" s="54" t="n">
        <v>9163.98560879658</v>
      </c>
      <c r="G373" s="55" t="n">
        <v>9271.1333627081</v>
      </c>
      <c r="H373" s="56" t="str">
        <f>G373-F373</f>
      </c>
      <c r="I373" s="57" t="n">
        <v>12568.9386470114</v>
      </c>
      <c r="J373" s="58" t="str">
        <f>I373-E373</f>
      </c>
    </row>
    <row r="374">
      <c r="A374" t="s">
        <v>200</v>
      </c>
      <c r="B374" t="s">
        <v>202</v>
      </c>
      <c r="C374" s="52" t="n">
        <v>2026</v>
      </c>
      <c r="D374" t="s">
        <v>230</v>
      </c>
      <c r="E374" s="53" t="n">
        <v>1042138.246693</v>
      </c>
      <c r="F374" s="54" t="n">
        <v>137145.828958788</v>
      </c>
      <c r="G374" s="55" t="n">
        <v>137145.828958788</v>
      </c>
      <c r="H374" s="56" t="str">
        <f>G374-F374</f>
      </c>
      <c r="I374" s="57" t="n">
        <v>1042135.18581351</v>
      </c>
      <c r="J374" s="58" t="str">
        <f>I374-E374</f>
      </c>
    </row>
    <row r="375">
      <c r="A375" t="s">
        <v>200</v>
      </c>
      <c r="B375" t="s">
        <v>202</v>
      </c>
      <c r="C375" s="52" t="n">
        <v>2026</v>
      </c>
      <c r="D375" t="s">
        <v>166</v>
      </c>
      <c r="E375" s="53" t="n">
        <v>114708.278842936</v>
      </c>
      <c r="F375" s="54" t="n">
        <v>69878.6431436434</v>
      </c>
      <c r="G375" s="55" t="n">
        <v>70326.6034535198</v>
      </c>
      <c r="H375" s="56" t="str">
        <f>G375-F375</f>
      </c>
      <c r="I375" s="57" t="n">
        <v>114707.986926294</v>
      </c>
      <c r="J375" s="58" t="str">
        <f>I375-E375</f>
      </c>
    </row>
    <row r="376">
      <c r="A376" t="s">
        <v>200</v>
      </c>
      <c r="B376" t="s">
        <v>202</v>
      </c>
      <c r="C376" s="52" t="n">
        <v>2026</v>
      </c>
      <c r="D376" t="s">
        <v>176</v>
      </c>
      <c r="E376" s="53" t="n">
        <v>282724.186463712</v>
      </c>
      <c r="F376" s="54" t="n">
        <v>259504.468011332</v>
      </c>
      <c r="G376" s="55" t="n">
        <v>259504.468011332</v>
      </c>
      <c r="H376" s="56" t="str">
        <f>G376-F376</f>
      </c>
      <c r="I376" s="57" t="n">
        <v>282722.537860884</v>
      </c>
      <c r="J376" s="58" t="str">
        <f>I376-E376</f>
      </c>
    </row>
    <row r="377">
      <c r="A377" t="s">
        <v>200</v>
      </c>
      <c r="B377" t="s">
        <v>202</v>
      </c>
      <c r="C377" s="52" t="n">
        <v>2026</v>
      </c>
      <c r="D377" t="s">
        <v>180</v>
      </c>
      <c r="E377" s="53" t="n">
        <v>616792.609276237</v>
      </c>
      <c r="F377" s="54" t="n">
        <v>342773.126878778</v>
      </c>
      <c r="G377" s="55" t="n">
        <v>342960.135281865</v>
      </c>
      <c r="H377" s="56" t="str">
        <f>G377-F377</f>
      </c>
      <c r="I377" s="57" t="n">
        <v>616790.029155755</v>
      </c>
      <c r="J377" s="58" t="str">
        <f>I377-E377</f>
      </c>
    </row>
    <row r="378">
      <c r="A378" t="s">
        <v>200</v>
      </c>
      <c r="B378" t="s">
        <v>202</v>
      </c>
      <c r="C378" s="52" t="n">
        <v>2026</v>
      </c>
      <c r="D378" t="s">
        <v>184</v>
      </c>
      <c r="E378" s="53" t="n">
        <v>338501.311416846</v>
      </c>
      <c r="F378" s="54" t="n">
        <v>190574.613818848</v>
      </c>
      <c r="G378" s="55" t="n">
        <v>190574.613818848</v>
      </c>
      <c r="H378" s="56" t="str">
        <f>G378-F378</f>
      </c>
      <c r="I378" s="57" t="n">
        <v>338499.069421602</v>
      </c>
      <c r="J378" s="58" t="str">
        <f>I378-E378</f>
      </c>
    </row>
    <row r="379">
      <c r="A379" t="s">
        <v>200</v>
      </c>
      <c r="B379" t="s">
        <v>202</v>
      </c>
      <c r="C379" s="52" t="n">
        <v>2026</v>
      </c>
      <c r="D379" t="s">
        <v>212</v>
      </c>
      <c r="E379" s="53" t="n">
        <v>39250.6709792069</v>
      </c>
      <c r="F379" s="54" t="n">
        <v>5105.60955478559</v>
      </c>
      <c r="G379" s="55" t="n">
        <v>5105.60955478559</v>
      </c>
      <c r="H379" s="56" t="str">
        <f>G379-F379</f>
      </c>
      <c r="I379" s="57" t="n">
        <v>39250.6670180049</v>
      </c>
      <c r="J379" s="58" t="str">
        <f>I379-E379</f>
      </c>
    </row>
    <row r="380">
      <c r="A380" t="s">
        <v>200</v>
      </c>
      <c r="B380" t="s">
        <v>202</v>
      </c>
      <c r="C380" s="52" t="n">
        <v>2027</v>
      </c>
      <c r="D380" t="s">
        <v>190</v>
      </c>
      <c r="E380" s="53" t="n">
        <v>12976.2774472139</v>
      </c>
      <c r="F380" s="54" t="n">
        <v>9425.87832675722</v>
      </c>
      <c r="G380" s="55" t="n">
        <v>9577.52965486433</v>
      </c>
      <c r="H380" s="56" t="str">
        <f>G380-F380</f>
      </c>
      <c r="I380" s="57" t="n">
        <v>12976.1031133633</v>
      </c>
      <c r="J380" s="58" t="str">
        <f>I380-E380</f>
      </c>
    </row>
    <row r="381">
      <c r="A381" t="s">
        <v>200</v>
      </c>
      <c r="B381" t="s">
        <v>202</v>
      </c>
      <c r="C381" s="52" t="n">
        <v>2027</v>
      </c>
      <c r="D381" t="s">
        <v>230</v>
      </c>
      <c r="E381" s="53" t="n">
        <v>1057157.14769998</v>
      </c>
      <c r="F381" s="54" t="n">
        <v>145009.483309055</v>
      </c>
      <c r="G381" s="55" t="n">
        <v>145009.441994705</v>
      </c>
      <c r="H381" s="56" t="str">
        <f>G381-F381</f>
      </c>
      <c r="I381" s="57" t="n">
        <v>1057148.31873483</v>
      </c>
      <c r="J381" s="58" t="str">
        <f>I381-E381</f>
      </c>
    </row>
    <row r="382">
      <c r="A382" t="s">
        <v>200</v>
      </c>
      <c r="B382" t="s">
        <v>202</v>
      </c>
      <c r="C382" s="52" t="n">
        <v>2027</v>
      </c>
      <c r="D382" t="s">
        <v>166</v>
      </c>
      <c r="E382" s="53" t="n">
        <v>114153.784358324</v>
      </c>
      <c r="F382" s="54" t="n">
        <v>71649.2872463922</v>
      </c>
      <c r="G382" s="55" t="n">
        <v>72290.1699912091</v>
      </c>
      <c r="H382" s="56" t="str">
        <f>G382-F382</f>
      </c>
      <c r="I382" s="57" t="n">
        <v>114152.944165875</v>
      </c>
      <c r="J382" s="58" t="str">
        <f>I382-E382</f>
      </c>
    </row>
    <row r="383">
      <c r="A383" t="s">
        <v>200</v>
      </c>
      <c r="B383" t="s">
        <v>202</v>
      </c>
      <c r="C383" s="52" t="n">
        <v>2027</v>
      </c>
      <c r="D383" t="s">
        <v>176</v>
      </c>
      <c r="E383" s="53" t="n">
        <v>277882.136192664</v>
      </c>
      <c r="F383" s="54" t="n">
        <v>260331.485090554</v>
      </c>
      <c r="G383" s="55" t="n">
        <v>260330.421136777</v>
      </c>
      <c r="H383" s="56" t="str">
        <f>G383-F383</f>
      </c>
      <c r="I383" s="57" t="n">
        <v>277877.509454571</v>
      </c>
      <c r="J383" s="58" t="str">
        <f>I383-E383</f>
      </c>
    </row>
    <row r="384">
      <c r="A384" t="s">
        <v>200</v>
      </c>
      <c r="B384" t="s">
        <v>202</v>
      </c>
      <c r="C384" s="52" t="n">
        <v>2027</v>
      </c>
      <c r="D384" t="s">
        <v>180</v>
      </c>
      <c r="E384" s="53" t="n">
        <v>621438.158308988</v>
      </c>
      <c r="F384" s="54" t="n">
        <v>349127.088218252</v>
      </c>
      <c r="G384" s="55" t="n">
        <v>349405.300730343</v>
      </c>
      <c r="H384" s="56" t="str">
        <f>G384-F384</f>
      </c>
      <c r="I384" s="57" t="n">
        <v>621430.902801161</v>
      </c>
      <c r="J384" s="58" t="str">
        <f>I384-E384</f>
      </c>
    </row>
    <row r="385">
      <c r="A385" t="s">
        <v>200</v>
      </c>
      <c r="B385" t="s">
        <v>202</v>
      </c>
      <c r="C385" s="52" t="n">
        <v>2027</v>
      </c>
      <c r="D385" t="s">
        <v>184</v>
      </c>
      <c r="E385" s="53" t="n">
        <v>337405.227195085</v>
      </c>
      <c r="F385" s="54" t="n">
        <v>189031.322659639</v>
      </c>
      <c r="G385" s="55" t="n">
        <v>189031.100445512</v>
      </c>
      <c r="H385" s="56" t="str">
        <f>G385-F385</f>
      </c>
      <c r="I385" s="57" t="n">
        <v>337398.949071723</v>
      </c>
      <c r="J385" s="58" t="str">
        <f>I385-E385</f>
      </c>
    </row>
    <row r="386">
      <c r="A386" t="s">
        <v>200</v>
      </c>
      <c r="B386" t="s">
        <v>202</v>
      </c>
      <c r="C386" s="52" t="n">
        <v>2027</v>
      </c>
      <c r="D386" t="s">
        <v>212</v>
      </c>
      <c r="E386" s="53" t="n">
        <v>38773.6328965438</v>
      </c>
      <c r="F386" s="54" t="n">
        <v>4921.49718818776</v>
      </c>
      <c r="G386" s="55" t="n">
        <v>4921.4971535539</v>
      </c>
      <c r="H386" s="56" t="str">
        <f>G386-F386</f>
      </c>
      <c r="I386" s="57" t="n">
        <v>38773.6271863431</v>
      </c>
      <c r="J386" s="58" t="str">
        <f>I386-E386</f>
      </c>
    </row>
    <row r="387">
      <c r="A387" t="s">
        <v>200</v>
      </c>
      <c r="B387" t="s">
        <v>202</v>
      </c>
      <c r="C387" s="52" t="n">
        <v>2028</v>
      </c>
      <c r="D387" t="s">
        <v>190</v>
      </c>
      <c r="E387" s="53" t="n">
        <v>13395.0226316544</v>
      </c>
      <c r="F387" s="54" t="n">
        <v>9689.43177785317</v>
      </c>
      <c r="G387" s="55" t="n">
        <v>9881.92201892528</v>
      </c>
      <c r="H387" s="56" t="str">
        <f>G387-F387</f>
      </c>
      <c r="I387" s="57" t="n">
        <v>13394.6739315754</v>
      </c>
      <c r="J387" s="58" t="str">
        <f>I387-E387</f>
      </c>
    </row>
    <row r="388">
      <c r="A388" t="s">
        <v>200</v>
      </c>
      <c r="B388" t="s">
        <v>202</v>
      </c>
      <c r="C388" s="52" t="n">
        <v>2028</v>
      </c>
      <c r="D388" t="s">
        <v>230</v>
      </c>
      <c r="E388" s="53" t="n">
        <v>1071843.16482432</v>
      </c>
      <c r="F388" s="54" t="n">
        <v>152971.891017519</v>
      </c>
      <c r="G388" s="55" t="n">
        <v>152971.729388998</v>
      </c>
      <c r="H388" s="56" t="str">
        <f>G388-F388</f>
      </c>
      <c r="I388" s="57" t="n">
        <v>1071826.12505593</v>
      </c>
      <c r="J388" s="58" t="str">
        <f>I388-E388</f>
      </c>
    </row>
    <row r="389">
      <c r="A389" t="s">
        <v>200</v>
      </c>
      <c r="B389" t="s">
        <v>202</v>
      </c>
      <c r="C389" s="52" t="n">
        <v>2028</v>
      </c>
      <c r="D389" t="s">
        <v>166</v>
      </c>
      <c r="E389" s="53" t="n">
        <v>114140.722382136</v>
      </c>
      <c r="F389" s="54" t="n">
        <v>73025.6280910264</v>
      </c>
      <c r="G389" s="55" t="n">
        <v>73846.8742094397</v>
      </c>
      <c r="H389" s="56" t="str">
        <f>G389-F389</f>
      </c>
      <c r="I389" s="57" t="n">
        <v>114139.122924862</v>
      </c>
      <c r="J389" s="58" t="str">
        <f>I389-E389</f>
      </c>
    </row>
    <row r="390">
      <c r="A390" t="s">
        <v>200</v>
      </c>
      <c r="B390" t="s">
        <v>202</v>
      </c>
      <c r="C390" s="52" t="n">
        <v>2028</v>
      </c>
      <c r="D390" t="s">
        <v>176</v>
      </c>
      <c r="E390" s="53" t="n">
        <v>277744.508936359</v>
      </c>
      <c r="F390" s="54" t="n">
        <v>257768.570271816</v>
      </c>
      <c r="G390" s="55" t="n">
        <v>257765.323271705</v>
      </c>
      <c r="H390" s="56" t="str">
        <f>G390-F390</f>
      </c>
      <c r="I390" s="57" t="n">
        <v>277735.696141204</v>
      </c>
      <c r="J390" s="58" t="str">
        <f>I390-E390</f>
      </c>
    </row>
    <row r="391">
      <c r="A391" t="s">
        <v>200</v>
      </c>
      <c r="B391" t="s">
        <v>202</v>
      </c>
      <c r="C391" s="52" t="n">
        <v>2028</v>
      </c>
      <c r="D391" t="s">
        <v>180</v>
      </c>
      <c r="E391" s="53" t="n">
        <v>627737.372772323</v>
      </c>
      <c r="F391" s="54" t="n">
        <v>355790.135170604</v>
      </c>
      <c r="G391" s="55" t="n">
        <v>356159.252906041</v>
      </c>
      <c r="H391" s="56" t="str">
        <f>G391-F391</f>
      </c>
      <c r="I391" s="57" t="n">
        <v>627723.844155296</v>
      </c>
      <c r="J391" s="58" t="str">
        <f>I391-E391</f>
      </c>
    </row>
    <row r="392">
      <c r="A392" t="s">
        <v>200</v>
      </c>
      <c r="B392" t="s">
        <v>202</v>
      </c>
      <c r="C392" s="52" t="n">
        <v>2028</v>
      </c>
      <c r="D392" t="s">
        <v>184</v>
      </c>
      <c r="E392" s="53" t="n">
        <v>337526.289186776</v>
      </c>
      <c r="F392" s="54" t="n">
        <v>187117.461729263</v>
      </c>
      <c r="G392" s="55" t="n">
        <v>187116.639879467</v>
      </c>
      <c r="H392" s="56" t="str">
        <f>G392-F392</f>
      </c>
      <c r="I392" s="57" t="n">
        <v>337514.695524676</v>
      </c>
      <c r="J392" s="58" t="str">
        <f>I392-E392</f>
      </c>
    </row>
    <row r="393">
      <c r="A393" t="s">
        <v>200</v>
      </c>
      <c r="B393" t="s">
        <v>202</v>
      </c>
      <c r="C393" s="52" t="n">
        <v>2028</v>
      </c>
      <c r="D393" t="s">
        <v>212</v>
      </c>
      <c r="E393" s="53" t="n">
        <v>38149.2924926095</v>
      </c>
      <c r="F393" s="54" t="n">
        <v>4742.08564507989</v>
      </c>
      <c r="G393" s="55" t="n">
        <v>4742.08557297834</v>
      </c>
      <c r="H393" s="56" t="str">
        <f>G393-F393</f>
      </c>
      <c r="I393" s="57" t="n">
        <v>38149.2915792319</v>
      </c>
      <c r="J393" s="58" t="str">
        <f>I393-E393</f>
      </c>
    </row>
    <row r="394">
      <c r="A394" t="s">
        <v>200</v>
      </c>
      <c r="B394" t="s">
        <v>202</v>
      </c>
      <c r="C394" s="52" t="n">
        <v>2029</v>
      </c>
      <c r="D394" t="s">
        <v>190</v>
      </c>
      <c r="E394" s="53" t="n">
        <v>13830.6293216095</v>
      </c>
      <c r="F394" s="54" t="n">
        <v>9957.57742183956</v>
      </c>
      <c r="G394" s="55" t="n">
        <v>10188.394886281</v>
      </c>
      <c r="H394" s="56" t="str">
        <f>G394-F394</f>
      </c>
      <c r="I394" s="57" t="n">
        <v>13830.0485982781</v>
      </c>
      <c r="J394" s="58" t="str">
        <f>I394-E394</f>
      </c>
    </row>
    <row r="395">
      <c r="A395" t="s">
        <v>200</v>
      </c>
      <c r="B395" t="s">
        <v>202</v>
      </c>
      <c r="C395" s="52" t="n">
        <v>2029</v>
      </c>
      <c r="D395" t="s">
        <v>230</v>
      </c>
      <c r="E395" s="53" t="n">
        <v>1086227.98371721</v>
      </c>
      <c r="F395" s="54" t="n">
        <v>161038.624082086</v>
      </c>
      <c r="G395" s="55" t="n">
        <v>161038.227687319</v>
      </c>
      <c r="H395" s="56" t="str">
        <f>G395-F395</f>
      </c>
      <c r="I395" s="57" t="n">
        <v>1086200.50099061</v>
      </c>
      <c r="J395" s="58" t="str">
        <f>I395-E395</f>
      </c>
    </row>
    <row r="396">
      <c r="A396" t="s">
        <v>200</v>
      </c>
      <c r="B396" t="s">
        <v>202</v>
      </c>
      <c r="C396" s="52" t="n">
        <v>2029</v>
      </c>
      <c r="D396" t="s">
        <v>166</v>
      </c>
      <c r="E396" s="53" t="n">
        <v>114050.850756362</v>
      </c>
      <c r="F396" s="54" t="n">
        <v>74455.266483292</v>
      </c>
      <c r="G396" s="55" t="n">
        <v>75452.2225775915</v>
      </c>
      <c r="H396" s="56" t="str">
        <f>G396-F396</f>
      </c>
      <c r="I396" s="57" t="n">
        <v>114048.155335882</v>
      </c>
      <c r="J396" s="58" t="str">
        <f>I396-E396</f>
      </c>
    </row>
    <row r="397">
      <c r="A397" t="s">
        <v>200</v>
      </c>
      <c r="B397" t="s">
        <v>202</v>
      </c>
      <c r="C397" s="52" t="n">
        <v>2029</v>
      </c>
      <c r="D397" t="s">
        <v>176</v>
      </c>
      <c r="E397" s="53" t="n">
        <v>275834.992447132</v>
      </c>
      <c r="F397" s="54" t="n">
        <v>258340.798595154</v>
      </c>
      <c r="G397" s="55" t="n">
        <v>258334.317394862</v>
      </c>
      <c r="H397" s="56" t="str">
        <f>G397-F397</f>
      </c>
      <c r="I397" s="57" t="n">
        <v>275821.082992428</v>
      </c>
      <c r="J397" s="58" t="str">
        <f>I397-E397</f>
      </c>
    </row>
    <row r="398">
      <c r="A398" t="s">
        <v>200</v>
      </c>
      <c r="B398" t="s">
        <v>202</v>
      </c>
      <c r="C398" s="52" t="n">
        <v>2029</v>
      </c>
      <c r="D398" t="s">
        <v>180</v>
      </c>
      <c r="E398" s="53" t="n">
        <v>630802.20439032</v>
      </c>
      <c r="F398" s="54" t="n">
        <v>363431.447810248</v>
      </c>
      <c r="G398" s="55" t="n">
        <v>363892.268279926</v>
      </c>
      <c r="H398" s="56" t="str">
        <f>G398-F398</f>
      </c>
      <c r="I398" s="57" t="n">
        <v>630779.369985079</v>
      </c>
      <c r="J398" s="58" t="str">
        <f>I398-E398</f>
      </c>
    </row>
    <row r="399">
      <c r="A399" t="s">
        <v>200</v>
      </c>
      <c r="B399" t="s">
        <v>202</v>
      </c>
      <c r="C399" s="52" t="n">
        <v>2029</v>
      </c>
      <c r="D399" t="s">
        <v>184</v>
      </c>
      <c r="E399" s="53" t="n">
        <v>335941.075947478</v>
      </c>
      <c r="F399" s="54" t="n">
        <v>186823.441018329</v>
      </c>
      <c r="G399" s="55" t="n">
        <v>186821.560087492</v>
      </c>
      <c r="H399" s="56" t="str">
        <f>G399-F399</f>
      </c>
      <c r="I399" s="57" t="n">
        <v>335921.292831796</v>
      </c>
      <c r="J399" s="58" t="str">
        <f>I399-E399</f>
      </c>
    </row>
    <row r="400">
      <c r="A400" t="s">
        <v>200</v>
      </c>
      <c r="B400" t="s">
        <v>202</v>
      </c>
      <c r="C400" s="52" t="n">
        <v>2029</v>
      </c>
      <c r="D400" t="s">
        <v>212</v>
      </c>
      <c r="E400" s="53" t="n">
        <v>37777.4686733774</v>
      </c>
      <c r="F400" s="54" t="n">
        <v>4604.06822091968</v>
      </c>
      <c r="G400" s="55" t="n">
        <v>4604.06814831639</v>
      </c>
      <c r="H400" s="56" t="str">
        <f>G400-F400</f>
      </c>
      <c r="I400" s="57" t="n">
        <v>37777.4672189776</v>
      </c>
      <c r="J400" s="58" t="str">
        <f>I400-E400</f>
      </c>
    </row>
    <row r="401">
      <c r="A401" t="s">
        <v>200</v>
      </c>
      <c r="B401" t="s">
        <v>202</v>
      </c>
      <c r="C401" s="52" t="n">
        <v>2030</v>
      </c>
      <c r="D401" t="s">
        <v>190</v>
      </c>
      <c r="E401" s="53" t="n">
        <v>14282.8316704494</v>
      </c>
      <c r="F401" s="54" t="n">
        <v>10232.7451946802</v>
      </c>
      <c r="G401" s="55" t="n">
        <v>10500.2867221377</v>
      </c>
      <c r="H401" s="56" t="str">
        <f>G401-F401</f>
      </c>
      <c r="I401" s="57" t="n">
        <v>14281.9590395355</v>
      </c>
      <c r="J401" s="58" t="str">
        <f>I401-E401</f>
      </c>
    </row>
    <row r="402">
      <c r="A402" t="s">
        <v>200</v>
      </c>
      <c r="B402" t="s">
        <v>202</v>
      </c>
      <c r="C402" s="52" t="n">
        <v>2030</v>
      </c>
      <c r="D402" t="s">
        <v>230</v>
      </c>
      <c r="E402" s="53" t="n">
        <v>1100231.78450268</v>
      </c>
      <c r="F402" s="54" t="n">
        <v>169197.158395865</v>
      </c>
      <c r="G402" s="55" t="n">
        <v>169196.385350075</v>
      </c>
      <c r="H402" s="56" t="str">
        <f>G402-F402</f>
      </c>
      <c r="I402" s="57" t="n">
        <v>1100191.78654723</v>
      </c>
      <c r="J402" s="58" t="str">
        <f>I402-E402</f>
      </c>
    </row>
    <row r="403">
      <c r="A403" t="s">
        <v>200</v>
      </c>
      <c r="B403" t="s">
        <v>202</v>
      </c>
      <c r="C403" s="52" t="n">
        <v>2030</v>
      </c>
      <c r="D403" t="s">
        <v>166</v>
      </c>
      <c r="E403" s="53" t="n">
        <v>114785.878318766</v>
      </c>
      <c r="F403" s="54" t="n">
        <v>74850.9133656804</v>
      </c>
      <c r="G403" s="55" t="n">
        <v>76004.3747737111</v>
      </c>
      <c r="H403" s="56" t="str">
        <f>G403-F403</f>
      </c>
      <c r="I403" s="57" t="n">
        <v>114781.951575614</v>
      </c>
      <c r="J403" s="58" t="str">
        <f>I403-E403</f>
      </c>
    </row>
    <row r="404">
      <c r="A404" t="s">
        <v>200</v>
      </c>
      <c r="B404" t="s">
        <v>202</v>
      </c>
      <c r="C404" s="52" t="n">
        <v>2030</v>
      </c>
      <c r="D404" t="s">
        <v>176</v>
      </c>
      <c r="E404" s="53" t="n">
        <v>275770.700014037</v>
      </c>
      <c r="F404" s="54" t="n">
        <v>257421.808537484</v>
      </c>
      <c r="G404" s="55" t="n">
        <v>257411.197787159</v>
      </c>
      <c r="H404" s="56" t="str">
        <f>G404-F404</f>
      </c>
      <c r="I404" s="57" t="n">
        <v>275750.816549508</v>
      </c>
      <c r="J404" s="58" t="str">
        <f>I404-E404</f>
      </c>
    </row>
    <row r="405">
      <c r="A405" t="s">
        <v>200</v>
      </c>
      <c r="B405" t="s">
        <v>202</v>
      </c>
      <c r="C405" s="52" t="n">
        <v>2030</v>
      </c>
      <c r="D405" t="s">
        <v>180</v>
      </c>
      <c r="E405" s="53" t="n">
        <v>638231.864209622</v>
      </c>
      <c r="F405" s="54" t="n">
        <v>368372.29954293</v>
      </c>
      <c r="G405" s="55" t="n">
        <v>368920.443479077</v>
      </c>
      <c r="H405" s="56" t="str">
        <f>G405-F405</f>
      </c>
      <c r="I405" s="57" t="n">
        <v>638199.367226914</v>
      </c>
      <c r="J405" s="58" t="str">
        <f>I405-E405</f>
      </c>
    </row>
    <row r="406">
      <c r="A406" t="s">
        <v>200</v>
      </c>
      <c r="B406" t="s">
        <v>202</v>
      </c>
      <c r="C406" s="52" t="n">
        <v>2030</v>
      </c>
      <c r="D406" t="s">
        <v>184</v>
      </c>
      <c r="E406" s="53" t="n">
        <v>337402.887639936</v>
      </c>
      <c r="F406" s="54" t="n">
        <v>185446.026993846</v>
      </c>
      <c r="G406" s="55" t="n">
        <v>185442.493190957</v>
      </c>
      <c r="H406" s="56" t="str">
        <f>G406-F406</f>
      </c>
      <c r="I406" s="57" t="n">
        <v>337374.946866334</v>
      </c>
      <c r="J406" s="58" t="str">
        <f>I406-E406</f>
      </c>
    </row>
    <row r="407">
      <c r="A407" t="s">
        <v>200</v>
      </c>
      <c r="B407" t="s">
        <v>202</v>
      </c>
      <c r="C407" s="52" t="n">
        <v>2030</v>
      </c>
      <c r="D407" t="s">
        <v>212</v>
      </c>
      <c r="E407" s="53" t="n">
        <v>38012.6757510317</v>
      </c>
      <c r="F407" s="54" t="n">
        <v>4432.11692709772</v>
      </c>
      <c r="G407" s="55" t="n">
        <v>4432.1168533299</v>
      </c>
      <c r="H407" s="56" t="str">
        <f>G407-F407</f>
      </c>
      <c r="I407" s="57" t="n">
        <v>38012.6736377562</v>
      </c>
      <c r="J407" s="58" t="str">
        <f>I407-E407</f>
      </c>
    </row>
    <row r="408">
      <c r="A408" t="s">
        <v>200</v>
      </c>
      <c r="B408" t="s">
        <v>202</v>
      </c>
      <c r="C408" s="52" t="n">
        <v>2031</v>
      </c>
      <c r="D408" t="s">
        <v>190</v>
      </c>
      <c r="E408" s="53" t="n">
        <v>14755.6537488699</v>
      </c>
      <c r="F408" s="54" t="n">
        <v>10511.5128020761</v>
      </c>
      <c r="G408" s="55" t="n">
        <v>10814.9178976517</v>
      </c>
      <c r="H408" s="56" t="str">
        <f>G408-F408</f>
      </c>
      <c r="I408" s="57" t="n">
        <v>14754.4294987798</v>
      </c>
      <c r="J408" s="58" t="str">
        <f>I408-E408</f>
      </c>
    </row>
    <row r="409">
      <c r="A409" t="s">
        <v>200</v>
      </c>
      <c r="B409" t="s">
        <v>202</v>
      </c>
      <c r="C409" s="52" t="n">
        <v>2031</v>
      </c>
      <c r="D409" t="s">
        <v>230</v>
      </c>
      <c r="E409" s="53" t="n">
        <v>1113779.5409503</v>
      </c>
      <c r="F409" s="54" t="n">
        <v>177421.516596989</v>
      </c>
      <c r="G409" s="55" t="n">
        <v>177420.195676039</v>
      </c>
      <c r="H409" s="56" t="str">
        <f>G409-F409</f>
      </c>
      <c r="I409" s="57" t="n">
        <v>1113725.22635968</v>
      </c>
      <c r="J409" s="58" t="str">
        <f>I409-E409</f>
      </c>
    </row>
    <row r="410">
      <c r="A410" t="s">
        <v>200</v>
      </c>
      <c r="B410" t="s">
        <v>202</v>
      </c>
      <c r="C410" s="52" t="n">
        <v>2031</v>
      </c>
      <c r="D410" t="s">
        <v>166</v>
      </c>
      <c r="E410" s="53" t="n">
        <v>115762.37035258</v>
      </c>
      <c r="F410" s="54" t="n">
        <v>75250.9037818245</v>
      </c>
      <c r="G410" s="55" t="n">
        <v>76556.6280135149</v>
      </c>
      <c r="H410" s="56" t="str">
        <f>G410-F410</f>
      </c>
      <c r="I410" s="57" t="n">
        <v>115757.018858842</v>
      </c>
      <c r="J410" s="58" t="str">
        <f>I410-E410</f>
      </c>
    </row>
    <row r="411">
      <c r="A411" t="s">
        <v>200</v>
      </c>
      <c r="B411" t="s">
        <v>202</v>
      </c>
      <c r="C411" s="52" t="n">
        <v>2031</v>
      </c>
      <c r="D411" t="s">
        <v>176</v>
      </c>
      <c r="E411" s="53" t="n">
        <v>274746.270147173</v>
      </c>
      <c r="F411" s="54" t="n">
        <v>257260.556261149</v>
      </c>
      <c r="G411" s="55" t="n">
        <v>257245.005480193</v>
      </c>
      <c r="H411" s="56" t="str">
        <f>G411-F411</f>
      </c>
      <c r="I411" s="57" t="n">
        <v>274719.77758767</v>
      </c>
      <c r="J411" s="58" t="str">
        <f>I411-E411</f>
      </c>
    </row>
    <row r="412">
      <c r="A412" t="s">
        <v>200</v>
      </c>
      <c r="B412" t="s">
        <v>202</v>
      </c>
      <c r="C412" s="52" t="n">
        <v>2031</v>
      </c>
      <c r="D412" t="s">
        <v>180</v>
      </c>
      <c r="E412" s="53" t="n">
        <v>646154.244873644</v>
      </c>
      <c r="F412" s="54" t="n">
        <v>373574.18678151</v>
      </c>
      <c r="G412" s="55" t="n">
        <v>374207.729078974</v>
      </c>
      <c r="H412" s="56" t="str">
        <f>G412-F412</f>
      </c>
      <c r="I412" s="57" t="n">
        <v>646110.864169859</v>
      </c>
      <c r="J412" s="58" t="str">
        <f>I412-E412</f>
      </c>
    </row>
    <row r="413">
      <c r="A413" t="s">
        <v>200</v>
      </c>
      <c r="B413" t="s">
        <v>202</v>
      </c>
      <c r="C413" s="52" t="n">
        <v>2031</v>
      </c>
      <c r="D413" t="s">
        <v>184</v>
      </c>
      <c r="E413" s="53" t="n">
        <v>339241.452531495</v>
      </c>
      <c r="F413" s="54" t="n">
        <v>184321.286753976</v>
      </c>
      <c r="G413" s="55" t="n">
        <v>184315.562373235</v>
      </c>
      <c r="H413" s="56" t="str">
        <f>G413-F413</f>
      </c>
      <c r="I413" s="57" t="n">
        <v>339204.419150594</v>
      </c>
      <c r="J413" s="58" t="str">
        <f>I413-E413</f>
      </c>
    </row>
    <row r="414">
      <c r="A414" t="s">
        <v>200</v>
      </c>
      <c r="B414" t="s">
        <v>202</v>
      </c>
      <c r="C414" s="52" t="n">
        <v>2031</v>
      </c>
      <c r="D414" t="s">
        <v>212</v>
      </c>
      <c r="E414" s="53" t="n">
        <v>38191.6257771339</v>
      </c>
      <c r="F414" s="54" t="n">
        <v>4274.72736873508</v>
      </c>
      <c r="G414" s="55" t="n">
        <v>4274.72729327381</v>
      </c>
      <c r="H414" s="56" t="str">
        <f>G414-F414</f>
      </c>
      <c r="I414" s="57" t="n">
        <v>38191.6231000681</v>
      </c>
      <c r="J414" s="58" t="str">
        <f>I414-E414</f>
      </c>
    </row>
    <row r="415">
      <c r="A415" t="s">
        <v>200</v>
      </c>
      <c r="B415" t="s">
        <v>202</v>
      </c>
      <c r="C415" s="52" t="n">
        <v>2032</v>
      </c>
      <c r="D415" t="s">
        <v>190</v>
      </c>
      <c r="E415" s="53" t="n">
        <v>15249.4054655725</v>
      </c>
      <c r="F415" s="54" t="n">
        <v>10793.8119506618</v>
      </c>
      <c r="G415" s="55" t="n">
        <v>11132.1787355836</v>
      </c>
      <c r="H415" s="56" t="str">
        <f>G415-F415</f>
      </c>
      <c r="I415" s="57" t="n">
        <v>15247.769190462</v>
      </c>
      <c r="J415" s="58" t="str">
        <f>I415-E415</f>
      </c>
    </row>
    <row r="416">
      <c r="A416" t="s">
        <v>200</v>
      </c>
      <c r="B416" t="s">
        <v>202</v>
      </c>
      <c r="C416" s="52" t="n">
        <v>2032</v>
      </c>
      <c r="D416" t="s">
        <v>230</v>
      </c>
      <c r="E416" s="53" t="n">
        <v>1126853.62194457</v>
      </c>
      <c r="F416" s="54" t="n">
        <v>185693.516213001</v>
      </c>
      <c r="G416" s="55" t="n">
        <v>185691.45221249</v>
      </c>
      <c r="H416" s="56" t="str">
        <f>G416-F416</f>
      </c>
      <c r="I416" s="57" t="n">
        <v>1126783.31749171</v>
      </c>
      <c r="J416" s="58" t="str">
        <f>I416-E416</f>
      </c>
    </row>
    <row r="417">
      <c r="A417" t="s">
        <v>200</v>
      </c>
      <c r="B417" t="s">
        <v>202</v>
      </c>
      <c r="C417" s="52" t="n">
        <v>2032</v>
      </c>
      <c r="D417" t="s">
        <v>166</v>
      </c>
      <c r="E417" s="53" t="n">
        <v>116899.850588767</v>
      </c>
      <c r="F417" s="54" t="n">
        <v>75739.6609550492</v>
      </c>
      <c r="G417" s="55" t="n">
        <v>77198.3893074221</v>
      </c>
      <c r="H417" s="56" t="str">
        <f>G417-F417</f>
      </c>
      <c r="I417" s="57" t="n">
        <v>116892.91249656</v>
      </c>
      <c r="J417" s="58" t="str">
        <f>I417-E417</f>
      </c>
    </row>
    <row r="418">
      <c r="A418" t="s">
        <v>200</v>
      </c>
      <c r="B418" t="s">
        <v>202</v>
      </c>
      <c r="C418" s="52" t="n">
        <v>2032</v>
      </c>
      <c r="D418" t="s">
        <v>176</v>
      </c>
      <c r="E418" s="53" t="n">
        <v>274446.086220317</v>
      </c>
      <c r="F418" s="54" t="n">
        <v>256766.854806752</v>
      </c>
      <c r="G418" s="55" t="n">
        <v>256745.676365841</v>
      </c>
      <c r="H418" s="56" t="str">
        <f>G418-F418</f>
      </c>
      <c r="I418" s="57" t="n">
        <v>274412.393429799</v>
      </c>
      <c r="J418" s="58" t="str">
        <f>I418-E418</f>
      </c>
    </row>
    <row r="419">
      <c r="A419" t="s">
        <v>200</v>
      </c>
      <c r="B419" t="s">
        <v>202</v>
      </c>
      <c r="C419" s="52" t="n">
        <v>2032</v>
      </c>
      <c r="D419" t="s">
        <v>180</v>
      </c>
      <c r="E419" s="53" t="n">
        <v>654575.116389394</v>
      </c>
      <c r="F419" s="54" t="n">
        <v>379409.109605608</v>
      </c>
      <c r="G419" s="55" t="n">
        <v>380127.647848666</v>
      </c>
      <c r="H419" s="56" t="str">
        <f>G419-F419</f>
      </c>
      <c r="I419" s="57" t="n">
        <v>654519.811420389</v>
      </c>
      <c r="J419" s="58" t="str">
        <f>I419-E419</f>
      </c>
    </row>
    <row r="420">
      <c r="A420" t="s">
        <v>200</v>
      </c>
      <c r="B420" t="s">
        <v>202</v>
      </c>
      <c r="C420" s="52" t="n">
        <v>2032</v>
      </c>
      <c r="D420" t="s">
        <v>184</v>
      </c>
      <c r="E420" s="53" t="n">
        <v>341628.515634081</v>
      </c>
      <c r="F420" s="54" t="n">
        <v>183738.534949486</v>
      </c>
      <c r="G420" s="55" t="n">
        <v>183730.084212538</v>
      </c>
      <c r="H420" s="56" t="str">
        <f>G420-F420</f>
      </c>
      <c r="I420" s="57" t="n">
        <v>341581.65326776</v>
      </c>
      <c r="J420" s="58" t="str">
        <f>I420-E420</f>
      </c>
    </row>
    <row r="421">
      <c r="A421" t="s">
        <v>200</v>
      </c>
      <c r="B421" t="s">
        <v>202</v>
      </c>
      <c r="C421" s="52" t="n">
        <v>2032</v>
      </c>
      <c r="D421" t="s">
        <v>212</v>
      </c>
      <c r="E421" s="53" t="n">
        <v>38037.5550115994</v>
      </c>
      <c r="F421" s="54" t="n">
        <v>4125.72255429237</v>
      </c>
      <c r="G421" s="55" t="n">
        <v>4125.72247917104</v>
      </c>
      <c r="H421" s="56" t="str">
        <f>G421-F421</f>
      </c>
      <c r="I421" s="57" t="n">
        <v>38037.5517920999</v>
      </c>
      <c r="J421" s="58" t="str">
        <f>I421-E421</f>
      </c>
    </row>
    <row r="422">
      <c r="A422" t="s">
        <v>200</v>
      </c>
      <c r="B422" t="s">
        <v>202</v>
      </c>
      <c r="C422" s="52" t="n">
        <v>2033</v>
      </c>
      <c r="D422" t="s">
        <v>190</v>
      </c>
      <c r="E422" s="53" t="n">
        <v>15761.631834615</v>
      </c>
      <c r="F422" s="54" t="n">
        <v>11079.7739978154</v>
      </c>
      <c r="G422" s="55" t="n">
        <v>11452.2049974033</v>
      </c>
      <c r="H422" s="56" t="str">
        <f>G422-F422</f>
      </c>
      <c r="I422" s="57" t="n">
        <v>15759.5151167894</v>
      </c>
      <c r="J422" s="58" t="str">
        <f>I422-E422</f>
      </c>
    </row>
    <row r="423">
      <c r="A423" t="s">
        <v>200</v>
      </c>
      <c r="B423" t="s">
        <v>202</v>
      </c>
      <c r="C423" s="52" t="n">
        <v>2033</v>
      </c>
      <c r="D423" t="s">
        <v>230</v>
      </c>
      <c r="E423" s="53" t="n">
        <v>1139360.64771861</v>
      </c>
      <c r="F423" s="54" t="n">
        <v>194008.626868639</v>
      </c>
      <c r="G423" s="55" t="n">
        <v>194005.600566516</v>
      </c>
      <c r="H423" s="56" t="str">
        <f>G423-F423</f>
      </c>
      <c r="I423" s="57" t="n">
        <v>1139272.75378683</v>
      </c>
      <c r="J423" s="58" t="str">
        <f>I423-E423</f>
      </c>
    </row>
    <row r="424">
      <c r="A424" t="s">
        <v>200</v>
      </c>
      <c r="B424" t="s">
        <v>202</v>
      </c>
      <c r="C424" s="52" t="n">
        <v>2033</v>
      </c>
      <c r="D424" t="s">
        <v>166</v>
      </c>
      <c r="E424" s="53" t="n">
        <v>118290.456738839</v>
      </c>
      <c r="F424" s="54" t="n">
        <v>76307.3774056286</v>
      </c>
      <c r="G424" s="55" t="n">
        <v>77917.1620906902</v>
      </c>
      <c r="H424" s="56" t="str">
        <f>G424-F424</f>
      </c>
      <c r="I424" s="57" t="n">
        <v>118281.828559023</v>
      </c>
      <c r="J424" s="58" t="str">
        <f>I424-E424</f>
      </c>
    </row>
    <row r="425">
      <c r="A425" t="s">
        <v>200</v>
      </c>
      <c r="B425" t="s">
        <v>202</v>
      </c>
      <c r="C425" s="52" t="n">
        <v>2033</v>
      </c>
      <c r="D425" t="s">
        <v>176</v>
      </c>
      <c r="E425" s="53" t="n">
        <v>273934.984944608</v>
      </c>
      <c r="F425" s="54" t="n">
        <v>256682.998088093</v>
      </c>
      <c r="G425" s="55" t="n">
        <v>256655.559026211</v>
      </c>
      <c r="H425" s="56" t="str">
        <f>G425-F425</f>
      </c>
      <c r="I425" s="57" t="n">
        <v>273893.528221021</v>
      </c>
      <c r="J425" s="58" t="str">
        <f>I425-E425</f>
      </c>
    </row>
    <row r="426">
      <c r="A426" t="s">
        <v>200</v>
      </c>
      <c r="B426" t="s">
        <v>202</v>
      </c>
      <c r="C426" s="52" t="n">
        <v>2033</v>
      </c>
      <c r="D426" t="s">
        <v>180</v>
      </c>
      <c r="E426" s="53" t="n">
        <v>664077.184769167</v>
      </c>
      <c r="F426" s="54" t="n">
        <v>385780.965788383</v>
      </c>
      <c r="G426" s="55" t="n">
        <v>386583.230936034</v>
      </c>
      <c r="H426" s="56" t="str">
        <f>G426-F426</f>
      </c>
      <c r="I426" s="57" t="n">
        <v>664009.138744924</v>
      </c>
      <c r="J426" s="58" t="str">
        <f>I426-E426</f>
      </c>
    </row>
    <row r="427">
      <c r="A427" t="s">
        <v>200</v>
      </c>
      <c r="B427" t="s">
        <v>202</v>
      </c>
      <c r="C427" s="52" t="n">
        <v>2033</v>
      </c>
      <c r="D427" t="s">
        <v>184</v>
      </c>
      <c r="E427" s="53" t="n">
        <v>345052.386403394</v>
      </c>
      <c r="F427" s="54" t="n">
        <v>183594.730805916</v>
      </c>
      <c r="G427" s="55" t="n">
        <v>183583.042202715</v>
      </c>
      <c r="H427" s="56" t="str">
        <f>G427-F427</f>
      </c>
      <c r="I427" s="57" t="n">
        <v>344995.264629881</v>
      </c>
      <c r="J427" s="58" t="str">
        <f>I427-E427</f>
      </c>
    </row>
    <row r="428">
      <c r="A428" t="s">
        <v>200</v>
      </c>
      <c r="B428" t="s">
        <v>202</v>
      </c>
      <c r="C428" s="52" t="n">
        <v>2033</v>
      </c>
      <c r="D428" t="s">
        <v>212</v>
      </c>
      <c r="E428" s="53" t="n">
        <v>37788.3996554433</v>
      </c>
      <c r="F428" s="54" t="n">
        <v>3977.71444520524</v>
      </c>
      <c r="G428" s="55" t="n">
        <v>3977.71437573526</v>
      </c>
      <c r="H428" s="56" t="str">
        <f>G428-F428</f>
      </c>
      <c r="I428" s="57" t="n">
        <v>37788.395913351</v>
      </c>
      <c r="J428" s="58" t="str">
        <f>I428-E428</f>
      </c>
    </row>
    <row r="429">
      <c r="A429" t="s">
        <v>200</v>
      </c>
      <c r="B429" t="s">
        <v>202</v>
      </c>
      <c r="C429" s="52" t="n">
        <v>2034</v>
      </c>
      <c r="D429" t="s">
        <v>190</v>
      </c>
      <c r="E429" s="53" t="n">
        <v>16288.4327327952</v>
      </c>
      <c r="F429" s="54" t="n">
        <v>11373.4421920626</v>
      </c>
      <c r="G429" s="55" t="n">
        <v>11779.4141755774</v>
      </c>
      <c r="H429" s="56" t="str">
        <f>G429-F429</f>
      </c>
      <c r="I429" s="57" t="n">
        <v>16285.7640376227</v>
      </c>
      <c r="J429" s="58" t="str">
        <f>I429-E429</f>
      </c>
    </row>
    <row r="430">
      <c r="A430" t="s">
        <v>200</v>
      </c>
      <c r="B430" t="s">
        <v>202</v>
      </c>
      <c r="C430" s="52" t="n">
        <v>2034</v>
      </c>
      <c r="D430" t="s">
        <v>230</v>
      </c>
      <c r="E430" s="53" t="n">
        <v>1151339.61048032</v>
      </c>
      <c r="F430" s="54" t="n">
        <v>202324.871188128</v>
      </c>
      <c r="G430" s="55" t="n">
        <v>202320.636121151</v>
      </c>
      <c r="H430" s="56" t="str">
        <f>G430-F430</f>
      </c>
      <c r="I430" s="57" t="n">
        <v>1151232.62464015</v>
      </c>
      <c r="J430" s="58" t="str">
        <f>I430-E430</f>
      </c>
    </row>
    <row r="431">
      <c r="A431" t="s">
        <v>200</v>
      </c>
      <c r="B431" t="s">
        <v>202</v>
      </c>
      <c r="C431" s="52" t="n">
        <v>2034</v>
      </c>
      <c r="D431" t="s">
        <v>166</v>
      </c>
      <c r="E431" s="53" t="n">
        <v>119184.673377646</v>
      </c>
      <c r="F431" s="54" t="n">
        <v>77021.038045122</v>
      </c>
      <c r="G431" s="55" t="n">
        <v>78781.7232358728</v>
      </c>
      <c r="H431" s="56" t="str">
        <f>G431-F431</f>
      </c>
      <c r="I431" s="57" t="n">
        <v>119173.805374547</v>
      </c>
      <c r="J431" s="58" t="str">
        <f>I431-E431</f>
      </c>
    </row>
    <row r="432">
      <c r="A432" t="s">
        <v>200</v>
      </c>
      <c r="B432" t="s">
        <v>202</v>
      </c>
      <c r="C432" s="52" t="n">
        <v>2034</v>
      </c>
      <c r="D432" t="s">
        <v>176</v>
      </c>
      <c r="E432" s="53" t="n">
        <v>273719.221560385</v>
      </c>
      <c r="F432" s="54" t="n">
        <v>256787.209154323</v>
      </c>
      <c r="G432" s="55" t="n">
        <v>256753.127116244</v>
      </c>
      <c r="H432" s="56" t="str">
        <f>G432-F432</f>
      </c>
      <c r="I432" s="57" t="n">
        <v>273669.650202867</v>
      </c>
      <c r="J432" s="58" t="str">
        <f>I432-E432</f>
      </c>
    </row>
    <row r="433">
      <c r="A433" t="s">
        <v>200</v>
      </c>
      <c r="B433" t="s">
        <v>202</v>
      </c>
      <c r="C433" s="52" t="n">
        <v>2034</v>
      </c>
      <c r="D433" t="s">
        <v>180</v>
      </c>
      <c r="E433" s="53" t="n">
        <v>669649.240538273</v>
      </c>
      <c r="F433" s="54" t="n">
        <v>392921.131980926</v>
      </c>
      <c r="G433" s="55" t="n">
        <v>393806.920121914</v>
      </c>
      <c r="H433" s="56" t="str">
        <f>G433-F433</f>
      </c>
      <c r="I433" s="57" t="n">
        <v>669565.091865969</v>
      </c>
      <c r="J433" s="58" t="str">
        <f>I433-E433</f>
      </c>
    </row>
    <row r="434">
      <c r="A434" t="s">
        <v>200</v>
      </c>
      <c r="B434" t="s">
        <v>202</v>
      </c>
      <c r="C434" s="52" t="n">
        <v>2034</v>
      </c>
      <c r="D434" t="s">
        <v>184</v>
      </c>
      <c r="E434" s="53" t="n">
        <v>345997.58931627</v>
      </c>
      <c r="F434" s="54" t="n">
        <v>184816.316134254</v>
      </c>
      <c r="G434" s="55" t="n">
        <v>184800.885019324</v>
      </c>
      <c r="H434" s="56" t="str">
        <f>G434-F434</f>
      </c>
      <c r="I434" s="57" t="n">
        <v>345926.396497523</v>
      </c>
      <c r="J434" s="58" t="str">
        <f>I434-E434</f>
      </c>
    </row>
    <row r="435">
      <c r="A435" t="s">
        <v>200</v>
      </c>
      <c r="B435" t="s">
        <v>202</v>
      </c>
      <c r="C435" s="52" t="n">
        <v>2034</v>
      </c>
      <c r="D435" t="s">
        <v>212</v>
      </c>
      <c r="E435" s="53" t="n">
        <v>37391.1232753948</v>
      </c>
      <c r="F435" s="54" t="n">
        <v>3849.43649636026</v>
      </c>
      <c r="G435" s="55" t="n">
        <v>3849.43642407178</v>
      </c>
      <c r="H435" s="56" t="str">
        <f>G435-F435</f>
      </c>
      <c r="I435" s="57" t="n">
        <v>37391.1189795399</v>
      </c>
      <c r="J435" s="58" t="str">
        <f>I435-E435</f>
      </c>
    </row>
    <row r="436">
      <c r="A436" t="s">
        <v>200</v>
      </c>
      <c r="B436" t="s">
        <v>202</v>
      </c>
      <c r="C436" s="52" t="n">
        <v>2035</v>
      </c>
      <c r="D436" t="s">
        <v>190</v>
      </c>
      <c r="E436" s="53" t="n">
        <v>16833.9315594832</v>
      </c>
      <c r="F436" s="54" t="n">
        <v>11673.7729753453</v>
      </c>
      <c r="G436" s="55" t="n">
        <v>12112.814364394</v>
      </c>
      <c r="H436" s="56" t="str">
        <f>G436-F436</f>
      </c>
      <c r="I436" s="57" t="n">
        <v>16830.6420972909</v>
      </c>
      <c r="J436" s="58" t="str">
        <f>I436-E436</f>
      </c>
    </row>
    <row r="437">
      <c r="A437" t="s">
        <v>200</v>
      </c>
      <c r="B437" t="s">
        <v>202</v>
      </c>
      <c r="C437" s="52" t="n">
        <v>2035</v>
      </c>
      <c r="D437" t="s">
        <v>230</v>
      </c>
      <c r="E437" s="53" t="n">
        <v>1162904.65305445</v>
      </c>
      <c r="F437" s="54" t="n">
        <v>210633.114289741</v>
      </c>
      <c r="G437" s="55" t="n">
        <v>210627.422792314</v>
      </c>
      <c r="H437" s="56" t="str">
        <f>G437-F437</f>
      </c>
      <c r="I437" s="57" t="n">
        <v>1162777.28327874</v>
      </c>
      <c r="J437" s="58" t="str">
        <f>I437-E437</f>
      </c>
    </row>
    <row r="438">
      <c r="A438" t="s">
        <v>200</v>
      </c>
      <c r="B438" t="s">
        <v>202</v>
      </c>
      <c r="C438" s="52" t="n">
        <v>2035</v>
      </c>
      <c r="D438" t="s">
        <v>166</v>
      </c>
      <c r="E438" s="53" t="n">
        <v>120812.006479637</v>
      </c>
      <c r="F438" s="54" t="n">
        <v>77551.602147426</v>
      </c>
      <c r="G438" s="55" t="n">
        <v>79456.6324211876</v>
      </c>
      <c r="H438" s="56" t="str">
        <f>G438-F438</f>
      </c>
      <c r="I438" s="57" t="n">
        <v>120799.065903184</v>
      </c>
      <c r="J438" s="58" t="str">
        <f>I438-E438</f>
      </c>
    </row>
    <row r="439">
      <c r="A439" t="s">
        <v>200</v>
      </c>
      <c r="B439" t="s">
        <v>202</v>
      </c>
      <c r="C439" s="52" t="n">
        <v>2035</v>
      </c>
      <c r="D439" t="s">
        <v>176</v>
      </c>
      <c r="E439" s="53" t="n">
        <v>273403.379396482</v>
      </c>
      <c r="F439" s="54" t="n">
        <v>256848.714579148</v>
      </c>
      <c r="G439" s="55" t="n">
        <v>256807.532230081</v>
      </c>
      <c r="H439" s="56" t="str">
        <f>G439-F439</f>
      </c>
      <c r="I439" s="57" t="n">
        <v>273345.360062938</v>
      </c>
      <c r="J439" s="58" t="str">
        <f>I439-E439</f>
      </c>
    </row>
    <row r="440">
      <c r="A440" t="s">
        <v>200</v>
      </c>
      <c r="B440" t="s">
        <v>202</v>
      </c>
      <c r="C440" s="52" t="n">
        <v>2035</v>
      </c>
      <c r="D440" t="s">
        <v>180</v>
      </c>
      <c r="E440" s="53" t="n">
        <v>678737.68183273</v>
      </c>
      <c r="F440" s="54" t="n">
        <v>398528.932129596</v>
      </c>
      <c r="G440" s="55" t="n">
        <v>399492.950532998</v>
      </c>
      <c r="H440" s="56" t="str">
        <f>G440-F440</f>
      </c>
      <c r="I440" s="57" t="n">
        <v>678638.434521443</v>
      </c>
      <c r="J440" s="58" t="str">
        <f>I440-E440</f>
      </c>
    </row>
    <row r="441">
      <c r="A441" t="s">
        <v>200</v>
      </c>
      <c r="B441" t="s">
        <v>202</v>
      </c>
      <c r="C441" s="52" t="n">
        <v>2035</v>
      </c>
      <c r="D441" t="s">
        <v>184</v>
      </c>
      <c r="E441" s="53" t="n">
        <v>349229.519651554</v>
      </c>
      <c r="F441" s="54" t="n">
        <v>185385.549874717</v>
      </c>
      <c r="G441" s="55" t="n">
        <v>185365.761103579</v>
      </c>
      <c r="H441" s="56" t="str">
        <f>G441-F441</f>
      </c>
      <c r="I441" s="57" t="n">
        <v>349146.062455764</v>
      </c>
      <c r="J441" s="58" t="str">
        <f>I441-E441</f>
      </c>
    </row>
    <row r="442">
      <c r="A442" t="s">
        <v>200</v>
      </c>
      <c r="B442" t="s">
        <v>202</v>
      </c>
      <c r="C442" s="52" t="n">
        <v>2035</v>
      </c>
      <c r="D442" t="s">
        <v>212</v>
      </c>
      <c r="E442" s="53" t="n">
        <v>37274.4025709717</v>
      </c>
      <c r="F442" s="54" t="n">
        <v>3710.43185001708</v>
      </c>
      <c r="G442" s="55" t="n">
        <v>3710.43177455469</v>
      </c>
      <c r="H442" s="56" t="str">
        <f>G442-F442</f>
      </c>
      <c r="I442" s="57" t="n">
        <v>37274.3979018446</v>
      </c>
      <c r="J442" s="58" t="str">
        <f>I442-E442</f>
      </c>
    </row>
    <row r="443">
      <c r="A443" t="s">
        <v>200</v>
      </c>
      <c r="B443" t="s">
        <v>202</v>
      </c>
      <c r="C443" s="52" t="n">
        <v>2036</v>
      </c>
      <c r="D443" t="s">
        <v>190</v>
      </c>
      <c r="E443" s="53" t="n">
        <v>17396.5902637705</v>
      </c>
      <c r="F443" s="54" t="n">
        <v>11980.3107542896</v>
      </c>
      <c r="G443" s="55" t="n">
        <v>12452.8640137516</v>
      </c>
      <c r="H443" s="56" t="str">
        <f>G443-F443</f>
      </c>
      <c r="I443" s="57" t="n">
        <v>17392.6099040701</v>
      </c>
      <c r="J443" s="58" t="str">
        <f>I443-E443</f>
      </c>
    </row>
    <row r="444">
      <c r="A444" t="s">
        <v>200</v>
      </c>
      <c r="B444" t="s">
        <v>202</v>
      </c>
      <c r="C444" s="52" t="n">
        <v>2036</v>
      </c>
      <c r="D444" t="s">
        <v>230</v>
      </c>
      <c r="E444" s="53" t="n">
        <v>1174234.55559818</v>
      </c>
      <c r="F444" s="54" t="n">
        <v>218914.052856999</v>
      </c>
      <c r="G444" s="55" t="n">
        <v>218906.623444501</v>
      </c>
      <c r="H444" s="56" t="str">
        <f>G444-F444</f>
      </c>
      <c r="I444" s="57" t="n">
        <v>1174085.51289072</v>
      </c>
      <c r="J444" s="58" t="str">
        <f>I444-E444</f>
      </c>
    </row>
    <row r="445">
      <c r="A445" t="s">
        <v>200</v>
      </c>
      <c r="B445" t="s">
        <v>202</v>
      </c>
      <c r="C445" s="52" t="n">
        <v>2036</v>
      </c>
      <c r="D445" t="s">
        <v>166</v>
      </c>
      <c r="E445" s="53" t="n">
        <v>122633.484005097</v>
      </c>
      <c r="F445" s="54" t="n">
        <v>78256.2730668763</v>
      </c>
      <c r="G445" s="55" t="n">
        <v>80302.8429955226</v>
      </c>
      <c r="H445" s="56" t="str">
        <f>G445-F445</f>
      </c>
      <c r="I445" s="57" t="n">
        <v>122618.320312187</v>
      </c>
      <c r="J445" s="58" t="str">
        <f>I445-E445</f>
      </c>
    </row>
    <row r="446">
      <c r="A446" t="s">
        <v>200</v>
      </c>
      <c r="B446" t="s">
        <v>202</v>
      </c>
      <c r="C446" s="52" t="n">
        <v>2036</v>
      </c>
      <c r="D446" t="s">
        <v>176</v>
      </c>
      <c r="E446" s="53" t="n">
        <v>273364.396290981</v>
      </c>
      <c r="F446" s="54" t="n">
        <v>256982.088856382</v>
      </c>
      <c r="G446" s="55" t="n">
        <v>256933.398229342</v>
      </c>
      <c r="H446" s="56" t="str">
        <f>G446-F446</f>
      </c>
      <c r="I446" s="57" t="n">
        <v>273297.569822228</v>
      </c>
      <c r="J446" s="58" t="str">
        <f>I446-E446</f>
      </c>
    </row>
    <row r="447">
      <c r="A447" t="s">
        <v>200</v>
      </c>
      <c r="B447" t="s">
        <v>202</v>
      </c>
      <c r="C447" s="52" t="n">
        <v>2036</v>
      </c>
      <c r="D447" t="s">
        <v>180</v>
      </c>
      <c r="E447" s="53" t="n">
        <v>688310.030596918</v>
      </c>
      <c r="F447" s="54" t="n">
        <v>404950.917928741</v>
      </c>
      <c r="G447" s="55" t="n">
        <v>405992.653493878</v>
      </c>
      <c r="H447" s="56" t="str">
        <f>G447-F447</f>
      </c>
      <c r="I447" s="57" t="n">
        <v>688194.684475592</v>
      </c>
      <c r="J447" s="58" t="str">
        <f>I447-E447</f>
      </c>
    </row>
    <row r="448">
      <c r="A448" t="s">
        <v>200</v>
      </c>
      <c r="B448" t="s">
        <v>202</v>
      </c>
      <c r="C448" s="52" t="n">
        <v>2036</v>
      </c>
      <c r="D448" t="s">
        <v>184</v>
      </c>
      <c r="E448" s="53" t="n">
        <v>352699.423676917</v>
      </c>
      <c r="F448" s="54" t="n">
        <v>186442.547555251</v>
      </c>
      <c r="G448" s="55" t="n">
        <v>186417.92722248</v>
      </c>
      <c r="H448" s="56" t="str">
        <f>G448-F448</f>
      </c>
      <c r="I448" s="57" t="n">
        <v>352603.071714204</v>
      </c>
      <c r="J448" s="58" t="str">
        <f>I448-E448</f>
      </c>
    </row>
    <row r="449">
      <c r="A449" t="s">
        <v>200</v>
      </c>
      <c r="B449" t="s">
        <v>202</v>
      </c>
      <c r="C449" s="52" t="n">
        <v>2036</v>
      </c>
      <c r="D449" t="s">
        <v>212</v>
      </c>
      <c r="E449" s="53" t="n">
        <v>37283.0326701985</v>
      </c>
      <c r="F449" s="54" t="n">
        <v>3578.66014343429</v>
      </c>
      <c r="G449" s="55" t="n">
        <v>3578.66006488627</v>
      </c>
      <c r="H449" s="56" t="str">
        <f>G449-F449</f>
      </c>
      <c r="I449" s="57" t="n">
        <v>37283.0276293956</v>
      </c>
      <c r="J449" s="58" t="str">
        <f>I449-E449</f>
      </c>
    </row>
    <row r="450">
      <c r="A450" t="s">
        <v>200</v>
      </c>
      <c r="B450" t="s">
        <v>202</v>
      </c>
      <c r="C450" s="52" t="n">
        <v>2037</v>
      </c>
      <c r="D450" t="s">
        <v>190</v>
      </c>
      <c r="E450" s="53" t="n">
        <v>17976.2216980571</v>
      </c>
      <c r="F450" s="54" t="n">
        <v>12293.0037818577</v>
      </c>
      <c r="G450" s="55" t="n">
        <v>12799.4794545616</v>
      </c>
      <c r="H450" s="56" t="str">
        <f>G450-F450</f>
      </c>
      <c r="I450" s="57" t="n">
        <v>17971.4828640642</v>
      </c>
      <c r="J450" s="58" t="str">
        <f>I450-E450</f>
      </c>
    </row>
    <row r="451">
      <c r="A451" t="s">
        <v>200</v>
      </c>
      <c r="B451" t="s">
        <v>202</v>
      </c>
      <c r="C451" s="52" t="n">
        <v>2037</v>
      </c>
      <c r="D451" t="s">
        <v>230</v>
      </c>
      <c r="E451" s="53" t="n">
        <v>1185436.7042521</v>
      </c>
      <c r="F451" s="54" t="n">
        <v>227155.318484147</v>
      </c>
      <c r="G451" s="55" t="n">
        <v>227145.85064844</v>
      </c>
      <c r="H451" s="56" t="str">
        <f>G451-F451</f>
      </c>
      <c r="I451" s="57" t="n">
        <v>1185264.74384977</v>
      </c>
      <c r="J451" s="58" t="str">
        <f>I451-E451</f>
      </c>
    </row>
    <row r="452">
      <c r="A452" t="s">
        <v>200</v>
      </c>
      <c r="B452" t="s">
        <v>202</v>
      </c>
      <c r="C452" s="52" t="n">
        <v>2037</v>
      </c>
      <c r="D452" t="s">
        <v>166</v>
      </c>
      <c r="E452" s="53" t="n">
        <v>124506.933693758</v>
      </c>
      <c r="F452" s="54" t="n">
        <v>79055.953502114</v>
      </c>
      <c r="G452" s="55" t="n">
        <v>81244.6913895843</v>
      </c>
      <c r="H452" s="56" t="str">
        <f>G452-F452</f>
      </c>
      <c r="I452" s="57" t="n">
        <v>124489.429760244</v>
      </c>
      <c r="J452" s="58" t="str">
        <f>I452-E452</f>
      </c>
    </row>
    <row r="453">
      <c r="A453" t="s">
        <v>200</v>
      </c>
      <c r="B453" t="s">
        <v>202</v>
      </c>
      <c r="C453" s="52" t="n">
        <v>2037</v>
      </c>
      <c r="D453" t="s">
        <v>176</v>
      </c>
      <c r="E453" s="53" t="n">
        <v>273278.70625078</v>
      </c>
      <c r="F453" s="54" t="n">
        <v>257127.526383963</v>
      </c>
      <c r="G453" s="55" t="n">
        <v>257070.973149134</v>
      </c>
      <c r="H453" s="56" t="str">
        <f>G453-F453</f>
      </c>
      <c r="I453" s="57" t="n">
        <v>273202.802274069</v>
      </c>
      <c r="J453" s="58" t="str">
        <f>I453-E453</f>
      </c>
    </row>
    <row r="454">
      <c r="A454" t="s">
        <v>200</v>
      </c>
      <c r="B454" t="s">
        <v>202</v>
      </c>
      <c r="C454" s="52" t="n">
        <v>2037</v>
      </c>
      <c r="D454" t="s">
        <v>180</v>
      </c>
      <c r="E454" s="53" t="n">
        <v>698192.786064529</v>
      </c>
      <c r="F454" s="54" t="n">
        <v>411898.774825829</v>
      </c>
      <c r="G454" s="55" t="n">
        <v>413018.343093551</v>
      </c>
      <c r="H454" s="56" t="str">
        <f>G454-F454</f>
      </c>
      <c r="I454" s="57" t="n">
        <v>698060.502126947</v>
      </c>
      <c r="J454" s="58" t="str">
        <f>I454-E454</f>
      </c>
    </row>
    <row r="455">
      <c r="A455" t="s">
        <v>200</v>
      </c>
      <c r="B455" t="s">
        <v>202</v>
      </c>
      <c r="C455" s="52" t="n">
        <v>2037</v>
      </c>
      <c r="D455" t="s">
        <v>184</v>
      </c>
      <c r="E455" s="53" t="n">
        <v>356535.392325412</v>
      </c>
      <c r="F455" s="54" t="n">
        <v>187818.214534461</v>
      </c>
      <c r="G455" s="55" t="n">
        <v>187788.312528489</v>
      </c>
      <c r="H455" s="56" t="str">
        <f>G455-F455</f>
      </c>
      <c r="I455" s="57" t="n">
        <v>356425.678918654</v>
      </c>
      <c r="J455" s="58" t="str">
        <f>I455-E455</f>
      </c>
    </row>
    <row r="456">
      <c r="A456" t="s">
        <v>200</v>
      </c>
      <c r="B456" t="s">
        <v>202</v>
      </c>
      <c r="C456" s="52" t="n">
        <v>2037</v>
      </c>
      <c r="D456" t="s">
        <v>212</v>
      </c>
      <c r="E456" s="53" t="n">
        <v>36837.2828493563</v>
      </c>
      <c r="F456" s="54" t="n">
        <v>3450.19473654189</v>
      </c>
      <c r="G456" s="55" t="n">
        <v>3450.19465573699</v>
      </c>
      <c r="H456" s="56" t="str">
        <f>G456-F456</f>
      </c>
      <c r="I456" s="57" t="n">
        <v>36837.2774807632</v>
      </c>
      <c r="J456" s="58" t="str">
        <f>I456-E456</f>
      </c>
    </row>
    <row r="457">
      <c r="A457" t="s">
        <v>200</v>
      </c>
      <c r="B457" t="s">
        <v>202</v>
      </c>
      <c r="C457" s="52" t="n">
        <v>2038</v>
      </c>
      <c r="D457" t="s">
        <v>190</v>
      </c>
      <c r="E457" s="53" t="n">
        <v>18570.3038098349</v>
      </c>
      <c r="F457" s="54" t="n">
        <v>12614.8185364493</v>
      </c>
      <c r="G457" s="55" t="n">
        <v>13155.6038503287</v>
      </c>
      <c r="H457" s="56" t="str">
        <f>G457-F457</f>
      </c>
      <c r="I457" s="57" t="n">
        <v>18564.7325343064</v>
      </c>
      <c r="J457" s="58" t="str">
        <f>I457-E457</f>
      </c>
    </row>
    <row r="458">
      <c r="A458" t="s">
        <v>200</v>
      </c>
      <c r="B458" t="s">
        <v>202</v>
      </c>
      <c r="C458" s="52" t="n">
        <v>2038</v>
      </c>
      <c r="D458" t="s">
        <v>230</v>
      </c>
      <c r="E458" s="53" t="n">
        <v>1196510.63638972</v>
      </c>
      <c r="F458" s="54" t="n">
        <v>235341.431885331</v>
      </c>
      <c r="G458" s="55" t="n">
        <v>235329.601498619</v>
      </c>
      <c r="H458" s="56" t="str">
        <f>G458-F458</f>
      </c>
      <c r="I458" s="57" t="n">
        <v>1196314.54511457</v>
      </c>
      <c r="J458" s="58" t="str">
        <f>I458-E458</f>
      </c>
    </row>
    <row r="459">
      <c r="A459" t="s">
        <v>200</v>
      </c>
      <c r="B459" t="s">
        <v>202</v>
      </c>
      <c r="C459" s="52" t="n">
        <v>2038</v>
      </c>
      <c r="D459" t="s">
        <v>166</v>
      </c>
      <c r="E459" s="53" t="n">
        <v>126575.760772694</v>
      </c>
      <c r="F459" s="54" t="n">
        <v>79922.9300220392</v>
      </c>
      <c r="G459" s="55" t="n">
        <v>82253.930841494</v>
      </c>
      <c r="H459" s="56" t="str">
        <f>G459-F459</f>
      </c>
      <c r="I459" s="57" t="n">
        <v>126555.833855502</v>
      </c>
      <c r="J459" s="58" t="str">
        <f>I459-E459</f>
      </c>
    </row>
    <row r="460">
      <c r="A460" t="s">
        <v>200</v>
      </c>
      <c r="B460" t="s">
        <v>202</v>
      </c>
      <c r="C460" s="52" t="n">
        <v>2038</v>
      </c>
      <c r="D460" t="s">
        <v>176</v>
      </c>
      <c r="E460" s="53" t="n">
        <v>273120.610820268</v>
      </c>
      <c r="F460" s="54" t="n">
        <v>257195.395281846</v>
      </c>
      <c r="G460" s="55" t="n">
        <v>257130.676610817</v>
      </c>
      <c r="H460" s="56" t="str">
        <f>G460-F460</f>
      </c>
      <c r="I460" s="57" t="n">
        <v>273035.370644084</v>
      </c>
      <c r="J460" s="58" t="str">
        <f>I460-E460</f>
      </c>
    </row>
    <row r="461">
      <c r="A461" t="s">
        <v>200</v>
      </c>
      <c r="B461" t="s">
        <v>202</v>
      </c>
      <c r="C461" s="52" t="n">
        <v>2038</v>
      </c>
      <c r="D461" t="s">
        <v>180</v>
      </c>
      <c r="E461" s="53" t="n">
        <v>708824.490053465</v>
      </c>
      <c r="F461" s="54" t="n">
        <v>419247.972571195</v>
      </c>
      <c r="G461" s="55" t="n">
        <v>420445.264129068</v>
      </c>
      <c r="H461" s="56" t="str">
        <f>G461-F461</f>
      </c>
      <c r="I461" s="57" t="n">
        <v>708674.574961299</v>
      </c>
      <c r="J461" s="58" t="str">
        <f>I461-E461</f>
      </c>
    </row>
    <row r="462">
      <c r="A462" t="s">
        <v>200</v>
      </c>
      <c r="B462" t="s">
        <v>202</v>
      </c>
      <c r="C462" s="52" t="n">
        <v>2038</v>
      </c>
      <c r="D462" t="s">
        <v>184</v>
      </c>
      <c r="E462" s="53" t="n">
        <v>361024.253332339</v>
      </c>
      <c r="F462" s="54" t="n">
        <v>189383.003590995</v>
      </c>
      <c r="G462" s="55" t="n">
        <v>189347.422266605</v>
      </c>
      <c r="H462" s="56" t="str">
        <f>G462-F462</f>
      </c>
      <c r="I462" s="57" t="n">
        <v>360900.93527345</v>
      </c>
      <c r="J462" s="58" t="str">
        <f>I462-E462</f>
      </c>
    </row>
    <row r="463">
      <c r="A463" t="s">
        <v>200</v>
      </c>
      <c r="B463" t="s">
        <v>202</v>
      </c>
      <c r="C463" s="52" t="n">
        <v>2038</v>
      </c>
      <c r="D463" t="s">
        <v>212</v>
      </c>
      <c r="E463" s="53" t="n">
        <v>36551.4469215532</v>
      </c>
      <c r="F463" s="54" t="n">
        <v>3322.82165513645</v>
      </c>
      <c r="G463" s="55" t="n">
        <v>3322.82157442101</v>
      </c>
      <c r="H463" s="56" t="str">
        <f>G463-F463</f>
      </c>
      <c r="I463" s="57" t="n">
        <v>36551.441257779</v>
      </c>
      <c r="J463" s="58" t="str">
        <f>I463-E463</f>
      </c>
    </row>
    <row r="464">
      <c r="A464" t="s">
        <v>200</v>
      </c>
      <c r="B464" t="s">
        <v>202</v>
      </c>
      <c r="C464" s="52" t="n">
        <v>2039</v>
      </c>
      <c r="D464" t="s">
        <v>190</v>
      </c>
      <c r="E464" s="53" t="n">
        <v>19180.8270019445</v>
      </c>
      <c r="F464" s="54" t="n">
        <v>12941.3795035358</v>
      </c>
      <c r="G464" s="55" t="n">
        <v>13516.7785061579</v>
      </c>
      <c r="H464" s="56" t="str">
        <f>G464-F464</f>
      </c>
      <c r="I464" s="57" t="n">
        <v>19174.3457459029</v>
      </c>
      <c r="J464" s="58" t="str">
        <f>I464-E464</f>
      </c>
    </row>
    <row r="465">
      <c r="A465" t="s">
        <v>200</v>
      </c>
      <c r="B465" t="s">
        <v>202</v>
      </c>
      <c r="C465" s="52" t="n">
        <v>2039</v>
      </c>
      <c r="D465" t="s">
        <v>230</v>
      </c>
      <c r="E465" s="53" t="n">
        <v>1207147.1819531</v>
      </c>
      <c r="F465" s="54" t="n">
        <v>243497.897695936</v>
      </c>
      <c r="G465" s="55" t="n">
        <v>243483.364034463</v>
      </c>
      <c r="H465" s="56" t="str">
        <f>G465-F465</f>
      </c>
      <c r="I465" s="57" t="n">
        <v>1206925.78308321</v>
      </c>
      <c r="J465" s="58" t="str">
        <f>I465-E465</f>
      </c>
    </row>
    <row r="466">
      <c r="A466" t="s">
        <v>200</v>
      </c>
      <c r="B466" t="s">
        <v>202</v>
      </c>
      <c r="C466" s="52" t="n">
        <v>2039</v>
      </c>
      <c r="D466" t="s">
        <v>166</v>
      </c>
      <c r="E466" s="53" t="n">
        <v>128024.453620709</v>
      </c>
      <c r="F466" s="54" t="n">
        <v>80914.0244580931</v>
      </c>
      <c r="G466" s="55" t="n">
        <v>83389.1809587923</v>
      </c>
      <c r="H466" s="56" t="str">
        <f>G466-F466</f>
      </c>
      <c r="I466" s="57" t="n">
        <v>128001.347826374</v>
      </c>
      <c r="J466" s="58" t="str">
        <f>I466-E466</f>
      </c>
    </row>
    <row r="467">
      <c r="A467" t="s">
        <v>200</v>
      </c>
      <c r="B467" t="s">
        <v>202</v>
      </c>
      <c r="C467" s="52" t="n">
        <v>2039</v>
      </c>
      <c r="D467" t="s">
        <v>176</v>
      </c>
      <c r="E467" s="53" t="n">
        <v>273068.074114569</v>
      </c>
      <c r="F467" s="54" t="n">
        <v>257514.840499542</v>
      </c>
      <c r="G467" s="55" t="n">
        <v>257441.86914337</v>
      </c>
      <c r="H467" s="56" t="str">
        <f>G467-F467</f>
      </c>
      <c r="I467" s="57" t="n">
        <v>272973.34550101</v>
      </c>
      <c r="J467" s="58" t="str">
        <f>I467-E467</f>
      </c>
    </row>
    <row r="468">
      <c r="A468" t="s">
        <v>200</v>
      </c>
      <c r="B468" t="s">
        <v>202</v>
      </c>
      <c r="C468" s="52" t="n">
        <v>2039</v>
      </c>
      <c r="D468" t="s">
        <v>180</v>
      </c>
      <c r="E468" s="53" t="n">
        <v>715750.726527685</v>
      </c>
      <c r="F468" s="54" t="n">
        <v>427168.894884</v>
      </c>
      <c r="G468" s="55" t="n">
        <v>428444.568481745</v>
      </c>
      <c r="H468" s="56" t="str">
        <f>G468-F468</f>
      </c>
      <c r="I468" s="57" t="n">
        <v>715580.887085385</v>
      </c>
      <c r="J468" s="58" t="str">
        <f>I468-E468</f>
      </c>
    </row>
    <row r="469">
      <c r="A469" t="s">
        <v>200</v>
      </c>
      <c r="B469" t="s">
        <v>202</v>
      </c>
      <c r="C469" s="52" t="n">
        <v>2039</v>
      </c>
      <c r="D469" t="s">
        <v>184</v>
      </c>
      <c r="E469" s="53" t="n">
        <v>363109.342403172</v>
      </c>
      <c r="F469" s="54" t="n">
        <v>191971.323703172</v>
      </c>
      <c r="G469" s="55" t="n">
        <v>191929.610855123</v>
      </c>
      <c r="H469" s="56" t="str">
        <f>G469-F469</f>
      </c>
      <c r="I469" s="57" t="n">
        <v>362969.198365508</v>
      </c>
      <c r="J469" s="58" t="str">
        <f>I469-E469</f>
      </c>
    </row>
    <row r="470">
      <c r="A470" t="s">
        <v>200</v>
      </c>
      <c r="B470" t="s">
        <v>202</v>
      </c>
      <c r="C470" s="52" t="n">
        <v>2039</v>
      </c>
      <c r="D470" t="s">
        <v>212</v>
      </c>
      <c r="E470" s="53" t="n">
        <v>36178.2300538096</v>
      </c>
      <c r="F470" s="54" t="n">
        <v>3198.02313762912</v>
      </c>
      <c r="G470" s="55" t="n">
        <v>3198.02305383022</v>
      </c>
      <c r="H470" s="56" t="str">
        <f>G470-F470</f>
      </c>
      <c r="I470" s="57" t="n">
        <v>36178.2238447184</v>
      </c>
      <c r="J470" s="58" t="str">
        <f>I470-E470</f>
      </c>
    </row>
    <row r="471">
      <c r="A471" t="s">
        <v>200</v>
      </c>
      <c r="B471" t="s">
        <v>202</v>
      </c>
      <c r="C471" s="52" t="n">
        <v>2040</v>
      </c>
      <c r="D471" t="s">
        <v>190</v>
      </c>
      <c r="E471" s="53" t="n">
        <v>19812.9795649813</v>
      </c>
      <c r="F471" s="54" t="n">
        <v>13269.8457792228</v>
      </c>
      <c r="G471" s="55" t="n">
        <v>13879.6732870407</v>
      </c>
      <c r="H471" s="56" t="str">
        <f>G471-F471</f>
      </c>
      <c r="I471" s="57" t="n">
        <v>19805.5058057648</v>
      </c>
      <c r="J471" s="58" t="str">
        <f>I471-E471</f>
      </c>
    </row>
    <row r="472">
      <c r="A472" t="s">
        <v>200</v>
      </c>
      <c r="B472" t="s">
        <v>202</v>
      </c>
      <c r="C472" s="52" t="n">
        <v>2040</v>
      </c>
      <c r="D472" t="s">
        <v>230</v>
      </c>
      <c r="E472" s="53" t="n">
        <v>1217277.26798428</v>
      </c>
      <c r="F472" s="54" t="n">
        <v>251609.462342644</v>
      </c>
      <c r="G472" s="55" t="n">
        <v>251591.898664867</v>
      </c>
      <c r="H472" s="56" t="str">
        <f>G472-F472</f>
      </c>
      <c r="I472" s="57" t="n">
        <v>1217029.49333677</v>
      </c>
      <c r="J472" s="58" t="str">
        <f>I472-E472</f>
      </c>
    </row>
    <row r="473">
      <c r="A473" t="s">
        <v>200</v>
      </c>
      <c r="B473" t="s">
        <v>202</v>
      </c>
      <c r="C473" s="52" t="n">
        <v>2040</v>
      </c>
      <c r="D473" t="s">
        <v>166</v>
      </c>
      <c r="E473" s="53" t="n">
        <v>130105.016613612</v>
      </c>
      <c r="F473" s="54" t="n">
        <v>81815.1823810627</v>
      </c>
      <c r="G473" s="55" t="n">
        <v>84431.8911758369</v>
      </c>
      <c r="H473" s="56" t="str">
        <f>G473-F473</f>
      </c>
      <c r="I473" s="57" t="n">
        <v>130079.117811465</v>
      </c>
      <c r="J473" s="58" t="str">
        <f>I473-E473</f>
      </c>
    </row>
    <row r="474">
      <c r="A474" t="s">
        <v>200</v>
      </c>
      <c r="B474" t="s">
        <v>202</v>
      </c>
      <c r="C474" s="52" t="n">
        <v>2040</v>
      </c>
      <c r="D474" t="s">
        <v>176</v>
      </c>
      <c r="E474" s="53" t="n">
        <v>272876.971155035</v>
      </c>
      <c r="F474" s="54" t="n">
        <v>257533.239018668</v>
      </c>
      <c r="G474" s="55" t="n">
        <v>257451.80463236</v>
      </c>
      <c r="H474" s="56" t="str">
        <f>G474-F474</f>
      </c>
      <c r="I474" s="57" t="n">
        <v>272772.692977532</v>
      </c>
      <c r="J474" s="58" t="str">
        <f>I474-E474</f>
      </c>
    </row>
    <row r="475">
      <c r="A475" t="s">
        <v>200</v>
      </c>
      <c r="B475" t="s">
        <v>202</v>
      </c>
      <c r="C475" s="52" t="n">
        <v>2040</v>
      </c>
      <c r="D475" t="s">
        <v>180</v>
      </c>
      <c r="E475" s="53" t="n">
        <v>725247.071476751</v>
      </c>
      <c r="F475" s="54" t="n">
        <v>433860.962899185</v>
      </c>
      <c r="G475" s="55" t="n">
        <v>435208.840989962</v>
      </c>
      <c r="H475" s="56" t="str">
        <f>G475-F475</f>
      </c>
      <c r="I475" s="57" t="n">
        <v>725057.851356544</v>
      </c>
      <c r="J475" s="58" t="str">
        <f>I475-E475</f>
      </c>
    </row>
    <row r="476">
      <c r="A476" t="s">
        <v>200</v>
      </c>
      <c r="B476" t="s">
        <v>202</v>
      </c>
      <c r="C476" s="52" t="n">
        <v>2040</v>
      </c>
      <c r="D476" t="s">
        <v>184</v>
      </c>
      <c r="E476" s="53" t="n">
        <v>366869.229582723</v>
      </c>
      <c r="F476" s="54" t="n">
        <v>193901.543316599</v>
      </c>
      <c r="G476" s="55" t="n">
        <v>193853.250747764</v>
      </c>
      <c r="H476" s="56" t="str">
        <f>G476-F476</f>
      </c>
      <c r="I476" s="57" t="n">
        <v>366714.045807884</v>
      </c>
      <c r="J476" s="58" t="str">
        <f>I476-E476</f>
      </c>
    </row>
    <row r="477">
      <c r="A477" t="s">
        <v>200</v>
      </c>
      <c r="B477" t="s">
        <v>202</v>
      </c>
      <c r="C477" s="52" t="n">
        <v>2040</v>
      </c>
      <c r="D477" t="s">
        <v>212</v>
      </c>
      <c r="E477" s="53" t="n">
        <v>36005.0347168188</v>
      </c>
      <c r="F477" s="54" t="n">
        <v>3069.25198100589</v>
      </c>
      <c r="G477" s="55" t="n">
        <v>3069.25189350158</v>
      </c>
      <c r="H477" s="56" t="str">
        <f>G477-F477</f>
      </c>
      <c r="I477" s="57" t="n">
        <v>36005.0280863419</v>
      </c>
      <c r="J477" s="58" t="str">
        <f>I477-E477</f>
      </c>
    </row>
    <row r="478">
      <c r="A478" t="s">
        <v>200</v>
      </c>
      <c r="B478" t="s">
        <v>202</v>
      </c>
      <c r="C478" s="52" t="n">
        <v>2041</v>
      </c>
      <c r="D478" t="s">
        <v>190</v>
      </c>
      <c r="E478" s="53" t="n">
        <v>20462.1747028743</v>
      </c>
      <c r="F478" s="54" t="n">
        <v>13604.0803390301</v>
      </c>
      <c r="G478" s="55" t="n">
        <v>14249.5364552167</v>
      </c>
      <c r="H478" s="56" t="str">
        <f>G478-F478</f>
      </c>
      <c r="I478" s="57" t="n">
        <v>20453.6267543422</v>
      </c>
      <c r="J478" s="58" t="str">
        <f>I478-E478</f>
      </c>
    </row>
    <row r="479">
      <c r="A479" t="s">
        <v>200</v>
      </c>
      <c r="B479" t="s">
        <v>202</v>
      </c>
      <c r="C479" s="52" t="n">
        <v>2041</v>
      </c>
      <c r="D479" t="s">
        <v>230</v>
      </c>
      <c r="E479" s="53" t="n">
        <v>1226899.96225769</v>
      </c>
      <c r="F479" s="54" t="n">
        <v>259698.143585754</v>
      </c>
      <c r="G479" s="55" t="n">
        <v>259677.195752453</v>
      </c>
      <c r="H479" s="56" t="str">
        <f>G479-F479</f>
      </c>
      <c r="I479" s="57" t="n">
        <v>1226624.81076703</v>
      </c>
      <c r="J479" s="58" t="str">
        <f>I479-E479</f>
      </c>
    </row>
    <row r="480">
      <c r="A480" t="s">
        <v>200</v>
      </c>
      <c r="B480" t="s">
        <v>202</v>
      </c>
      <c r="C480" s="52" t="n">
        <v>2041</v>
      </c>
      <c r="D480" t="s">
        <v>166</v>
      </c>
      <c r="E480" s="53" t="n">
        <v>132258.455466286</v>
      </c>
      <c r="F480" s="54" t="n">
        <v>82776.1907790671</v>
      </c>
      <c r="G480" s="55" t="n">
        <v>85532.3195906077</v>
      </c>
      <c r="H480" s="56" t="str">
        <f>G480-F480</f>
      </c>
      <c r="I480" s="57" t="n">
        <v>132229.629710176</v>
      </c>
      <c r="J480" s="58" t="str">
        <f>I480-E480</f>
      </c>
    </row>
    <row r="481">
      <c r="A481" t="s">
        <v>200</v>
      </c>
      <c r="B481" t="s">
        <v>202</v>
      </c>
      <c r="C481" s="52" t="n">
        <v>2041</v>
      </c>
      <c r="D481" t="s">
        <v>176</v>
      </c>
      <c r="E481" s="53" t="n">
        <v>272725.735729656</v>
      </c>
      <c r="F481" s="54" t="n">
        <v>257479.705744001</v>
      </c>
      <c r="G481" s="55" t="n">
        <v>257389.631754286</v>
      </c>
      <c r="H481" s="56" t="str">
        <f>G481-F481</f>
      </c>
      <c r="I481" s="57" t="n">
        <v>272611.753671291</v>
      </c>
      <c r="J481" s="58" t="str">
        <f>I481-E481</f>
      </c>
    </row>
    <row r="482">
      <c r="A482" t="s">
        <v>200</v>
      </c>
      <c r="B482" t="s">
        <v>202</v>
      </c>
      <c r="C482" s="52" t="n">
        <v>2041</v>
      </c>
      <c r="D482" t="s">
        <v>180</v>
      </c>
      <c r="E482" s="53" t="n">
        <v>734837.117884127</v>
      </c>
      <c r="F482" s="54" t="n">
        <v>440905.983873956</v>
      </c>
      <c r="G482" s="55" t="n">
        <v>442324.306406792</v>
      </c>
      <c r="H482" s="56" t="str">
        <f>G482-F482</f>
      </c>
      <c r="I482" s="57" t="n">
        <v>734627.740075405</v>
      </c>
      <c r="J482" s="58" t="str">
        <f>I482-E482</f>
      </c>
    </row>
    <row r="483">
      <c r="A483" t="s">
        <v>200</v>
      </c>
      <c r="B483" t="s">
        <v>202</v>
      </c>
      <c r="C483" s="52" t="n">
        <v>2041</v>
      </c>
      <c r="D483" t="s">
        <v>184</v>
      </c>
      <c r="E483" s="53" t="n">
        <v>370607.65868651</v>
      </c>
      <c r="F483" s="54" t="n">
        <v>195982.124605053</v>
      </c>
      <c r="G483" s="55" t="n">
        <v>195926.907201396</v>
      </c>
      <c r="H483" s="56" t="str">
        <f>G483-F483</f>
      </c>
      <c r="I483" s="57" t="n">
        <v>370436.975606793</v>
      </c>
      <c r="J483" s="58" t="str">
        <f>I483-E483</f>
      </c>
    </row>
    <row r="484">
      <c r="A484" t="s">
        <v>200</v>
      </c>
      <c r="B484" t="s">
        <v>202</v>
      </c>
      <c r="C484" s="52" t="n">
        <v>2041</v>
      </c>
      <c r="D484" t="s">
        <v>212</v>
      </c>
      <c r="E484" s="53" t="n">
        <v>35900.7721329574</v>
      </c>
      <c r="F484" s="54" t="n">
        <v>2944.01561414718</v>
      </c>
      <c r="G484" s="55" t="n">
        <v>2944.01552271229</v>
      </c>
      <c r="H484" s="56" t="str">
        <f>G484-F484</f>
      </c>
      <c r="I484" s="57" t="n">
        <v>35900.7650540721</v>
      </c>
      <c r="J484" s="58" t="str">
        <f>I484-E484</f>
      </c>
    </row>
    <row r="485">
      <c r="A485" t="s">
        <v>200</v>
      </c>
      <c r="B485" t="s">
        <v>202</v>
      </c>
      <c r="C485" s="52" t="n">
        <v>2042</v>
      </c>
      <c r="D485" t="s">
        <v>190</v>
      </c>
      <c r="E485" s="53" t="n">
        <v>21125.2822177638</v>
      </c>
      <c r="F485" s="54" t="n">
        <v>13944.7419905808</v>
      </c>
      <c r="G485" s="55" t="n">
        <v>14626.3190066004</v>
      </c>
      <c r="H485" s="56" t="str">
        <f>G485-F485</f>
      </c>
      <c r="I485" s="57" t="n">
        <v>21115.5817026885</v>
      </c>
      <c r="J485" s="58" t="str">
        <f>I485-E485</f>
      </c>
    </row>
    <row r="486">
      <c r="A486" t="s">
        <v>200</v>
      </c>
      <c r="B486" t="s">
        <v>202</v>
      </c>
      <c r="C486" s="52" t="n">
        <v>2042</v>
      </c>
      <c r="D486" t="s">
        <v>230</v>
      </c>
      <c r="E486" s="53" t="n">
        <v>1236007.19843549</v>
      </c>
      <c r="F486" s="54" t="n">
        <v>267803.427503337</v>
      </c>
      <c r="G486" s="55" t="n">
        <v>267778.732534162</v>
      </c>
      <c r="H486" s="56" t="str">
        <f>G486-F486</f>
      </c>
      <c r="I486" s="57" t="n">
        <v>1235703.75022274</v>
      </c>
      <c r="J486" s="58" t="str">
        <f>I486-E486</f>
      </c>
    </row>
    <row r="487">
      <c r="A487" t="s">
        <v>200</v>
      </c>
      <c r="B487" t="s">
        <v>202</v>
      </c>
      <c r="C487" s="52" t="n">
        <v>2042</v>
      </c>
      <c r="D487" t="s">
        <v>166</v>
      </c>
      <c r="E487" s="53" t="n">
        <v>134383.473336904</v>
      </c>
      <c r="F487" s="54" t="n">
        <v>83762.0556710872</v>
      </c>
      <c r="G487" s="55" t="n">
        <v>86657.3132213297</v>
      </c>
      <c r="H487" s="56" t="str">
        <f>G487-F487</f>
      </c>
      <c r="I487" s="57" t="n">
        <v>134351.626048708</v>
      </c>
      <c r="J487" s="58" t="str">
        <f>I487-E487</f>
      </c>
    </row>
    <row r="488">
      <c r="A488" t="s">
        <v>200</v>
      </c>
      <c r="B488" t="s">
        <v>202</v>
      </c>
      <c r="C488" s="52" t="n">
        <v>2042</v>
      </c>
      <c r="D488" t="s">
        <v>176</v>
      </c>
      <c r="E488" s="53" t="n">
        <v>272404.433894729</v>
      </c>
      <c r="F488" s="54" t="n">
        <v>257297.201091946</v>
      </c>
      <c r="G488" s="55" t="n">
        <v>257198.349756019</v>
      </c>
      <c r="H488" s="56" t="str">
        <f>G488-F488</f>
      </c>
      <c r="I488" s="57" t="n">
        <v>272280.658720601</v>
      </c>
      <c r="J488" s="58" t="str">
        <f>I488-E488</f>
      </c>
    </row>
    <row r="489">
      <c r="A489" t="s">
        <v>200</v>
      </c>
      <c r="B489" t="s">
        <v>202</v>
      </c>
      <c r="C489" s="52" t="n">
        <v>2042</v>
      </c>
      <c r="D489" t="s">
        <v>180</v>
      </c>
      <c r="E489" s="53" t="n">
        <v>744543.504532519</v>
      </c>
      <c r="F489" s="54" t="n">
        <v>448113.73419503</v>
      </c>
      <c r="G489" s="55" t="n">
        <v>449601.261227495</v>
      </c>
      <c r="H489" s="56" t="str">
        <f>G489-F489</f>
      </c>
      <c r="I489" s="57" t="n">
        <v>744313.272667757</v>
      </c>
      <c r="J489" s="58" t="str">
        <f>I489-E489</f>
      </c>
    </row>
    <row r="490">
      <c r="A490" t="s">
        <v>200</v>
      </c>
      <c r="B490" t="s">
        <v>202</v>
      </c>
      <c r="C490" s="52" t="n">
        <v>2042</v>
      </c>
      <c r="D490" t="s">
        <v>184</v>
      </c>
      <c r="E490" s="53" t="n">
        <v>374605.776144004</v>
      </c>
      <c r="F490" s="54" t="n">
        <v>198145.277361814</v>
      </c>
      <c r="G490" s="55" t="n">
        <v>198082.814103714</v>
      </c>
      <c r="H490" s="56" t="str">
        <f>G490-F490</f>
      </c>
      <c r="I490" s="57" t="n">
        <v>374419.262045636</v>
      </c>
      <c r="J490" s="58" t="str">
        <f>I490-E490</f>
      </c>
    </row>
    <row r="491">
      <c r="A491" t="s">
        <v>200</v>
      </c>
      <c r="B491" t="s">
        <v>202</v>
      </c>
      <c r="C491" s="52" t="n">
        <v>2042</v>
      </c>
      <c r="D491" t="s">
        <v>212</v>
      </c>
      <c r="E491" s="53" t="n">
        <v>35516.848144149</v>
      </c>
      <c r="F491" s="54" t="n">
        <v>2820.51230810288</v>
      </c>
      <c r="G491" s="55" t="n">
        <v>2820.51221264468</v>
      </c>
      <c r="H491" s="56" t="str">
        <f>G491-F491</f>
      </c>
      <c r="I491" s="57" t="n">
        <v>35516.8405935332</v>
      </c>
      <c r="J491" s="58" t="str">
        <f>I491-E491</f>
      </c>
    </row>
    <row r="492">
      <c r="A492" t="s">
        <v>200</v>
      </c>
      <c r="B492" t="s">
        <v>202</v>
      </c>
      <c r="C492" s="52" t="n">
        <v>2043</v>
      </c>
      <c r="D492" t="s">
        <v>190</v>
      </c>
      <c r="E492" s="53" t="n">
        <v>21800.06108055</v>
      </c>
      <c r="F492" s="54" t="n">
        <v>14285.8036005748</v>
      </c>
      <c r="G492" s="55" t="n">
        <v>15004.0861158129</v>
      </c>
      <c r="H492" s="56" t="str">
        <f>G492-F492</f>
      </c>
      <c r="I492" s="57" t="n">
        <v>21789.1256560335</v>
      </c>
      <c r="J492" s="58" t="str">
        <f>I492-E492</f>
      </c>
    </row>
    <row r="493">
      <c r="A493" t="s">
        <v>200</v>
      </c>
      <c r="B493" t="s">
        <v>202</v>
      </c>
      <c r="C493" s="52" t="n">
        <v>2043</v>
      </c>
      <c r="D493" t="s">
        <v>230</v>
      </c>
      <c r="E493" s="53" t="n">
        <v>1244579.14093834</v>
      </c>
      <c r="F493" s="54" t="n">
        <v>275905.811948808</v>
      </c>
      <c r="G493" s="55" t="n">
        <v>275876.995486318</v>
      </c>
      <c r="H493" s="56" t="str">
        <f>G493-F493</f>
      </c>
      <c r="I493" s="57" t="n">
        <v>1244246.51153606</v>
      </c>
      <c r="J493" s="58" t="str">
        <f>I493-E493</f>
      </c>
    </row>
    <row r="494">
      <c r="A494" t="s">
        <v>200</v>
      </c>
      <c r="B494" t="s">
        <v>202</v>
      </c>
      <c r="C494" s="52" t="n">
        <v>2043</v>
      </c>
      <c r="D494" t="s">
        <v>166</v>
      </c>
      <c r="E494" s="53" t="n">
        <v>136636.908506677</v>
      </c>
      <c r="F494" s="54" t="n">
        <v>84745.5235525071</v>
      </c>
      <c r="G494" s="55" t="n">
        <v>87779.034425801</v>
      </c>
      <c r="H494" s="56" t="str">
        <f>G494-F494</f>
      </c>
      <c r="I494" s="57" t="n">
        <v>136601.974960575</v>
      </c>
      <c r="J494" s="58" t="str">
        <f>I494-E494</f>
      </c>
    </row>
    <row r="495">
      <c r="A495" t="s">
        <v>200</v>
      </c>
      <c r="B495" t="s">
        <v>202</v>
      </c>
      <c r="C495" s="52" t="n">
        <v>2043</v>
      </c>
      <c r="D495" t="s">
        <v>176</v>
      </c>
      <c r="E495" s="53" t="n">
        <v>271823.411813182</v>
      </c>
      <c r="F495" s="54" t="n">
        <v>256885.282975416</v>
      </c>
      <c r="G495" s="55" t="n">
        <v>256777.587157068</v>
      </c>
      <c r="H495" s="56" t="str">
        <f>G495-F495</f>
      </c>
      <c r="I495" s="57" t="n">
        <v>271689.794226751</v>
      </c>
      <c r="J495" s="58" t="str">
        <f>I495-E495</f>
      </c>
    </row>
    <row r="496">
      <c r="A496" t="s">
        <v>200</v>
      </c>
      <c r="B496" t="s">
        <v>202</v>
      </c>
      <c r="C496" s="52" t="n">
        <v>2043</v>
      </c>
      <c r="D496" t="s">
        <v>180</v>
      </c>
      <c r="E496" s="53" t="n">
        <v>754622.676329004</v>
      </c>
      <c r="F496" s="54" t="n">
        <v>455360.548704704</v>
      </c>
      <c r="G496" s="55" t="n">
        <v>456915.722046172</v>
      </c>
      <c r="H496" s="56" t="str">
        <f>G496-F496</f>
      </c>
      <c r="I496" s="57" t="n">
        <v>754370.892413502</v>
      </c>
      <c r="J496" s="58" t="str">
        <f>I496-E496</f>
      </c>
    </row>
    <row r="497">
      <c r="A497" t="s">
        <v>200</v>
      </c>
      <c r="B497" t="s">
        <v>202</v>
      </c>
      <c r="C497" s="52" t="n">
        <v>2043</v>
      </c>
      <c r="D497" t="s">
        <v>184</v>
      </c>
      <c r="E497" s="53" t="n">
        <v>378969.120991404</v>
      </c>
      <c r="F497" s="54" t="n">
        <v>200274.253785425</v>
      </c>
      <c r="G497" s="55" t="n">
        <v>200204.274251736</v>
      </c>
      <c r="H497" s="56" t="str">
        <f>G497-F497</f>
      </c>
      <c r="I497" s="57" t="n">
        <v>378766.534515357</v>
      </c>
      <c r="J497" s="58" t="str">
        <f>I497-E497</f>
      </c>
    </row>
    <row r="498">
      <c r="A498" t="s">
        <v>200</v>
      </c>
      <c r="B498" t="s">
        <v>202</v>
      </c>
      <c r="C498" s="52" t="n">
        <v>2043</v>
      </c>
      <c r="D498" t="s">
        <v>212</v>
      </c>
      <c r="E498" s="53" t="n">
        <v>35328.7812122598</v>
      </c>
      <c r="F498" s="54" t="n">
        <v>2698.33102867999</v>
      </c>
      <c r="G498" s="55" t="n">
        <v>2698.33092960504</v>
      </c>
      <c r="H498" s="56" t="str">
        <f>G498-F498</f>
      </c>
      <c r="I498" s="57" t="n">
        <v>35328.7732033082</v>
      </c>
      <c r="J498" s="58" t="str">
        <f>I498-E498</f>
      </c>
    </row>
    <row r="499">
      <c r="A499" t="s">
        <v>200</v>
      </c>
      <c r="B499" t="s">
        <v>202</v>
      </c>
      <c r="C499" s="52" t="n">
        <v>2044</v>
      </c>
      <c r="D499" t="s">
        <v>190</v>
      </c>
      <c r="E499" s="53" t="n">
        <v>22484.6562955607</v>
      </c>
      <c r="F499" s="54" t="n">
        <v>14633.5666652483</v>
      </c>
      <c r="G499" s="55" t="n">
        <v>15388.6382618872</v>
      </c>
      <c r="H499" s="56" t="str">
        <f>G499-F499</f>
      </c>
      <c r="I499" s="57" t="n">
        <v>22472.4057787798</v>
      </c>
      <c r="J499" s="58" t="str">
        <f>I499-E499</f>
      </c>
    </row>
    <row r="500">
      <c r="A500" t="s">
        <v>200</v>
      </c>
      <c r="B500" t="s">
        <v>202</v>
      </c>
      <c r="C500" s="52" t="n">
        <v>2044</v>
      </c>
      <c r="D500" t="s">
        <v>230</v>
      </c>
      <c r="E500" s="53" t="n">
        <v>1252882.42900408</v>
      </c>
      <c r="F500" s="54" t="n">
        <v>283935.364525688</v>
      </c>
      <c r="G500" s="55" t="n">
        <v>283902.050416871</v>
      </c>
      <c r="H500" s="56" t="str">
        <f>G500-F500</f>
      </c>
      <c r="I500" s="57" t="n">
        <v>1252519.7576167</v>
      </c>
      <c r="J500" s="58" t="str">
        <f>I500-E500</f>
      </c>
    </row>
    <row r="501">
      <c r="A501" t="s">
        <v>200</v>
      </c>
      <c r="B501" t="s">
        <v>202</v>
      </c>
      <c r="C501" s="52" t="n">
        <v>2044</v>
      </c>
      <c r="D501" t="s">
        <v>166</v>
      </c>
      <c r="E501" s="53" t="n">
        <v>138166.602504958</v>
      </c>
      <c r="F501" s="54" t="n">
        <v>85740.2952060833</v>
      </c>
      <c r="G501" s="55" t="n">
        <v>88912.4462868978</v>
      </c>
      <c r="H501" s="56" t="str">
        <f>G501-F501</f>
      </c>
      <c r="I501" s="57" t="n">
        <v>138127.807492249</v>
      </c>
      <c r="J501" s="58" t="str">
        <f>I501-E501</f>
      </c>
    </row>
    <row r="502">
      <c r="A502" t="s">
        <v>200</v>
      </c>
      <c r="B502" t="s">
        <v>202</v>
      </c>
      <c r="C502" s="52" t="n">
        <v>2044</v>
      </c>
      <c r="D502" t="s">
        <v>176</v>
      </c>
      <c r="E502" s="53" t="n">
        <v>271124.505997679</v>
      </c>
      <c r="F502" s="54" t="n">
        <v>256552.933403514</v>
      </c>
      <c r="G502" s="55" t="n">
        <v>256436.399818879</v>
      </c>
      <c r="H502" s="56" t="str">
        <f>G502-F502</f>
      </c>
      <c r="I502" s="57" t="n">
        <v>270981.060601887</v>
      </c>
      <c r="J502" s="58" t="str">
        <f>I502-E502</f>
      </c>
    </row>
    <row r="503">
      <c r="A503" t="s">
        <v>200</v>
      </c>
      <c r="B503" t="s">
        <v>202</v>
      </c>
      <c r="C503" s="52" t="n">
        <v>2044</v>
      </c>
      <c r="D503" t="s">
        <v>180</v>
      </c>
      <c r="E503" s="53" t="n">
        <v>761025.678649229</v>
      </c>
      <c r="F503" s="54" t="n">
        <v>462614.817431786</v>
      </c>
      <c r="G503" s="55" t="n">
        <v>464236.623828497</v>
      </c>
      <c r="H503" s="56" t="str">
        <f>G503-F503</f>
      </c>
      <c r="I503" s="57" t="n">
        <v>760751.529161819</v>
      </c>
      <c r="J503" s="58" t="str">
        <f>I503-E503</f>
      </c>
    </row>
    <row r="504">
      <c r="A504" t="s">
        <v>200</v>
      </c>
      <c r="B504" t="s">
        <v>202</v>
      </c>
      <c r="C504" s="52" t="n">
        <v>2044</v>
      </c>
      <c r="D504" t="s">
        <v>184</v>
      </c>
      <c r="E504" s="53" t="n">
        <v>380975.229589345</v>
      </c>
      <c r="F504" s="54" t="n">
        <v>202840.17427492</v>
      </c>
      <c r="G504" s="55" t="n">
        <v>202762.435405402</v>
      </c>
      <c r="H504" s="56" t="str">
        <f>G504-F504</f>
      </c>
      <c r="I504" s="57" t="n">
        <v>380754.514374576</v>
      </c>
      <c r="J504" s="58" t="str">
        <f>I504-E504</f>
      </c>
    </row>
    <row r="505">
      <c r="A505" t="s">
        <v>200</v>
      </c>
      <c r="B505" t="s">
        <v>202</v>
      </c>
      <c r="C505" s="52" t="n">
        <v>2044</v>
      </c>
      <c r="D505" t="s">
        <v>212</v>
      </c>
      <c r="E505" s="53" t="n">
        <v>35046.7137560793</v>
      </c>
      <c r="F505" s="54" t="n">
        <v>2573.79272309183</v>
      </c>
      <c r="G505" s="55" t="n">
        <v>2573.79262430521</v>
      </c>
      <c r="H505" s="56" t="str">
        <f>G505-F505</f>
      </c>
      <c r="I505" s="57" t="n">
        <v>35046.7052079593</v>
      </c>
      <c r="J505" s="58" t="str">
        <f>I505-E505</f>
      </c>
    </row>
    <row r="506">
      <c r="A506" t="s">
        <v>200</v>
      </c>
      <c r="B506" t="s">
        <v>202</v>
      </c>
      <c r="C506" s="52" t="n">
        <v>2045</v>
      </c>
      <c r="D506" t="s">
        <v>190</v>
      </c>
      <c r="E506" s="53" t="n">
        <v>23180.5833412598</v>
      </c>
      <c r="F506" s="54" t="n">
        <v>14980.5337510131</v>
      </c>
      <c r="G506" s="55" t="n">
        <v>15771.7189092791</v>
      </c>
      <c r="H506" s="56" t="str">
        <f>G506-F506</f>
      </c>
      <c r="I506" s="57" t="n">
        <v>23166.9456880515</v>
      </c>
      <c r="J506" s="58" t="str">
        <f>I506-E506</f>
      </c>
    </row>
    <row r="507">
      <c r="A507" t="s">
        <v>200</v>
      </c>
      <c r="B507" t="s">
        <v>202</v>
      </c>
      <c r="C507" s="52" t="n">
        <v>2045</v>
      </c>
      <c r="D507" t="s">
        <v>230</v>
      </c>
      <c r="E507" s="53" t="n">
        <v>1260986.51389125</v>
      </c>
      <c r="F507" s="54" t="n">
        <v>291860.220069256</v>
      </c>
      <c r="G507" s="55" t="n">
        <v>291822.027540257</v>
      </c>
      <c r="H507" s="56" t="str">
        <f>G507-F507</f>
      </c>
      <c r="I507" s="57" t="n">
        <v>1260592.98702146</v>
      </c>
      <c r="J507" s="58" t="str">
        <f>I507-E507</f>
      </c>
    </row>
    <row r="508">
      <c r="A508" t="s">
        <v>200</v>
      </c>
      <c r="B508" t="s">
        <v>202</v>
      </c>
      <c r="C508" s="52" t="n">
        <v>2045</v>
      </c>
      <c r="D508" t="s">
        <v>166</v>
      </c>
      <c r="E508" s="53" t="n">
        <v>140214.948935303</v>
      </c>
      <c r="F508" s="54" t="n">
        <v>86731.8786514447</v>
      </c>
      <c r="G508" s="55" t="n">
        <v>90041.6045905888</v>
      </c>
      <c r="H508" s="56" t="str">
        <f>G508-F508</f>
      </c>
      <c r="I508" s="57" t="n">
        <v>140172.774815525</v>
      </c>
      <c r="J508" s="58" t="str">
        <f>I508-E508</f>
      </c>
    </row>
    <row r="509">
      <c r="A509" t="s">
        <v>200</v>
      </c>
      <c r="B509" t="s">
        <v>202</v>
      </c>
      <c r="C509" s="52" t="n">
        <v>2045</v>
      </c>
      <c r="D509" t="s">
        <v>176</v>
      </c>
      <c r="E509" s="53" t="n">
        <v>270591.938454655</v>
      </c>
      <c r="F509" s="54" t="n">
        <v>256102.343022564</v>
      </c>
      <c r="G509" s="55" t="n">
        <v>255976.908113305</v>
      </c>
      <c r="H509" s="56" t="str">
        <f>G509-F509</f>
      </c>
      <c r="I509" s="57" t="n">
        <v>270438.603152282</v>
      </c>
      <c r="J509" s="58" t="str">
        <f>I509-E509</f>
      </c>
    </row>
    <row r="510">
      <c r="A510" t="s">
        <v>200</v>
      </c>
      <c r="B510" t="s">
        <v>202</v>
      </c>
      <c r="C510" s="52" t="n">
        <v>2045</v>
      </c>
      <c r="D510" t="s">
        <v>180</v>
      </c>
      <c r="E510" s="53" t="n">
        <v>769610.694937235</v>
      </c>
      <c r="F510" s="54" t="n">
        <v>469235.784276658</v>
      </c>
      <c r="G510" s="55" t="n">
        <v>470920.29436777</v>
      </c>
      <c r="H510" s="56" t="str">
        <f>G510-F510</f>
      </c>
      <c r="I510" s="57" t="n">
        <v>769313.803212411</v>
      </c>
      <c r="J510" s="58" t="str">
        <f>I510-E510</f>
      </c>
    </row>
    <row r="511">
      <c r="A511" t="s">
        <v>200</v>
      </c>
      <c r="B511" t="s">
        <v>202</v>
      </c>
      <c r="C511" s="52" t="n">
        <v>2045</v>
      </c>
      <c r="D511" t="s">
        <v>184</v>
      </c>
      <c r="E511" s="53" t="n">
        <v>384173.600440267</v>
      </c>
      <c r="F511" s="54" t="n">
        <v>204955.133402539</v>
      </c>
      <c r="G511" s="55" t="n">
        <v>204869.328897989</v>
      </c>
      <c r="H511" s="56" t="str">
        <f>G511-F511</f>
      </c>
      <c r="I511" s="57" t="n">
        <v>383936.192524615</v>
      </c>
      <c r="J511" s="58" t="str">
        <f>I511-E511</f>
      </c>
    </row>
    <row r="512">
      <c r="A512" t="s">
        <v>200</v>
      </c>
      <c r="B512" t="s">
        <v>202</v>
      </c>
      <c r="C512" s="52" t="n">
        <v>2045</v>
      </c>
      <c r="D512" t="s">
        <v>212</v>
      </c>
      <c r="E512" s="53" t="n">
        <v>34846.7242166086</v>
      </c>
      <c r="F512" s="54" t="n">
        <v>2452.74717318165</v>
      </c>
      <c r="G512" s="55" t="n">
        <v>2452.74707379338</v>
      </c>
      <c r="H512" s="56" t="str">
        <f>G512-F512</f>
      </c>
      <c r="I512" s="57" t="n">
        <v>34846.7151562227</v>
      </c>
      <c r="J512" s="58" t="str">
        <f>I512-E512</f>
      </c>
    </row>
    <row r="513">
      <c r="A513" t="s">
        <v>200</v>
      </c>
      <c r="B513" t="s">
        <v>202</v>
      </c>
      <c r="C513" s="52" t="n">
        <v>2046</v>
      </c>
      <c r="D513" t="s">
        <v>190</v>
      </c>
      <c r="E513" s="53" t="n">
        <v>23883.318113756</v>
      </c>
      <c r="F513" s="54" t="n">
        <v>15337.1889698997</v>
      </c>
      <c r="G513" s="55" t="n">
        <v>16165.2905403234</v>
      </c>
      <c r="H513" s="56" t="str">
        <f>G513-F513</f>
      </c>
      <c r="I513" s="57" t="n">
        <v>23868.2179440388</v>
      </c>
      <c r="J513" s="58" t="str">
        <f>I513-E513</f>
      </c>
    </row>
    <row r="514">
      <c r="A514" t="s">
        <v>200</v>
      </c>
      <c r="B514" t="s">
        <v>202</v>
      </c>
      <c r="C514" s="52" t="n">
        <v>2046</v>
      </c>
      <c r="D514" t="s">
        <v>230</v>
      </c>
      <c r="E514" s="53" t="n">
        <v>1268901.06412894</v>
      </c>
      <c r="F514" s="54" t="n">
        <v>299640.373211712</v>
      </c>
      <c r="G514" s="55" t="n">
        <v>299596.928666138</v>
      </c>
      <c r="H514" s="56" t="str">
        <f>G514-F514</f>
      </c>
      <c r="I514" s="57" t="n">
        <v>1268475.95633212</v>
      </c>
      <c r="J514" s="58" t="str">
        <f>I514-E514</f>
      </c>
    </row>
    <row r="515">
      <c r="A515" t="s">
        <v>200</v>
      </c>
      <c r="B515" t="s">
        <v>202</v>
      </c>
      <c r="C515" s="52" t="n">
        <v>2046</v>
      </c>
      <c r="D515" t="s">
        <v>166</v>
      </c>
      <c r="E515" s="53" t="n">
        <v>142239.726818065</v>
      </c>
      <c r="F515" s="54" t="n">
        <v>87749.048636355</v>
      </c>
      <c r="G515" s="55" t="n">
        <v>91198.8909425984</v>
      </c>
      <c r="H515" s="56" t="str">
        <f>G515-F515</f>
      </c>
      <c r="I515" s="57" t="n">
        <v>142194.053650607</v>
      </c>
      <c r="J515" s="58" t="str">
        <f>I515-E515</f>
      </c>
    </row>
    <row r="516">
      <c r="A516" t="s">
        <v>200</v>
      </c>
      <c r="B516" t="s">
        <v>202</v>
      </c>
      <c r="C516" s="52" t="n">
        <v>2046</v>
      </c>
      <c r="D516" t="s">
        <v>176</v>
      </c>
      <c r="E516" s="53" t="n">
        <v>270086.474138524</v>
      </c>
      <c r="F516" s="54" t="n">
        <v>255565.548051544</v>
      </c>
      <c r="G516" s="55" t="n">
        <v>255431.161412817</v>
      </c>
      <c r="H516" s="56" t="str">
        <f>G516-F516</f>
      </c>
      <c r="I516" s="57" t="n">
        <v>269923.251682947</v>
      </c>
      <c r="J516" s="58" t="str">
        <f>I516-E516</f>
      </c>
    </row>
    <row r="517">
      <c r="A517" t="s">
        <v>200</v>
      </c>
      <c r="B517" t="s">
        <v>202</v>
      </c>
      <c r="C517" s="52" t="n">
        <v>2046</v>
      </c>
      <c r="D517" t="s">
        <v>180</v>
      </c>
      <c r="E517" s="53" t="n">
        <v>778416.148675394</v>
      </c>
      <c r="F517" s="54" t="n">
        <v>476083.054218784</v>
      </c>
      <c r="G517" s="55" t="n">
        <v>477828.931731945</v>
      </c>
      <c r="H517" s="56" t="str">
        <f>G517-F517</f>
      </c>
      <c r="I517" s="57" t="n">
        <v>778095.842672562</v>
      </c>
      <c r="J517" s="58" t="str">
        <f>I517-E517</f>
      </c>
    </row>
    <row r="518">
      <c r="A518" t="s">
        <v>200</v>
      </c>
      <c r="B518" t="s">
        <v>202</v>
      </c>
      <c r="C518" s="52" t="n">
        <v>2046</v>
      </c>
      <c r="D518" t="s">
        <v>184</v>
      </c>
      <c r="E518" s="53" t="n">
        <v>387405.874145151</v>
      </c>
      <c r="F518" s="54" t="n">
        <v>207143.069254452</v>
      </c>
      <c r="G518" s="55" t="n">
        <v>207048.945254603</v>
      </c>
      <c r="H518" s="56" t="str">
        <f>G518-F518</f>
      </c>
      <c r="I518" s="57" t="n">
        <v>387151.427044792</v>
      </c>
      <c r="J518" s="58" t="str">
        <f>I518-E518</f>
      </c>
    </row>
    <row r="519">
      <c r="A519" t="s">
        <v>200</v>
      </c>
      <c r="B519" t="s">
        <v>202</v>
      </c>
      <c r="C519" s="52" t="n">
        <v>2046</v>
      </c>
      <c r="D519" t="s">
        <v>212</v>
      </c>
      <c r="E519" s="53" t="n">
        <v>34688.3064135958</v>
      </c>
      <c r="F519" s="54" t="n">
        <v>2335.6727102954</v>
      </c>
      <c r="G519" s="55" t="n">
        <v>2335.67260927364</v>
      </c>
      <c r="H519" s="56" t="str">
        <f>G519-F519</f>
      </c>
      <c r="I519" s="57" t="n">
        <v>34688.296767041</v>
      </c>
      <c r="J519" s="58" t="str">
        <f>I519-E519</f>
      </c>
    </row>
    <row r="520">
      <c r="A520" t="s">
        <v>200</v>
      </c>
      <c r="B520" t="s">
        <v>202</v>
      </c>
      <c r="C520" s="52" t="n">
        <v>2047</v>
      </c>
      <c r="D520" t="s">
        <v>190</v>
      </c>
      <c r="E520" s="53" t="n">
        <v>24592.3250022628</v>
      </c>
      <c r="F520" s="54" t="n">
        <v>15704.5405065035</v>
      </c>
      <c r="G520" s="55" t="n">
        <v>16568.5748299244</v>
      </c>
      <c r="H520" s="56" t="str">
        <f>G520-F520</f>
      </c>
      <c r="I520" s="57" t="n">
        <v>24575.6851293632</v>
      </c>
      <c r="J520" s="58" t="str">
        <f>I520-E520</f>
      </c>
    </row>
    <row r="521">
      <c r="A521" t="s">
        <v>200</v>
      </c>
      <c r="B521" t="s">
        <v>202</v>
      </c>
      <c r="C521" s="52" t="n">
        <v>2047</v>
      </c>
      <c r="D521" t="s">
        <v>230</v>
      </c>
      <c r="E521" s="53" t="n">
        <v>1276530.87493497</v>
      </c>
      <c r="F521" s="54" t="n">
        <v>307225.072055464</v>
      </c>
      <c r="G521" s="55" t="n">
        <v>307176.008738621</v>
      </c>
      <c r="H521" s="56" t="str">
        <f>G521-F521</f>
      </c>
      <c r="I521" s="57" t="n">
        <v>1276073.48469778</v>
      </c>
      <c r="J521" s="58" t="str">
        <f>I521-E521</f>
      </c>
    </row>
    <row r="522">
      <c r="A522" t="s">
        <v>200</v>
      </c>
      <c r="B522" t="s">
        <v>202</v>
      </c>
      <c r="C522" s="52" t="n">
        <v>2047</v>
      </c>
      <c r="D522" t="s">
        <v>166</v>
      </c>
      <c r="E522" s="53" t="n">
        <v>144295.32633746</v>
      </c>
      <c r="F522" s="54" t="n">
        <v>88747.8656078726</v>
      </c>
      <c r="G522" s="55" t="n">
        <v>92333.8882911569</v>
      </c>
      <c r="H522" s="56" t="str">
        <f>G522-F522</f>
      </c>
      <c r="I522" s="57" t="n">
        <v>144246.070856709</v>
      </c>
      <c r="J522" s="58" t="str">
        <f>I522-E522</f>
      </c>
    </row>
    <row r="523">
      <c r="A523" t="s">
        <v>200</v>
      </c>
      <c r="B523" t="s">
        <v>202</v>
      </c>
      <c r="C523" s="52" t="n">
        <v>2047</v>
      </c>
      <c r="D523" t="s">
        <v>176</v>
      </c>
      <c r="E523" s="53" t="n">
        <v>269318.801379681</v>
      </c>
      <c r="F523" s="54" t="n">
        <v>254904.129416803</v>
      </c>
      <c r="G523" s="55" t="n">
        <v>254760.803670819</v>
      </c>
      <c r="H523" s="56" t="str">
        <f>G523-F523</f>
      </c>
      <c r="I523" s="57" t="n">
        <v>269145.730668352</v>
      </c>
      <c r="J523" s="58" t="str">
        <f>I523-E523</f>
      </c>
    </row>
    <row r="524">
      <c r="A524" t="s">
        <v>200</v>
      </c>
      <c r="B524" t="s">
        <v>202</v>
      </c>
      <c r="C524" s="52" t="n">
        <v>2047</v>
      </c>
      <c r="D524" t="s">
        <v>180</v>
      </c>
      <c r="E524" s="53" t="n">
        <v>787211.727800846</v>
      </c>
      <c r="F524" s="54" t="n">
        <v>482861.370936162</v>
      </c>
      <c r="G524" s="55" t="n">
        <v>484667.16956347</v>
      </c>
      <c r="H524" s="56" t="str">
        <f>G524-F524</f>
      </c>
      <c r="I524" s="57" t="n">
        <v>786867.366017657</v>
      </c>
      <c r="J524" s="58" t="str">
        <f>I524-E524</f>
      </c>
    </row>
    <row r="525">
      <c r="A525" t="s">
        <v>200</v>
      </c>
      <c r="B525" t="s">
        <v>202</v>
      </c>
      <c r="C525" s="52" t="n">
        <v>2047</v>
      </c>
      <c r="D525" t="s">
        <v>184</v>
      </c>
      <c r="E525" s="53" t="n">
        <v>390869.381629754</v>
      </c>
      <c r="F525" s="54" t="n">
        <v>209263.47862644</v>
      </c>
      <c r="G525" s="55" t="n">
        <v>209160.858915749</v>
      </c>
      <c r="H525" s="56" t="str">
        <f>G525-F525</f>
      </c>
      <c r="I525" s="57" t="n">
        <v>390597.57749153</v>
      </c>
      <c r="J525" s="58" t="str">
        <f>I525-E525</f>
      </c>
    </row>
    <row r="526">
      <c r="A526" t="s">
        <v>200</v>
      </c>
      <c r="B526" t="s">
        <v>202</v>
      </c>
      <c r="C526" s="52" t="n">
        <v>2047</v>
      </c>
      <c r="D526" t="s">
        <v>212</v>
      </c>
      <c r="E526" s="53" t="n">
        <v>34402.4644694374</v>
      </c>
      <c r="F526" s="54" t="n">
        <v>2222.25188704374</v>
      </c>
      <c r="G526" s="55" t="n">
        <v>2222.25178382332</v>
      </c>
      <c r="H526" s="56" t="str">
        <f>G526-F526</f>
      </c>
      <c r="I526" s="57" t="n">
        <v>34402.454286142</v>
      </c>
      <c r="J526" s="58" t="str">
        <f>I526-E526</f>
      </c>
    </row>
    <row r="527">
      <c r="A527" t="s">
        <v>200</v>
      </c>
      <c r="B527" t="s">
        <v>202</v>
      </c>
      <c r="C527" s="52" t="n">
        <v>2048</v>
      </c>
      <c r="D527" t="s">
        <v>190</v>
      </c>
      <c r="E527" s="53" t="n">
        <v>25301.1231675046</v>
      </c>
      <c r="F527" s="54" t="n">
        <v>16085.8081944143</v>
      </c>
      <c r="G527" s="55" t="n">
        <v>16982.9671313776</v>
      </c>
      <c r="H527" s="56" t="str">
        <f>G527-F527</f>
      </c>
      <c r="I527" s="57" t="n">
        <v>25282.866550534</v>
      </c>
      <c r="J527" s="58" t="str">
        <f>I527-E527</f>
      </c>
    </row>
    <row r="528">
      <c r="A528" t="s">
        <v>200</v>
      </c>
      <c r="B528" t="s">
        <v>202</v>
      </c>
      <c r="C528" s="52" t="n">
        <v>2048</v>
      </c>
      <c r="D528" t="s">
        <v>230</v>
      </c>
      <c r="E528" s="53" t="n">
        <v>1283958.05578485</v>
      </c>
      <c r="F528" s="54" t="n">
        <v>314604.882443157</v>
      </c>
      <c r="G528" s="55" t="n">
        <v>314549.83162808</v>
      </c>
      <c r="H528" s="56" t="str">
        <f>G528-F528</f>
      </c>
      <c r="I528" s="57" t="n">
        <v>1283467.75295342</v>
      </c>
      <c r="J528" s="58" t="str">
        <f>I528-E528</f>
      </c>
    </row>
    <row r="529">
      <c r="A529" t="s">
        <v>200</v>
      </c>
      <c r="B529" t="s">
        <v>202</v>
      </c>
      <c r="C529" s="52" t="n">
        <v>2048</v>
      </c>
      <c r="D529" t="s">
        <v>166</v>
      </c>
      <c r="E529" s="53" t="n">
        <v>146466.747965048</v>
      </c>
      <c r="F529" s="54" t="n">
        <v>89710.9578316144</v>
      </c>
      <c r="G529" s="55" t="n">
        <v>93427.507277049</v>
      </c>
      <c r="H529" s="56" t="str">
        <f>G529-F529</f>
      </c>
      <c r="I529" s="57" t="n">
        <v>146413.853149174</v>
      </c>
      <c r="J529" s="58" t="str">
        <f>I529-E529</f>
      </c>
    </row>
    <row r="530">
      <c r="A530" t="s">
        <v>200</v>
      </c>
      <c r="B530" t="s">
        <v>202</v>
      </c>
      <c r="C530" s="52" t="n">
        <v>2048</v>
      </c>
      <c r="D530" t="s">
        <v>176</v>
      </c>
      <c r="E530" s="53" t="n">
        <v>268268.266959732</v>
      </c>
      <c r="F530" s="54" t="n">
        <v>254024.282647097</v>
      </c>
      <c r="G530" s="55" t="n">
        <v>253872.047418824</v>
      </c>
      <c r="H530" s="56" t="str">
        <f>G530-F530</f>
      </c>
      <c r="I530" s="57" t="n">
        <v>268085.447945834</v>
      </c>
      <c r="J530" s="58" t="str">
        <f>I530-E530</f>
      </c>
    </row>
    <row r="531">
      <c r="A531" t="s">
        <v>200</v>
      </c>
      <c r="B531" t="s">
        <v>202</v>
      </c>
      <c r="C531" s="52" t="n">
        <v>2048</v>
      </c>
      <c r="D531" t="s">
        <v>180</v>
      </c>
      <c r="E531" s="53" t="n">
        <v>796165.912197084</v>
      </c>
      <c r="F531" s="54" t="n">
        <v>489445.060226078</v>
      </c>
      <c r="G531" s="55" t="n">
        <v>491307.709328566</v>
      </c>
      <c r="H531" s="56" t="str">
        <f>G531-F531</f>
      </c>
      <c r="I531" s="57" t="n">
        <v>795796.819401734</v>
      </c>
      <c r="J531" s="58" t="str">
        <f>I531-E531</f>
      </c>
    </row>
    <row r="532">
      <c r="A532" t="s">
        <v>200</v>
      </c>
      <c r="B532" t="s">
        <v>202</v>
      </c>
      <c r="C532" s="52" t="n">
        <v>2048</v>
      </c>
      <c r="D532" t="s">
        <v>184</v>
      </c>
      <c r="E532" s="53" t="n">
        <v>394595.756238106</v>
      </c>
      <c r="F532" s="54" t="n">
        <v>211300.572484768</v>
      </c>
      <c r="G532" s="55" t="n">
        <v>211189.299415093</v>
      </c>
      <c r="H532" s="56" t="str">
        <f>G532-F532</f>
      </c>
      <c r="I532" s="57" t="n">
        <v>394306.234009074</v>
      </c>
      <c r="J532" s="58" t="str">
        <f>I532-E532</f>
      </c>
    </row>
    <row r="533">
      <c r="A533" t="s">
        <v>200</v>
      </c>
      <c r="B533" t="s">
        <v>202</v>
      </c>
      <c r="C533" s="52" t="n">
        <v>2048</v>
      </c>
      <c r="D533" t="s">
        <v>212</v>
      </c>
      <c r="E533" s="53" t="n">
        <v>34278.8742809156</v>
      </c>
      <c r="F533" s="54" t="n">
        <v>2112.66185089082</v>
      </c>
      <c r="G533" s="55" t="n">
        <v>2112.66174533725</v>
      </c>
      <c r="H533" s="56" t="str">
        <f>G533-F533</f>
      </c>
      <c r="I533" s="57" t="n">
        <v>34278.8634968121</v>
      </c>
      <c r="J533" s="58" t="str">
        <f>I533-E533</f>
      </c>
    </row>
    <row r="534">
      <c r="A534" t="s">
        <v>200</v>
      </c>
      <c r="B534" t="s">
        <v>202</v>
      </c>
      <c r="C534" s="52" t="n">
        <v>2049</v>
      </c>
      <c r="D534" t="s">
        <v>190</v>
      </c>
      <c r="E534" s="53" t="n">
        <v>26006.4823116321</v>
      </c>
      <c r="F534" s="54" t="n">
        <v>16476.3161018971</v>
      </c>
      <c r="G534" s="55" t="n">
        <v>17406.6591140935</v>
      </c>
      <c r="H534" s="56" t="str">
        <f>G534-F534</f>
      </c>
      <c r="I534" s="57" t="n">
        <v>25986.5373789525</v>
      </c>
      <c r="J534" s="58" t="str">
        <f>I534-E534</f>
      </c>
    </row>
    <row r="535">
      <c r="A535" t="s">
        <v>200</v>
      </c>
      <c r="B535" t="s">
        <v>202</v>
      </c>
      <c r="C535" s="52" t="n">
        <v>2049</v>
      </c>
      <c r="D535" t="s">
        <v>230</v>
      </c>
      <c r="E535" s="53" t="n">
        <v>1291211.30612713</v>
      </c>
      <c r="F535" s="54" t="n">
        <v>321801.89503076</v>
      </c>
      <c r="G535" s="55" t="n">
        <v>321740.501148806</v>
      </c>
      <c r="H535" s="56" t="str">
        <f>G535-F535</f>
      </c>
      <c r="I535" s="57" t="n">
        <v>1290687.53512959</v>
      </c>
      <c r="J535" s="58" t="str">
        <f>I535-E535</f>
      </c>
    </row>
    <row r="536">
      <c r="A536" t="s">
        <v>200</v>
      </c>
      <c r="B536" t="s">
        <v>202</v>
      </c>
      <c r="C536" s="52" t="n">
        <v>2049</v>
      </c>
      <c r="D536" t="s">
        <v>166</v>
      </c>
      <c r="E536" s="53" t="n">
        <v>147939.313450118</v>
      </c>
      <c r="F536" s="54" t="n">
        <v>90700.0948258653</v>
      </c>
      <c r="G536" s="55" t="n">
        <v>94546.8656755522</v>
      </c>
      <c r="H536" s="56" t="str">
        <f>G536-F536</f>
      </c>
      <c r="I536" s="57" t="n">
        <v>147882.099837348</v>
      </c>
      <c r="J536" s="58" t="str">
        <f>I536-E536</f>
      </c>
    </row>
    <row r="537">
      <c r="A537" t="s">
        <v>200</v>
      </c>
      <c r="B537" t="s">
        <v>202</v>
      </c>
      <c r="C537" s="52" t="n">
        <v>2049</v>
      </c>
      <c r="D537" t="s">
        <v>176</v>
      </c>
      <c r="E537" s="53" t="n">
        <v>267196.127485848</v>
      </c>
      <c r="F537" s="54" t="n">
        <v>253266.614864887</v>
      </c>
      <c r="G537" s="55" t="n">
        <v>253105.506935702</v>
      </c>
      <c r="H537" s="56" t="str">
        <f>G537-F537</f>
      </c>
      <c r="I537" s="57" t="n">
        <v>267003.550155027</v>
      </c>
      <c r="J537" s="58" t="str">
        <f>I537-E537</f>
      </c>
    </row>
    <row r="538">
      <c r="A538" t="s">
        <v>200</v>
      </c>
      <c r="B538" t="s">
        <v>202</v>
      </c>
      <c r="C538" s="52" t="n">
        <v>2049</v>
      </c>
      <c r="D538" t="s">
        <v>180</v>
      </c>
      <c r="E538" s="53" t="n">
        <v>801990.74139547</v>
      </c>
      <c r="F538" s="54" t="n">
        <v>496091.945939666</v>
      </c>
      <c r="G538" s="55" t="n">
        <v>498010.651524044</v>
      </c>
      <c r="H538" s="56" t="str">
        <f>G538-F538</f>
      </c>
      <c r="I538" s="57" t="n">
        <v>801596.853664258</v>
      </c>
      <c r="J538" s="58" t="str">
        <f>I538-E538</f>
      </c>
    </row>
    <row r="539">
      <c r="A539" t="s">
        <v>200</v>
      </c>
      <c r="B539" t="s">
        <v>202</v>
      </c>
      <c r="C539" s="52" t="n">
        <v>2049</v>
      </c>
      <c r="D539" t="s">
        <v>184</v>
      </c>
      <c r="E539" s="53" t="n">
        <v>396367.41410959</v>
      </c>
      <c r="F539" s="54" t="n">
        <v>213700.382704113</v>
      </c>
      <c r="G539" s="55" t="n">
        <v>213580.236200068</v>
      </c>
      <c r="H539" s="56" t="str">
        <f>G539-F539</f>
      </c>
      <c r="I539" s="57" t="n">
        <v>396058.615955627</v>
      </c>
      <c r="J539" s="58" t="str">
        <f>I539-E539</f>
      </c>
    </row>
    <row r="540">
      <c r="A540" t="s">
        <v>200</v>
      </c>
      <c r="B540" t="s">
        <v>202</v>
      </c>
      <c r="C540" s="52" t="n">
        <v>2049</v>
      </c>
      <c r="D540" t="s">
        <v>212</v>
      </c>
      <c r="E540" s="53" t="n">
        <v>34087.7737162003</v>
      </c>
      <c r="F540" s="54" t="n">
        <v>1998.59233986087</v>
      </c>
      <c r="G540" s="55" t="n">
        <v>1998.59223363335</v>
      </c>
      <c r="H540" s="56" t="str">
        <f>G540-F540</f>
      </c>
      <c r="I540" s="57" t="n">
        <v>34087.7627067011</v>
      </c>
      <c r="J540" s="58" t="str">
        <f>I540-E540</f>
      </c>
    </row>
    <row r="541">
      <c r="A541" t="s">
        <v>200</v>
      </c>
      <c r="B541" t="s">
        <v>202</v>
      </c>
      <c r="C541" s="52" t="n">
        <v>2050</v>
      </c>
      <c r="D541" t="s">
        <v>190</v>
      </c>
      <c r="E541" s="53" t="n">
        <v>26711.8070032085</v>
      </c>
      <c r="F541" s="54" t="n">
        <v>16865.2638863657</v>
      </c>
      <c r="G541" s="55" t="n">
        <v>17828.637482456</v>
      </c>
      <c r="H541" s="56" t="str">
        <f>G541-F541</f>
      </c>
      <c r="I541" s="57" t="n">
        <v>26690.1101954068</v>
      </c>
      <c r="J541" s="58" t="str">
        <f>I541-E541</f>
      </c>
    </row>
    <row r="542">
      <c r="A542" t="s">
        <v>200</v>
      </c>
      <c r="B542" t="s">
        <v>202</v>
      </c>
      <c r="C542" s="52" t="n">
        <v>2050</v>
      </c>
      <c r="D542" t="s">
        <v>230</v>
      </c>
      <c r="E542" s="53" t="n">
        <v>1298356.02994057</v>
      </c>
      <c r="F542" s="54" t="n">
        <v>328802.163886443</v>
      </c>
      <c r="G542" s="55" t="n">
        <v>328734.061465412</v>
      </c>
      <c r="H542" s="56" t="str">
        <f>G542-F542</f>
      </c>
      <c r="I542" s="57" t="n">
        <v>1297798.19122542</v>
      </c>
      <c r="J542" s="58" t="str">
        <f>I542-E542</f>
      </c>
    </row>
    <row r="543">
      <c r="A543" t="s">
        <v>200</v>
      </c>
      <c r="B543" t="s">
        <v>202</v>
      </c>
      <c r="C543" s="52" t="n">
        <v>2050</v>
      </c>
      <c r="D543" t="s">
        <v>166</v>
      </c>
      <c r="E543" s="53" t="n">
        <v>149610.873619111</v>
      </c>
      <c r="F543" s="54" t="n">
        <v>91651.8499050529</v>
      </c>
      <c r="G543" s="55" t="n">
        <v>95625.9439694284</v>
      </c>
      <c r="H543" s="56" t="str">
        <f>G543-F543</f>
      </c>
      <c r="I543" s="57" t="n">
        <v>149549.878981469</v>
      </c>
      <c r="J543" s="58" t="str">
        <f>I543-E543</f>
      </c>
    </row>
    <row r="544">
      <c r="A544" t="s">
        <v>200</v>
      </c>
      <c r="B544" t="s">
        <v>202</v>
      </c>
      <c r="C544" s="52" t="n">
        <v>2050</v>
      </c>
      <c r="D544" t="s">
        <v>176</v>
      </c>
      <c r="E544" s="53" t="n">
        <v>266233.723390489</v>
      </c>
      <c r="F544" s="54" t="n">
        <v>252328.864944811</v>
      </c>
      <c r="G544" s="55" t="n">
        <v>252158.933158969</v>
      </c>
      <c r="H544" s="56" t="str">
        <f>G544-F544</f>
      </c>
      <c r="I544" s="57" t="n">
        <v>266031.496410964</v>
      </c>
      <c r="J544" s="58" t="str">
        <f>I544-E544</f>
      </c>
    </row>
    <row r="545">
      <c r="A545" t="s">
        <v>200</v>
      </c>
      <c r="B545" t="s">
        <v>202</v>
      </c>
      <c r="C545" s="52" t="n">
        <v>2050</v>
      </c>
      <c r="D545" t="s">
        <v>180</v>
      </c>
      <c r="E545" s="53" t="n">
        <v>809437.871766887</v>
      </c>
      <c r="F545" s="54" t="n">
        <v>502118.508466557</v>
      </c>
      <c r="G545" s="55" t="n">
        <v>504089.426791864</v>
      </c>
      <c r="H545" s="56" t="str">
        <f>G545-F545</f>
      </c>
      <c r="I545" s="57" t="n">
        <v>809018.722538968</v>
      </c>
      <c r="J545" s="58" t="str">
        <f>I545-E545</f>
      </c>
    </row>
    <row r="546">
      <c r="A546" t="s">
        <v>200</v>
      </c>
      <c r="B546" t="s">
        <v>202</v>
      </c>
      <c r="C546" s="52" t="n">
        <v>2050</v>
      </c>
      <c r="D546" t="s">
        <v>184</v>
      </c>
      <c r="E546" s="53" t="n">
        <v>398886.505028814</v>
      </c>
      <c r="F546" s="54" t="n">
        <v>215699.919227843</v>
      </c>
      <c r="G546" s="55" t="n">
        <v>215570.737440482</v>
      </c>
      <c r="H546" s="56" t="str">
        <f>G546-F546</f>
      </c>
      <c r="I546" s="57" t="n">
        <v>398560.037918605</v>
      </c>
      <c r="J546" s="58" t="str">
        <f>I546-E546</f>
      </c>
    </row>
    <row r="547">
      <c r="A547" t="s">
        <v>200</v>
      </c>
      <c r="B547" t="s">
        <v>202</v>
      </c>
      <c r="C547" s="52" t="n">
        <v>2050</v>
      </c>
      <c r="D547" t="s">
        <v>212</v>
      </c>
      <c r="E547" s="53" t="n">
        <v>33926.4903419921</v>
      </c>
      <c r="F547" s="54" t="n">
        <v>1888.51511580156</v>
      </c>
      <c r="G547" s="55" t="n">
        <v>1888.51500986557</v>
      </c>
      <c r="H547" s="56" t="str">
        <f>G547-F547</f>
      </c>
      <c r="I547" s="57" t="n">
        <v>33926.4790426967</v>
      </c>
      <c r="J547" s="58" t="str">
        <f>I547-E547</f>
      </c>
    </row>
    <row r="548">
      <c r="A548" t="s">
        <v>205</v>
      </c>
      <c r="B548" t="s">
        <v>207</v>
      </c>
      <c r="C548" s="52" t="n">
        <v>2025</v>
      </c>
      <c r="D548" t="s">
        <v>190</v>
      </c>
      <c r="E548" s="53" t="n">
        <v>12176.1707137429</v>
      </c>
      <c r="F548" s="54" t="n">
        <v>8959.2701472679</v>
      </c>
      <c r="G548" s="55" t="n">
        <v>8959.2701472679</v>
      </c>
      <c r="H548" s="56" t="str">
        <f>G548-F548</f>
      </c>
      <c r="I548" s="57" t="n">
        <v>12176.1707137429</v>
      </c>
      <c r="J548" s="58" t="str">
        <f>I548-E548</f>
      </c>
    </row>
    <row r="549">
      <c r="A549" t="s">
        <v>205</v>
      </c>
      <c r="B549" t="s">
        <v>207</v>
      </c>
      <c r="C549" s="52" t="n">
        <v>2025</v>
      </c>
      <c r="D549" t="s">
        <v>230</v>
      </c>
      <c r="E549" s="53" t="n">
        <v>1026758.5711338</v>
      </c>
      <c r="F549" s="54" t="n">
        <v>129383.323210315</v>
      </c>
      <c r="G549" s="55" t="n">
        <v>129383.323210315</v>
      </c>
      <c r="H549" s="56" t="str">
        <f>G549-F549</f>
      </c>
      <c r="I549" s="57" t="n">
        <v>1026758.5711338</v>
      </c>
      <c r="J549" s="58" t="str">
        <f>I549-E549</f>
      </c>
    </row>
    <row r="550">
      <c r="A550" t="s">
        <v>205</v>
      </c>
      <c r="B550" t="s">
        <v>207</v>
      </c>
      <c r="C550" s="52" t="n">
        <v>2025</v>
      </c>
      <c r="D550" t="s">
        <v>166</v>
      </c>
      <c r="E550" s="53" t="n">
        <v>115291.159865467</v>
      </c>
      <c r="F550" s="54" t="n">
        <v>67656.5589894958</v>
      </c>
      <c r="G550" s="55" t="n">
        <v>67656.5589894958</v>
      </c>
      <c r="H550" s="56" t="str">
        <f>G550-F550</f>
      </c>
      <c r="I550" s="57" t="n">
        <v>115291.159865467</v>
      </c>
      <c r="J550" s="58" t="str">
        <f>I550-E550</f>
      </c>
    </row>
    <row r="551">
      <c r="A551" t="s">
        <v>205</v>
      </c>
      <c r="B551" t="s">
        <v>207</v>
      </c>
      <c r="C551" s="52" t="n">
        <v>2025</v>
      </c>
      <c r="D551" t="s">
        <v>176</v>
      </c>
      <c r="E551" s="53" t="n">
        <v>281662.55341658</v>
      </c>
      <c r="F551" s="54" t="n">
        <v>263295.70058044</v>
      </c>
      <c r="G551" s="55" t="n">
        <v>263295.70058044</v>
      </c>
      <c r="H551" s="56" t="str">
        <f>G551-F551</f>
      </c>
      <c r="I551" s="57" t="n">
        <v>281662.55341658</v>
      </c>
      <c r="J551" s="58" t="str">
        <f>I551-E551</f>
      </c>
    </row>
    <row r="552">
      <c r="A552" t="s">
        <v>205</v>
      </c>
      <c r="B552" t="s">
        <v>207</v>
      </c>
      <c r="C552" s="52" t="n">
        <v>2025</v>
      </c>
      <c r="D552" t="s">
        <v>180</v>
      </c>
      <c r="E552" s="53" t="n">
        <v>612171.634776233</v>
      </c>
      <c r="F552" s="54" t="n">
        <v>335023.933611804</v>
      </c>
      <c r="G552" s="55" t="n">
        <v>335724.869793767</v>
      </c>
      <c r="H552" s="56" t="str">
        <f>G552-F552</f>
      </c>
      <c r="I552" s="57" t="n">
        <v>612171.634776233</v>
      </c>
      <c r="J552" s="58" t="str">
        <f>I552-E552</f>
      </c>
    </row>
    <row r="553">
      <c r="A553" t="s">
        <v>205</v>
      </c>
      <c r="B553" t="s">
        <v>207</v>
      </c>
      <c r="C553" s="52" t="n">
        <v>2025</v>
      </c>
      <c r="D553" t="s">
        <v>184</v>
      </c>
      <c r="E553" s="53" t="n">
        <v>339642.130126733</v>
      </c>
      <c r="F553" s="54" t="n">
        <v>190841.880003208</v>
      </c>
      <c r="G553" s="55" t="n">
        <v>190841.880003208</v>
      </c>
      <c r="H553" s="56" t="str">
        <f>G553-F553</f>
      </c>
      <c r="I553" s="57" t="n">
        <v>339642.130126733</v>
      </c>
      <c r="J553" s="58" t="str">
        <f>I553-E553</f>
      </c>
    </row>
    <row r="554">
      <c r="A554" t="s">
        <v>205</v>
      </c>
      <c r="B554" t="s">
        <v>207</v>
      </c>
      <c r="C554" s="52" t="n">
        <v>2025</v>
      </c>
      <c r="D554" t="s">
        <v>212</v>
      </c>
      <c r="E554" s="53" t="n">
        <v>39660.8365474078</v>
      </c>
      <c r="F554" s="54" t="n">
        <v>5303.42230174402</v>
      </c>
      <c r="G554" s="55" t="n">
        <v>5303.42230174402</v>
      </c>
      <c r="H554" s="56" t="str">
        <f>G554-F554</f>
      </c>
      <c r="I554" s="57" t="n">
        <v>39660.8365474078</v>
      </c>
      <c r="J554" s="58" t="str">
        <f>I554-E554</f>
      </c>
    </row>
    <row r="555">
      <c r="A555" t="s">
        <v>205</v>
      </c>
      <c r="B555" t="s">
        <v>207</v>
      </c>
      <c r="C555" s="52" t="n">
        <v>2026</v>
      </c>
      <c r="D555" t="s">
        <v>190</v>
      </c>
      <c r="E555" s="53" t="n">
        <v>12569.0564822804</v>
      </c>
      <c r="F555" s="54" t="n">
        <v>9271.1333627081</v>
      </c>
      <c r="G555" s="55" t="n">
        <v>9271.1333627081</v>
      </c>
      <c r="H555" s="56" t="str">
        <f>G555-F555</f>
      </c>
      <c r="I555" s="57" t="n">
        <v>12568.9386470114</v>
      </c>
      <c r="J555" s="58" t="str">
        <f>I555-E555</f>
      </c>
    </row>
    <row r="556">
      <c r="A556" t="s">
        <v>205</v>
      </c>
      <c r="B556" t="s">
        <v>207</v>
      </c>
      <c r="C556" s="52" t="n">
        <v>2026</v>
      </c>
      <c r="D556" t="s">
        <v>230</v>
      </c>
      <c r="E556" s="53" t="n">
        <v>1042140.78504372</v>
      </c>
      <c r="F556" s="54" t="n">
        <v>137145.828958788</v>
      </c>
      <c r="G556" s="55" t="n">
        <v>137145.828958788</v>
      </c>
      <c r="H556" s="56" t="str">
        <f>G556-F556</f>
      </c>
      <c r="I556" s="57" t="n">
        <v>1042135.18581351</v>
      </c>
      <c r="J556" s="58" t="str">
        <f>I556-E556</f>
      </c>
    </row>
    <row r="557">
      <c r="A557" t="s">
        <v>205</v>
      </c>
      <c r="B557" t="s">
        <v>207</v>
      </c>
      <c r="C557" s="52" t="n">
        <v>2026</v>
      </c>
      <c r="D557" t="s">
        <v>166</v>
      </c>
      <c r="E557" s="53" t="n">
        <v>114709.470652462</v>
      </c>
      <c r="F557" s="54" t="n">
        <v>70326.6034535198</v>
      </c>
      <c r="G557" s="55" t="n">
        <v>70326.6034535198</v>
      </c>
      <c r="H557" s="56" t="str">
        <f>G557-F557</f>
      </c>
      <c r="I557" s="57" t="n">
        <v>114707.986926294</v>
      </c>
      <c r="J557" s="58" t="str">
        <f>I557-E557</f>
      </c>
    </row>
    <row r="558">
      <c r="A558" t="s">
        <v>205</v>
      </c>
      <c r="B558" t="s">
        <v>207</v>
      </c>
      <c r="C558" s="52" t="n">
        <v>2026</v>
      </c>
      <c r="D558" t="s">
        <v>176</v>
      </c>
      <c r="E558" s="53" t="n">
        <v>282725.536573153</v>
      </c>
      <c r="F558" s="54" t="n">
        <v>259504.468011332</v>
      </c>
      <c r="G558" s="55" t="n">
        <v>259504.468011332</v>
      </c>
      <c r="H558" s="56" t="str">
        <f>G558-F558</f>
      </c>
      <c r="I558" s="57" t="n">
        <v>282722.537860884</v>
      </c>
      <c r="J558" s="58" t="str">
        <f>I558-E558</f>
      </c>
    </row>
    <row r="559">
      <c r="A559" t="s">
        <v>205</v>
      </c>
      <c r="B559" t="s">
        <v>207</v>
      </c>
      <c r="C559" s="52" t="n">
        <v>2026</v>
      </c>
      <c r="D559" t="s">
        <v>180</v>
      </c>
      <c r="E559" s="53" t="n">
        <v>616790.029155755</v>
      </c>
      <c r="F559" s="54" t="n">
        <v>341572.562579089</v>
      </c>
      <c r="G559" s="55" t="n">
        <v>342960.135281865</v>
      </c>
      <c r="H559" s="56" t="str">
        <f>G559-F559</f>
      </c>
      <c r="I559" s="57" t="n">
        <v>616790.029155755</v>
      </c>
      <c r="J559" s="58" t="str">
        <f>I559-E559</f>
      </c>
    </row>
    <row r="560">
      <c r="A560" t="s">
        <v>205</v>
      </c>
      <c r="B560" t="s">
        <v>207</v>
      </c>
      <c r="C560" s="52" t="n">
        <v>2026</v>
      </c>
      <c r="D560" t="s">
        <v>184</v>
      </c>
      <c r="E560" s="53" t="n">
        <v>338503.185076394</v>
      </c>
      <c r="F560" s="54" t="n">
        <v>190574.613818848</v>
      </c>
      <c r="G560" s="55" t="n">
        <v>190574.613818848</v>
      </c>
      <c r="H560" s="56" t="str">
        <f>G560-F560</f>
      </c>
      <c r="I560" s="57" t="n">
        <v>338499.069421602</v>
      </c>
      <c r="J560" s="58" t="str">
        <f>I560-E560</f>
      </c>
    </row>
    <row r="561">
      <c r="A561" t="s">
        <v>205</v>
      </c>
      <c r="B561" t="s">
        <v>207</v>
      </c>
      <c r="C561" s="52" t="n">
        <v>2026</v>
      </c>
      <c r="D561" t="s">
        <v>212</v>
      </c>
      <c r="E561" s="53" t="n">
        <v>39250.6743411447</v>
      </c>
      <c r="F561" s="54" t="n">
        <v>5105.60955478559</v>
      </c>
      <c r="G561" s="55" t="n">
        <v>5105.60955478559</v>
      </c>
      <c r="H561" s="56" t="str">
        <f>G561-F561</f>
      </c>
      <c r="I561" s="57" t="n">
        <v>39250.6670180049</v>
      </c>
      <c r="J561" s="58" t="str">
        <f>I561-E561</f>
      </c>
    </row>
    <row r="562">
      <c r="A562" t="s">
        <v>205</v>
      </c>
      <c r="B562" t="s">
        <v>207</v>
      </c>
      <c r="C562" s="52" t="n">
        <v>2027</v>
      </c>
      <c r="D562" t="s">
        <v>190</v>
      </c>
      <c r="E562" s="53" t="n">
        <v>12976.4600212224</v>
      </c>
      <c r="F562" s="54" t="n">
        <v>9577.55032226747</v>
      </c>
      <c r="G562" s="55" t="n">
        <v>9577.52965486433</v>
      </c>
      <c r="H562" s="56" t="str">
        <f>G562-F562</f>
      </c>
      <c r="I562" s="57" t="n">
        <v>12976.1031133633</v>
      </c>
      <c r="J562" s="58" t="str">
        <f>I562-E562</f>
      </c>
    </row>
    <row r="563">
      <c r="A563" t="s">
        <v>205</v>
      </c>
      <c r="B563" t="s">
        <v>207</v>
      </c>
      <c r="C563" s="52" t="n">
        <v>2027</v>
      </c>
      <c r="D563" t="s">
        <v>230</v>
      </c>
      <c r="E563" s="53" t="n">
        <v>1057164.81356548</v>
      </c>
      <c r="F563" s="54" t="n">
        <v>145009.519065244</v>
      </c>
      <c r="G563" s="55" t="n">
        <v>145009.441994705</v>
      </c>
      <c r="H563" s="56" t="str">
        <f>G563-F563</f>
      </c>
      <c r="I563" s="57" t="n">
        <v>1057148.31873483</v>
      </c>
      <c r="J563" s="58" t="str">
        <f>I563-E563</f>
      </c>
    </row>
    <row r="564">
      <c r="A564" t="s">
        <v>205</v>
      </c>
      <c r="B564" t="s">
        <v>207</v>
      </c>
      <c r="C564" s="52" t="n">
        <v>2027</v>
      </c>
      <c r="D564" t="s">
        <v>166</v>
      </c>
      <c r="E564" s="53" t="n">
        <v>114157.177781557</v>
      </c>
      <c r="F564" s="54" t="n">
        <v>72290.3828381617</v>
      </c>
      <c r="G564" s="55" t="n">
        <v>72290.1699912091</v>
      </c>
      <c r="H564" s="56" t="str">
        <f>G564-F564</f>
      </c>
      <c r="I564" s="57" t="n">
        <v>114152.944165875</v>
      </c>
      <c r="J564" s="58" t="str">
        <f>I564-E564</f>
      </c>
    </row>
    <row r="565">
      <c r="A565" t="s">
        <v>205</v>
      </c>
      <c r="B565" t="s">
        <v>207</v>
      </c>
      <c r="C565" s="52" t="n">
        <v>2027</v>
      </c>
      <c r="D565" t="s">
        <v>176</v>
      </c>
      <c r="E565" s="53" t="n">
        <v>277886.047196596</v>
      </c>
      <c r="F565" s="54" t="n">
        <v>260332.356597191</v>
      </c>
      <c r="G565" s="55" t="n">
        <v>260330.421136777</v>
      </c>
      <c r="H565" s="56" t="str">
        <f>G565-F565</f>
      </c>
      <c r="I565" s="57" t="n">
        <v>277877.509454571</v>
      </c>
      <c r="J565" s="58" t="str">
        <f>I565-E565</f>
      </c>
    </row>
    <row r="566">
      <c r="A566" t="s">
        <v>205</v>
      </c>
      <c r="B566" t="s">
        <v>207</v>
      </c>
      <c r="C566" s="52" t="n">
        <v>2027</v>
      </c>
      <c r="D566" t="s">
        <v>180</v>
      </c>
      <c r="E566" s="53" t="n">
        <v>621431.00295362</v>
      </c>
      <c r="F566" s="54" t="n">
        <v>347338.684290032</v>
      </c>
      <c r="G566" s="55" t="n">
        <v>349405.300730343</v>
      </c>
      <c r="H566" s="56" t="str">
        <f>G566-F566</f>
      </c>
      <c r="I566" s="57" t="n">
        <v>621430.902801161</v>
      </c>
      <c r="J566" s="58" t="str">
        <f>I566-E566</f>
      </c>
    </row>
    <row r="567">
      <c r="A567" t="s">
        <v>205</v>
      </c>
      <c r="B567" t="s">
        <v>207</v>
      </c>
      <c r="C567" s="52" t="n">
        <v>2027</v>
      </c>
      <c r="D567" t="s">
        <v>184</v>
      </c>
      <c r="E567" s="53" t="n">
        <v>337410.64166022</v>
      </c>
      <c r="F567" s="54" t="n">
        <v>189031.491190648</v>
      </c>
      <c r="G567" s="55" t="n">
        <v>189031.100445512</v>
      </c>
      <c r="H567" s="56" t="str">
        <f>G567-F567</f>
      </c>
      <c r="I567" s="57" t="n">
        <v>337398.949071723</v>
      </c>
      <c r="J567" s="58" t="str">
        <f>I567-E567</f>
      </c>
    </row>
    <row r="568">
      <c r="A568" t="s">
        <v>205</v>
      </c>
      <c r="B568" t="s">
        <v>207</v>
      </c>
      <c r="C568" s="52" t="n">
        <v>2027</v>
      </c>
      <c r="D568" t="s">
        <v>212</v>
      </c>
      <c r="E568" s="53" t="n">
        <v>38773.6378992027</v>
      </c>
      <c r="F568" s="54" t="n">
        <v>4921.49721719103</v>
      </c>
      <c r="G568" s="55" t="n">
        <v>4921.4971535539</v>
      </c>
      <c r="H568" s="56" t="str">
        <f>G568-F568</f>
      </c>
      <c r="I568" s="57" t="n">
        <v>38773.6271863431</v>
      </c>
      <c r="J568" s="58" t="str">
        <f>I568-E568</f>
      </c>
    </row>
    <row r="569">
      <c r="A569" t="s">
        <v>205</v>
      </c>
      <c r="B569" t="s">
        <v>207</v>
      </c>
      <c r="C569" s="52" t="n">
        <v>2028</v>
      </c>
      <c r="D569" t="s">
        <v>190</v>
      </c>
      <c r="E569" s="53" t="n">
        <v>13395.3954548091</v>
      </c>
      <c r="F569" s="54" t="n">
        <v>9882.00028128177</v>
      </c>
      <c r="G569" s="55" t="n">
        <v>9881.92201892528</v>
      </c>
      <c r="H569" s="56" t="str">
        <f>G569-F569</f>
      </c>
      <c r="I569" s="57" t="n">
        <v>13394.6739315754</v>
      </c>
      <c r="J569" s="58" t="str">
        <f>I569-E569</f>
      </c>
    </row>
    <row r="570">
      <c r="A570" t="s">
        <v>205</v>
      </c>
      <c r="B570" t="s">
        <v>207</v>
      </c>
      <c r="C570" s="52" t="n">
        <v>2028</v>
      </c>
      <c r="D570" t="s">
        <v>230</v>
      </c>
      <c r="E570" s="53" t="n">
        <v>1071858.52196741</v>
      </c>
      <c r="F570" s="54" t="n">
        <v>152972.034116534</v>
      </c>
      <c r="G570" s="55" t="n">
        <v>152971.729388998</v>
      </c>
      <c r="H570" s="56" t="str">
        <f>G570-F570</f>
      </c>
      <c r="I570" s="57" t="n">
        <v>1071826.12505593</v>
      </c>
      <c r="J570" s="58" t="str">
        <f>I570-E570</f>
      </c>
    </row>
    <row r="571">
      <c r="A571" t="s">
        <v>205</v>
      </c>
      <c r="B571" t="s">
        <v>207</v>
      </c>
      <c r="C571" s="52" t="n">
        <v>2028</v>
      </c>
      <c r="D571" t="s">
        <v>166</v>
      </c>
      <c r="E571" s="53" t="n">
        <v>114147.102617761</v>
      </c>
      <c r="F571" s="54" t="n">
        <v>73847.6526658115</v>
      </c>
      <c r="G571" s="55" t="n">
        <v>73846.8742094397</v>
      </c>
      <c r="H571" s="56" t="str">
        <f>G571-F571</f>
      </c>
      <c r="I571" s="57" t="n">
        <v>114139.122924862</v>
      </c>
      <c r="J571" s="58" t="str">
        <f>I571-E571</f>
      </c>
    </row>
    <row r="572">
      <c r="A572" t="s">
        <v>205</v>
      </c>
      <c r="B572" t="s">
        <v>207</v>
      </c>
      <c r="C572" s="52" t="n">
        <v>2028</v>
      </c>
      <c r="D572" t="s">
        <v>176</v>
      </c>
      <c r="E572" s="53" t="n">
        <v>277752.192126717</v>
      </c>
      <c r="F572" s="54" t="n">
        <v>257771.28865843</v>
      </c>
      <c r="G572" s="55" t="n">
        <v>257765.323271705</v>
      </c>
      <c r="H572" s="56" t="str">
        <f>G572-F572</f>
      </c>
      <c r="I572" s="57" t="n">
        <v>277735.696141204</v>
      </c>
      <c r="J572" s="58" t="str">
        <f>I572-E572</f>
      </c>
    </row>
    <row r="573">
      <c r="A573" t="s">
        <v>205</v>
      </c>
      <c r="B573" t="s">
        <v>207</v>
      </c>
      <c r="C573" s="52" t="n">
        <v>2028</v>
      </c>
      <c r="D573" t="s">
        <v>180</v>
      </c>
      <c r="E573" s="53" t="n">
        <v>627724.188328994</v>
      </c>
      <c r="F573" s="54" t="n">
        <v>353412.082685392</v>
      </c>
      <c r="G573" s="55" t="n">
        <v>356159.252906041</v>
      </c>
      <c r="H573" s="56" t="str">
        <f>G573-F573</f>
      </c>
      <c r="I573" s="57" t="n">
        <v>627723.844155296</v>
      </c>
      <c r="J573" s="58" t="str">
        <f>I573-E573</f>
      </c>
    </row>
    <row r="574">
      <c r="A574" t="s">
        <v>205</v>
      </c>
      <c r="B574" t="s">
        <v>207</v>
      </c>
      <c r="C574" s="52" t="n">
        <v>2028</v>
      </c>
      <c r="D574" t="s">
        <v>184</v>
      </c>
      <c r="E574" s="53" t="n">
        <v>337536.549072884</v>
      </c>
      <c r="F574" s="54" t="n">
        <v>187118.087789424</v>
      </c>
      <c r="G574" s="55" t="n">
        <v>187116.639879467</v>
      </c>
      <c r="H574" s="56" t="str">
        <f>G574-F574</f>
      </c>
      <c r="I574" s="57" t="n">
        <v>337514.695524676</v>
      </c>
      <c r="J574" s="58" t="str">
        <f>I574-E574</f>
      </c>
    </row>
    <row r="575">
      <c r="A575" t="s">
        <v>205</v>
      </c>
      <c r="B575" t="s">
        <v>207</v>
      </c>
      <c r="C575" s="52" t="n">
        <v>2028</v>
      </c>
      <c r="D575" t="s">
        <v>212</v>
      </c>
      <c r="E575" s="53" t="n">
        <v>38149.2929838128</v>
      </c>
      <c r="F575" s="54" t="n">
        <v>4742.0857062483</v>
      </c>
      <c r="G575" s="55" t="n">
        <v>4742.08557297834</v>
      </c>
      <c r="H575" s="56" t="str">
        <f>G575-F575</f>
      </c>
      <c r="I575" s="57" t="n">
        <v>38149.2915792319</v>
      </c>
      <c r="J575" s="58" t="str">
        <f>I575-E575</f>
      </c>
    </row>
    <row r="576">
      <c r="A576" t="s">
        <v>205</v>
      </c>
      <c r="B576" t="s">
        <v>207</v>
      </c>
      <c r="C576" s="52" t="n">
        <v>2029</v>
      </c>
      <c r="D576" t="s">
        <v>190</v>
      </c>
      <c r="E576" s="53" t="n">
        <v>13831.2657099656</v>
      </c>
      <c r="F576" s="54" t="n">
        <v>10188.5807907425</v>
      </c>
      <c r="G576" s="55" t="n">
        <v>10188.394886281</v>
      </c>
      <c r="H576" s="56" t="str">
        <f>G576-F576</f>
      </c>
      <c r="I576" s="57" t="n">
        <v>13830.0485982781</v>
      </c>
      <c r="J576" s="58" t="str">
        <f>I576-E576</f>
      </c>
    </row>
    <row r="577">
      <c r="A577" t="s">
        <v>205</v>
      </c>
      <c r="B577" t="s">
        <v>207</v>
      </c>
      <c r="C577" s="52" t="n">
        <v>2029</v>
      </c>
      <c r="D577" t="s">
        <v>230</v>
      </c>
      <c r="E577" s="53" t="n">
        <v>1086253.69085058</v>
      </c>
      <c r="F577" s="54" t="n">
        <v>161038.981143071</v>
      </c>
      <c r="G577" s="55" t="n">
        <v>161038.227687319</v>
      </c>
      <c r="H577" s="56" t="str">
        <f>G577-F577</f>
      </c>
      <c r="I577" s="57" t="n">
        <v>1086200.50099061</v>
      </c>
      <c r="J577" s="58" t="str">
        <f>I577-E577</f>
      </c>
    </row>
    <row r="578">
      <c r="A578" t="s">
        <v>205</v>
      </c>
      <c r="B578" t="s">
        <v>207</v>
      </c>
      <c r="C578" s="52" t="n">
        <v>2029</v>
      </c>
      <c r="D578" t="s">
        <v>166</v>
      </c>
      <c r="E578" s="53" t="n">
        <v>114061.761413492</v>
      </c>
      <c r="F578" s="54" t="n">
        <v>75454.0030292046</v>
      </c>
      <c r="G578" s="55" t="n">
        <v>75452.2225775915</v>
      </c>
      <c r="H578" s="56" t="str">
        <f>G578-F578</f>
      </c>
      <c r="I578" s="57" t="n">
        <v>114048.155335882</v>
      </c>
      <c r="J578" s="58" t="str">
        <f>I578-E578</f>
      </c>
    </row>
    <row r="579">
      <c r="A579" t="s">
        <v>205</v>
      </c>
      <c r="B579" t="s">
        <v>207</v>
      </c>
      <c r="C579" s="52" t="n">
        <v>2029</v>
      </c>
      <c r="D579" t="s">
        <v>176</v>
      </c>
      <c r="E579" s="53" t="n">
        <v>275847.596057176</v>
      </c>
      <c r="F579" s="54" t="n">
        <v>258346.378706312</v>
      </c>
      <c r="G579" s="55" t="n">
        <v>258334.317394862</v>
      </c>
      <c r="H579" s="56" t="str">
        <f>G579-F579</f>
      </c>
      <c r="I579" s="57" t="n">
        <v>275821.082992428</v>
      </c>
      <c r="J579" s="58" t="str">
        <f>I579-E579</f>
      </c>
    </row>
    <row r="580">
      <c r="A580" t="s">
        <v>205</v>
      </c>
      <c r="B580" t="s">
        <v>207</v>
      </c>
      <c r="C580" s="52" t="n">
        <v>2029</v>
      </c>
      <c r="D580" t="s">
        <v>180</v>
      </c>
      <c r="E580" s="53" t="n">
        <v>630780.164958759</v>
      </c>
      <c r="F580" s="54" t="n">
        <v>360453.867008233</v>
      </c>
      <c r="G580" s="55" t="n">
        <v>363892.268279926</v>
      </c>
      <c r="H580" s="56" t="str">
        <f>G580-F580</f>
      </c>
      <c r="I580" s="57" t="n">
        <v>630779.369985079</v>
      </c>
      <c r="J580" s="58" t="str">
        <f>I580-E580</f>
      </c>
    </row>
    <row r="581">
      <c r="A581" t="s">
        <v>205</v>
      </c>
      <c r="B581" t="s">
        <v>207</v>
      </c>
      <c r="C581" s="52" t="n">
        <v>2029</v>
      </c>
      <c r="D581" t="s">
        <v>184</v>
      </c>
      <c r="E581" s="53" t="n">
        <v>335958.84317898</v>
      </c>
      <c r="F581" s="54" t="n">
        <v>186824.891720915</v>
      </c>
      <c r="G581" s="55" t="n">
        <v>186821.560087492</v>
      </c>
      <c r="H581" s="56" t="str">
        <f>G581-F581</f>
      </c>
      <c r="I581" s="57" t="n">
        <v>335921.292831796</v>
      </c>
      <c r="J581" s="58" t="str">
        <f>I581-E581</f>
      </c>
    </row>
    <row r="582">
      <c r="A582" t="s">
        <v>205</v>
      </c>
      <c r="B582" t="s">
        <v>207</v>
      </c>
      <c r="C582" s="52" t="n">
        <v>2029</v>
      </c>
      <c r="D582" t="s">
        <v>212</v>
      </c>
      <c r="E582" s="53" t="n">
        <v>37777.469642617</v>
      </c>
      <c r="F582" s="54" t="n">
        <v>4604.06828213296</v>
      </c>
      <c r="G582" s="55" t="n">
        <v>4604.06814831639</v>
      </c>
      <c r="H582" s="56" t="str">
        <f>G582-F582</f>
      </c>
      <c r="I582" s="57" t="n">
        <v>37777.4672189776</v>
      </c>
      <c r="J582" s="58" t="str">
        <f>I582-E582</f>
      </c>
    </row>
    <row r="583">
      <c r="A583" t="s">
        <v>205</v>
      </c>
      <c r="B583" t="s">
        <v>207</v>
      </c>
      <c r="C583" s="52" t="n">
        <v>2030</v>
      </c>
      <c r="D583" t="s">
        <v>190</v>
      </c>
      <c r="E583" s="53" t="n">
        <v>14283.8103002125</v>
      </c>
      <c r="F583" s="54" t="n">
        <v>10500.6401112363</v>
      </c>
      <c r="G583" s="55" t="n">
        <v>10500.2867221377</v>
      </c>
      <c r="H583" s="56" t="str">
        <f>G583-F583</f>
      </c>
      <c r="I583" s="57" t="n">
        <v>14281.9590395355</v>
      </c>
      <c r="J583" s="58" t="str">
        <f>I583-E583</f>
      </c>
    </row>
    <row r="584">
      <c r="A584" t="s">
        <v>205</v>
      </c>
      <c r="B584" t="s">
        <v>207</v>
      </c>
      <c r="C584" s="52" t="n">
        <v>2030</v>
      </c>
      <c r="D584" t="s">
        <v>230</v>
      </c>
      <c r="E584" s="53" t="n">
        <v>1100270.56630493</v>
      </c>
      <c r="F584" s="54" t="n">
        <v>169197.873527721</v>
      </c>
      <c r="G584" s="55" t="n">
        <v>169196.385350075</v>
      </c>
      <c r="H584" s="56" t="str">
        <f>G584-F584</f>
      </c>
      <c r="I584" s="57" t="n">
        <v>1100191.78654723</v>
      </c>
      <c r="J584" s="58" t="str">
        <f>I584-E584</f>
      </c>
    </row>
    <row r="585">
      <c r="A585" t="s">
        <v>205</v>
      </c>
      <c r="B585" t="s">
        <v>207</v>
      </c>
      <c r="C585" s="52" t="n">
        <v>2030</v>
      </c>
      <c r="D585" t="s">
        <v>166</v>
      </c>
      <c r="E585" s="53" t="n">
        <v>114801.662872836</v>
      </c>
      <c r="F585" s="54" t="n">
        <v>76007.728070121</v>
      </c>
      <c r="G585" s="55" t="n">
        <v>76004.3747737111</v>
      </c>
      <c r="H585" s="56" t="str">
        <f>G585-F585</f>
      </c>
      <c r="I585" s="57" t="n">
        <v>114781.951575614</v>
      </c>
      <c r="J585" s="58" t="str">
        <f>I585-E585</f>
      </c>
    </row>
    <row r="586">
      <c r="A586" t="s">
        <v>205</v>
      </c>
      <c r="B586" t="s">
        <v>207</v>
      </c>
      <c r="C586" s="52" t="n">
        <v>2030</v>
      </c>
      <c r="D586" t="s">
        <v>176</v>
      </c>
      <c r="E586" s="53" t="n">
        <v>275789.237898732</v>
      </c>
      <c r="F586" s="54" t="n">
        <v>257431.20583933</v>
      </c>
      <c r="G586" s="55" t="n">
        <v>257411.197787159</v>
      </c>
      <c r="H586" s="56" t="str">
        <f>G586-F586</f>
      </c>
      <c r="I586" s="57" t="n">
        <v>275750.816549508</v>
      </c>
      <c r="J586" s="58" t="str">
        <f>I586-E586</f>
      </c>
    </row>
    <row r="587">
      <c r="A587" t="s">
        <v>205</v>
      </c>
      <c r="B587" t="s">
        <v>207</v>
      </c>
      <c r="C587" s="52" t="n">
        <v>2030</v>
      </c>
      <c r="D587" t="s">
        <v>180</v>
      </c>
      <c r="E587" s="53" t="n">
        <v>638200.806152003</v>
      </c>
      <c r="F587" s="54" t="n">
        <v>364817.089219771</v>
      </c>
      <c r="G587" s="55" t="n">
        <v>368920.443479077</v>
      </c>
      <c r="H587" s="56" t="str">
        <f>G587-F587</f>
      </c>
      <c r="I587" s="57" t="n">
        <v>638199.367226914</v>
      </c>
      <c r="J587" s="58" t="str">
        <f>I587-E587</f>
      </c>
    </row>
    <row r="588">
      <c r="A588" t="s">
        <v>205</v>
      </c>
      <c r="B588" t="s">
        <v>207</v>
      </c>
      <c r="C588" s="52" t="n">
        <v>2030</v>
      </c>
      <c r="D588" t="s">
        <v>184</v>
      </c>
      <c r="E588" s="53" t="n">
        <v>337428.71411899</v>
      </c>
      <c r="F588" s="54" t="n">
        <v>185448.784280503</v>
      </c>
      <c r="G588" s="55" t="n">
        <v>185442.493190957</v>
      </c>
      <c r="H588" s="56" t="str">
        <f>G588-F588</f>
      </c>
      <c r="I588" s="57" t="n">
        <v>337374.946866334</v>
      </c>
      <c r="J588" s="58" t="str">
        <f>I588-E588</f>
      </c>
    </row>
    <row r="589">
      <c r="A589" t="s">
        <v>205</v>
      </c>
      <c r="B589" t="s">
        <v>207</v>
      </c>
      <c r="C589" s="52" t="n">
        <v>2030</v>
      </c>
      <c r="D589" t="s">
        <v>212</v>
      </c>
      <c r="E589" s="53" t="n">
        <v>38012.6771681611</v>
      </c>
      <c r="F589" s="54" t="n">
        <v>4432.11698895291</v>
      </c>
      <c r="G589" s="55" t="n">
        <v>4432.1168533299</v>
      </c>
      <c r="H589" s="56" t="str">
        <f>G589-F589</f>
      </c>
      <c r="I589" s="57" t="n">
        <v>38012.6736377562</v>
      </c>
      <c r="J589" s="58" t="str">
        <f>I589-E589</f>
      </c>
    </row>
    <row r="590">
      <c r="A590" t="s">
        <v>205</v>
      </c>
      <c r="B590" t="s">
        <v>207</v>
      </c>
      <c r="C590" s="52" t="n">
        <v>2031</v>
      </c>
      <c r="D590" t="s">
        <v>190</v>
      </c>
      <c r="E590" s="53" t="n">
        <v>14757.0598117062</v>
      </c>
      <c r="F590" s="54" t="n">
        <v>10815.5065560547</v>
      </c>
      <c r="G590" s="55" t="n">
        <v>10814.9178976517</v>
      </c>
      <c r="H590" s="56" t="str">
        <f>G590-F590</f>
      </c>
      <c r="I590" s="57" t="n">
        <v>14754.4294987798</v>
      </c>
      <c r="J590" s="58" t="str">
        <f>I590-E590</f>
      </c>
    </row>
    <row r="591">
      <c r="A591" t="s">
        <v>205</v>
      </c>
      <c r="B591" t="s">
        <v>207</v>
      </c>
      <c r="C591" s="52" t="n">
        <v>2031</v>
      </c>
      <c r="D591" t="s">
        <v>230</v>
      </c>
      <c r="E591" s="53" t="n">
        <v>1113834.08051753</v>
      </c>
      <c r="F591" s="54" t="n">
        <v>177422.771283872</v>
      </c>
      <c r="G591" s="55" t="n">
        <v>177420.195676039</v>
      </c>
      <c r="H591" s="56" t="str">
        <f>G591-F591</f>
      </c>
      <c r="I591" s="57" t="n">
        <v>1113725.22635968</v>
      </c>
      <c r="J591" s="58" t="str">
        <f>I591-E591</f>
      </c>
    </row>
    <row r="592">
      <c r="A592" t="s">
        <v>205</v>
      </c>
      <c r="B592" t="s">
        <v>207</v>
      </c>
      <c r="C592" s="52" t="n">
        <v>2031</v>
      </c>
      <c r="D592" t="s">
        <v>166</v>
      </c>
      <c r="E592" s="53" t="n">
        <v>115783.757260606</v>
      </c>
      <c r="F592" s="54" t="n">
        <v>76562.0932351781</v>
      </c>
      <c r="G592" s="55" t="n">
        <v>76556.6280135149</v>
      </c>
      <c r="H592" s="56" t="str">
        <f>G592-F592</f>
      </c>
      <c r="I592" s="57" t="n">
        <v>115757.018858842</v>
      </c>
      <c r="J592" s="58" t="str">
        <f>I592-E592</f>
      </c>
    </row>
    <row r="593">
      <c r="A593" t="s">
        <v>205</v>
      </c>
      <c r="B593" t="s">
        <v>207</v>
      </c>
      <c r="C593" s="52" t="n">
        <v>2031</v>
      </c>
      <c r="D593" t="s">
        <v>176</v>
      </c>
      <c r="E593" s="53" t="n">
        <v>274771.639593899</v>
      </c>
      <c r="F593" s="54" t="n">
        <v>257274.672154177</v>
      </c>
      <c r="G593" s="55" t="n">
        <v>257245.005480193</v>
      </c>
      <c r="H593" s="56" t="str">
        <f>G593-F593</f>
      </c>
      <c r="I593" s="57" t="n">
        <v>274719.77758767</v>
      </c>
      <c r="J593" s="58" t="str">
        <f>I593-E593</f>
      </c>
    </row>
    <row r="594">
      <c r="A594" t="s">
        <v>205</v>
      </c>
      <c r="B594" t="s">
        <v>207</v>
      </c>
      <c r="C594" s="52" t="n">
        <v>2031</v>
      </c>
      <c r="D594" t="s">
        <v>180</v>
      </c>
      <c r="E594" s="53" t="n">
        <v>646113.162620928</v>
      </c>
      <c r="F594" s="54" t="n">
        <v>369447.651503555</v>
      </c>
      <c r="G594" s="55" t="n">
        <v>374207.729078974</v>
      </c>
      <c r="H594" s="56" t="str">
        <f>G594-F594</f>
      </c>
      <c r="I594" s="57" t="n">
        <v>646110.864169859</v>
      </c>
      <c r="J594" s="58" t="str">
        <f>I594-E594</f>
      </c>
    </row>
    <row r="595">
      <c r="A595" t="s">
        <v>205</v>
      </c>
      <c r="B595" t="s">
        <v>207</v>
      </c>
      <c r="C595" s="52" t="n">
        <v>2031</v>
      </c>
      <c r="D595" t="s">
        <v>184</v>
      </c>
      <c r="E595" s="53" t="n">
        <v>339276.604149069</v>
      </c>
      <c r="F595" s="54" t="n">
        <v>184325.879269716</v>
      </c>
      <c r="G595" s="55" t="n">
        <v>184315.562373235</v>
      </c>
      <c r="H595" s="56" t="str">
        <f>G595-F595</f>
      </c>
      <c r="I595" s="57" t="n">
        <v>339204.419150594</v>
      </c>
      <c r="J595" s="58" t="str">
        <f>I595-E595</f>
      </c>
    </row>
    <row r="596">
      <c r="A596" t="s">
        <v>205</v>
      </c>
      <c r="B596" t="s">
        <v>207</v>
      </c>
      <c r="C596" s="52" t="n">
        <v>2031</v>
      </c>
      <c r="D596" t="s">
        <v>212</v>
      </c>
      <c r="E596" s="53" t="n">
        <v>38191.627629627</v>
      </c>
      <c r="F596" s="54" t="n">
        <v>4274.72743151723</v>
      </c>
      <c r="G596" s="55" t="n">
        <v>4274.72729327381</v>
      </c>
      <c r="H596" s="56" t="str">
        <f>G596-F596</f>
      </c>
      <c r="I596" s="57" t="n">
        <v>38191.6231000681</v>
      </c>
      <c r="J596" s="58" t="str">
        <f>I596-E596</f>
      </c>
    </row>
    <row r="597">
      <c r="A597" t="s">
        <v>205</v>
      </c>
      <c r="B597" t="s">
        <v>207</v>
      </c>
      <c r="C597" s="52" t="n">
        <v>2032</v>
      </c>
      <c r="D597" t="s">
        <v>190</v>
      </c>
      <c r="E597" s="53" t="n">
        <v>15251.3255771468</v>
      </c>
      <c r="F597" s="54" t="n">
        <v>11133.0764896037</v>
      </c>
      <c r="G597" s="55" t="n">
        <v>11132.1787355836</v>
      </c>
      <c r="H597" s="56" t="str">
        <f>G597-F597</f>
      </c>
      <c r="I597" s="57" t="n">
        <v>15247.769190462</v>
      </c>
      <c r="J597" s="58" t="str">
        <f>I597-E597</f>
      </c>
    </row>
    <row r="598">
      <c r="A598" t="s">
        <v>205</v>
      </c>
      <c r="B598" t="s">
        <v>207</v>
      </c>
      <c r="C598" s="52" t="n">
        <v>2032</v>
      </c>
      <c r="D598" t="s">
        <v>230</v>
      </c>
      <c r="E598" s="53" t="n">
        <v>1126926.58308943</v>
      </c>
      <c r="F598" s="54" t="n">
        <v>185695.528563289</v>
      </c>
      <c r="G598" s="55" t="n">
        <v>185691.45221249</v>
      </c>
      <c r="H598" s="56" t="str">
        <f>G598-F598</f>
      </c>
      <c r="I598" s="57" t="n">
        <v>1126783.31749171</v>
      </c>
      <c r="J598" s="58" t="str">
        <f>I598-E598</f>
      </c>
    </row>
    <row r="599">
      <c r="A599" t="s">
        <v>205</v>
      </c>
      <c r="B599" t="s">
        <v>207</v>
      </c>
      <c r="C599" s="52" t="n">
        <v>2032</v>
      </c>
      <c r="D599" t="s">
        <v>166</v>
      </c>
      <c r="E599" s="53" t="n">
        <v>116927.414987678</v>
      </c>
      <c r="F599" s="54" t="n">
        <v>77206.5164399231</v>
      </c>
      <c r="G599" s="55" t="n">
        <v>77198.3893074221</v>
      </c>
      <c r="H599" s="56" t="str">
        <f>G599-F599</f>
      </c>
      <c r="I599" s="57" t="n">
        <v>116892.91249656</v>
      </c>
      <c r="J599" s="58" t="str">
        <f>I599-E599</f>
      </c>
    </row>
    <row r="600">
      <c r="A600" t="s">
        <v>205</v>
      </c>
      <c r="B600" t="s">
        <v>207</v>
      </c>
      <c r="C600" s="52" t="n">
        <v>2032</v>
      </c>
      <c r="D600" t="s">
        <v>176</v>
      </c>
      <c r="E600" s="53" t="n">
        <v>274479.089535125</v>
      </c>
      <c r="F600" s="54" t="n">
        <v>256786.521960816</v>
      </c>
      <c r="G600" s="55" t="n">
        <v>256745.676365841</v>
      </c>
      <c r="H600" s="56" t="str">
        <f>G600-F600</f>
      </c>
      <c r="I600" s="57" t="n">
        <v>274412.393429799</v>
      </c>
      <c r="J600" s="58" t="str">
        <f>I600-E600</f>
      </c>
    </row>
    <row r="601">
      <c r="A601" t="s">
        <v>205</v>
      </c>
      <c r="B601" t="s">
        <v>207</v>
      </c>
      <c r="C601" s="52" t="n">
        <v>2032</v>
      </c>
      <c r="D601" t="s">
        <v>180</v>
      </c>
      <c r="E601" s="53" t="n">
        <v>654523.190513393</v>
      </c>
      <c r="F601" s="54" t="n">
        <v>374707.451625858</v>
      </c>
      <c r="G601" s="55" t="n">
        <v>380127.647848666</v>
      </c>
      <c r="H601" s="56" t="str">
        <f>G601-F601</f>
      </c>
      <c r="I601" s="57" t="n">
        <v>654519.811420389</v>
      </c>
      <c r="J601" s="58" t="str">
        <f>I601-E601</f>
      </c>
    </row>
    <row r="602">
      <c r="A602" t="s">
        <v>205</v>
      </c>
      <c r="B602" t="s">
        <v>207</v>
      </c>
      <c r="C602" s="52" t="n">
        <v>2032</v>
      </c>
      <c r="D602" t="s">
        <v>184</v>
      </c>
      <c r="E602" s="53" t="n">
        <v>341673.978869126</v>
      </c>
      <c r="F602" s="54" t="n">
        <v>183745.551171621</v>
      </c>
      <c r="G602" s="55" t="n">
        <v>183730.084212538</v>
      </c>
      <c r="H602" s="56" t="str">
        <f>G602-F602</f>
      </c>
      <c r="I602" s="57" t="n">
        <v>341581.65326776</v>
      </c>
      <c r="J602" s="58" t="str">
        <f>I602-E602</f>
      </c>
    </row>
    <row r="603">
      <c r="A603" t="s">
        <v>205</v>
      </c>
      <c r="B603" t="s">
        <v>207</v>
      </c>
      <c r="C603" s="52" t="n">
        <v>2032</v>
      </c>
      <c r="D603" t="s">
        <v>212</v>
      </c>
      <c r="E603" s="53" t="n">
        <v>38037.5573306522</v>
      </c>
      <c r="F603" s="54" t="n">
        <v>4125.72261604407</v>
      </c>
      <c r="G603" s="55" t="n">
        <v>4125.72247917104</v>
      </c>
      <c r="H603" s="56" t="str">
        <f>G603-F603</f>
      </c>
      <c r="I603" s="57" t="n">
        <v>38037.5517920999</v>
      </c>
      <c r="J603" s="58" t="str">
        <f>I603-E603</f>
      </c>
    </row>
    <row r="604">
      <c r="A604" t="s">
        <v>205</v>
      </c>
      <c r="B604" t="s">
        <v>207</v>
      </c>
      <c r="C604" s="52" t="n">
        <v>2033</v>
      </c>
      <c r="D604" t="s">
        <v>190</v>
      </c>
      <c r="E604" s="53" t="n">
        <v>15764.1568387313</v>
      </c>
      <c r="F604" s="54" t="n">
        <v>11453.4909551969</v>
      </c>
      <c r="G604" s="55" t="n">
        <v>11452.2049974033</v>
      </c>
      <c r="H604" s="56" t="str">
        <f>G604-F604</f>
      </c>
      <c r="I604" s="57" t="n">
        <v>15759.5151167894</v>
      </c>
      <c r="J604" s="58" t="str">
        <f>I604-E604</f>
      </c>
    </row>
    <row r="605">
      <c r="A605" t="s">
        <v>205</v>
      </c>
      <c r="B605" t="s">
        <v>207</v>
      </c>
      <c r="C605" s="52" t="n">
        <v>2033</v>
      </c>
      <c r="D605" t="s">
        <v>230</v>
      </c>
      <c r="E605" s="53" t="n">
        <v>1139454.70652601</v>
      </c>
      <c r="F605" s="54" t="n">
        <v>194011.652639341</v>
      </c>
      <c r="G605" s="55" t="n">
        <v>194005.600566516</v>
      </c>
      <c r="H605" s="56" t="str">
        <f>G605-F605</f>
      </c>
      <c r="I605" s="57" t="n">
        <v>1139272.75378683</v>
      </c>
      <c r="J605" s="58" t="str">
        <f>I605-E605</f>
      </c>
    </row>
    <row r="606">
      <c r="A606" t="s">
        <v>205</v>
      </c>
      <c r="B606" t="s">
        <v>207</v>
      </c>
      <c r="C606" s="52" t="n">
        <v>2033</v>
      </c>
      <c r="D606" t="s">
        <v>166</v>
      </c>
      <c r="E606" s="53" t="n">
        <v>118324.452166055</v>
      </c>
      <c r="F606" s="54" t="n">
        <v>77928.4864531793</v>
      </c>
      <c r="G606" s="55" t="n">
        <v>77917.1620906902</v>
      </c>
      <c r="H606" s="56" t="str">
        <f>G606-F606</f>
      </c>
      <c r="I606" s="57" t="n">
        <v>118281.828559023</v>
      </c>
      <c r="J606" s="58" t="str">
        <f>I606-E606</f>
      </c>
    </row>
    <row r="607">
      <c r="A607" t="s">
        <v>205</v>
      </c>
      <c r="B607" t="s">
        <v>207</v>
      </c>
      <c r="C607" s="52" t="n">
        <v>2033</v>
      </c>
      <c r="D607" t="s">
        <v>176</v>
      </c>
      <c r="E607" s="53" t="n">
        <v>273976.405789506</v>
      </c>
      <c r="F607" s="54" t="n">
        <v>256709.027587344</v>
      </c>
      <c r="G607" s="55" t="n">
        <v>256655.559026211</v>
      </c>
      <c r="H607" s="56" t="str">
        <f>G607-F607</f>
      </c>
      <c r="I607" s="57" t="n">
        <v>273893.528221021</v>
      </c>
      <c r="J607" s="58" t="str">
        <f>I607-E607</f>
      </c>
    </row>
    <row r="608">
      <c r="A608" t="s">
        <v>205</v>
      </c>
      <c r="B608" t="s">
        <v>207</v>
      </c>
      <c r="C608" s="52" t="n">
        <v>2033</v>
      </c>
      <c r="D608" t="s">
        <v>180</v>
      </c>
      <c r="E608" s="53" t="n">
        <v>664013.797330056</v>
      </c>
      <c r="F608" s="54" t="n">
        <v>380505.833621483</v>
      </c>
      <c r="G608" s="55" t="n">
        <v>386583.230936034</v>
      </c>
      <c r="H608" s="56" t="str">
        <f>G608-F608</f>
      </c>
      <c r="I608" s="57" t="n">
        <v>664009.138744924</v>
      </c>
      <c r="J608" s="58" t="str">
        <f>I608-E608</f>
      </c>
    </row>
    <row r="609">
      <c r="A609" t="s">
        <v>205</v>
      </c>
      <c r="B609" t="s">
        <v>207</v>
      </c>
      <c r="C609" s="52" t="n">
        <v>2033</v>
      </c>
      <c r="D609" t="s">
        <v>184</v>
      </c>
      <c r="E609" s="53" t="n">
        <v>345108.471282021</v>
      </c>
      <c r="F609" s="54" t="n">
        <v>183604.748052618</v>
      </c>
      <c r="G609" s="55" t="n">
        <v>183583.042202715</v>
      </c>
      <c r="H609" s="56" t="str">
        <f>G609-F609</f>
      </c>
      <c r="I609" s="57" t="n">
        <v>344995.264629881</v>
      </c>
      <c r="J609" s="58" t="str">
        <f>I609-E609</f>
      </c>
    </row>
    <row r="610">
      <c r="A610" t="s">
        <v>205</v>
      </c>
      <c r="B610" t="s">
        <v>207</v>
      </c>
      <c r="C610" s="52" t="n">
        <v>2033</v>
      </c>
      <c r="D610" t="s">
        <v>212</v>
      </c>
      <c r="E610" s="53" t="n">
        <v>37788.4024130623</v>
      </c>
      <c r="F610" s="54" t="n">
        <v>3977.71450086603</v>
      </c>
      <c r="G610" s="55" t="n">
        <v>3977.71437573526</v>
      </c>
      <c r="H610" s="56" t="str">
        <f>G610-F610</f>
      </c>
      <c r="I610" s="57" t="n">
        <v>37788.395913351</v>
      </c>
      <c r="J610" s="58" t="str">
        <f>I610-E610</f>
      </c>
    </row>
    <row r="611">
      <c r="A611" t="s">
        <v>205</v>
      </c>
      <c r="B611" t="s">
        <v>207</v>
      </c>
      <c r="C611" s="52" t="n">
        <v>2034</v>
      </c>
      <c r="D611" t="s">
        <v>190</v>
      </c>
      <c r="E611" s="53" t="n">
        <v>16291.6505007909</v>
      </c>
      <c r="F611" s="54" t="n">
        <v>11781.1769330977</v>
      </c>
      <c r="G611" s="55" t="n">
        <v>11779.4141755774</v>
      </c>
      <c r="H611" s="56" t="str">
        <f>G611-F611</f>
      </c>
      <c r="I611" s="57" t="n">
        <v>16285.7640376227</v>
      </c>
      <c r="J611" s="58" t="str">
        <f>I611-E611</f>
      </c>
    </row>
    <row r="612">
      <c r="A612" t="s">
        <v>205</v>
      </c>
      <c r="B612" t="s">
        <v>207</v>
      </c>
      <c r="C612" s="52" t="n">
        <v>2034</v>
      </c>
      <c r="D612" t="s">
        <v>230</v>
      </c>
      <c r="E612" s="53" t="n">
        <v>1151457.33109864</v>
      </c>
      <c r="F612" s="54" t="n">
        <v>202329.208977006</v>
      </c>
      <c r="G612" s="55" t="n">
        <v>202320.636121151</v>
      </c>
      <c r="H612" s="56" t="str">
        <f>G612-F612</f>
      </c>
      <c r="I612" s="57" t="n">
        <v>1151232.62464015</v>
      </c>
      <c r="J612" s="58" t="str">
        <f>I612-E612</f>
      </c>
    </row>
    <row r="613">
      <c r="A613" t="s">
        <v>205</v>
      </c>
      <c r="B613" t="s">
        <v>207</v>
      </c>
      <c r="C613" s="52" t="n">
        <v>2034</v>
      </c>
      <c r="D613" t="s">
        <v>166</v>
      </c>
      <c r="E613" s="53" t="n">
        <v>119227.990084766</v>
      </c>
      <c r="F613" s="54" t="n">
        <v>78796.7444501313</v>
      </c>
      <c r="G613" s="55" t="n">
        <v>78781.7232358728</v>
      </c>
      <c r="H613" s="56" t="str">
        <f>G613-F613</f>
      </c>
      <c r="I613" s="57" t="n">
        <v>119173.805374547</v>
      </c>
      <c r="J613" s="58" t="str">
        <f>I613-E613</f>
      </c>
    </row>
    <row r="614">
      <c r="A614" t="s">
        <v>205</v>
      </c>
      <c r="B614" t="s">
        <v>207</v>
      </c>
      <c r="C614" s="52" t="n">
        <v>2034</v>
      </c>
      <c r="D614" t="s">
        <v>176</v>
      </c>
      <c r="E614" s="53" t="n">
        <v>273769.800910633</v>
      </c>
      <c r="F614" s="54" t="n">
        <v>256820.236822313</v>
      </c>
      <c r="G614" s="55" t="n">
        <v>256753.127116244</v>
      </c>
      <c r="H614" s="56" t="str">
        <f>G614-F614</f>
      </c>
      <c r="I614" s="57" t="n">
        <v>273669.650202867</v>
      </c>
      <c r="J614" s="58" t="str">
        <f>I614-E614</f>
      </c>
    </row>
    <row r="615">
      <c r="A615" t="s">
        <v>205</v>
      </c>
      <c r="B615" t="s">
        <v>207</v>
      </c>
      <c r="C615" s="52" t="n">
        <v>2034</v>
      </c>
      <c r="D615" t="s">
        <v>180</v>
      </c>
      <c r="E615" s="53" t="n">
        <v>669571.433702591</v>
      </c>
      <c r="F615" s="54" t="n">
        <v>387067.50303027</v>
      </c>
      <c r="G615" s="55" t="n">
        <v>393806.920121914</v>
      </c>
      <c r="H615" s="56" t="str">
        <f>G615-F615</f>
      </c>
      <c r="I615" s="57" t="n">
        <v>669565.091865969</v>
      </c>
      <c r="J615" s="58" t="str">
        <f>I615-E615</f>
      </c>
    </row>
    <row r="616">
      <c r="A616" t="s">
        <v>205</v>
      </c>
      <c r="B616" t="s">
        <v>207</v>
      </c>
      <c r="C616" s="52" t="n">
        <v>2034</v>
      </c>
      <c r="D616" t="s">
        <v>184</v>
      </c>
      <c r="E616" s="53" t="n">
        <v>346071.226196874</v>
      </c>
      <c r="F616" s="54" t="n">
        <v>184829.858136557</v>
      </c>
      <c r="G616" s="55" t="n">
        <v>184800.885019324</v>
      </c>
      <c r="H616" s="56" t="str">
        <f>G616-F616</f>
      </c>
      <c r="I616" s="57" t="n">
        <v>345926.396497523</v>
      </c>
      <c r="J616" s="58" t="str">
        <f>I616-E616</f>
      </c>
    </row>
    <row r="617">
      <c r="A617" t="s">
        <v>205</v>
      </c>
      <c r="B617" t="s">
        <v>207</v>
      </c>
      <c r="C617" s="52" t="n">
        <v>2034</v>
      </c>
      <c r="D617" t="s">
        <v>212</v>
      </c>
      <c r="E617" s="53" t="n">
        <v>37391.1268567823</v>
      </c>
      <c r="F617" s="54" t="n">
        <v>3849.43655372795</v>
      </c>
      <c r="G617" s="55" t="n">
        <v>3849.43642407178</v>
      </c>
      <c r="H617" s="56" t="str">
        <f>G617-F617</f>
      </c>
      <c r="I617" s="57" t="n">
        <v>37391.1189795399</v>
      </c>
      <c r="J617" s="58" t="str">
        <f>I617-E617</f>
      </c>
    </row>
    <row r="618">
      <c r="A618" t="s">
        <v>205</v>
      </c>
      <c r="B618" t="s">
        <v>207</v>
      </c>
      <c r="C618" s="52" t="n">
        <v>2035</v>
      </c>
      <c r="D618" t="s">
        <v>190</v>
      </c>
      <c r="E618" s="53" t="n">
        <v>16837.9337471762</v>
      </c>
      <c r="F618" s="54" t="n">
        <v>12115.1488860261</v>
      </c>
      <c r="G618" s="55" t="n">
        <v>12112.814364394</v>
      </c>
      <c r="H618" s="56" t="str">
        <f>G618-F618</f>
      </c>
      <c r="I618" s="57" t="n">
        <v>16830.6420972909</v>
      </c>
      <c r="J618" s="58" t="str">
        <f>I618-E618</f>
      </c>
    </row>
    <row r="619">
      <c r="A619" t="s">
        <v>205</v>
      </c>
      <c r="B619" t="s">
        <v>207</v>
      </c>
      <c r="C619" s="52" t="n">
        <v>2035</v>
      </c>
      <c r="D619" t="s">
        <v>230</v>
      </c>
      <c r="E619" s="53" t="n">
        <v>1163048.56392547</v>
      </c>
      <c r="F619" s="54" t="n">
        <v>210639.08853784</v>
      </c>
      <c r="G619" s="55" t="n">
        <v>210627.422792314</v>
      </c>
      <c r="H619" s="56" t="str">
        <f>G619-F619</f>
      </c>
      <c r="I619" s="57" t="n">
        <v>1162777.28327874</v>
      </c>
      <c r="J619" s="58" t="str">
        <f>I619-E619</f>
      </c>
    </row>
    <row r="620">
      <c r="A620" t="s">
        <v>205</v>
      </c>
      <c r="B620" t="s">
        <v>207</v>
      </c>
      <c r="C620" s="52" t="n">
        <v>2035</v>
      </c>
      <c r="D620" t="s">
        <v>166</v>
      </c>
      <c r="E620" s="53" t="n">
        <v>120863.298746719</v>
      </c>
      <c r="F620" s="54" t="n">
        <v>79475.9846256606</v>
      </c>
      <c r="G620" s="55" t="n">
        <v>79456.6324211876</v>
      </c>
      <c r="H620" s="56" t="str">
        <f>G620-F620</f>
      </c>
      <c r="I620" s="57" t="n">
        <v>120799.065903184</v>
      </c>
      <c r="J620" s="58" t="str">
        <f>I620-E620</f>
      </c>
    </row>
    <row r="621">
      <c r="A621" t="s">
        <v>205</v>
      </c>
      <c r="B621" t="s">
        <v>207</v>
      </c>
      <c r="C621" s="52" t="n">
        <v>2035</v>
      </c>
      <c r="D621" t="s">
        <v>176</v>
      </c>
      <c r="E621" s="53" t="n">
        <v>273463.587224091</v>
      </c>
      <c r="F621" s="54" t="n">
        <v>256889.387699824</v>
      </c>
      <c r="G621" s="55" t="n">
        <v>256807.532230081</v>
      </c>
      <c r="H621" s="56" t="str">
        <f>G621-F621</f>
      </c>
      <c r="I621" s="57" t="n">
        <v>273345.360062938</v>
      </c>
      <c r="J621" s="58" t="str">
        <f>I621-E621</f>
      </c>
    </row>
    <row r="622">
      <c r="A622" t="s">
        <v>205</v>
      </c>
      <c r="B622" t="s">
        <v>207</v>
      </c>
      <c r="C622" s="52" t="n">
        <v>2035</v>
      </c>
      <c r="D622" t="s">
        <v>180</v>
      </c>
      <c r="E622" s="53" t="n">
        <v>678646.551422435</v>
      </c>
      <c r="F622" s="54" t="n">
        <v>392123.497193865</v>
      </c>
      <c r="G622" s="55" t="n">
        <v>399492.950532998</v>
      </c>
      <c r="H622" s="56" t="str">
        <f>G622-F622</f>
      </c>
      <c r="I622" s="57" t="n">
        <v>678638.434521443</v>
      </c>
      <c r="J622" s="58" t="str">
        <f>I622-E622</f>
      </c>
    </row>
    <row r="623">
      <c r="A623" t="s">
        <v>205</v>
      </c>
      <c r="B623" t="s">
        <v>207</v>
      </c>
      <c r="C623" s="52" t="n">
        <v>2035</v>
      </c>
      <c r="D623" t="s">
        <v>184</v>
      </c>
      <c r="E623" s="53" t="n">
        <v>349316.547129367</v>
      </c>
      <c r="F623" s="54" t="n">
        <v>185403.298045964</v>
      </c>
      <c r="G623" s="55" t="n">
        <v>185365.761103579</v>
      </c>
      <c r="H623" s="56" t="str">
        <f>G623-F623</f>
      </c>
      <c r="I623" s="57" t="n">
        <v>349146.062455764</v>
      </c>
      <c r="J623" s="58" t="str">
        <f>I623-E623</f>
      </c>
    </row>
    <row r="624">
      <c r="A624" t="s">
        <v>205</v>
      </c>
      <c r="B624" t="s">
        <v>207</v>
      </c>
      <c r="C624" s="52" t="n">
        <v>2035</v>
      </c>
      <c r="D624" t="s">
        <v>212</v>
      </c>
      <c r="E624" s="53" t="n">
        <v>37274.4064046668</v>
      </c>
      <c r="F624" s="54" t="n">
        <v>3710.43190996678</v>
      </c>
      <c r="G624" s="55" t="n">
        <v>3710.43177455469</v>
      </c>
      <c r="H624" s="56" t="str">
        <f>G624-F624</f>
      </c>
      <c r="I624" s="57" t="n">
        <v>37274.3979018446</v>
      </c>
      <c r="J624" s="58" t="str">
        <f>I624-E624</f>
      </c>
    </row>
    <row r="625">
      <c r="A625" t="s">
        <v>205</v>
      </c>
      <c r="B625" t="s">
        <v>207</v>
      </c>
      <c r="C625" s="52" t="n">
        <v>2036</v>
      </c>
      <c r="D625" t="s">
        <v>190</v>
      </c>
      <c r="E625" s="53" t="n">
        <v>17401.4674371523</v>
      </c>
      <c r="F625" s="54" t="n">
        <v>12455.868044317</v>
      </c>
      <c r="G625" s="55" t="n">
        <v>12452.8640137516</v>
      </c>
      <c r="H625" s="56" t="str">
        <f>G625-F625</f>
      </c>
      <c r="I625" s="57" t="n">
        <v>17392.6099040701</v>
      </c>
      <c r="J625" s="58" t="str">
        <f>I625-E625</f>
      </c>
    </row>
    <row r="626">
      <c r="A626" t="s">
        <v>205</v>
      </c>
      <c r="B626" t="s">
        <v>207</v>
      </c>
      <c r="C626" s="52" t="n">
        <v>2036</v>
      </c>
      <c r="D626" t="s">
        <v>230</v>
      </c>
      <c r="E626" s="53" t="n">
        <v>1174406.91565738</v>
      </c>
      <c r="F626" s="54" t="n">
        <v>218922.030388541</v>
      </c>
      <c r="G626" s="55" t="n">
        <v>218906.623444501</v>
      </c>
      <c r="H626" s="56" t="str">
        <f>G626-F626</f>
      </c>
      <c r="I626" s="57" t="n">
        <v>1174085.51289072</v>
      </c>
      <c r="J626" s="58" t="str">
        <f>I626-E626</f>
      </c>
    </row>
    <row r="627">
      <c r="A627" t="s">
        <v>205</v>
      </c>
      <c r="B627" t="s">
        <v>207</v>
      </c>
      <c r="C627" s="52" t="n">
        <v>2036</v>
      </c>
      <c r="D627" t="s">
        <v>166</v>
      </c>
      <c r="E627" s="53" t="n">
        <v>122693.27275582</v>
      </c>
      <c r="F627" s="54" t="n">
        <v>80326.9943240915</v>
      </c>
      <c r="G627" s="55" t="n">
        <v>80302.8429955226</v>
      </c>
      <c r="H627" s="56" t="str">
        <f>G627-F627</f>
      </c>
      <c r="I627" s="57" t="n">
        <v>122618.320312187</v>
      </c>
      <c r="J627" s="58" t="str">
        <f>I627-E627</f>
      </c>
    </row>
    <row r="628">
      <c r="A628" t="s">
        <v>205</v>
      </c>
      <c r="B628" t="s">
        <v>207</v>
      </c>
      <c r="C628" s="52" t="n">
        <v>2036</v>
      </c>
      <c r="D628" t="s">
        <v>176</v>
      </c>
      <c r="E628" s="53" t="n">
        <v>273434.852183659</v>
      </c>
      <c r="F628" s="54" t="n">
        <v>257031.039394562</v>
      </c>
      <c r="G628" s="55" t="n">
        <v>256933.398229342</v>
      </c>
      <c r="H628" s="56" t="str">
        <f>G628-F628</f>
      </c>
      <c r="I628" s="57" t="n">
        <v>273297.569822228</v>
      </c>
      <c r="J628" s="58" t="str">
        <f>I628-E628</f>
      </c>
    </row>
    <row r="629">
      <c r="A629" t="s">
        <v>205</v>
      </c>
      <c r="B629" t="s">
        <v>207</v>
      </c>
      <c r="C629" s="52" t="n">
        <v>2036</v>
      </c>
      <c r="D629" t="s">
        <v>180</v>
      </c>
      <c r="E629" s="53" t="n">
        <v>688204.795883707</v>
      </c>
      <c r="F629" s="54" t="n">
        <v>397990.50353359</v>
      </c>
      <c r="G629" s="55" t="n">
        <v>405992.653493878</v>
      </c>
      <c r="H629" s="56" t="str">
        <f>G629-F629</f>
      </c>
      <c r="I629" s="57" t="n">
        <v>688194.684475592</v>
      </c>
      <c r="J629" s="58" t="str">
        <f>I629-E629</f>
      </c>
    </row>
    <row r="630">
      <c r="A630" t="s">
        <v>205</v>
      </c>
      <c r="B630" t="s">
        <v>207</v>
      </c>
      <c r="C630" s="52" t="n">
        <v>2036</v>
      </c>
      <c r="D630" t="s">
        <v>184</v>
      </c>
      <c r="E630" s="53" t="n">
        <v>352800.475036599</v>
      </c>
      <c r="F630" s="54" t="n">
        <v>186464.971452633</v>
      </c>
      <c r="G630" s="55" t="n">
        <v>186417.92722248</v>
      </c>
      <c r="H630" s="56" t="str">
        <f>G630-F630</f>
      </c>
      <c r="I630" s="57" t="n">
        <v>352603.071714204</v>
      </c>
      <c r="J630" s="58" t="str">
        <f>I630-E630</f>
      </c>
    </row>
    <row r="631">
      <c r="A631" t="s">
        <v>205</v>
      </c>
      <c r="B631" t="s">
        <v>207</v>
      </c>
      <c r="C631" s="52" t="n">
        <v>2036</v>
      </c>
      <c r="D631" t="s">
        <v>212</v>
      </c>
      <c r="E631" s="53" t="n">
        <v>37283.0368021473</v>
      </c>
      <c r="F631" s="54" t="n">
        <v>3578.66020587526</v>
      </c>
      <c r="G631" s="55" t="n">
        <v>3578.66006488627</v>
      </c>
      <c r="H631" s="56" t="str">
        <f>G631-F631</f>
      </c>
      <c r="I631" s="57" t="n">
        <v>37283.0276293956</v>
      </c>
      <c r="J631" s="58" t="str">
        <f>I631-E631</f>
      </c>
    </row>
    <row r="632">
      <c r="A632" t="s">
        <v>205</v>
      </c>
      <c r="B632" t="s">
        <v>207</v>
      </c>
      <c r="C632" s="52" t="n">
        <v>2037</v>
      </c>
      <c r="D632" t="s">
        <v>190</v>
      </c>
      <c r="E632" s="53" t="n">
        <v>17982.0638374044</v>
      </c>
      <c r="F632" s="54" t="n">
        <v>12803.2530842615</v>
      </c>
      <c r="G632" s="55" t="n">
        <v>12799.4794545616</v>
      </c>
      <c r="H632" s="56" t="str">
        <f>G632-F632</f>
      </c>
      <c r="I632" s="57" t="n">
        <v>17971.4828640642</v>
      </c>
      <c r="J632" s="58" t="str">
        <f>I632-E632</f>
      </c>
    </row>
    <row r="633">
      <c r="A633" t="s">
        <v>205</v>
      </c>
      <c r="B633" t="s">
        <v>207</v>
      </c>
      <c r="C633" s="52" t="n">
        <v>2037</v>
      </c>
      <c r="D633" t="s">
        <v>230</v>
      </c>
      <c r="E633" s="53" t="n">
        <v>1185639.80109887</v>
      </c>
      <c r="F633" s="54" t="n">
        <v>227165.697326832</v>
      </c>
      <c r="G633" s="55" t="n">
        <v>227145.85064844</v>
      </c>
      <c r="H633" s="56" t="str">
        <f>G633-F633</f>
      </c>
      <c r="I633" s="57" t="n">
        <v>1185264.74384977</v>
      </c>
      <c r="J633" s="58" t="str">
        <f>I633-E633</f>
      </c>
    </row>
    <row r="634">
      <c r="A634" t="s">
        <v>205</v>
      </c>
      <c r="B634" t="s">
        <v>207</v>
      </c>
      <c r="C634" s="52" t="n">
        <v>2037</v>
      </c>
      <c r="D634" t="s">
        <v>166</v>
      </c>
      <c r="E634" s="53" t="n">
        <v>124575.577822832</v>
      </c>
      <c r="F634" s="54" t="n">
        <v>81274.0873388812</v>
      </c>
      <c r="G634" s="55" t="n">
        <v>81244.6913895843</v>
      </c>
      <c r="H634" s="56" t="str">
        <f>G634-F634</f>
      </c>
      <c r="I634" s="57" t="n">
        <v>124489.429760244</v>
      </c>
      <c r="J634" s="58" t="str">
        <f>I634-E634</f>
      </c>
    </row>
    <row r="635">
      <c r="A635" t="s">
        <v>205</v>
      </c>
      <c r="B635" t="s">
        <v>207</v>
      </c>
      <c r="C635" s="52" t="n">
        <v>2037</v>
      </c>
      <c r="D635" t="s">
        <v>176</v>
      </c>
      <c r="E635" s="53" t="n">
        <v>273360.003948229</v>
      </c>
      <c r="F635" s="54" t="n">
        <v>257185.377724359</v>
      </c>
      <c r="G635" s="55" t="n">
        <v>257070.973149134</v>
      </c>
      <c r="H635" s="56" t="str">
        <f>G635-F635</f>
      </c>
      <c r="I635" s="57" t="n">
        <v>273202.802274069</v>
      </c>
      <c r="J635" s="58" t="str">
        <f>I635-E635</f>
      </c>
    </row>
    <row r="636">
      <c r="A636" t="s">
        <v>205</v>
      </c>
      <c r="B636" t="s">
        <v>207</v>
      </c>
      <c r="C636" s="52" t="n">
        <v>2037</v>
      </c>
      <c r="D636" t="s">
        <v>180</v>
      </c>
      <c r="E636" s="53" t="n">
        <v>698072.814298356</v>
      </c>
      <c r="F636" s="54" t="n">
        <v>404375.968038796</v>
      </c>
      <c r="G636" s="55" t="n">
        <v>413018.343093551</v>
      </c>
      <c r="H636" s="56" t="str">
        <f>G636-F636</f>
      </c>
      <c r="I636" s="57" t="n">
        <v>698060.502126947</v>
      </c>
      <c r="J636" s="58" t="str">
        <f>I636-E636</f>
      </c>
    </row>
    <row r="637">
      <c r="A637" t="s">
        <v>205</v>
      </c>
      <c r="B637" t="s">
        <v>207</v>
      </c>
      <c r="C637" s="52" t="n">
        <v>2037</v>
      </c>
      <c r="D637" t="s">
        <v>184</v>
      </c>
      <c r="E637" s="53" t="n">
        <v>356650.813083193</v>
      </c>
      <c r="F637" s="54" t="n">
        <v>187845.728017494</v>
      </c>
      <c r="G637" s="55" t="n">
        <v>187788.312528489</v>
      </c>
      <c r="H637" s="56" t="str">
        <f>G637-F637</f>
      </c>
      <c r="I637" s="57" t="n">
        <v>356425.678918654</v>
      </c>
      <c r="J637" s="58" t="str">
        <f>I637-E637</f>
      </c>
    </row>
    <row r="638">
      <c r="A638" t="s">
        <v>205</v>
      </c>
      <c r="B638" t="s">
        <v>207</v>
      </c>
      <c r="C638" s="52" t="n">
        <v>2037</v>
      </c>
      <c r="D638" t="s">
        <v>212</v>
      </c>
      <c r="E638" s="53" t="n">
        <v>36837.2872373072</v>
      </c>
      <c r="F638" s="54" t="n">
        <v>3450.19480071611</v>
      </c>
      <c r="G638" s="55" t="n">
        <v>3450.19465573699</v>
      </c>
      <c r="H638" s="56" t="str">
        <f>G638-F638</f>
      </c>
      <c r="I638" s="57" t="n">
        <v>36837.2774807632</v>
      </c>
      <c r="J638" s="58" t="str">
        <f>I638-E638</f>
      </c>
    </row>
    <row r="639">
      <c r="A639" t="s">
        <v>205</v>
      </c>
      <c r="B639" t="s">
        <v>207</v>
      </c>
      <c r="C639" s="52" t="n">
        <v>2038</v>
      </c>
      <c r="D639" t="s">
        <v>190</v>
      </c>
      <c r="E639" s="53" t="n">
        <v>18577.2104969826</v>
      </c>
      <c r="F639" s="54" t="n">
        <v>13160.2498858845</v>
      </c>
      <c r="G639" s="55" t="n">
        <v>13155.6038503287</v>
      </c>
      <c r="H639" s="56" t="str">
        <f>G639-F639</f>
      </c>
      <c r="I639" s="57" t="n">
        <v>18564.7325343064</v>
      </c>
      <c r="J639" s="58" t="str">
        <f>I639-E639</f>
      </c>
    </row>
    <row r="640">
      <c r="A640" t="s">
        <v>205</v>
      </c>
      <c r="B640" t="s">
        <v>207</v>
      </c>
      <c r="C640" s="52" t="n">
        <v>2038</v>
      </c>
      <c r="D640" t="s">
        <v>230</v>
      </c>
      <c r="E640" s="53" t="n">
        <v>1196746.68596054</v>
      </c>
      <c r="F640" s="54" t="n">
        <v>235354.649495158</v>
      </c>
      <c r="G640" s="55" t="n">
        <v>235329.601498619</v>
      </c>
      <c r="H640" s="56" t="str">
        <f>G640-F640</f>
      </c>
      <c r="I640" s="57" t="n">
        <v>1196314.54511457</v>
      </c>
      <c r="J640" s="58" t="str">
        <f>I640-E640</f>
      </c>
    </row>
    <row r="641">
      <c r="A641" t="s">
        <v>205</v>
      </c>
      <c r="B641" t="s">
        <v>207</v>
      </c>
      <c r="C641" s="52" t="n">
        <v>2038</v>
      </c>
      <c r="D641" t="s">
        <v>166</v>
      </c>
      <c r="E641" s="53" t="n">
        <v>126653.407810306</v>
      </c>
      <c r="F641" s="54" t="n">
        <v>82288.9844457107</v>
      </c>
      <c r="G641" s="55" t="n">
        <v>82253.930841494</v>
      </c>
      <c r="H641" s="56" t="str">
        <f>G641-F641</f>
      </c>
      <c r="I641" s="57" t="n">
        <v>126555.833855502</v>
      </c>
      <c r="J641" s="58" t="str">
        <f>I641-E641</f>
      </c>
    </row>
    <row r="642">
      <c r="A642" t="s">
        <v>205</v>
      </c>
      <c r="B642" t="s">
        <v>207</v>
      </c>
      <c r="C642" s="52" t="n">
        <v>2038</v>
      </c>
      <c r="D642" t="s">
        <v>176</v>
      </c>
      <c r="E642" s="53" t="n">
        <v>273213.301982442</v>
      </c>
      <c r="F642" s="54" t="n">
        <v>257262.742756049</v>
      </c>
      <c r="G642" s="55" t="n">
        <v>257130.676610817</v>
      </c>
      <c r="H642" s="56" t="str">
        <f>G642-F642</f>
      </c>
      <c r="I642" s="57" t="n">
        <v>273035.370644084</v>
      </c>
      <c r="J642" s="58" t="str">
        <f>I642-E642</f>
      </c>
    </row>
    <row r="643">
      <c r="A643" t="s">
        <v>205</v>
      </c>
      <c r="B643" t="s">
        <v>207</v>
      </c>
      <c r="C643" s="52" t="n">
        <v>2038</v>
      </c>
      <c r="D643" t="s">
        <v>180</v>
      </c>
      <c r="E643" s="53" t="n">
        <v>708689.253278746</v>
      </c>
      <c r="F643" s="54" t="n">
        <v>411156.917897468</v>
      </c>
      <c r="G643" s="55" t="n">
        <v>420445.264129068</v>
      </c>
      <c r="H643" s="56" t="str">
        <f>G643-F643</f>
      </c>
      <c r="I643" s="57" t="n">
        <v>708674.574961299</v>
      </c>
      <c r="J643" s="58" t="str">
        <f>I643-E643</f>
      </c>
    </row>
    <row r="644">
      <c r="A644" t="s">
        <v>205</v>
      </c>
      <c r="B644" t="s">
        <v>207</v>
      </c>
      <c r="C644" s="52" t="n">
        <v>2038</v>
      </c>
      <c r="D644" t="s">
        <v>184</v>
      </c>
      <c r="E644" s="53" t="n">
        <v>361153.934676493</v>
      </c>
      <c r="F644" s="54" t="n">
        <v>189415.996448795</v>
      </c>
      <c r="G644" s="55" t="n">
        <v>189347.422266605</v>
      </c>
      <c r="H644" s="56" t="str">
        <f>G644-F644</f>
      </c>
      <c r="I644" s="57" t="n">
        <v>360900.93527345</v>
      </c>
      <c r="J644" s="58" t="str">
        <f>I644-E644</f>
      </c>
    </row>
    <row r="645">
      <c r="A645" t="s">
        <v>205</v>
      </c>
      <c r="B645" t="s">
        <v>207</v>
      </c>
      <c r="C645" s="52" t="n">
        <v>2038</v>
      </c>
      <c r="D645" t="s">
        <v>212</v>
      </c>
      <c r="E645" s="53" t="n">
        <v>36551.4515705616</v>
      </c>
      <c r="F645" s="54" t="n">
        <v>3322.8217190421</v>
      </c>
      <c r="G645" s="55" t="n">
        <v>3322.82157442101</v>
      </c>
      <c r="H645" s="56" t="str">
        <f>G645-F645</f>
      </c>
      <c r="I645" s="57" t="n">
        <v>36551.441257779</v>
      </c>
      <c r="J645" s="58" t="str">
        <f>I645-E645</f>
      </c>
    </row>
    <row r="646">
      <c r="A646" t="s">
        <v>205</v>
      </c>
      <c r="B646" t="s">
        <v>207</v>
      </c>
      <c r="C646" s="52" t="n">
        <v>2039</v>
      </c>
      <c r="D646" t="s">
        <v>190</v>
      </c>
      <c r="E646" s="53" t="n">
        <v>19188.9130547589</v>
      </c>
      <c r="F646" s="54" t="n">
        <v>13522.4015866054</v>
      </c>
      <c r="G646" s="55" t="n">
        <v>13516.7785061579</v>
      </c>
      <c r="H646" s="56" t="str">
        <f>G646-F646</f>
      </c>
      <c r="I646" s="57" t="n">
        <v>19174.3457459029</v>
      </c>
      <c r="J646" s="58" t="str">
        <f>I646-E646</f>
      </c>
    </row>
    <row r="647">
      <c r="A647" t="s">
        <v>205</v>
      </c>
      <c r="B647" t="s">
        <v>207</v>
      </c>
      <c r="C647" s="52" t="n">
        <v>2039</v>
      </c>
      <c r="D647" t="s">
        <v>230</v>
      </c>
      <c r="E647" s="53" t="n">
        <v>1207418.41071796</v>
      </c>
      <c r="F647" s="54" t="n">
        <v>243514.428459091</v>
      </c>
      <c r="G647" s="55" t="n">
        <v>243483.364034463</v>
      </c>
      <c r="H647" s="56" t="str">
        <f>G647-F647</f>
      </c>
      <c r="I647" s="57" t="n">
        <v>1206925.78308321</v>
      </c>
      <c r="J647" s="58" t="str">
        <f>I647-E647</f>
      </c>
    </row>
    <row r="648">
      <c r="A648" t="s">
        <v>205</v>
      </c>
      <c r="B648" t="s">
        <v>207</v>
      </c>
      <c r="C648" s="52" t="n">
        <v>2039</v>
      </c>
      <c r="D648" t="s">
        <v>166</v>
      </c>
      <c r="E648" s="53" t="n">
        <v>128115.347575269</v>
      </c>
      <c r="F648" s="54" t="n">
        <v>83430.326644744</v>
      </c>
      <c r="G648" s="55" t="n">
        <v>83389.1809587923</v>
      </c>
      <c r="H648" s="56" t="str">
        <f>G648-F648</f>
      </c>
      <c r="I648" s="57" t="n">
        <v>128001.347826374</v>
      </c>
      <c r="J648" s="58" t="str">
        <f>I648-E648</f>
      </c>
    </row>
    <row r="649">
      <c r="A649" t="s">
        <v>205</v>
      </c>
      <c r="B649" t="s">
        <v>207</v>
      </c>
      <c r="C649" s="52" t="n">
        <v>2039</v>
      </c>
      <c r="D649" t="s">
        <v>176</v>
      </c>
      <c r="E649" s="53" t="n">
        <v>273172.579563075</v>
      </c>
      <c r="F649" s="54" t="n">
        <v>257591.980512452</v>
      </c>
      <c r="G649" s="55" t="n">
        <v>257441.86914337</v>
      </c>
      <c r="H649" s="56" t="str">
        <f>G649-F649</f>
      </c>
      <c r="I649" s="57" t="n">
        <v>272973.34550101</v>
      </c>
      <c r="J649" s="58" t="str">
        <f>I649-E649</f>
      </c>
    </row>
    <row r="650">
      <c r="A650" t="s">
        <v>205</v>
      </c>
      <c r="B650" t="s">
        <v>207</v>
      </c>
      <c r="C650" s="52" t="n">
        <v>2039</v>
      </c>
      <c r="D650" t="s">
        <v>180</v>
      </c>
      <c r="E650" s="53" t="n">
        <v>715598.510812732</v>
      </c>
      <c r="F650" s="54" t="n">
        <v>418499.01149311</v>
      </c>
      <c r="G650" s="55" t="n">
        <v>428444.568481745</v>
      </c>
      <c r="H650" s="56" t="str">
        <f>G650-F650</f>
      </c>
      <c r="I650" s="57" t="n">
        <v>715580.887085385</v>
      </c>
      <c r="J650" s="58" t="str">
        <f>I650-E650</f>
      </c>
    </row>
    <row r="651">
      <c r="A651" t="s">
        <v>205</v>
      </c>
      <c r="B651" t="s">
        <v>207</v>
      </c>
      <c r="C651" s="52" t="n">
        <v>2039</v>
      </c>
      <c r="D651" t="s">
        <v>184</v>
      </c>
      <c r="E651" s="53" t="n">
        <v>363265.044798562</v>
      </c>
      <c r="F651" s="54" t="n">
        <v>192010.259704277</v>
      </c>
      <c r="G651" s="55" t="n">
        <v>191929.610855123</v>
      </c>
      <c r="H651" s="56" t="str">
        <f>G651-F651</f>
      </c>
      <c r="I651" s="57" t="n">
        <v>362969.198365508</v>
      </c>
      <c r="J651" s="58" t="str">
        <f>I651-E651</f>
      </c>
    </row>
    <row r="652">
      <c r="A652" t="s">
        <v>205</v>
      </c>
      <c r="B652" t="s">
        <v>207</v>
      </c>
      <c r="C652" s="52" t="n">
        <v>2039</v>
      </c>
      <c r="D652" t="s">
        <v>212</v>
      </c>
      <c r="E652" s="53" t="n">
        <v>36178.2354936631</v>
      </c>
      <c r="F652" s="54" t="n">
        <v>3198.02320404288</v>
      </c>
      <c r="G652" s="55" t="n">
        <v>3198.02305383022</v>
      </c>
      <c r="H652" s="56" t="str">
        <f>G652-F652</f>
      </c>
      <c r="I652" s="57" t="n">
        <v>36178.2238447184</v>
      </c>
      <c r="J652" s="58" t="str">
        <f>I652-E652</f>
      </c>
    </row>
    <row r="653">
      <c r="A653" t="s">
        <v>205</v>
      </c>
      <c r="B653" t="s">
        <v>207</v>
      </c>
      <c r="C653" s="52" t="n">
        <v>2040</v>
      </c>
      <c r="D653" t="s">
        <v>190</v>
      </c>
      <c r="E653" s="53" t="n">
        <v>19822.3634959898</v>
      </c>
      <c r="F653" s="54" t="n">
        <v>13886.3873590075</v>
      </c>
      <c r="G653" s="55" t="n">
        <v>13879.6732870407</v>
      </c>
      <c r="H653" s="56" t="str">
        <f>G653-F653</f>
      </c>
      <c r="I653" s="57" t="n">
        <v>19805.5058057648</v>
      </c>
      <c r="J653" s="58" t="str">
        <f>I653-E653</f>
      </c>
    </row>
    <row r="654">
      <c r="A654" t="s">
        <v>205</v>
      </c>
      <c r="B654" t="s">
        <v>207</v>
      </c>
      <c r="C654" s="52" t="n">
        <v>2040</v>
      </c>
      <c r="D654" t="s">
        <v>230</v>
      </c>
      <c r="E654" s="53" t="n">
        <v>1217585.78890629</v>
      </c>
      <c r="F654" s="54" t="n">
        <v>251629.742207217</v>
      </c>
      <c r="G654" s="55" t="n">
        <v>251591.898664867</v>
      </c>
      <c r="H654" s="56" t="str">
        <f>G654-F654</f>
      </c>
      <c r="I654" s="57" t="n">
        <v>1217029.49333677</v>
      </c>
      <c r="J654" s="58" t="str">
        <f>I654-E654</f>
      </c>
    </row>
    <row r="655">
      <c r="A655" t="s">
        <v>205</v>
      </c>
      <c r="B655" t="s">
        <v>207</v>
      </c>
      <c r="C655" s="52" t="n">
        <v>2040</v>
      </c>
      <c r="D655" t="s">
        <v>166</v>
      </c>
      <c r="E655" s="53" t="n">
        <v>130206.464207532</v>
      </c>
      <c r="F655" s="54" t="n">
        <v>84479.6567066521</v>
      </c>
      <c r="G655" s="55" t="n">
        <v>84431.8911758369</v>
      </c>
      <c r="H655" s="56" t="str">
        <f>G655-F655</f>
      </c>
      <c r="I655" s="57" t="n">
        <v>130079.117811465</v>
      </c>
      <c r="J655" s="58" t="str">
        <f>I655-E655</f>
      </c>
    </row>
    <row r="656">
      <c r="A656" t="s">
        <v>205</v>
      </c>
      <c r="B656" t="s">
        <v>207</v>
      </c>
      <c r="C656" s="52" t="n">
        <v>2040</v>
      </c>
      <c r="D656" t="s">
        <v>176</v>
      </c>
      <c r="E656" s="53" t="n">
        <v>272993.53748042</v>
      </c>
      <c r="F656" s="54" t="n">
        <v>257620.63683548</v>
      </c>
      <c r="G656" s="55" t="n">
        <v>257451.80463236</v>
      </c>
      <c r="H656" s="56" t="str">
        <f>G656-F656</f>
      </c>
      <c r="I656" s="57" t="n">
        <v>272772.692977532</v>
      </c>
      <c r="J656" s="58" t="str">
        <f>I656-E656</f>
      </c>
    </row>
    <row r="657">
      <c r="A657" t="s">
        <v>205</v>
      </c>
      <c r="B657" t="s">
        <v>207</v>
      </c>
      <c r="C657" s="52" t="n">
        <v>2040</v>
      </c>
      <c r="D657" t="s">
        <v>180</v>
      </c>
      <c r="E657" s="53" t="n">
        <v>725078.310043919</v>
      </c>
      <c r="F657" s="54" t="n">
        <v>424646.069571397</v>
      </c>
      <c r="G657" s="55" t="n">
        <v>435208.840989962</v>
      </c>
      <c r="H657" s="56" t="str">
        <f>G657-F657</f>
      </c>
      <c r="I657" s="57" t="n">
        <v>725057.851356544</v>
      </c>
      <c r="J657" s="58" t="str">
        <f>I657-E657</f>
      </c>
    </row>
    <row r="658">
      <c r="A658" t="s">
        <v>205</v>
      </c>
      <c r="B658" t="s">
        <v>207</v>
      </c>
      <c r="C658" s="52" t="n">
        <v>2040</v>
      </c>
      <c r="D658" t="s">
        <v>184</v>
      </c>
      <c r="E658" s="53" t="n">
        <v>367042.234748144</v>
      </c>
      <c r="F658" s="54" t="n">
        <v>193947.129958871</v>
      </c>
      <c r="G658" s="55" t="n">
        <v>193853.250747764</v>
      </c>
      <c r="H658" s="56" t="str">
        <f>G658-F658</f>
      </c>
      <c r="I658" s="57" t="n">
        <v>366714.045807884</v>
      </c>
      <c r="J658" s="58" t="str">
        <f>I658-E658</f>
      </c>
    </row>
    <row r="659">
      <c r="A659" t="s">
        <v>205</v>
      </c>
      <c r="B659" t="s">
        <v>207</v>
      </c>
      <c r="C659" s="52" t="n">
        <v>2040</v>
      </c>
      <c r="D659" t="s">
        <v>212</v>
      </c>
      <c r="E659" s="53" t="n">
        <v>36005.0403733657</v>
      </c>
      <c r="F659" s="54" t="n">
        <v>3069.25205145687</v>
      </c>
      <c r="G659" s="55" t="n">
        <v>3069.25189350158</v>
      </c>
      <c r="H659" s="56" t="str">
        <f>G659-F659</f>
      </c>
      <c r="I659" s="57" t="n">
        <v>36005.0280863419</v>
      </c>
      <c r="J659" s="58" t="str">
        <f>I659-E659</f>
      </c>
    </row>
    <row r="660">
      <c r="A660" t="s">
        <v>205</v>
      </c>
      <c r="B660" t="s">
        <v>207</v>
      </c>
      <c r="C660" s="52" t="n">
        <v>2041</v>
      </c>
      <c r="D660" t="s">
        <v>190</v>
      </c>
      <c r="E660" s="53" t="n">
        <v>20472.9756779012</v>
      </c>
      <c r="F660" s="54" t="n">
        <v>14257.4586700619</v>
      </c>
      <c r="G660" s="55" t="n">
        <v>14249.5364552167</v>
      </c>
      <c r="H660" s="56" t="str">
        <f>G660-F660</f>
      </c>
      <c r="I660" s="57" t="n">
        <v>20453.6267543422</v>
      </c>
      <c r="J660" s="58" t="str">
        <f>I660-E660</f>
      </c>
    </row>
    <row r="661">
      <c r="A661" t="s">
        <v>205</v>
      </c>
      <c r="B661" t="s">
        <v>207</v>
      </c>
      <c r="C661" s="52" t="n">
        <v>2041</v>
      </c>
      <c r="D661" t="s">
        <v>230</v>
      </c>
      <c r="E661" s="53" t="n">
        <v>1227247.68715795</v>
      </c>
      <c r="F661" s="54" t="n">
        <v>259722.691994119</v>
      </c>
      <c r="G661" s="55" t="n">
        <v>259677.195752453</v>
      </c>
      <c r="H661" s="56" t="str">
        <f>G661-F661</f>
      </c>
      <c r="I661" s="57" t="n">
        <v>1226624.81076703</v>
      </c>
      <c r="J661" s="58" t="str">
        <f>I661-E661</f>
      </c>
    </row>
    <row r="662">
      <c r="A662" t="s">
        <v>205</v>
      </c>
      <c r="B662" t="s">
        <v>207</v>
      </c>
      <c r="C662" s="52" t="n">
        <v>2041</v>
      </c>
      <c r="D662" t="s">
        <v>166</v>
      </c>
      <c r="E662" s="53" t="n">
        <v>132370.955131137</v>
      </c>
      <c r="F662" s="54" t="n">
        <v>85587.0793233197</v>
      </c>
      <c r="G662" s="55" t="n">
        <v>85532.3195906077</v>
      </c>
      <c r="H662" s="56" t="str">
        <f>G662-F662</f>
      </c>
      <c r="I662" s="57" t="n">
        <v>132229.629710176</v>
      </c>
      <c r="J662" s="58" t="str">
        <f>I662-E662</f>
      </c>
    </row>
    <row r="663">
      <c r="A663" t="s">
        <v>205</v>
      </c>
      <c r="B663" t="s">
        <v>207</v>
      </c>
      <c r="C663" s="52" t="n">
        <v>2041</v>
      </c>
      <c r="D663" t="s">
        <v>176</v>
      </c>
      <c r="E663" s="53" t="n">
        <v>272854.770293699</v>
      </c>
      <c r="F663" s="54" t="n">
        <v>257577.838487636</v>
      </c>
      <c r="G663" s="55" t="n">
        <v>257389.631754286</v>
      </c>
      <c r="H663" s="56" t="str">
        <f>G663-F663</f>
      </c>
      <c r="I663" s="57" t="n">
        <v>272611.753671291</v>
      </c>
      <c r="J663" s="58" t="str">
        <f>I663-E663</f>
      </c>
    </row>
    <row r="664">
      <c r="A664" t="s">
        <v>205</v>
      </c>
      <c r="B664" t="s">
        <v>207</v>
      </c>
      <c r="C664" s="52" t="n">
        <v>2041</v>
      </c>
      <c r="D664" t="s">
        <v>180</v>
      </c>
      <c r="E664" s="53" t="n">
        <v>734651.225283522</v>
      </c>
      <c r="F664" s="54" t="n">
        <v>431151.995146114</v>
      </c>
      <c r="G664" s="55" t="n">
        <v>442324.306406792</v>
      </c>
      <c r="H664" s="56" t="str">
        <f>G664-F664</f>
      </c>
      <c r="I664" s="57" t="n">
        <v>734627.740075405</v>
      </c>
      <c r="J664" s="58" t="str">
        <f>I664-E664</f>
      </c>
    </row>
    <row r="665">
      <c r="A665" t="s">
        <v>205</v>
      </c>
      <c r="B665" t="s">
        <v>207</v>
      </c>
      <c r="C665" s="52" t="n">
        <v>2041</v>
      </c>
      <c r="D665" t="s">
        <v>184</v>
      </c>
      <c r="E665" s="53" t="n">
        <v>370798.721796854</v>
      </c>
      <c r="F665" s="54" t="n">
        <v>196034.785590917</v>
      </c>
      <c r="G665" s="55" t="n">
        <v>195926.907201396</v>
      </c>
      <c r="H665" s="56" t="str">
        <f>G665-F665</f>
      </c>
      <c r="I665" s="57" t="n">
        <v>370436.975606793</v>
      </c>
      <c r="J665" s="58" t="str">
        <f>I665-E665</f>
      </c>
    </row>
    <row r="666">
      <c r="A666" t="s">
        <v>205</v>
      </c>
      <c r="B666" t="s">
        <v>207</v>
      </c>
      <c r="C666" s="52" t="n">
        <v>2041</v>
      </c>
      <c r="D666" t="s">
        <v>212</v>
      </c>
      <c r="E666" s="53" t="n">
        <v>35900.7780452439</v>
      </c>
      <c r="F666" s="54" t="n">
        <v>2944.01568923157</v>
      </c>
      <c r="G666" s="55" t="n">
        <v>2944.01552271229</v>
      </c>
      <c r="H666" s="56" t="str">
        <f>G666-F666</f>
      </c>
      <c r="I666" s="57" t="n">
        <v>35900.7650540721</v>
      </c>
      <c r="J666" s="58" t="str">
        <f>I666-E666</f>
      </c>
    </row>
    <row r="667">
      <c r="A667" t="s">
        <v>205</v>
      </c>
      <c r="B667" t="s">
        <v>207</v>
      </c>
      <c r="C667" s="52" t="n">
        <v>2042</v>
      </c>
      <c r="D667" t="s">
        <v>190</v>
      </c>
      <c r="E667" s="53" t="n">
        <v>21137.6119062186</v>
      </c>
      <c r="F667" s="54" t="n">
        <v>14635.5707968019</v>
      </c>
      <c r="G667" s="55" t="n">
        <v>14626.3190066004</v>
      </c>
      <c r="H667" s="56" t="str">
        <f>G667-F667</f>
      </c>
      <c r="I667" s="57" t="n">
        <v>21115.5817026885</v>
      </c>
      <c r="J667" s="58" t="str">
        <f>I667-E667</f>
      </c>
    </row>
    <row r="668">
      <c r="A668" t="s">
        <v>205</v>
      </c>
      <c r="B668" t="s">
        <v>207</v>
      </c>
      <c r="C668" s="52" t="n">
        <v>2042</v>
      </c>
      <c r="D668" t="s">
        <v>230</v>
      </c>
      <c r="E668" s="53" t="n">
        <v>1236395.92883454</v>
      </c>
      <c r="F668" s="54" t="n">
        <v>267832.791152126</v>
      </c>
      <c r="G668" s="55" t="n">
        <v>267778.732534162</v>
      </c>
      <c r="H668" s="56" t="str">
        <f>G668-F668</f>
      </c>
      <c r="I668" s="57" t="n">
        <v>1235703.75022274</v>
      </c>
      <c r="J668" s="58" t="str">
        <f>I668-E668</f>
      </c>
    </row>
    <row r="669">
      <c r="A669" t="s">
        <v>205</v>
      </c>
      <c r="B669" t="s">
        <v>207</v>
      </c>
      <c r="C669" s="52" t="n">
        <v>2042</v>
      </c>
      <c r="D669" t="s">
        <v>166</v>
      </c>
      <c r="E669" s="53" t="n">
        <v>134507.301838979</v>
      </c>
      <c r="F669" s="54" t="n">
        <v>86719.4294197922</v>
      </c>
      <c r="G669" s="55" t="n">
        <v>86657.3132213297</v>
      </c>
      <c r="H669" s="56" t="str">
        <f>G669-F669</f>
      </c>
      <c r="I669" s="57" t="n">
        <v>134351.626048708</v>
      </c>
      <c r="J669" s="58" t="str">
        <f>I669-E669</f>
      </c>
    </row>
    <row r="670">
      <c r="A670" t="s">
        <v>205</v>
      </c>
      <c r="B670" t="s">
        <v>207</v>
      </c>
      <c r="C670" s="52" t="n">
        <v>2042</v>
      </c>
      <c r="D670" t="s">
        <v>176</v>
      </c>
      <c r="E670" s="53" t="n">
        <v>272546.275556526</v>
      </c>
      <c r="F670" s="54" t="n">
        <v>257406.485274185</v>
      </c>
      <c r="G670" s="55" t="n">
        <v>257198.349756019</v>
      </c>
      <c r="H670" s="56" t="str">
        <f>G670-F670</f>
      </c>
      <c r="I670" s="57" t="n">
        <v>272280.658720601</v>
      </c>
      <c r="J670" s="58" t="str">
        <f>I670-E670</f>
      </c>
    </row>
    <row r="671">
      <c r="A671" t="s">
        <v>205</v>
      </c>
      <c r="B671" t="s">
        <v>207</v>
      </c>
      <c r="C671" s="52" t="n">
        <v>2042</v>
      </c>
      <c r="D671" t="s">
        <v>180</v>
      </c>
      <c r="E671" s="53" t="n">
        <v>744339.956717483</v>
      </c>
      <c r="F671" s="54" t="n">
        <v>437823.014018079</v>
      </c>
      <c r="G671" s="55" t="n">
        <v>449601.261227495</v>
      </c>
      <c r="H671" s="56" t="str">
        <f>G671-F671</f>
      </c>
      <c r="I671" s="57" t="n">
        <v>744313.272667757</v>
      </c>
      <c r="J671" s="58" t="str">
        <f>I671-E671</f>
      </c>
    </row>
    <row r="672">
      <c r="A672" t="s">
        <v>205</v>
      </c>
      <c r="B672" t="s">
        <v>207</v>
      </c>
      <c r="C672" s="52" t="n">
        <v>2042</v>
      </c>
      <c r="D672" t="s">
        <v>184</v>
      </c>
      <c r="E672" s="53" t="n">
        <v>374815.284178344</v>
      </c>
      <c r="F672" s="54" t="n">
        <v>198205.437184197</v>
      </c>
      <c r="G672" s="55" t="n">
        <v>198082.814103714</v>
      </c>
      <c r="H672" s="56" t="str">
        <f>G672-F672</f>
      </c>
      <c r="I672" s="57" t="n">
        <v>374419.262045636</v>
      </c>
      <c r="J672" s="58" t="str">
        <f>I672-E672</f>
      </c>
    </row>
    <row r="673">
      <c r="A673" t="s">
        <v>205</v>
      </c>
      <c r="B673" t="s">
        <v>207</v>
      </c>
      <c r="C673" s="52" t="n">
        <v>2042</v>
      </c>
      <c r="D673" t="s">
        <v>212</v>
      </c>
      <c r="E673" s="53" t="n">
        <v>35516.8543834469</v>
      </c>
      <c r="F673" s="54" t="n">
        <v>2820.51238810677</v>
      </c>
      <c r="G673" s="55" t="n">
        <v>2820.51221264468</v>
      </c>
      <c r="H673" s="56" t="str">
        <f>G673-F673</f>
      </c>
      <c r="I673" s="57" t="n">
        <v>35516.8405935332</v>
      </c>
      <c r="J673" s="58" t="str">
        <f>I673-E673</f>
      </c>
    </row>
    <row r="674">
      <c r="A674" t="s">
        <v>205</v>
      </c>
      <c r="B674" t="s">
        <v>207</v>
      </c>
      <c r="C674" s="52" t="n">
        <v>2043</v>
      </c>
      <c r="D674" t="s">
        <v>190</v>
      </c>
      <c r="E674" s="53" t="n">
        <v>21814.0418479151</v>
      </c>
      <c r="F674" s="54" t="n">
        <v>15014.7918642163</v>
      </c>
      <c r="G674" s="55" t="n">
        <v>15004.0861158129</v>
      </c>
      <c r="H674" s="56" t="str">
        <f>G674-F674</f>
      </c>
      <c r="I674" s="57" t="n">
        <v>21789.1256560335</v>
      </c>
      <c r="J674" s="58" t="str">
        <f>I674-E674</f>
      </c>
    </row>
    <row r="675">
      <c r="A675" t="s">
        <v>205</v>
      </c>
      <c r="B675" t="s">
        <v>207</v>
      </c>
      <c r="C675" s="52" t="n">
        <v>2043</v>
      </c>
      <c r="D675" t="s">
        <v>230</v>
      </c>
      <c r="E675" s="53" t="n">
        <v>1245010.59323495</v>
      </c>
      <c r="F675" s="54" t="n">
        <v>275940.577915693</v>
      </c>
      <c r="G675" s="55" t="n">
        <v>275876.995486318</v>
      </c>
      <c r="H675" s="56" t="str">
        <f>G675-F675</f>
      </c>
      <c r="I675" s="57" t="n">
        <v>1244246.51153606</v>
      </c>
      <c r="J675" s="58" t="str">
        <f>I675-E675</f>
      </c>
    </row>
    <row r="676">
      <c r="A676" t="s">
        <v>205</v>
      </c>
      <c r="B676" t="s">
        <v>207</v>
      </c>
      <c r="C676" s="52" t="n">
        <v>2043</v>
      </c>
      <c r="D676" t="s">
        <v>166</v>
      </c>
      <c r="E676" s="53" t="n">
        <v>136772.124006032</v>
      </c>
      <c r="F676" s="54" t="n">
        <v>87848.8374302054</v>
      </c>
      <c r="G676" s="55" t="n">
        <v>87779.034425801</v>
      </c>
      <c r="H676" s="56" t="str">
        <f>G676-F676</f>
      </c>
      <c r="I676" s="57" t="n">
        <v>136601.974960575</v>
      </c>
      <c r="J676" s="58" t="str">
        <f>I676-E676</f>
      </c>
    </row>
    <row r="677">
      <c r="A677" t="s">
        <v>205</v>
      </c>
      <c r="B677" t="s">
        <v>207</v>
      </c>
      <c r="C677" s="52" t="n">
        <v>2043</v>
      </c>
      <c r="D677" t="s">
        <v>176</v>
      </c>
      <c r="E677" s="53" t="n">
        <v>271978.422415759</v>
      </c>
      <c r="F677" s="54" t="n">
        <v>257006.138615832</v>
      </c>
      <c r="G677" s="55" t="n">
        <v>256777.587157068</v>
      </c>
      <c r="H677" s="56" t="str">
        <f>G677-F677</f>
      </c>
      <c r="I677" s="57" t="n">
        <v>271689.794226751</v>
      </c>
      <c r="J677" s="58" t="str">
        <f>I677-E677</f>
      </c>
    </row>
    <row r="678">
      <c r="A678" t="s">
        <v>205</v>
      </c>
      <c r="B678" t="s">
        <v>207</v>
      </c>
      <c r="C678" s="52" t="n">
        <v>2043</v>
      </c>
      <c r="D678" t="s">
        <v>180</v>
      </c>
      <c r="E678" s="53" t="n">
        <v>754400.912241683</v>
      </c>
      <c r="F678" s="54" t="n">
        <v>444537.785458712</v>
      </c>
      <c r="G678" s="55" t="n">
        <v>456915.722046172</v>
      </c>
      <c r="H678" s="56" t="str">
        <f>G678-F678</f>
      </c>
      <c r="I678" s="57" t="n">
        <v>754370.892413502</v>
      </c>
      <c r="J678" s="58" t="str">
        <f>I678-E678</f>
      </c>
    </row>
    <row r="679">
      <c r="A679" t="s">
        <v>205</v>
      </c>
      <c r="B679" t="s">
        <v>207</v>
      </c>
      <c r="C679" s="52" t="n">
        <v>2043</v>
      </c>
      <c r="D679" t="s">
        <v>184</v>
      </c>
      <c r="E679" s="53" t="n">
        <v>379196.680525559</v>
      </c>
      <c r="F679" s="54" t="n">
        <v>200342.253074967</v>
      </c>
      <c r="G679" s="55" t="n">
        <v>200204.274251736</v>
      </c>
      <c r="H679" s="56" t="str">
        <f>G679-F679</f>
      </c>
      <c r="I679" s="57" t="n">
        <v>378766.534515357</v>
      </c>
      <c r="J679" s="58" t="str">
        <f>I679-E679</f>
      </c>
    </row>
    <row r="680">
      <c r="A680" t="s">
        <v>205</v>
      </c>
      <c r="B680" t="s">
        <v>207</v>
      </c>
      <c r="C680" s="52" t="n">
        <v>2043</v>
      </c>
      <c r="D680" t="s">
        <v>212</v>
      </c>
      <c r="E680" s="53" t="n">
        <v>35328.7878037089</v>
      </c>
      <c r="F680" s="54" t="n">
        <v>2698.33111355991</v>
      </c>
      <c r="G680" s="55" t="n">
        <v>2698.33092960504</v>
      </c>
      <c r="H680" s="56" t="str">
        <f>G680-F680</f>
      </c>
      <c r="I680" s="57" t="n">
        <v>35328.7732033082</v>
      </c>
      <c r="J680" s="58" t="str">
        <f>I680-E680</f>
      </c>
    </row>
    <row r="681">
      <c r="A681" t="s">
        <v>205</v>
      </c>
      <c r="B681" t="s">
        <v>207</v>
      </c>
      <c r="C681" s="52" t="n">
        <v>2044</v>
      </c>
      <c r="D681" t="s">
        <v>190</v>
      </c>
      <c r="E681" s="53" t="n">
        <v>22500.4027178293</v>
      </c>
      <c r="F681" s="54" t="n">
        <v>15400.9242250712</v>
      </c>
      <c r="G681" s="55" t="n">
        <v>15388.6382618872</v>
      </c>
      <c r="H681" s="56" t="str">
        <f>G681-F681</f>
      </c>
      <c r="I681" s="57" t="n">
        <v>22472.4057787798</v>
      </c>
      <c r="J681" s="58" t="str">
        <f>I681-E681</f>
      </c>
    </row>
    <row r="682">
      <c r="A682" t="s">
        <v>205</v>
      </c>
      <c r="B682" t="s">
        <v>207</v>
      </c>
      <c r="C682" s="52" t="n">
        <v>2044</v>
      </c>
      <c r="D682" t="s">
        <v>230</v>
      </c>
      <c r="E682" s="53" t="n">
        <v>1253358.2515995</v>
      </c>
      <c r="F682" s="54" t="n">
        <v>283976.126519999</v>
      </c>
      <c r="G682" s="55" t="n">
        <v>283902.050416871</v>
      </c>
      <c r="H682" s="56" t="str">
        <f>G682-F682</f>
      </c>
      <c r="I682" s="57" t="n">
        <v>1252519.7576167</v>
      </c>
      <c r="J682" s="58" t="str">
        <f>I682-E682</f>
      </c>
    </row>
    <row r="683">
      <c r="A683" t="s">
        <v>205</v>
      </c>
      <c r="B683" t="s">
        <v>207</v>
      </c>
      <c r="C683" s="52" t="n">
        <v>2044</v>
      </c>
      <c r="D683" t="s">
        <v>166</v>
      </c>
      <c r="E683" s="53" t="n">
        <v>138317.964461342</v>
      </c>
      <c r="F683" s="54" t="n">
        <v>88990.2663118145</v>
      </c>
      <c r="G683" s="55" t="n">
        <v>88912.4462868978</v>
      </c>
      <c r="H683" s="56" t="str">
        <f>G683-F683</f>
      </c>
      <c r="I683" s="57" t="n">
        <v>138127.807492249</v>
      </c>
      <c r="J683" s="58" t="str">
        <f>I683-E683</f>
      </c>
    </row>
    <row r="684">
      <c r="A684" t="s">
        <v>205</v>
      </c>
      <c r="B684" t="s">
        <v>207</v>
      </c>
      <c r="C684" s="52" t="n">
        <v>2044</v>
      </c>
      <c r="D684" t="s">
        <v>176</v>
      </c>
      <c r="E684" s="53" t="n">
        <v>271292.599134638</v>
      </c>
      <c r="F684" s="54" t="n">
        <v>256685.259594308</v>
      </c>
      <c r="G684" s="55" t="n">
        <v>256436.399818879</v>
      </c>
      <c r="H684" s="56" t="str">
        <f>G684-F684</f>
      </c>
      <c r="I684" s="57" t="n">
        <v>270981.060601887</v>
      </c>
      <c r="J684" s="58" t="str">
        <f>I684-E684</f>
      </c>
    </row>
    <row r="685">
      <c r="A685" t="s">
        <v>205</v>
      </c>
      <c r="B685" t="s">
        <v>207</v>
      </c>
      <c r="C685" s="52" t="n">
        <v>2044</v>
      </c>
      <c r="D685" t="s">
        <v>180</v>
      </c>
      <c r="E685" s="53" t="n">
        <v>760785.53408744</v>
      </c>
      <c r="F685" s="54" t="n">
        <v>451261.632981178</v>
      </c>
      <c r="G685" s="55" t="n">
        <v>464236.623828497</v>
      </c>
      <c r="H685" s="56" t="str">
        <f>G685-F685</f>
      </c>
      <c r="I685" s="57" t="n">
        <v>760751.529161819</v>
      </c>
      <c r="J685" s="58" t="str">
        <f>I685-E685</f>
      </c>
    </row>
    <row r="686">
      <c r="A686" t="s">
        <v>205</v>
      </c>
      <c r="B686" t="s">
        <v>207</v>
      </c>
      <c r="C686" s="52" t="n">
        <v>2044</v>
      </c>
      <c r="D686" t="s">
        <v>184</v>
      </c>
      <c r="E686" s="53" t="n">
        <v>381234.408537796</v>
      </c>
      <c r="F686" s="54" t="n">
        <v>202916.493259462</v>
      </c>
      <c r="G686" s="55" t="n">
        <v>202762.435405402</v>
      </c>
      <c r="H686" s="56" t="str">
        <f>G686-F686</f>
      </c>
      <c r="I686" s="57" t="n">
        <v>380754.514374576</v>
      </c>
      <c r="J686" s="58" t="str">
        <f>I686-E686</f>
      </c>
    </row>
    <row r="687">
      <c r="A687" t="s">
        <v>205</v>
      </c>
      <c r="B687" t="s">
        <v>207</v>
      </c>
      <c r="C687" s="52" t="n">
        <v>2044</v>
      </c>
      <c r="D687" t="s">
        <v>212</v>
      </c>
      <c r="E687" s="53" t="n">
        <v>35046.721141495</v>
      </c>
      <c r="F687" s="54" t="n">
        <v>2573.79280691545</v>
      </c>
      <c r="G687" s="55" t="n">
        <v>2573.79262430521</v>
      </c>
      <c r="H687" s="56" t="str">
        <f>G687-F687</f>
      </c>
      <c r="I687" s="57" t="n">
        <v>35046.7052079593</v>
      </c>
      <c r="J687" s="58" t="str">
        <f>I687-E687</f>
      </c>
    </row>
    <row r="688">
      <c r="A688" t="s">
        <v>205</v>
      </c>
      <c r="B688" t="s">
        <v>207</v>
      </c>
      <c r="C688" s="52" t="n">
        <v>2045</v>
      </c>
      <c r="D688" t="s">
        <v>190</v>
      </c>
      <c r="E688" s="53" t="n">
        <v>23198.2054062011</v>
      </c>
      <c r="F688" s="54" t="n">
        <v>15785.7131564535</v>
      </c>
      <c r="G688" s="55" t="n">
        <v>15771.7189092791</v>
      </c>
      <c r="H688" s="56" t="str">
        <f>G688-F688</f>
      </c>
      <c r="I688" s="57" t="n">
        <v>23166.9456880515</v>
      </c>
      <c r="J688" s="58" t="str">
        <f>I688-E688</f>
      </c>
    </row>
    <row r="689">
      <c r="A689" t="s">
        <v>205</v>
      </c>
      <c r="B689" t="s">
        <v>207</v>
      </c>
      <c r="C689" s="52" t="n">
        <v>2045</v>
      </c>
      <c r="D689" t="s">
        <v>230</v>
      </c>
      <c r="E689" s="53" t="n">
        <v>1261507.83551063</v>
      </c>
      <c r="F689" s="54" t="n">
        <v>291907.428293483</v>
      </c>
      <c r="G689" s="55" t="n">
        <v>291822.027540257</v>
      </c>
      <c r="H689" s="56" t="str">
        <f>G689-F689</f>
      </c>
      <c r="I689" s="57" t="n">
        <v>1260592.98702146</v>
      </c>
      <c r="J689" s="58" t="str">
        <f>I689-E689</f>
      </c>
    </row>
    <row r="690">
      <c r="A690" t="s">
        <v>205</v>
      </c>
      <c r="B690" t="s">
        <v>207</v>
      </c>
      <c r="C690" s="52" t="n">
        <v>2045</v>
      </c>
      <c r="D690" t="s">
        <v>166</v>
      </c>
      <c r="E690" s="53" t="n">
        <v>140378.937549931</v>
      </c>
      <c r="F690" s="54" t="n">
        <v>90127.8745000531</v>
      </c>
      <c r="G690" s="55" t="n">
        <v>90041.6045905888</v>
      </c>
      <c r="H690" s="56" t="str">
        <f>G690-F690</f>
      </c>
      <c r="I690" s="57" t="n">
        <v>140172.774815525</v>
      </c>
      <c r="J690" s="58" t="str">
        <f>I690-E690</f>
      </c>
    </row>
    <row r="691">
      <c r="A691" t="s">
        <v>205</v>
      </c>
      <c r="B691" t="s">
        <v>207</v>
      </c>
      <c r="C691" s="52" t="n">
        <v>2045</v>
      </c>
      <c r="D691" t="s">
        <v>176</v>
      </c>
      <c r="E691" s="53" t="n">
        <v>270773.307349719</v>
      </c>
      <c r="F691" s="54" t="n">
        <v>256246.464776977</v>
      </c>
      <c r="G691" s="55" t="n">
        <v>255976.908113305</v>
      </c>
      <c r="H691" s="56" t="str">
        <f>G691-F691</f>
      </c>
      <c r="I691" s="57" t="n">
        <v>270438.603152282</v>
      </c>
      <c r="J691" s="58" t="str">
        <f>I691-E691</f>
      </c>
    </row>
    <row r="692">
      <c r="A692" t="s">
        <v>205</v>
      </c>
      <c r="B692" t="s">
        <v>207</v>
      </c>
      <c r="C692" s="52" t="n">
        <v>2045</v>
      </c>
      <c r="D692" t="s">
        <v>180</v>
      </c>
      <c r="E692" s="53" t="n">
        <v>769351.531167591</v>
      </c>
      <c r="F692" s="54" t="n">
        <v>457372.689534118</v>
      </c>
      <c r="G692" s="55" t="n">
        <v>470920.29436777</v>
      </c>
      <c r="H692" s="56" t="str">
        <f>G692-F692</f>
      </c>
      <c r="I692" s="57" t="n">
        <v>769313.803212411</v>
      </c>
      <c r="J692" s="58" t="str">
        <f>I692-E692</f>
      </c>
    </row>
    <row r="693">
      <c r="A693" t="s">
        <v>205</v>
      </c>
      <c r="B693" t="s">
        <v>207</v>
      </c>
      <c r="C693" s="52" t="n">
        <v>2045</v>
      </c>
      <c r="D693" t="s">
        <v>184</v>
      </c>
      <c r="E693" s="53" t="n">
        <v>384452.924844807</v>
      </c>
      <c r="F693" s="54" t="n">
        <v>205040.437194064</v>
      </c>
      <c r="G693" s="55" t="n">
        <v>204869.328897989</v>
      </c>
      <c r="H693" s="56" t="str">
        <f>G693-F693</f>
      </c>
      <c r="I693" s="57" t="n">
        <v>383936.192524615</v>
      </c>
      <c r="J693" s="58" t="str">
        <f>I693-E693</f>
      </c>
    </row>
    <row r="694">
      <c r="A694" t="s">
        <v>205</v>
      </c>
      <c r="B694" t="s">
        <v>207</v>
      </c>
      <c r="C694" s="52" t="n">
        <v>2045</v>
      </c>
      <c r="D694" t="s">
        <v>212</v>
      </c>
      <c r="E694" s="53" t="n">
        <v>34846.7320327754</v>
      </c>
      <c r="F694" s="54" t="n">
        <v>2452.7472565704</v>
      </c>
      <c r="G694" s="55" t="n">
        <v>2452.74707379338</v>
      </c>
      <c r="H694" s="56" t="str">
        <f>G694-F694</f>
      </c>
      <c r="I694" s="57" t="n">
        <v>34846.7151562227</v>
      </c>
      <c r="J694" s="58" t="str">
        <f>I694-E694</f>
      </c>
    </row>
    <row r="695">
      <c r="A695" t="s">
        <v>205</v>
      </c>
      <c r="B695" t="s">
        <v>207</v>
      </c>
      <c r="C695" s="52" t="n">
        <v>2046</v>
      </c>
      <c r="D695" t="s">
        <v>190</v>
      </c>
      <c r="E695" s="53" t="n">
        <v>23902.9225483161</v>
      </c>
      <c r="F695" s="54" t="n">
        <v>16181.1096301217</v>
      </c>
      <c r="G695" s="55" t="n">
        <v>16165.2905403234</v>
      </c>
      <c r="H695" s="56" t="str">
        <f>G695-F695</f>
      </c>
      <c r="I695" s="57" t="n">
        <v>23868.2179440388</v>
      </c>
      <c r="J695" s="58" t="str">
        <f>I695-E695</f>
      </c>
    </row>
    <row r="696">
      <c r="A696" t="s">
        <v>205</v>
      </c>
      <c r="B696" t="s">
        <v>207</v>
      </c>
      <c r="C696" s="52" t="n">
        <v>2046</v>
      </c>
      <c r="D696" t="s">
        <v>230</v>
      </c>
      <c r="E696" s="53" t="n">
        <v>1269469.12518373</v>
      </c>
      <c r="F696" s="54" t="n">
        <v>299694.588183489</v>
      </c>
      <c r="G696" s="55" t="n">
        <v>299596.928666138</v>
      </c>
      <c r="H696" s="56" t="str">
        <f>G696-F696</f>
      </c>
      <c r="I696" s="57" t="n">
        <v>1268475.95633212</v>
      </c>
      <c r="J696" s="58" t="str">
        <f>I696-E696</f>
      </c>
    </row>
    <row r="697">
      <c r="A697" t="s">
        <v>205</v>
      </c>
      <c r="B697" t="s">
        <v>207</v>
      </c>
      <c r="C697" s="52" t="n">
        <v>2046</v>
      </c>
      <c r="D697" t="s">
        <v>166</v>
      </c>
      <c r="E697" s="53" t="n">
        <v>142416.80271614</v>
      </c>
      <c r="F697" s="54" t="n">
        <v>91293.9359562377</v>
      </c>
      <c r="G697" s="55" t="n">
        <v>91198.8909425984</v>
      </c>
      <c r="H697" s="56" t="str">
        <f>G697-F697</f>
      </c>
      <c r="I697" s="57" t="n">
        <v>142194.053650607</v>
      </c>
      <c r="J697" s="58" t="str">
        <f>I697-E697</f>
      </c>
    </row>
    <row r="698">
      <c r="A698" t="s">
        <v>205</v>
      </c>
      <c r="B698" t="s">
        <v>207</v>
      </c>
      <c r="C698" s="52" t="n">
        <v>2046</v>
      </c>
      <c r="D698" t="s">
        <v>176</v>
      </c>
      <c r="E698" s="53" t="n">
        <v>270281.368816674</v>
      </c>
      <c r="F698" s="54" t="n">
        <v>255721.797134982</v>
      </c>
      <c r="G698" s="55" t="n">
        <v>255431.161412817</v>
      </c>
      <c r="H698" s="56" t="str">
        <f>G698-F698</f>
      </c>
      <c r="I698" s="57" t="n">
        <v>269923.251682947</v>
      </c>
      <c r="J698" s="58" t="str">
        <f>I698-E698</f>
      </c>
    </row>
    <row r="699">
      <c r="A699" t="s">
        <v>205</v>
      </c>
      <c r="B699" t="s">
        <v>207</v>
      </c>
      <c r="C699" s="52" t="n">
        <v>2046</v>
      </c>
      <c r="D699" t="s">
        <v>180</v>
      </c>
      <c r="E699" s="53" t="n">
        <v>778137.464605332</v>
      </c>
      <c r="F699" s="54" t="n">
        <v>463714.02577603</v>
      </c>
      <c r="G699" s="55" t="n">
        <v>477828.931731945</v>
      </c>
      <c r="H699" s="56" t="str">
        <f>G699-F699</f>
      </c>
      <c r="I699" s="57" t="n">
        <v>778095.842672562</v>
      </c>
      <c r="J699" s="58" t="str">
        <f>I699-E699</f>
      </c>
    </row>
    <row r="700">
      <c r="A700" t="s">
        <v>205</v>
      </c>
      <c r="B700" t="s">
        <v>207</v>
      </c>
      <c r="C700" s="52" t="n">
        <v>2046</v>
      </c>
      <c r="D700" t="s">
        <v>184</v>
      </c>
      <c r="E700" s="53" t="n">
        <v>387705.950299405</v>
      </c>
      <c r="F700" s="54" t="n">
        <v>207237.708783013</v>
      </c>
      <c r="G700" s="55" t="n">
        <v>207048.945254603</v>
      </c>
      <c r="H700" s="56" t="str">
        <f>G700-F700</f>
      </c>
      <c r="I700" s="57" t="n">
        <v>387151.427044792</v>
      </c>
      <c r="J700" s="58" t="str">
        <f>I700-E700</f>
      </c>
    </row>
    <row r="701">
      <c r="A701" t="s">
        <v>205</v>
      </c>
      <c r="B701" t="s">
        <v>207</v>
      </c>
      <c r="C701" s="52" t="n">
        <v>2046</v>
      </c>
      <c r="D701" t="s">
        <v>212</v>
      </c>
      <c r="E701" s="53" t="n">
        <v>34688.3146333699</v>
      </c>
      <c r="F701" s="54" t="n">
        <v>2335.67279481865</v>
      </c>
      <c r="G701" s="55" t="n">
        <v>2335.67260927364</v>
      </c>
      <c r="H701" s="56" t="str">
        <f>G701-F701</f>
      </c>
      <c r="I701" s="57" t="n">
        <v>34688.296767041</v>
      </c>
      <c r="J701" s="58" t="str">
        <f>I701-E701</f>
      </c>
    </row>
    <row r="702">
      <c r="A702" t="s">
        <v>205</v>
      </c>
      <c r="B702" t="s">
        <v>207</v>
      </c>
      <c r="C702" s="52" t="n">
        <v>2047</v>
      </c>
      <c r="D702" t="s">
        <v>190</v>
      </c>
      <c r="E702" s="53" t="n">
        <v>24614.0140714436</v>
      </c>
      <c r="F702" s="54" t="n">
        <v>16586.33604655</v>
      </c>
      <c r="G702" s="55" t="n">
        <v>16568.5748299244</v>
      </c>
      <c r="H702" s="56" t="str">
        <f>G702-F702</f>
      </c>
      <c r="I702" s="57" t="n">
        <v>24575.6851293632</v>
      </c>
      <c r="J702" s="58" t="str">
        <f>I702-E702</f>
      </c>
    </row>
    <row r="703">
      <c r="A703" t="s">
        <v>205</v>
      </c>
      <c r="B703" t="s">
        <v>207</v>
      </c>
      <c r="C703" s="52" t="n">
        <v>2047</v>
      </c>
      <c r="D703" t="s">
        <v>230</v>
      </c>
      <c r="E703" s="53" t="n">
        <v>1277146.80690214</v>
      </c>
      <c r="F703" s="54" t="n">
        <v>307286.841576968</v>
      </c>
      <c r="G703" s="55" t="n">
        <v>307176.008738621</v>
      </c>
      <c r="H703" s="56" t="str">
        <f>G703-F703</f>
      </c>
      <c r="I703" s="57" t="n">
        <v>1276073.48469778</v>
      </c>
      <c r="J703" s="58" t="str">
        <f>I703-E703</f>
      </c>
    </row>
    <row r="704">
      <c r="A704" t="s">
        <v>205</v>
      </c>
      <c r="B704" t="s">
        <v>207</v>
      </c>
      <c r="C704" s="52" t="n">
        <v>2047</v>
      </c>
      <c r="D704" t="s">
        <v>166</v>
      </c>
      <c r="E704" s="53" t="n">
        <v>144485.753724567</v>
      </c>
      <c r="F704" s="54" t="n">
        <v>92437.9775597077</v>
      </c>
      <c r="G704" s="55" t="n">
        <v>92333.8882911569</v>
      </c>
      <c r="H704" s="56" t="str">
        <f>G704-F704</f>
      </c>
      <c r="I704" s="57" t="n">
        <v>144246.070856709</v>
      </c>
      <c r="J704" s="58" t="str">
        <f>I704-E704</f>
      </c>
    </row>
    <row r="705">
      <c r="A705" t="s">
        <v>205</v>
      </c>
      <c r="B705" t="s">
        <v>207</v>
      </c>
      <c r="C705" s="52" t="n">
        <v>2047</v>
      </c>
      <c r="D705" t="s">
        <v>176</v>
      </c>
      <c r="E705" s="53" t="n">
        <v>269527.394429379</v>
      </c>
      <c r="F705" s="54" t="n">
        <v>255072.752072261</v>
      </c>
      <c r="G705" s="55" t="n">
        <v>254760.803670819</v>
      </c>
      <c r="H705" s="56" t="str">
        <f>G705-F705</f>
      </c>
      <c r="I705" s="57" t="n">
        <v>269145.730668352</v>
      </c>
      <c r="J705" s="58" t="str">
        <f>I705-E705</f>
      </c>
    </row>
    <row r="706">
      <c r="A706" t="s">
        <v>205</v>
      </c>
      <c r="B706" t="s">
        <v>207</v>
      </c>
      <c r="C706" s="52" t="n">
        <v>2047</v>
      </c>
      <c r="D706" t="s">
        <v>180</v>
      </c>
      <c r="E706" s="53" t="n">
        <v>786913.006977592</v>
      </c>
      <c r="F706" s="54" t="n">
        <v>469991.135878057</v>
      </c>
      <c r="G706" s="55" t="n">
        <v>484667.16956347</v>
      </c>
      <c r="H706" s="56" t="str">
        <f>G706-F706</f>
      </c>
      <c r="I706" s="57" t="n">
        <v>786867.366017657</v>
      </c>
      <c r="J706" s="58" t="str">
        <f>I706-E706</f>
      </c>
    </row>
    <row r="707">
      <c r="A707" t="s">
        <v>205</v>
      </c>
      <c r="B707" t="s">
        <v>207</v>
      </c>
      <c r="C707" s="52" t="n">
        <v>2047</v>
      </c>
      <c r="D707" t="s">
        <v>184</v>
      </c>
      <c r="E707" s="53" t="n">
        <v>391190.591690649</v>
      </c>
      <c r="F707" s="54" t="n">
        <v>209367.730926941</v>
      </c>
      <c r="G707" s="55" t="n">
        <v>209160.858915749</v>
      </c>
      <c r="H707" s="56" t="str">
        <f>G707-F707</f>
      </c>
      <c r="I707" s="57" t="n">
        <v>390597.57749153</v>
      </c>
      <c r="J707" s="58" t="str">
        <f>I707-E707</f>
      </c>
    </row>
    <row r="708">
      <c r="A708" t="s">
        <v>205</v>
      </c>
      <c r="B708" t="s">
        <v>207</v>
      </c>
      <c r="C708" s="52" t="n">
        <v>2047</v>
      </c>
      <c r="D708" t="s">
        <v>212</v>
      </c>
      <c r="E708" s="53" t="n">
        <v>34402.4730571085</v>
      </c>
      <c r="F708" s="54" t="n">
        <v>2222.25197352683</v>
      </c>
      <c r="G708" s="55" t="n">
        <v>2222.25178382332</v>
      </c>
      <c r="H708" s="56" t="str">
        <f>G708-F708</f>
      </c>
      <c r="I708" s="57" t="n">
        <v>34402.454286142</v>
      </c>
      <c r="J708" s="58" t="str">
        <f>I708-E708</f>
      </c>
    </row>
    <row r="709">
      <c r="A709" t="s">
        <v>205</v>
      </c>
      <c r="B709" t="s">
        <v>207</v>
      </c>
      <c r="C709" s="52" t="n">
        <v>2048</v>
      </c>
      <c r="D709" t="s">
        <v>190</v>
      </c>
      <c r="E709" s="53" t="n">
        <v>25325.0142748557</v>
      </c>
      <c r="F709" s="54" t="n">
        <v>17002.7910125831</v>
      </c>
      <c r="G709" s="55" t="n">
        <v>16982.9671313776</v>
      </c>
      <c r="H709" s="56" t="str">
        <f>G709-F709</f>
      </c>
      <c r="I709" s="57" t="n">
        <v>25282.866550534</v>
      </c>
      <c r="J709" s="58" t="str">
        <f>I709-E709</f>
      </c>
    </row>
    <row r="710">
      <c r="A710" t="s">
        <v>205</v>
      </c>
      <c r="B710" t="s">
        <v>207</v>
      </c>
      <c r="C710" s="52" t="n">
        <v>2048</v>
      </c>
      <c r="D710" t="s">
        <v>230</v>
      </c>
      <c r="E710" s="53" t="n">
        <v>1284622.93975613</v>
      </c>
      <c r="F710" s="54" t="n">
        <v>314674.783247063</v>
      </c>
      <c r="G710" s="55" t="n">
        <v>314549.83162808</v>
      </c>
      <c r="H710" s="56" t="str">
        <f>G710-F710</f>
      </c>
      <c r="I710" s="57" t="n">
        <v>1283467.75295342</v>
      </c>
      <c r="J710" s="58" t="str">
        <f>I710-E710</f>
      </c>
    </row>
    <row r="711">
      <c r="A711" t="s">
        <v>205</v>
      </c>
      <c r="B711" t="s">
        <v>207</v>
      </c>
      <c r="C711" s="52" t="n">
        <v>2048</v>
      </c>
      <c r="D711" t="s">
        <v>166</v>
      </c>
      <c r="E711" s="53" t="n">
        <v>146670.577519983</v>
      </c>
      <c r="F711" s="54" t="n">
        <v>93540.8874318503</v>
      </c>
      <c r="G711" s="55" t="n">
        <v>93427.507277049</v>
      </c>
      <c r="H711" s="56" t="str">
        <f>G711-F711</f>
      </c>
      <c r="I711" s="57" t="n">
        <v>146413.853149174</v>
      </c>
      <c r="J711" s="58" t="str">
        <f>I711-E711</f>
      </c>
    </row>
    <row r="712">
      <c r="A712" t="s">
        <v>205</v>
      </c>
      <c r="B712" t="s">
        <v>207</v>
      </c>
      <c r="C712" s="52" t="n">
        <v>2048</v>
      </c>
      <c r="D712" t="s">
        <v>176</v>
      </c>
      <c r="E712" s="53" t="n">
        <v>268490.635388519</v>
      </c>
      <c r="F712" s="54" t="n">
        <v>254205.471563453</v>
      </c>
      <c r="G712" s="55" t="n">
        <v>253872.047418824</v>
      </c>
      <c r="H712" s="56" t="str">
        <f>G712-F712</f>
      </c>
      <c r="I712" s="57" t="n">
        <v>268085.447945834</v>
      </c>
      <c r="J712" s="58" t="str">
        <f>I712-E712</f>
      </c>
    </row>
    <row r="713">
      <c r="A713" t="s">
        <v>205</v>
      </c>
      <c r="B713" t="s">
        <v>207</v>
      </c>
      <c r="C713" s="52" t="n">
        <v>2048</v>
      </c>
      <c r="D713" t="s">
        <v>180</v>
      </c>
      <c r="E713" s="53" t="n">
        <v>795846.578897717</v>
      </c>
      <c r="F713" s="54" t="n">
        <v>476089.243626993</v>
      </c>
      <c r="G713" s="55" t="n">
        <v>491307.709328566</v>
      </c>
      <c r="H713" s="56" t="str">
        <f>G713-F713</f>
      </c>
      <c r="I713" s="57" t="n">
        <v>795796.819401734</v>
      </c>
      <c r="J713" s="58" t="str">
        <f>I713-E713</f>
      </c>
    </row>
    <row r="714">
      <c r="A714" t="s">
        <v>205</v>
      </c>
      <c r="B714" t="s">
        <v>207</v>
      </c>
      <c r="C714" s="52" t="n">
        <v>2048</v>
      </c>
      <c r="D714" t="s">
        <v>184</v>
      </c>
      <c r="E714" s="53" t="n">
        <v>394938.208274908</v>
      </c>
      <c r="F714" s="54" t="n">
        <v>211414.698816847</v>
      </c>
      <c r="G714" s="55" t="n">
        <v>211189.299415093</v>
      </c>
      <c r="H714" s="56" t="str">
        <f>G714-F714</f>
      </c>
      <c r="I714" s="57" t="n">
        <v>394306.234009074</v>
      </c>
      <c r="J714" s="58" t="str">
        <f>I714-E714</f>
      </c>
    </row>
    <row r="715">
      <c r="A715" t="s">
        <v>205</v>
      </c>
      <c r="B715" t="s">
        <v>207</v>
      </c>
      <c r="C715" s="52" t="n">
        <v>2048</v>
      </c>
      <c r="D715" t="s">
        <v>212</v>
      </c>
      <c r="E715" s="53" t="n">
        <v>34278.8833358883</v>
      </c>
      <c r="F715" s="54" t="n">
        <v>2112.66193999239</v>
      </c>
      <c r="G715" s="55" t="n">
        <v>2112.66174533725</v>
      </c>
      <c r="H715" s="56" t="str">
        <f>G715-F715</f>
      </c>
      <c r="I715" s="57" t="n">
        <v>34278.8634968121</v>
      </c>
      <c r="J715" s="58" t="str">
        <f>I715-E715</f>
      </c>
    </row>
    <row r="716">
      <c r="A716" t="s">
        <v>205</v>
      </c>
      <c r="B716" t="s">
        <v>207</v>
      </c>
      <c r="C716" s="52" t="n">
        <v>2049</v>
      </c>
      <c r="D716" t="s">
        <v>190</v>
      </c>
      <c r="E716" s="53" t="n">
        <v>26032.6862730487</v>
      </c>
      <c r="F716" s="54" t="n">
        <v>17428.6695342103</v>
      </c>
      <c r="G716" s="55" t="n">
        <v>17406.6591140935</v>
      </c>
      <c r="H716" s="56" t="str">
        <f>G716-F716</f>
      </c>
      <c r="I716" s="57" t="n">
        <v>25986.5373789525</v>
      </c>
      <c r="J716" s="58" t="str">
        <f>I716-E716</f>
      </c>
    </row>
    <row r="717">
      <c r="A717" t="s">
        <v>205</v>
      </c>
      <c r="B717" t="s">
        <v>207</v>
      </c>
      <c r="C717" s="52" t="n">
        <v>2049</v>
      </c>
      <c r="D717" t="s">
        <v>230</v>
      </c>
      <c r="E717" s="53" t="n">
        <v>1291926.13454892</v>
      </c>
      <c r="F717" s="54" t="n">
        <v>321880.507194328</v>
      </c>
      <c r="G717" s="55" t="n">
        <v>321740.501148806</v>
      </c>
      <c r="H717" s="56" t="str">
        <f>G717-F717</f>
      </c>
      <c r="I717" s="57" t="n">
        <v>1290687.53512959</v>
      </c>
      <c r="J717" s="58" t="str">
        <f>I717-E717</f>
      </c>
    </row>
    <row r="718">
      <c r="A718" t="s">
        <v>205</v>
      </c>
      <c r="B718" t="s">
        <v>207</v>
      </c>
      <c r="C718" s="52" t="n">
        <v>2049</v>
      </c>
      <c r="D718" t="s">
        <v>166</v>
      </c>
      <c r="E718" s="53" t="n">
        <v>148161.155304814</v>
      </c>
      <c r="F718" s="54" t="n">
        <v>94669.8716914142</v>
      </c>
      <c r="G718" s="55" t="n">
        <v>94546.8656755522</v>
      </c>
      <c r="H718" s="56" t="str">
        <f>G718-F718</f>
      </c>
      <c r="I718" s="57" t="n">
        <v>147882.099837348</v>
      </c>
      <c r="J718" s="58" t="str">
        <f>I718-E718</f>
      </c>
    </row>
    <row r="719">
      <c r="A719" t="s">
        <v>205</v>
      </c>
      <c r="B719" t="s">
        <v>207</v>
      </c>
      <c r="C719" s="52" t="n">
        <v>2049</v>
      </c>
      <c r="D719" t="s">
        <v>176</v>
      </c>
      <c r="E719" s="53" t="n">
        <v>267432.060673936</v>
      </c>
      <c r="F719" s="54" t="n">
        <v>253460.004648817</v>
      </c>
      <c r="G719" s="55" t="n">
        <v>253105.506935702</v>
      </c>
      <c r="H719" s="56" t="str">
        <f>G719-F719</f>
      </c>
      <c r="I719" s="57" t="n">
        <v>267003.550155027</v>
      </c>
      <c r="J719" s="58" t="str">
        <f>I719-E719</f>
      </c>
    </row>
    <row r="720">
      <c r="A720" t="s">
        <v>205</v>
      </c>
      <c r="B720" t="s">
        <v>207</v>
      </c>
      <c r="C720" s="52" t="n">
        <v>2049</v>
      </c>
      <c r="D720" t="s">
        <v>180</v>
      </c>
      <c r="E720" s="53" t="n">
        <v>801651.344991777</v>
      </c>
      <c r="F720" s="54" t="n">
        <v>482250.907081297</v>
      </c>
      <c r="G720" s="55" t="n">
        <v>498010.651524044</v>
      </c>
      <c r="H720" s="56" t="str">
        <f>G720-F720</f>
      </c>
      <c r="I720" s="57" t="n">
        <v>801596.853664258</v>
      </c>
      <c r="J720" s="58" t="str">
        <f>I720-E720</f>
      </c>
    </row>
    <row r="721">
      <c r="A721" t="s">
        <v>205</v>
      </c>
      <c r="B721" t="s">
        <v>207</v>
      </c>
      <c r="C721" s="52" t="n">
        <v>2049</v>
      </c>
      <c r="D721" t="s">
        <v>184</v>
      </c>
      <c r="E721" s="53" t="n">
        <v>396743.915930051</v>
      </c>
      <c r="F721" s="54" t="n">
        <v>213824.891781597</v>
      </c>
      <c r="G721" s="55" t="n">
        <v>213580.236200068</v>
      </c>
      <c r="H721" s="56" t="str">
        <f>G721-F721</f>
      </c>
      <c r="I721" s="57" t="n">
        <v>396058.615955627</v>
      </c>
      <c r="J721" s="58" t="str">
        <f>I721-E721</f>
      </c>
    </row>
    <row r="722">
      <c r="A722" t="s">
        <v>205</v>
      </c>
      <c r="B722" t="s">
        <v>207</v>
      </c>
      <c r="C722" s="52" t="n">
        <v>2049</v>
      </c>
      <c r="D722" t="s">
        <v>212</v>
      </c>
      <c r="E722" s="53" t="n">
        <v>34087.7828062525</v>
      </c>
      <c r="F722" s="54" t="n">
        <v>1998.5924278325</v>
      </c>
      <c r="G722" s="55" t="n">
        <v>1998.59223363335</v>
      </c>
      <c r="H722" s="56" t="str">
        <f>G722-F722</f>
      </c>
      <c r="I722" s="57" t="n">
        <v>34087.7627067011</v>
      </c>
      <c r="J722" s="58" t="str">
        <f>I722-E722</f>
      </c>
    </row>
    <row r="723">
      <c r="A723" t="s">
        <v>205</v>
      </c>
      <c r="B723" t="s">
        <v>207</v>
      </c>
      <c r="C723" s="52" t="n">
        <v>2050</v>
      </c>
      <c r="D723" t="s">
        <v>190</v>
      </c>
      <c r="E723" s="53" t="n">
        <v>26740.431366001</v>
      </c>
      <c r="F723" s="54" t="n">
        <v>17852.9641514203</v>
      </c>
      <c r="G723" s="55" t="n">
        <v>17828.637482456</v>
      </c>
      <c r="H723" s="56" t="str">
        <f>G723-F723</f>
      </c>
      <c r="I723" s="57" t="n">
        <v>26690.1101954068</v>
      </c>
      <c r="J723" s="58" t="str">
        <f>I723-E723</f>
      </c>
    </row>
    <row r="724">
      <c r="A724" t="s">
        <v>205</v>
      </c>
      <c r="B724" t="s">
        <v>207</v>
      </c>
      <c r="C724" s="52" t="n">
        <v>2050</v>
      </c>
      <c r="D724" t="s">
        <v>230</v>
      </c>
      <c r="E724" s="53" t="n">
        <v>1299121.50294292</v>
      </c>
      <c r="F724" s="54" t="n">
        <v>328889.873432345</v>
      </c>
      <c r="G724" s="55" t="n">
        <v>328734.061465412</v>
      </c>
      <c r="H724" s="56" t="str">
        <f>G724-F724</f>
      </c>
      <c r="I724" s="57" t="n">
        <v>1297798.19122542</v>
      </c>
      <c r="J724" s="58" t="str">
        <f>I724-E724</f>
      </c>
    </row>
    <row r="725">
      <c r="A725" t="s">
        <v>205</v>
      </c>
      <c r="B725" t="s">
        <v>207</v>
      </c>
      <c r="C725" s="52" t="n">
        <v>2050</v>
      </c>
      <c r="D725" t="s">
        <v>166</v>
      </c>
      <c r="E725" s="53" t="n">
        <v>149846.731527169</v>
      </c>
      <c r="F725" s="54" t="n">
        <v>95758.8640809688</v>
      </c>
      <c r="G725" s="55" t="n">
        <v>95625.9439694284</v>
      </c>
      <c r="H725" s="56" t="str">
        <f>G725-F725</f>
      </c>
      <c r="I725" s="57" t="n">
        <v>149549.878981469</v>
      </c>
      <c r="J725" s="58" t="str">
        <f>I725-E725</f>
      </c>
    </row>
    <row r="726">
      <c r="A726" t="s">
        <v>205</v>
      </c>
      <c r="B726" t="s">
        <v>207</v>
      </c>
      <c r="C726" s="52" t="n">
        <v>2050</v>
      </c>
      <c r="D726" t="s">
        <v>176</v>
      </c>
      <c r="E726" s="53" t="n">
        <v>266483.143185688</v>
      </c>
      <c r="F726" s="54" t="n">
        <v>252534.586019177</v>
      </c>
      <c r="G726" s="55" t="n">
        <v>252158.933158969</v>
      </c>
      <c r="H726" s="56" t="str">
        <f>G726-F726</f>
      </c>
      <c r="I726" s="57" t="n">
        <v>266031.496410964</v>
      </c>
      <c r="J726" s="58" t="str">
        <f>I726-E726</f>
      </c>
    </row>
    <row r="727">
      <c r="A727" t="s">
        <v>205</v>
      </c>
      <c r="B727" t="s">
        <v>207</v>
      </c>
      <c r="C727" s="52" t="n">
        <v>2050</v>
      </c>
      <c r="D727" t="s">
        <v>180</v>
      </c>
      <c r="E727" s="53" t="n">
        <v>809077.594223162</v>
      </c>
      <c r="F727" s="54" t="n">
        <v>487813.825726127</v>
      </c>
      <c r="G727" s="55" t="n">
        <v>504089.426791864</v>
      </c>
      <c r="H727" s="56" t="str">
        <f>G727-F727</f>
      </c>
      <c r="I727" s="57" t="n">
        <v>809018.722538968</v>
      </c>
      <c r="J727" s="58" t="str">
        <f>I727-E727</f>
      </c>
    </row>
    <row r="728">
      <c r="A728" t="s">
        <v>205</v>
      </c>
      <c r="B728" t="s">
        <v>207</v>
      </c>
      <c r="C728" s="52" t="n">
        <v>2050</v>
      </c>
      <c r="D728" t="s">
        <v>184</v>
      </c>
      <c r="E728" s="53" t="n">
        <v>399285.35377261</v>
      </c>
      <c r="F728" s="54" t="n">
        <v>215835.35243125</v>
      </c>
      <c r="G728" s="55" t="n">
        <v>215570.737440482</v>
      </c>
      <c r="H728" s="56" t="str">
        <f>G728-F728</f>
      </c>
      <c r="I728" s="57" t="n">
        <v>398560.037918605</v>
      </c>
      <c r="J728" s="58" t="str">
        <f>I728-E728</f>
      </c>
    </row>
    <row r="729">
      <c r="A729" t="s">
        <v>205</v>
      </c>
      <c r="B729" t="s">
        <v>207</v>
      </c>
      <c r="C729" s="52" t="n">
        <v>2050</v>
      </c>
      <c r="D729" t="s">
        <v>212</v>
      </c>
      <c r="E729" s="53" t="n">
        <v>33926.4997918821</v>
      </c>
      <c r="F729" s="54" t="n">
        <v>1888.51520073875</v>
      </c>
      <c r="G729" s="55" t="n">
        <v>1888.51500986557</v>
      </c>
      <c r="H729" s="56" t="str">
        <f>G729-F729</f>
      </c>
      <c r="I729" s="57" t="n">
        <v>33926.4790426967</v>
      </c>
      <c r="J729" s="58" t="str">
        <f>I729-E729</f>
      </c>
    </row>
    <row r="730">
      <c r="A730" t="s">
        <v>208</v>
      </c>
      <c r="B730" t="s">
        <v>210</v>
      </c>
      <c r="C730" s="52" t="n">
        <v>2025</v>
      </c>
      <c r="D730" t="s">
        <v>190</v>
      </c>
      <c r="E730" s="53" t="n">
        <v>12176.1707137429</v>
      </c>
      <c r="F730" s="54" t="n">
        <v>8959.2701472679</v>
      </c>
      <c r="G730" s="55" t="n">
        <v>8959.2701472679</v>
      </c>
      <c r="H730" s="56" t="str">
        <f>G730-F730</f>
      </c>
      <c r="I730" s="57" t="n">
        <v>12176.1707137429</v>
      </c>
      <c r="J730" s="58" t="str">
        <f>I730-E730</f>
      </c>
    </row>
    <row r="731">
      <c r="A731" t="s">
        <v>208</v>
      </c>
      <c r="B731" t="s">
        <v>210</v>
      </c>
      <c r="C731" s="52" t="n">
        <v>2025</v>
      </c>
      <c r="D731" t="s">
        <v>230</v>
      </c>
      <c r="E731" s="53" t="n">
        <v>1026758.5711338</v>
      </c>
      <c r="F731" s="54" t="n">
        <v>129383.323210315</v>
      </c>
      <c r="G731" s="55" t="n">
        <v>129383.323210315</v>
      </c>
      <c r="H731" s="56" t="str">
        <f>G731-F731</f>
      </c>
      <c r="I731" s="57" t="n">
        <v>1026758.5711338</v>
      </c>
      <c r="J731" s="58" t="str">
        <f>I731-E731</f>
      </c>
    </row>
    <row r="732">
      <c r="A732" t="s">
        <v>208</v>
      </c>
      <c r="B732" t="s">
        <v>210</v>
      </c>
      <c r="C732" s="52" t="n">
        <v>2025</v>
      </c>
      <c r="D732" t="s">
        <v>166</v>
      </c>
      <c r="E732" s="53" t="n">
        <v>115291.159865467</v>
      </c>
      <c r="F732" s="54" t="n">
        <v>67656.5589894958</v>
      </c>
      <c r="G732" s="55" t="n">
        <v>67656.5589894958</v>
      </c>
      <c r="H732" s="56" t="str">
        <f>G732-F732</f>
      </c>
      <c r="I732" s="57" t="n">
        <v>115291.159865467</v>
      </c>
      <c r="J732" s="58" t="str">
        <f>I732-E732</f>
      </c>
    </row>
    <row r="733">
      <c r="A733" t="s">
        <v>208</v>
      </c>
      <c r="B733" t="s">
        <v>210</v>
      </c>
      <c r="C733" s="52" t="n">
        <v>2025</v>
      </c>
      <c r="D733" t="s">
        <v>176</v>
      </c>
      <c r="E733" s="53" t="n">
        <v>281662.55341658</v>
      </c>
      <c r="F733" s="54" t="n">
        <v>263295.70058044</v>
      </c>
      <c r="G733" s="55" t="n">
        <v>263295.70058044</v>
      </c>
      <c r="H733" s="56" t="str">
        <f>G733-F733</f>
      </c>
      <c r="I733" s="57" t="n">
        <v>281662.55341658</v>
      </c>
      <c r="J733" s="58" t="str">
        <f>I733-E733</f>
      </c>
    </row>
    <row r="734">
      <c r="A734" t="s">
        <v>208</v>
      </c>
      <c r="B734" t="s">
        <v>210</v>
      </c>
      <c r="C734" s="52" t="n">
        <v>2025</v>
      </c>
      <c r="D734" t="s">
        <v>180</v>
      </c>
      <c r="E734" s="53" t="n">
        <v>612171.634776233</v>
      </c>
      <c r="F734" s="54" t="n">
        <v>335724.869793767</v>
      </c>
      <c r="G734" s="55" t="n">
        <v>335724.869793767</v>
      </c>
      <c r="H734" s="56" t="str">
        <f>G734-F734</f>
      </c>
      <c r="I734" s="57" t="n">
        <v>612171.634776233</v>
      </c>
      <c r="J734" s="58" t="str">
        <f>I734-E734</f>
      </c>
    </row>
    <row r="735">
      <c r="A735" t="s">
        <v>208</v>
      </c>
      <c r="B735" t="s">
        <v>210</v>
      </c>
      <c r="C735" s="52" t="n">
        <v>2025</v>
      </c>
      <c r="D735" t="s">
        <v>184</v>
      </c>
      <c r="E735" s="53" t="n">
        <v>339642.130126733</v>
      </c>
      <c r="F735" s="54" t="n">
        <v>190841.880003208</v>
      </c>
      <c r="G735" s="55" t="n">
        <v>190841.880003208</v>
      </c>
      <c r="H735" s="56" t="str">
        <f>G735-F735</f>
      </c>
      <c r="I735" s="57" t="n">
        <v>339642.130126733</v>
      </c>
      <c r="J735" s="58" t="str">
        <f>I735-E735</f>
      </c>
    </row>
    <row r="736">
      <c r="A736" t="s">
        <v>208</v>
      </c>
      <c r="B736" t="s">
        <v>210</v>
      </c>
      <c r="C736" s="52" t="n">
        <v>2025</v>
      </c>
      <c r="D736" t="s">
        <v>212</v>
      </c>
      <c r="E736" s="53" t="n">
        <v>39660.8365474078</v>
      </c>
      <c r="F736" s="54" t="n">
        <v>5277.26794729954</v>
      </c>
      <c r="G736" s="55" t="n">
        <v>5303.42230174402</v>
      </c>
      <c r="H736" s="56" t="str">
        <f>G736-F736</f>
      </c>
      <c r="I736" s="57" t="n">
        <v>39660.8365474078</v>
      </c>
      <c r="J736" s="58" t="str">
        <f>I736-E736</f>
      </c>
    </row>
    <row r="737">
      <c r="A737" t="s">
        <v>208</v>
      </c>
      <c r="B737" t="s">
        <v>210</v>
      </c>
      <c r="C737" s="52" t="n">
        <v>2026</v>
      </c>
      <c r="D737" t="s">
        <v>190</v>
      </c>
      <c r="E737" s="53" t="n">
        <v>12568.9389877424</v>
      </c>
      <c r="F737" s="54" t="n">
        <v>9271.1333627081</v>
      </c>
      <c r="G737" s="55" t="n">
        <v>9271.1333627081</v>
      </c>
      <c r="H737" s="56" t="str">
        <f>G737-F737</f>
      </c>
      <c r="I737" s="57" t="n">
        <v>12568.9386470114</v>
      </c>
      <c r="J737" s="58" t="str">
        <f>I737-E737</f>
      </c>
    </row>
    <row r="738">
      <c r="A738" t="s">
        <v>208</v>
      </c>
      <c r="B738" t="s">
        <v>210</v>
      </c>
      <c r="C738" s="52" t="n">
        <v>2026</v>
      </c>
      <c r="D738" t="s">
        <v>230</v>
      </c>
      <c r="E738" s="53" t="n">
        <v>1042135.25451509</v>
      </c>
      <c r="F738" s="54" t="n">
        <v>137145.828958788</v>
      </c>
      <c r="G738" s="55" t="n">
        <v>137145.828958788</v>
      </c>
      <c r="H738" s="56" t="str">
        <f>G738-F738</f>
      </c>
      <c r="I738" s="57" t="n">
        <v>1042135.18581351</v>
      </c>
      <c r="J738" s="58" t="str">
        <f>I738-E738</f>
      </c>
    </row>
    <row r="739">
      <c r="A739" t="s">
        <v>208</v>
      </c>
      <c r="B739" t="s">
        <v>210</v>
      </c>
      <c r="C739" s="52" t="n">
        <v>2026</v>
      </c>
      <c r="D739" t="s">
        <v>166</v>
      </c>
      <c r="E739" s="53" t="n">
        <v>114707.987817597</v>
      </c>
      <c r="F739" s="54" t="n">
        <v>70326.6034535198</v>
      </c>
      <c r="G739" s="55" t="n">
        <v>70326.6034535198</v>
      </c>
      <c r="H739" s="56" t="str">
        <f>G739-F739</f>
      </c>
      <c r="I739" s="57" t="n">
        <v>114707.986926294</v>
      </c>
      <c r="J739" s="58" t="str">
        <f>I739-E739</f>
      </c>
    </row>
    <row r="740">
      <c r="A740" t="s">
        <v>208</v>
      </c>
      <c r="B740" t="s">
        <v>210</v>
      </c>
      <c r="C740" s="52" t="n">
        <v>2026</v>
      </c>
      <c r="D740" t="s">
        <v>176</v>
      </c>
      <c r="E740" s="53" t="n">
        <v>282722.543714144</v>
      </c>
      <c r="F740" s="54" t="n">
        <v>259504.468011332</v>
      </c>
      <c r="G740" s="55" t="n">
        <v>259504.468011332</v>
      </c>
      <c r="H740" s="56" t="str">
        <f>G740-F740</f>
      </c>
      <c r="I740" s="57" t="n">
        <v>282722.537860884</v>
      </c>
      <c r="J740" s="58" t="str">
        <f>I740-E740</f>
      </c>
    </row>
    <row r="741">
      <c r="A741" t="s">
        <v>208</v>
      </c>
      <c r="B741" t="s">
        <v>210</v>
      </c>
      <c r="C741" s="52" t="n">
        <v>2026</v>
      </c>
      <c r="D741" t="s">
        <v>180</v>
      </c>
      <c r="E741" s="53" t="n">
        <v>616790.047108032</v>
      </c>
      <c r="F741" s="54" t="n">
        <v>342960.135281865</v>
      </c>
      <c r="G741" s="55" t="n">
        <v>342960.135281865</v>
      </c>
      <c r="H741" s="56" t="str">
        <f>G741-F741</f>
      </c>
      <c r="I741" s="57" t="n">
        <v>616790.029155755</v>
      </c>
      <c r="J741" s="58" t="str">
        <f>I741-E741</f>
      </c>
    </row>
    <row r="742">
      <c r="A742" t="s">
        <v>208</v>
      </c>
      <c r="B742" t="s">
        <v>210</v>
      </c>
      <c r="C742" s="52" t="n">
        <v>2026</v>
      </c>
      <c r="D742" t="s">
        <v>184</v>
      </c>
      <c r="E742" s="53" t="n">
        <v>338499.075472492</v>
      </c>
      <c r="F742" s="54" t="n">
        <v>190574.613818848</v>
      </c>
      <c r="G742" s="55" t="n">
        <v>190574.613818848</v>
      </c>
      <c r="H742" s="56" t="str">
        <f>G742-F742</f>
      </c>
      <c r="I742" s="57" t="n">
        <v>338499.069421602</v>
      </c>
      <c r="J742" s="58" t="str">
        <f>I742-E742</f>
      </c>
    </row>
    <row r="743">
      <c r="A743" t="s">
        <v>208</v>
      </c>
      <c r="B743" t="s">
        <v>210</v>
      </c>
      <c r="C743" s="52" t="n">
        <v>2026</v>
      </c>
      <c r="D743" t="s">
        <v>212</v>
      </c>
      <c r="E743" s="53" t="n">
        <v>39250.6670180049</v>
      </c>
      <c r="F743" s="54" t="n">
        <v>5055.96063865442</v>
      </c>
      <c r="G743" s="55" t="n">
        <v>5105.60955478559</v>
      </c>
      <c r="H743" s="56" t="str">
        <f>G743-F743</f>
      </c>
      <c r="I743" s="57" t="n">
        <v>39250.6670180049</v>
      </c>
      <c r="J743" s="58" t="str">
        <f>I743-E743</f>
      </c>
    </row>
    <row r="744">
      <c r="A744" t="s">
        <v>208</v>
      </c>
      <c r="B744" t="s">
        <v>210</v>
      </c>
      <c r="C744" s="52" t="n">
        <v>2027</v>
      </c>
      <c r="D744" t="s">
        <v>190</v>
      </c>
      <c r="E744" s="53" t="n">
        <v>12976.1041166899</v>
      </c>
      <c r="F744" s="54" t="n">
        <v>9577.529681535</v>
      </c>
      <c r="G744" s="55" t="n">
        <v>9577.52965486433</v>
      </c>
      <c r="H744" s="56" t="str">
        <f>G744-F744</f>
      </c>
      <c r="I744" s="57" t="n">
        <v>12976.1031133633</v>
      </c>
      <c r="J744" s="58" t="str">
        <f>I744-E744</f>
      </c>
    </row>
    <row r="745">
      <c r="A745" t="s">
        <v>208</v>
      </c>
      <c r="B745" t="s">
        <v>210</v>
      </c>
      <c r="C745" s="52" t="n">
        <v>2027</v>
      </c>
      <c r="D745" t="s">
        <v>230</v>
      </c>
      <c r="E745" s="53" t="n">
        <v>1057148.52468463</v>
      </c>
      <c r="F745" s="54" t="n">
        <v>145009.44206477</v>
      </c>
      <c r="G745" s="55" t="n">
        <v>145009.441994705</v>
      </c>
      <c r="H745" s="56" t="str">
        <f>G745-F745</f>
      </c>
      <c r="I745" s="57" t="n">
        <v>1057148.31873483</v>
      </c>
      <c r="J745" s="58" t="str">
        <f>I745-E745</f>
      </c>
    </row>
    <row r="746">
      <c r="A746" t="s">
        <v>208</v>
      </c>
      <c r="B746" t="s">
        <v>210</v>
      </c>
      <c r="C746" s="52" t="n">
        <v>2027</v>
      </c>
      <c r="D746" t="s">
        <v>166</v>
      </c>
      <c r="E746" s="53" t="n">
        <v>114152.946717577</v>
      </c>
      <c r="F746" s="54" t="n">
        <v>72290.1700628121</v>
      </c>
      <c r="G746" s="55" t="n">
        <v>72290.1699912091</v>
      </c>
      <c r="H746" s="56" t="str">
        <f>G746-F746</f>
      </c>
      <c r="I746" s="57" t="n">
        <v>114152.944165875</v>
      </c>
      <c r="J746" s="58" t="str">
        <f>I746-E746</f>
      </c>
    </row>
    <row r="747">
      <c r="A747" t="s">
        <v>208</v>
      </c>
      <c r="B747" t="s">
        <v>210</v>
      </c>
      <c r="C747" s="52" t="n">
        <v>2027</v>
      </c>
      <c r="D747" t="s">
        <v>176</v>
      </c>
      <c r="E747" s="53" t="n">
        <v>277877.525898632</v>
      </c>
      <c r="F747" s="54" t="n">
        <v>260330.421383706</v>
      </c>
      <c r="G747" s="55" t="n">
        <v>260330.421136777</v>
      </c>
      <c r="H747" s="56" t="str">
        <f>G747-F747</f>
      </c>
      <c r="I747" s="57" t="n">
        <v>277877.509454571</v>
      </c>
      <c r="J747" s="58" t="str">
        <f>I747-E747</f>
      </c>
    </row>
    <row r="748">
      <c r="A748" t="s">
        <v>208</v>
      </c>
      <c r="B748" t="s">
        <v>210</v>
      </c>
      <c r="C748" s="52" t="n">
        <v>2027</v>
      </c>
      <c r="D748" t="s">
        <v>180</v>
      </c>
      <c r="E748" s="53" t="n">
        <v>621430.953224398</v>
      </c>
      <c r="F748" s="54" t="n">
        <v>349405.301168987</v>
      </c>
      <c r="G748" s="55" t="n">
        <v>349405.300730343</v>
      </c>
      <c r="H748" s="56" t="str">
        <f>G748-F748</f>
      </c>
      <c r="I748" s="57" t="n">
        <v>621430.902801161</v>
      </c>
      <c r="J748" s="58" t="str">
        <f>I748-E748</f>
      </c>
    </row>
    <row r="749">
      <c r="A749" t="s">
        <v>208</v>
      </c>
      <c r="B749" t="s">
        <v>210</v>
      </c>
      <c r="C749" s="52" t="n">
        <v>2027</v>
      </c>
      <c r="D749" t="s">
        <v>184</v>
      </c>
      <c r="E749" s="53" t="n">
        <v>337398.965898697</v>
      </c>
      <c r="F749" s="54" t="n">
        <v>189031.100474747</v>
      </c>
      <c r="G749" s="55" t="n">
        <v>189031.100445512</v>
      </c>
      <c r="H749" s="56" t="str">
        <f>G749-F749</f>
      </c>
      <c r="I749" s="57" t="n">
        <v>337398.949071723</v>
      </c>
      <c r="J749" s="58" t="str">
        <f>I749-E749</f>
      </c>
    </row>
    <row r="750">
      <c r="A750" t="s">
        <v>208</v>
      </c>
      <c r="B750" t="s">
        <v>210</v>
      </c>
      <c r="C750" s="52" t="n">
        <v>2027</v>
      </c>
      <c r="D750" t="s">
        <v>212</v>
      </c>
      <c r="E750" s="53" t="n">
        <v>38773.6271868229</v>
      </c>
      <c r="F750" s="54" t="n">
        <v>4850.51435204514</v>
      </c>
      <c r="G750" s="55" t="n">
        <v>4921.4971535539</v>
      </c>
      <c r="H750" s="56" t="str">
        <f>G750-F750</f>
      </c>
      <c r="I750" s="57" t="n">
        <v>38773.6271863431</v>
      </c>
      <c r="J750" s="58" t="str">
        <f>I750-E750</f>
      </c>
    </row>
    <row r="751">
      <c r="A751" t="s">
        <v>208</v>
      </c>
      <c r="B751" t="s">
        <v>210</v>
      </c>
      <c r="C751" s="52" t="n">
        <v>2028</v>
      </c>
      <c r="D751" t="s">
        <v>190</v>
      </c>
      <c r="E751" s="53" t="n">
        <v>13394.6759082171</v>
      </c>
      <c r="F751" s="54" t="n">
        <v>9881.9221242713</v>
      </c>
      <c r="G751" s="55" t="n">
        <v>9881.92201892528</v>
      </c>
      <c r="H751" s="56" t="str">
        <f>G751-F751</f>
      </c>
      <c r="I751" s="57" t="n">
        <v>13394.6739315754</v>
      </c>
      <c r="J751" s="58" t="str">
        <f>I751-E751</f>
      </c>
    </row>
    <row r="752">
      <c r="A752" t="s">
        <v>208</v>
      </c>
      <c r="B752" t="s">
        <v>210</v>
      </c>
      <c r="C752" s="52" t="n">
        <v>2028</v>
      </c>
      <c r="D752" t="s">
        <v>230</v>
      </c>
      <c r="E752" s="53" t="n">
        <v>1071826.53732608</v>
      </c>
      <c r="F752" s="54" t="n">
        <v>152971.729680672</v>
      </c>
      <c r="G752" s="55" t="n">
        <v>152971.729388998</v>
      </c>
      <c r="H752" s="56" t="str">
        <f>G752-F752</f>
      </c>
      <c r="I752" s="57" t="n">
        <v>1071826.12505593</v>
      </c>
      <c r="J752" s="58" t="str">
        <f>I752-E752</f>
      </c>
    </row>
    <row r="753">
      <c r="A753" t="s">
        <v>208</v>
      </c>
      <c r="B753" t="s">
        <v>210</v>
      </c>
      <c r="C753" s="52" t="n">
        <v>2028</v>
      </c>
      <c r="D753" t="s">
        <v>166</v>
      </c>
      <c r="E753" s="53" t="n">
        <v>114139.127847633</v>
      </c>
      <c r="F753" s="54" t="n">
        <v>73846.8744831255</v>
      </c>
      <c r="G753" s="55" t="n">
        <v>73846.8742094397</v>
      </c>
      <c r="H753" s="56" t="str">
        <f>G753-F753</f>
      </c>
      <c r="I753" s="57" t="n">
        <v>114139.122924862</v>
      </c>
      <c r="J753" s="58" t="str">
        <f>I753-E753</f>
      </c>
    </row>
    <row r="754">
      <c r="A754" t="s">
        <v>208</v>
      </c>
      <c r="B754" t="s">
        <v>210</v>
      </c>
      <c r="C754" s="52" t="n">
        <v>2028</v>
      </c>
      <c r="D754" t="s">
        <v>176</v>
      </c>
      <c r="E754" s="53" t="n">
        <v>277735.727057078</v>
      </c>
      <c r="F754" s="54" t="n">
        <v>257765.324221424</v>
      </c>
      <c r="G754" s="55" t="n">
        <v>257765.323271705</v>
      </c>
      <c r="H754" s="56" t="str">
        <f>G754-F754</f>
      </c>
      <c r="I754" s="57" t="n">
        <v>277735.696141204</v>
      </c>
      <c r="J754" s="58" t="str">
        <f>I754-E754</f>
      </c>
    </row>
    <row r="755">
      <c r="A755" t="s">
        <v>208</v>
      </c>
      <c r="B755" t="s">
        <v>210</v>
      </c>
      <c r="C755" s="52" t="n">
        <v>2028</v>
      </c>
      <c r="D755" t="s">
        <v>180</v>
      </c>
      <c r="E755" s="53" t="n">
        <v>627723.938669279</v>
      </c>
      <c r="F755" s="54" t="n">
        <v>356159.254586569</v>
      </c>
      <c r="G755" s="55" t="n">
        <v>356159.252906041</v>
      </c>
      <c r="H755" s="56" t="str">
        <f>G755-F755</f>
      </c>
      <c r="I755" s="57" t="n">
        <v>627723.844155296</v>
      </c>
      <c r="J755" s="58" t="str">
        <f>I755-E755</f>
      </c>
    </row>
    <row r="756">
      <c r="A756" t="s">
        <v>208</v>
      </c>
      <c r="B756" t="s">
        <v>210</v>
      </c>
      <c r="C756" s="52" t="n">
        <v>2028</v>
      </c>
      <c r="D756" t="s">
        <v>184</v>
      </c>
      <c r="E756" s="53" t="n">
        <v>337514.726699102</v>
      </c>
      <c r="F756" s="54" t="n">
        <v>187116.639991389</v>
      </c>
      <c r="G756" s="55" t="n">
        <v>187116.639879467</v>
      </c>
      <c r="H756" s="56" t="str">
        <f>G756-F756</f>
      </c>
      <c r="I756" s="57" t="n">
        <v>337514.695524676</v>
      </c>
      <c r="J756" s="58" t="str">
        <f>I756-E756</f>
      </c>
    </row>
    <row r="757">
      <c r="A757" t="s">
        <v>208</v>
      </c>
      <c r="B757" t="s">
        <v>210</v>
      </c>
      <c r="C757" s="52" t="n">
        <v>2028</v>
      </c>
      <c r="D757" t="s">
        <v>212</v>
      </c>
      <c r="E757" s="53" t="n">
        <v>38149.2915808514</v>
      </c>
      <c r="F757" s="54" t="n">
        <v>4651.319492057</v>
      </c>
      <c r="G757" s="55" t="n">
        <v>4742.08557297834</v>
      </c>
      <c r="H757" s="56" t="str">
        <f>G757-F757</f>
      </c>
      <c r="I757" s="57" t="n">
        <v>38149.2915792319</v>
      </c>
      <c r="J757" s="58" t="str">
        <f>I757-E757</f>
      </c>
    </row>
    <row r="758">
      <c r="A758" t="s">
        <v>208</v>
      </c>
      <c r="B758" t="s">
        <v>210</v>
      </c>
      <c r="C758" s="52" t="n">
        <v>2029</v>
      </c>
      <c r="D758" t="s">
        <v>190</v>
      </c>
      <c r="E758" s="53" t="n">
        <v>13830.0518493468</v>
      </c>
      <c r="F758" s="54" t="n">
        <v>10188.3951470493</v>
      </c>
      <c r="G758" s="55" t="n">
        <v>10188.394886281</v>
      </c>
      <c r="H758" s="56" t="str">
        <f>G758-F758</f>
      </c>
      <c r="I758" s="57" t="n">
        <v>13830.0485982781</v>
      </c>
      <c r="J758" s="58" t="str">
        <f>I758-E758</f>
      </c>
    </row>
    <row r="759">
      <c r="A759" t="s">
        <v>208</v>
      </c>
      <c r="B759" t="s">
        <v>210</v>
      </c>
      <c r="C759" s="52" t="n">
        <v>2029</v>
      </c>
      <c r="D759" t="s">
        <v>230</v>
      </c>
      <c r="E759" s="53" t="n">
        <v>1086201.18990585</v>
      </c>
      <c r="F759" s="54" t="n">
        <v>161038.228448815</v>
      </c>
      <c r="G759" s="55" t="n">
        <v>161038.227687319</v>
      </c>
      <c r="H759" s="56" t="str">
        <f>G759-F759</f>
      </c>
      <c r="I759" s="57" t="n">
        <v>1086200.50099061</v>
      </c>
      <c r="J759" s="58" t="str">
        <f>I759-E759</f>
      </c>
    </row>
    <row r="760">
      <c r="A760" t="s">
        <v>208</v>
      </c>
      <c r="B760" t="s">
        <v>210</v>
      </c>
      <c r="C760" s="52" t="n">
        <v>2029</v>
      </c>
      <c r="D760" t="s">
        <v>166</v>
      </c>
      <c r="E760" s="53" t="n">
        <v>114048.163843179</v>
      </c>
      <c r="F760" s="54" t="n">
        <v>75452.2232408242</v>
      </c>
      <c r="G760" s="55" t="n">
        <v>75452.2225775915</v>
      </c>
      <c r="H760" s="56" t="str">
        <f>G760-F760</f>
      </c>
      <c r="I760" s="57" t="n">
        <v>114048.155335882</v>
      </c>
      <c r="J760" s="58" t="str">
        <f>I760-E760</f>
      </c>
    </row>
    <row r="761">
      <c r="A761" t="s">
        <v>208</v>
      </c>
      <c r="B761" t="s">
        <v>210</v>
      </c>
      <c r="C761" s="52" t="n">
        <v>2029</v>
      </c>
      <c r="D761" t="s">
        <v>176</v>
      </c>
      <c r="E761" s="53" t="n">
        <v>275821.137864224</v>
      </c>
      <c r="F761" s="54" t="n">
        <v>258334.319707566</v>
      </c>
      <c r="G761" s="55" t="n">
        <v>258334.317394862</v>
      </c>
      <c r="H761" s="56" t="str">
        <f>G761-F761</f>
      </c>
      <c r="I761" s="57" t="n">
        <v>275821.082992428</v>
      </c>
      <c r="J761" s="58" t="str">
        <f>I761-E761</f>
      </c>
    </row>
    <row r="762">
      <c r="A762" t="s">
        <v>208</v>
      </c>
      <c r="B762" t="s">
        <v>210</v>
      </c>
      <c r="C762" s="52" t="n">
        <v>2029</v>
      </c>
      <c r="D762" t="s">
        <v>180</v>
      </c>
      <c r="E762" s="53" t="n">
        <v>630779.539944686</v>
      </c>
      <c r="F762" s="54" t="n">
        <v>363892.272339466</v>
      </c>
      <c r="G762" s="55" t="n">
        <v>363892.268279926</v>
      </c>
      <c r="H762" s="56" t="str">
        <f>G762-F762</f>
      </c>
      <c r="I762" s="57" t="n">
        <v>630779.369985079</v>
      </c>
      <c r="J762" s="58" t="str">
        <f>I762-E762</f>
      </c>
    </row>
    <row r="763">
      <c r="A763" t="s">
        <v>208</v>
      </c>
      <c r="B763" t="s">
        <v>210</v>
      </c>
      <c r="C763" s="52" t="n">
        <v>2029</v>
      </c>
      <c r="D763" t="s">
        <v>184</v>
      </c>
      <c r="E763" s="53" t="n">
        <v>335921.34898591</v>
      </c>
      <c r="F763" s="54" t="n">
        <v>186821.560357605</v>
      </c>
      <c r="G763" s="55" t="n">
        <v>186821.560087492</v>
      </c>
      <c r="H763" s="56" t="str">
        <f>G763-F763</f>
      </c>
      <c r="I763" s="57" t="n">
        <v>335921.292831796</v>
      </c>
      <c r="J763" s="58" t="str">
        <f>I763-E763</f>
      </c>
    </row>
    <row r="764">
      <c r="A764" t="s">
        <v>208</v>
      </c>
      <c r="B764" t="s">
        <v>210</v>
      </c>
      <c r="C764" s="52" t="n">
        <v>2029</v>
      </c>
      <c r="D764" t="s">
        <v>212</v>
      </c>
      <c r="E764" s="53" t="n">
        <v>37777.4672237421</v>
      </c>
      <c r="F764" s="54" t="n">
        <v>4494.1647119948</v>
      </c>
      <c r="G764" s="55" t="n">
        <v>4604.06814831639</v>
      </c>
      <c r="H764" s="56" t="str">
        <f>G764-F764</f>
      </c>
      <c r="I764" s="57" t="n">
        <v>37777.4672189776</v>
      </c>
      <c r="J764" s="58" t="str">
        <f>I764-E764</f>
      </c>
    </row>
    <row r="765">
      <c r="A765" t="s">
        <v>208</v>
      </c>
      <c r="B765" t="s">
        <v>210</v>
      </c>
      <c r="C765" s="52" t="n">
        <v>2030</v>
      </c>
      <c r="D765" t="s">
        <v>190</v>
      </c>
      <c r="E765" s="53" t="n">
        <v>14281.9638718815</v>
      </c>
      <c r="F765" s="54" t="n">
        <v>10500.2872386637</v>
      </c>
      <c r="G765" s="55" t="n">
        <v>10500.2867221377</v>
      </c>
      <c r="H765" s="56" t="str">
        <f>G765-F765</f>
      </c>
      <c r="I765" s="57" t="n">
        <v>14281.9590395355</v>
      </c>
      <c r="J765" s="58" t="str">
        <f>I765-E765</f>
      </c>
    </row>
    <row r="766">
      <c r="A766" t="s">
        <v>208</v>
      </c>
      <c r="B766" t="s">
        <v>210</v>
      </c>
      <c r="C766" s="52" t="n">
        <v>2030</v>
      </c>
      <c r="D766" t="s">
        <v>230</v>
      </c>
      <c r="E766" s="53" t="n">
        <v>1100192.82225606</v>
      </c>
      <c r="F766" s="54" t="n">
        <v>169196.386945701</v>
      </c>
      <c r="G766" s="55" t="n">
        <v>169196.385350075</v>
      </c>
      <c r="H766" s="56" t="str">
        <f>G766-F766</f>
      </c>
      <c r="I766" s="57" t="n">
        <v>1100191.78654723</v>
      </c>
      <c r="J766" s="58" t="str">
        <f>I766-E766</f>
      </c>
    </row>
    <row r="767">
      <c r="A767" t="s">
        <v>208</v>
      </c>
      <c r="B767" t="s">
        <v>210</v>
      </c>
      <c r="C767" s="52" t="n">
        <v>2030</v>
      </c>
      <c r="D767" t="s">
        <v>166</v>
      </c>
      <c r="E767" s="53" t="n">
        <v>114781.964341262</v>
      </c>
      <c r="F767" s="54" t="n">
        <v>76004.3760941694</v>
      </c>
      <c r="G767" s="55" t="n">
        <v>76004.3747737111</v>
      </c>
      <c r="H767" s="56" t="str">
        <f>G767-F767</f>
      </c>
      <c r="I767" s="57" t="n">
        <v>114781.951575614</v>
      </c>
      <c r="J767" s="58" t="str">
        <f>I767-E767</f>
      </c>
    </row>
    <row r="768">
      <c r="A768" t="s">
        <v>208</v>
      </c>
      <c r="B768" t="s">
        <v>210</v>
      </c>
      <c r="C768" s="52" t="n">
        <v>2030</v>
      </c>
      <c r="D768" t="s">
        <v>176</v>
      </c>
      <c r="E768" s="53" t="n">
        <v>275750.896095524</v>
      </c>
      <c r="F768" s="54" t="n">
        <v>257411.202437882</v>
      </c>
      <c r="G768" s="55" t="n">
        <v>257411.197787159</v>
      </c>
      <c r="H768" s="56" t="str">
        <f>G768-F768</f>
      </c>
      <c r="I768" s="57" t="n">
        <v>275750.816549508</v>
      </c>
      <c r="J768" s="58" t="str">
        <f>I768-E768</f>
      </c>
    </row>
    <row r="769">
      <c r="A769" t="s">
        <v>208</v>
      </c>
      <c r="B769" t="s">
        <v>210</v>
      </c>
      <c r="C769" s="52" t="n">
        <v>2030</v>
      </c>
      <c r="D769" t="s">
        <v>180</v>
      </c>
      <c r="E769" s="53" t="n">
        <v>638199.614302457</v>
      </c>
      <c r="F769" s="54" t="n">
        <v>368920.451758581</v>
      </c>
      <c r="G769" s="55" t="n">
        <v>368920.443479077</v>
      </c>
      <c r="H769" s="56" t="str">
        <f>G769-F769</f>
      </c>
      <c r="I769" s="57" t="n">
        <v>638199.367226914</v>
      </c>
      <c r="J769" s="58" t="str">
        <f>I769-E769</f>
      </c>
    </row>
    <row r="770">
      <c r="A770" t="s">
        <v>208</v>
      </c>
      <c r="B770" t="s">
        <v>210</v>
      </c>
      <c r="C770" s="52" t="n">
        <v>2030</v>
      </c>
      <c r="D770" t="s">
        <v>184</v>
      </c>
      <c r="E770" s="53" t="n">
        <v>337375.028784133</v>
      </c>
      <c r="F770" s="54" t="n">
        <v>185442.493735204</v>
      </c>
      <c r="G770" s="55" t="n">
        <v>185442.493190957</v>
      </c>
      <c r="H770" s="56" t="str">
        <f>G770-F770</f>
      </c>
      <c r="I770" s="57" t="n">
        <v>337374.946866334</v>
      </c>
      <c r="J770" s="58" t="str">
        <f>I770-E770</f>
      </c>
    </row>
    <row r="771">
      <c r="A771" t="s">
        <v>208</v>
      </c>
      <c r="B771" t="s">
        <v>210</v>
      </c>
      <c r="C771" s="52" t="n">
        <v>2030</v>
      </c>
      <c r="D771" t="s">
        <v>212</v>
      </c>
      <c r="E771" s="53" t="n">
        <v>38012.6736462695</v>
      </c>
      <c r="F771" s="54" t="n">
        <v>4306.69999120691</v>
      </c>
      <c r="G771" s="55" t="n">
        <v>4432.1168533299</v>
      </c>
      <c r="H771" s="56" t="str">
        <f>G771-F771</f>
      </c>
      <c r="I771" s="57" t="n">
        <v>38012.6736377562</v>
      </c>
      <c r="J771" s="58" t="str">
        <f>I771-E771</f>
      </c>
    </row>
    <row r="772">
      <c r="A772" t="s">
        <v>208</v>
      </c>
      <c r="B772" t="s">
        <v>210</v>
      </c>
      <c r="C772" s="52" t="n">
        <v>2031</v>
      </c>
      <c r="D772" t="s">
        <v>190</v>
      </c>
      <c r="E772" s="53" t="n">
        <v>14754.4361942625</v>
      </c>
      <c r="F772" s="54" t="n">
        <v>10814.9187970119</v>
      </c>
      <c r="G772" s="55" t="n">
        <v>10814.9178976517</v>
      </c>
      <c r="H772" s="56" t="str">
        <f>G772-F772</f>
      </c>
      <c r="I772" s="57" t="n">
        <v>14754.4294987798</v>
      </c>
      <c r="J772" s="58" t="str">
        <f>I772-E772</f>
      </c>
    </row>
    <row r="773">
      <c r="A773" t="s">
        <v>208</v>
      </c>
      <c r="B773" t="s">
        <v>210</v>
      </c>
      <c r="C773" s="52" t="n">
        <v>2031</v>
      </c>
      <c r="D773" t="s">
        <v>230</v>
      </c>
      <c r="E773" s="53" t="n">
        <v>1113726.6743764</v>
      </c>
      <c r="F773" s="54" t="n">
        <v>177420.198617873</v>
      </c>
      <c r="G773" s="55" t="n">
        <v>177420.195676039</v>
      </c>
      <c r="H773" s="56" t="str">
        <f>G773-F773</f>
      </c>
      <c r="I773" s="57" t="n">
        <v>1113725.22635968</v>
      </c>
      <c r="J773" s="58" t="str">
        <f>I773-E773</f>
      </c>
    </row>
    <row r="774">
      <c r="A774" t="s">
        <v>208</v>
      </c>
      <c r="B774" t="s">
        <v>210</v>
      </c>
      <c r="C774" s="52" t="n">
        <v>2031</v>
      </c>
      <c r="D774" t="s">
        <v>166</v>
      </c>
      <c r="E774" s="53" t="n">
        <v>115757.03688203</v>
      </c>
      <c r="F774" s="54" t="n">
        <v>76556.6303451155</v>
      </c>
      <c r="G774" s="55" t="n">
        <v>76556.6280135149</v>
      </c>
      <c r="H774" s="56" t="str">
        <f>G774-F774</f>
      </c>
      <c r="I774" s="57" t="n">
        <v>115757.018858842</v>
      </c>
      <c r="J774" s="58" t="str">
        <f>I774-E774</f>
      </c>
    </row>
    <row r="775">
      <c r="A775" t="s">
        <v>208</v>
      </c>
      <c r="B775" t="s">
        <v>210</v>
      </c>
      <c r="C775" s="52" t="n">
        <v>2031</v>
      </c>
      <c r="D775" t="s">
        <v>176</v>
      </c>
      <c r="E775" s="53" t="n">
        <v>274719.88609768</v>
      </c>
      <c r="F775" s="54" t="n">
        <v>257245.013740569</v>
      </c>
      <c r="G775" s="55" t="n">
        <v>257245.005480193</v>
      </c>
      <c r="H775" s="56" t="str">
        <f>G775-F775</f>
      </c>
      <c r="I775" s="57" t="n">
        <v>274719.77758767</v>
      </c>
      <c r="J775" s="58" t="str">
        <f>I775-E775</f>
      </c>
    </row>
    <row r="776">
      <c r="A776" t="s">
        <v>208</v>
      </c>
      <c r="B776" t="s">
        <v>210</v>
      </c>
      <c r="C776" s="52" t="n">
        <v>2031</v>
      </c>
      <c r="D776" t="s">
        <v>180</v>
      </c>
      <c r="E776" s="53" t="n">
        <v>646111.202704367</v>
      </c>
      <c r="F776" s="54" t="n">
        <v>374207.743778612</v>
      </c>
      <c r="G776" s="55" t="n">
        <v>374207.729078974</v>
      </c>
      <c r="H776" s="56" t="str">
        <f>G776-F776</f>
      </c>
      <c r="I776" s="57" t="n">
        <v>646110.864169859</v>
      </c>
      <c r="J776" s="58" t="str">
        <f>I776-E776</f>
      </c>
    </row>
    <row r="777">
      <c r="A777" t="s">
        <v>208</v>
      </c>
      <c r="B777" t="s">
        <v>210</v>
      </c>
      <c r="C777" s="52" t="n">
        <v>2031</v>
      </c>
      <c r="D777" t="s">
        <v>184</v>
      </c>
      <c r="E777" s="53" t="n">
        <v>339204.531530003</v>
      </c>
      <c r="F777" s="54" t="n">
        <v>184315.563355906</v>
      </c>
      <c r="G777" s="55" t="n">
        <v>184315.562373235</v>
      </c>
      <c r="H777" s="56" t="str">
        <f>G777-F777</f>
      </c>
      <c r="I777" s="57" t="n">
        <v>339204.419150594</v>
      </c>
      <c r="J777" s="58" t="str">
        <f>I777-E777</f>
      </c>
    </row>
    <row r="778">
      <c r="A778" t="s">
        <v>208</v>
      </c>
      <c r="B778" t="s">
        <v>210</v>
      </c>
      <c r="C778" s="52" t="n">
        <v>2031</v>
      </c>
      <c r="D778" t="s">
        <v>212</v>
      </c>
      <c r="E778" s="53" t="n">
        <v>38191.6231126947</v>
      </c>
      <c r="F778" s="54" t="n">
        <v>4134.11081073992</v>
      </c>
      <c r="G778" s="55" t="n">
        <v>4274.72729327381</v>
      </c>
      <c r="H778" s="56" t="str">
        <f>G778-F778</f>
      </c>
      <c r="I778" s="57" t="n">
        <v>38191.6231000681</v>
      </c>
      <c r="J778" s="58" t="str">
        <f>I778-E778</f>
      </c>
    </row>
    <row r="779">
      <c r="A779" t="s">
        <v>208</v>
      </c>
      <c r="B779" t="s">
        <v>210</v>
      </c>
      <c r="C779" s="52" t="n">
        <v>2032</v>
      </c>
      <c r="D779" t="s">
        <v>190</v>
      </c>
      <c r="E779" s="53" t="n">
        <v>15247.778041009</v>
      </c>
      <c r="F779" s="54" t="n">
        <v>11132.1801698045</v>
      </c>
      <c r="G779" s="55" t="n">
        <v>11132.1787355836</v>
      </c>
      <c r="H779" s="56" t="str">
        <f>G779-F779</f>
      </c>
      <c r="I779" s="57" t="n">
        <v>15247.769190462</v>
      </c>
      <c r="J779" s="58" t="str">
        <f>I779-E779</f>
      </c>
    </row>
    <row r="780">
      <c r="A780" t="s">
        <v>208</v>
      </c>
      <c r="B780" t="s">
        <v>210</v>
      </c>
      <c r="C780" s="52" t="n">
        <v>2032</v>
      </c>
      <c r="D780" t="s">
        <v>230</v>
      </c>
      <c r="E780" s="53" t="n">
        <v>1126785.24413</v>
      </c>
      <c r="F780" s="54" t="n">
        <v>185691.457184711</v>
      </c>
      <c r="G780" s="55" t="n">
        <v>185691.45221249</v>
      </c>
      <c r="H780" s="56" t="str">
        <f>G780-F780</f>
      </c>
      <c r="I780" s="57" t="n">
        <v>1126783.31749171</v>
      </c>
      <c r="J780" s="58" t="str">
        <f>I780-E780</f>
      </c>
    </row>
    <row r="781">
      <c r="A781" t="s">
        <v>208</v>
      </c>
      <c r="B781" t="s">
        <v>210</v>
      </c>
      <c r="C781" s="52" t="n">
        <v>2032</v>
      </c>
      <c r="D781" t="s">
        <v>166</v>
      </c>
      <c r="E781" s="53" t="n">
        <v>116892.936678336</v>
      </c>
      <c r="F781" s="54" t="n">
        <v>77198.3930565568</v>
      </c>
      <c r="G781" s="55" t="n">
        <v>77198.3893074221</v>
      </c>
      <c r="H781" s="56" t="str">
        <f>G781-F781</f>
      </c>
      <c r="I781" s="57" t="n">
        <v>116892.91249656</v>
      </c>
      <c r="J781" s="58" t="str">
        <f>I781-E781</f>
      </c>
    </row>
    <row r="782">
      <c r="A782" t="s">
        <v>208</v>
      </c>
      <c r="B782" t="s">
        <v>210</v>
      </c>
      <c r="C782" s="52" t="n">
        <v>2032</v>
      </c>
      <c r="D782" t="s">
        <v>176</v>
      </c>
      <c r="E782" s="53" t="n">
        <v>274412.534479793</v>
      </c>
      <c r="F782" s="54" t="n">
        <v>256745.689756928</v>
      </c>
      <c r="G782" s="55" t="n">
        <v>256745.676365841</v>
      </c>
      <c r="H782" s="56" t="str">
        <f>G782-F782</f>
      </c>
      <c r="I782" s="57" t="n">
        <v>274412.393429799</v>
      </c>
      <c r="J782" s="58" t="str">
        <f>I782-E782</f>
      </c>
    </row>
    <row r="783">
      <c r="A783" t="s">
        <v>208</v>
      </c>
      <c r="B783" t="s">
        <v>210</v>
      </c>
      <c r="C783" s="52" t="n">
        <v>2032</v>
      </c>
      <c r="D783" t="s">
        <v>180</v>
      </c>
      <c r="E783" s="53" t="n">
        <v>654520.251876954</v>
      </c>
      <c r="F783" s="54" t="n">
        <v>380127.671491923</v>
      </c>
      <c r="G783" s="55" t="n">
        <v>380127.647848666</v>
      </c>
      <c r="H783" s="56" t="str">
        <f>G783-F783</f>
      </c>
      <c r="I783" s="57" t="n">
        <v>654519.811420389</v>
      </c>
      <c r="J783" s="58" t="str">
        <f>I783-E783</f>
      </c>
    </row>
    <row r="784">
      <c r="A784" t="s">
        <v>208</v>
      </c>
      <c r="B784" t="s">
        <v>210</v>
      </c>
      <c r="C784" s="52" t="n">
        <v>2032</v>
      </c>
      <c r="D784" t="s">
        <v>184</v>
      </c>
      <c r="E784" s="53" t="n">
        <v>341581.799807889</v>
      </c>
      <c r="F784" s="54" t="n">
        <v>183730.085834309</v>
      </c>
      <c r="G784" s="55" t="n">
        <v>183730.084212538</v>
      </c>
      <c r="H784" s="56" t="str">
        <f>G784-F784</f>
      </c>
      <c r="I784" s="57" t="n">
        <v>341581.65326776</v>
      </c>
      <c r="J784" s="58" t="str">
        <f>I784-E784</f>
      </c>
    </row>
    <row r="785">
      <c r="A785" t="s">
        <v>208</v>
      </c>
      <c r="B785" t="s">
        <v>210</v>
      </c>
      <c r="C785" s="52" t="n">
        <v>2032</v>
      </c>
      <c r="D785" t="s">
        <v>212</v>
      </c>
      <c r="E785" s="53" t="n">
        <v>38037.5518090182</v>
      </c>
      <c r="F785" s="54" t="n">
        <v>3970.14872367551</v>
      </c>
      <c r="G785" s="55" t="n">
        <v>4125.72247917104</v>
      </c>
      <c r="H785" s="56" t="str">
        <f>G785-F785</f>
      </c>
      <c r="I785" s="57" t="n">
        <v>38037.5517920999</v>
      </c>
      <c r="J785" s="58" t="str">
        <f>I785-E785</f>
      </c>
    </row>
    <row r="786">
      <c r="A786" t="s">
        <v>208</v>
      </c>
      <c r="B786" t="s">
        <v>210</v>
      </c>
      <c r="C786" s="52" t="n">
        <v>2033</v>
      </c>
      <c r="D786" t="s">
        <v>190</v>
      </c>
      <c r="E786" s="53" t="n">
        <v>15759.52641815</v>
      </c>
      <c r="F786" s="54" t="n">
        <v>11452.207142776</v>
      </c>
      <c r="G786" s="55" t="n">
        <v>11452.2049974033</v>
      </c>
      <c r="H786" s="56" t="str">
        <f>G786-F786</f>
      </c>
      <c r="I786" s="57" t="n">
        <v>15759.5151167894</v>
      </c>
      <c r="J786" s="58" t="str">
        <f>I786-E786</f>
      </c>
    </row>
    <row r="787">
      <c r="A787" t="s">
        <v>208</v>
      </c>
      <c r="B787" t="s">
        <v>210</v>
      </c>
      <c r="C787" s="52" t="n">
        <v>2033</v>
      </c>
      <c r="D787" t="s">
        <v>230</v>
      </c>
      <c r="E787" s="53" t="n">
        <v>1139275.22614311</v>
      </c>
      <c r="F787" s="54" t="n">
        <v>194005.608459054</v>
      </c>
      <c r="G787" s="55" t="n">
        <v>194005.600566516</v>
      </c>
      <c r="H787" s="56" t="str">
        <f>G787-F787</f>
      </c>
      <c r="I787" s="57" t="n">
        <v>1139272.75378683</v>
      </c>
      <c r="J787" s="58" t="str">
        <f>I787-E787</f>
      </c>
    </row>
    <row r="788">
      <c r="A788" t="s">
        <v>208</v>
      </c>
      <c r="B788" t="s">
        <v>210</v>
      </c>
      <c r="C788" s="52" t="n">
        <v>2033</v>
      </c>
      <c r="D788" t="s">
        <v>166</v>
      </c>
      <c r="E788" s="53" t="n">
        <v>118281.859932398</v>
      </c>
      <c r="F788" s="54" t="n">
        <v>77917.1677180145</v>
      </c>
      <c r="G788" s="55" t="n">
        <v>77917.1620906902</v>
      </c>
      <c r="H788" s="56" t="str">
        <f>G788-F788</f>
      </c>
      <c r="I788" s="57" t="n">
        <v>118281.828559023</v>
      </c>
      <c r="J788" s="58" t="str">
        <f>I788-E788</f>
      </c>
    </row>
    <row r="789">
      <c r="A789" t="s">
        <v>208</v>
      </c>
      <c r="B789" t="s">
        <v>210</v>
      </c>
      <c r="C789" s="52" t="n">
        <v>2033</v>
      </c>
      <c r="D789" t="s">
        <v>176</v>
      </c>
      <c r="E789" s="53" t="n">
        <v>273893.704614697</v>
      </c>
      <c r="F789" s="54" t="n">
        <v>256655.579312497</v>
      </c>
      <c r="G789" s="55" t="n">
        <v>256655.559026211</v>
      </c>
      <c r="H789" s="56" t="str">
        <f>G789-F789</f>
      </c>
      <c r="I789" s="57" t="n">
        <v>273893.528221021</v>
      </c>
      <c r="J789" s="58" t="str">
        <f>I789-E789</f>
      </c>
    </row>
    <row r="790">
      <c r="A790" t="s">
        <v>208</v>
      </c>
      <c r="B790" t="s">
        <v>210</v>
      </c>
      <c r="C790" s="52" t="n">
        <v>2033</v>
      </c>
      <c r="D790" t="s">
        <v>180</v>
      </c>
      <c r="E790" s="53" t="n">
        <v>664009.688122208</v>
      </c>
      <c r="F790" s="54" t="n">
        <v>386583.266332887</v>
      </c>
      <c r="G790" s="55" t="n">
        <v>386583.230936034</v>
      </c>
      <c r="H790" s="56" t="str">
        <f>G790-F790</f>
      </c>
      <c r="I790" s="57" t="n">
        <v>664009.138744924</v>
      </c>
      <c r="J790" s="58" t="str">
        <f>I790-E790</f>
      </c>
    </row>
    <row r="791">
      <c r="A791" t="s">
        <v>208</v>
      </c>
      <c r="B791" t="s">
        <v>210</v>
      </c>
      <c r="C791" s="52" t="n">
        <v>2033</v>
      </c>
      <c r="D791" t="s">
        <v>184</v>
      </c>
      <c r="E791" s="53" t="n">
        <v>344995.448298333</v>
      </c>
      <c r="F791" s="54" t="n">
        <v>183583.044698785</v>
      </c>
      <c r="G791" s="55" t="n">
        <v>183583.042202715</v>
      </c>
      <c r="H791" s="56" t="str">
        <f>G791-F791</f>
      </c>
      <c r="I791" s="57" t="n">
        <v>344995.264629881</v>
      </c>
      <c r="J791" s="58" t="str">
        <f>I791-E791</f>
      </c>
    </row>
    <row r="792">
      <c r="A792" t="s">
        <v>208</v>
      </c>
      <c r="B792" t="s">
        <v>210</v>
      </c>
      <c r="C792" s="52" t="n">
        <v>2033</v>
      </c>
      <c r="D792" t="s">
        <v>212</v>
      </c>
      <c r="E792" s="53" t="n">
        <v>37788.3959334987</v>
      </c>
      <c r="F792" s="54" t="n">
        <v>3807.62031757324</v>
      </c>
      <c r="G792" s="55" t="n">
        <v>3977.71437573526</v>
      </c>
      <c r="H792" s="56" t="str">
        <f>G792-F792</f>
      </c>
      <c r="I792" s="57" t="n">
        <v>37788.395913351</v>
      </c>
      <c r="J792" s="58" t="str">
        <f>I792-E792</f>
      </c>
    </row>
    <row r="793">
      <c r="A793" t="s">
        <v>208</v>
      </c>
      <c r="B793" t="s">
        <v>210</v>
      </c>
      <c r="C793" s="52" t="n">
        <v>2034</v>
      </c>
      <c r="D793" t="s">
        <v>190</v>
      </c>
      <c r="E793" s="53" t="n">
        <v>16285.7780883777</v>
      </c>
      <c r="F793" s="54" t="n">
        <v>11779.4172324658</v>
      </c>
      <c r="G793" s="55" t="n">
        <v>11779.4141755774</v>
      </c>
      <c r="H793" s="56" t="str">
        <f>G793-F793</f>
      </c>
      <c r="I793" s="57" t="n">
        <v>16285.7640376227</v>
      </c>
      <c r="J793" s="58" t="str">
        <f>I793-E793</f>
      </c>
    </row>
    <row r="794">
      <c r="A794" t="s">
        <v>208</v>
      </c>
      <c r="B794" t="s">
        <v>210</v>
      </c>
      <c r="C794" s="52" t="n">
        <v>2034</v>
      </c>
      <c r="D794" t="s">
        <v>230</v>
      </c>
      <c r="E794" s="53" t="n">
        <v>1151235.71251355</v>
      </c>
      <c r="F794" s="54" t="n">
        <v>202320.648063762</v>
      </c>
      <c r="G794" s="55" t="n">
        <v>202320.636121151</v>
      </c>
      <c r="H794" s="56" t="str">
        <f>G794-F794</f>
      </c>
      <c r="I794" s="57" t="n">
        <v>1151232.62464015</v>
      </c>
      <c r="J794" s="58" t="str">
        <f>I794-E794</f>
      </c>
    </row>
    <row r="795">
      <c r="A795" t="s">
        <v>208</v>
      </c>
      <c r="B795" t="s">
        <v>210</v>
      </c>
      <c r="C795" s="52" t="n">
        <v>2034</v>
      </c>
      <c r="D795" t="s">
        <v>166</v>
      </c>
      <c r="E795" s="53" t="n">
        <v>119173.848402438</v>
      </c>
      <c r="F795" s="54" t="n">
        <v>78781.7313388939</v>
      </c>
      <c r="G795" s="55" t="n">
        <v>78781.7232358728</v>
      </c>
      <c r="H795" s="56" t="str">
        <f>G795-F795</f>
      </c>
      <c r="I795" s="57" t="n">
        <v>119173.805374547</v>
      </c>
      <c r="J795" s="58" t="str">
        <f>I795-E795</f>
      </c>
    </row>
    <row r="796">
      <c r="A796" t="s">
        <v>208</v>
      </c>
      <c r="B796" t="s">
        <v>210</v>
      </c>
      <c r="C796" s="52" t="n">
        <v>2034</v>
      </c>
      <c r="D796" t="s">
        <v>176</v>
      </c>
      <c r="E796" s="53" t="n">
        <v>273669.893155774</v>
      </c>
      <c r="F796" s="54" t="n">
        <v>256753.156546016</v>
      </c>
      <c r="G796" s="55" t="n">
        <v>256753.127116244</v>
      </c>
      <c r="H796" s="56" t="str">
        <f>G796-F796</f>
      </c>
      <c r="I796" s="57" t="n">
        <v>273669.650202867</v>
      </c>
      <c r="J796" s="58" t="str">
        <f>I796-E796</f>
      </c>
    </row>
    <row r="797">
      <c r="A797" t="s">
        <v>208</v>
      </c>
      <c r="B797" t="s">
        <v>210</v>
      </c>
      <c r="C797" s="52" t="n">
        <v>2034</v>
      </c>
      <c r="D797" t="s">
        <v>180</v>
      </c>
      <c r="E797" s="53" t="n">
        <v>669565.864355867</v>
      </c>
      <c r="F797" s="54" t="n">
        <v>393806.970921581</v>
      </c>
      <c r="G797" s="55" t="n">
        <v>393806.920121914</v>
      </c>
      <c r="H797" s="56" t="str">
        <f>G797-F797</f>
      </c>
      <c r="I797" s="57" t="n">
        <v>669565.091865969</v>
      </c>
      <c r="J797" s="58" t="str">
        <f>I797-E797</f>
      </c>
    </row>
    <row r="798">
      <c r="A798" t="s">
        <v>208</v>
      </c>
      <c r="B798" t="s">
        <v>210</v>
      </c>
      <c r="C798" s="52" t="n">
        <v>2034</v>
      </c>
      <c r="D798" t="s">
        <v>184</v>
      </c>
      <c r="E798" s="53" t="n">
        <v>345926.659197113</v>
      </c>
      <c r="F798" s="54" t="n">
        <v>184800.888690171</v>
      </c>
      <c r="G798" s="55" t="n">
        <v>184800.885019324</v>
      </c>
      <c r="H798" s="56" t="str">
        <f>G798-F798</f>
      </c>
      <c r="I798" s="57" t="n">
        <v>345926.396497523</v>
      </c>
      <c r="J798" s="58" t="str">
        <f>I798-E798</f>
      </c>
    </row>
    <row r="799">
      <c r="A799" t="s">
        <v>208</v>
      </c>
      <c r="B799" t="s">
        <v>210</v>
      </c>
      <c r="C799" s="52" t="n">
        <v>2034</v>
      </c>
      <c r="D799" t="s">
        <v>212</v>
      </c>
      <c r="E799" s="53" t="n">
        <v>37391.1190124853</v>
      </c>
      <c r="F799" s="54" t="n">
        <v>3665.30017798514</v>
      </c>
      <c r="G799" s="55" t="n">
        <v>3849.43642407178</v>
      </c>
      <c r="H799" s="56" t="str">
        <f>G799-F799</f>
      </c>
      <c r="I799" s="57" t="n">
        <v>37391.1189795399</v>
      </c>
      <c r="J799" s="58" t="str">
        <f>I799-E799</f>
      </c>
    </row>
    <row r="800">
      <c r="A800" t="s">
        <v>208</v>
      </c>
      <c r="B800" t="s">
        <v>210</v>
      </c>
      <c r="C800" s="52" t="n">
        <v>2035</v>
      </c>
      <c r="D800" t="s">
        <v>190</v>
      </c>
      <c r="E800" s="53" t="n">
        <v>16830.6592285505</v>
      </c>
      <c r="F800" s="54" t="n">
        <v>12112.8185497922</v>
      </c>
      <c r="G800" s="55" t="n">
        <v>12112.814364394</v>
      </c>
      <c r="H800" s="56" t="str">
        <f>G800-F800</f>
      </c>
      <c r="I800" s="57" t="n">
        <v>16830.6420972909</v>
      </c>
      <c r="J800" s="58" t="str">
        <f>I800-E800</f>
      </c>
    </row>
    <row r="801">
      <c r="A801" t="s">
        <v>208</v>
      </c>
      <c r="B801" t="s">
        <v>210</v>
      </c>
      <c r="C801" s="52" t="n">
        <v>2035</v>
      </c>
      <c r="D801" t="s">
        <v>230</v>
      </c>
      <c r="E801" s="53" t="n">
        <v>1162781.06257545</v>
      </c>
      <c r="F801" s="54" t="n">
        <v>210627.440171359</v>
      </c>
      <c r="G801" s="55" t="n">
        <v>210627.422792314</v>
      </c>
      <c r="H801" s="56" t="str">
        <f>G801-F801</f>
      </c>
      <c r="I801" s="57" t="n">
        <v>1162777.28327874</v>
      </c>
      <c r="J801" s="58" t="str">
        <f>I801-E801</f>
      </c>
    </row>
    <row r="802">
      <c r="A802" t="s">
        <v>208</v>
      </c>
      <c r="B802" t="s">
        <v>210</v>
      </c>
      <c r="C802" s="52" t="n">
        <v>2035</v>
      </c>
      <c r="D802" t="s">
        <v>166</v>
      </c>
      <c r="E802" s="53" t="n">
        <v>120799.118896779</v>
      </c>
      <c r="F802" s="54" t="n">
        <v>79456.6437960488</v>
      </c>
      <c r="G802" s="55" t="n">
        <v>79456.6324211876</v>
      </c>
      <c r="H802" s="56" t="str">
        <f>G802-F802</f>
      </c>
      <c r="I802" s="57" t="n">
        <v>120799.065903184</v>
      </c>
      <c r="J802" s="58" t="str">
        <f>I802-E802</f>
      </c>
    </row>
    <row r="803">
      <c r="A803" t="s">
        <v>208</v>
      </c>
      <c r="B803" t="s">
        <v>210</v>
      </c>
      <c r="C803" s="52" t="n">
        <v>2035</v>
      </c>
      <c r="D803" t="s">
        <v>176</v>
      </c>
      <c r="E803" s="53" t="n">
        <v>273345.651297563</v>
      </c>
      <c r="F803" s="54" t="n">
        <v>256807.57395978</v>
      </c>
      <c r="G803" s="55" t="n">
        <v>256807.532230081</v>
      </c>
      <c r="H803" s="56" t="str">
        <f>G803-F803</f>
      </c>
      <c r="I803" s="57" t="n">
        <v>273345.360062938</v>
      </c>
      <c r="J803" s="58" t="str">
        <f>I803-E803</f>
      </c>
    </row>
    <row r="804">
      <c r="A804" t="s">
        <v>208</v>
      </c>
      <c r="B804" t="s">
        <v>210</v>
      </c>
      <c r="C804" s="52" t="n">
        <v>2035</v>
      </c>
      <c r="D804" t="s">
        <v>180</v>
      </c>
      <c r="E804" s="53" t="n">
        <v>678639.359119515</v>
      </c>
      <c r="F804" s="54" t="n">
        <v>399493.022359222</v>
      </c>
      <c r="G804" s="55" t="n">
        <v>399492.950532998</v>
      </c>
      <c r="H804" s="56" t="str">
        <f>G804-F804</f>
      </c>
      <c r="I804" s="57" t="n">
        <v>678638.434521443</v>
      </c>
      <c r="J804" s="58" t="str">
        <f>I804-E804</f>
      </c>
    </row>
    <row r="805">
      <c r="A805" t="s">
        <v>208</v>
      </c>
      <c r="B805" t="s">
        <v>210</v>
      </c>
      <c r="C805" s="52" t="n">
        <v>2035</v>
      </c>
      <c r="D805" t="s">
        <v>184</v>
      </c>
      <c r="E805" s="53" t="n">
        <v>349146.377101209</v>
      </c>
      <c r="F805" s="54" t="n">
        <v>185365.76641909</v>
      </c>
      <c r="G805" s="55" t="n">
        <v>185365.761103579</v>
      </c>
      <c r="H805" s="56" t="str">
        <f>G805-F805</f>
      </c>
      <c r="I805" s="57" t="n">
        <v>349146.062455764</v>
      </c>
      <c r="J805" s="58" t="str">
        <f>I805-E805</f>
      </c>
    </row>
    <row r="806">
      <c r="A806" t="s">
        <v>208</v>
      </c>
      <c r="B806" t="s">
        <v>210</v>
      </c>
      <c r="C806" s="52" t="n">
        <v>2035</v>
      </c>
      <c r="D806" t="s">
        <v>212</v>
      </c>
      <c r="E806" s="53" t="n">
        <v>37274.397940563</v>
      </c>
      <c r="F806" s="54" t="n">
        <v>3515.06309308556</v>
      </c>
      <c r="G806" s="55" t="n">
        <v>3710.43177455469</v>
      </c>
      <c r="H806" s="56" t="str">
        <f>G806-F806</f>
      </c>
      <c r="I806" s="57" t="n">
        <v>37274.3979018446</v>
      </c>
      <c r="J806" s="58" t="str">
        <f>I806-E806</f>
      </c>
    </row>
    <row r="807">
      <c r="A807" t="s">
        <v>208</v>
      </c>
      <c r="B807" t="s">
        <v>210</v>
      </c>
      <c r="C807" s="52" t="n">
        <v>2036</v>
      </c>
      <c r="D807" t="s">
        <v>190</v>
      </c>
      <c r="E807" s="53" t="n">
        <v>17392.6303973676</v>
      </c>
      <c r="F807" s="54" t="n">
        <v>12452.8695650636</v>
      </c>
      <c r="G807" s="55" t="n">
        <v>12452.8640137516</v>
      </c>
      <c r="H807" s="56" t="str">
        <f>G807-F807</f>
      </c>
      <c r="I807" s="57" t="n">
        <v>17392.6099040701</v>
      </c>
      <c r="J807" s="58" t="str">
        <f>I807-E807</f>
      </c>
    </row>
    <row r="808">
      <c r="A808" t="s">
        <v>208</v>
      </c>
      <c r="B808" t="s">
        <v>210</v>
      </c>
      <c r="C808" s="52" t="n">
        <v>2036</v>
      </c>
      <c r="D808" t="s">
        <v>230</v>
      </c>
      <c r="E808" s="53" t="n">
        <v>1174090.0503736</v>
      </c>
      <c r="F808" s="54" t="n">
        <v>218906.647894256</v>
      </c>
      <c r="G808" s="55" t="n">
        <v>218906.623444501</v>
      </c>
      <c r="H808" s="56" t="str">
        <f>G808-F808</f>
      </c>
      <c r="I808" s="57" t="n">
        <v>1174085.51289072</v>
      </c>
      <c r="J808" s="58" t="str">
        <f>I808-E808</f>
      </c>
    </row>
    <row r="809">
      <c r="A809" t="s">
        <v>208</v>
      </c>
      <c r="B809" t="s">
        <v>210</v>
      </c>
      <c r="C809" s="52" t="n">
        <v>2036</v>
      </c>
      <c r="D809" t="s">
        <v>166</v>
      </c>
      <c r="E809" s="53" t="n">
        <v>122618.384351236</v>
      </c>
      <c r="F809" s="54" t="n">
        <v>80302.8583668079</v>
      </c>
      <c r="G809" s="55" t="n">
        <v>80302.8429955226</v>
      </c>
      <c r="H809" s="56" t="str">
        <f>G809-F809</f>
      </c>
      <c r="I809" s="57" t="n">
        <v>122618.320312187</v>
      </c>
      <c r="J809" s="58" t="str">
        <f>I809-E809</f>
      </c>
    </row>
    <row r="810">
      <c r="A810" t="s">
        <v>208</v>
      </c>
      <c r="B810" t="s">
        <v>210</v>
      </c>
      <c r="C810" s="52" t="n">
        <v>2036</v>
      </c>
      <c r="D810" t="s">
        <v>176</v>
      </c>
      <c r="E810" s="53" t="n">
        <v>273297.913450492</v>
      </c>
      <c r="F810" s="54" t="n">
        <v>256933.455182647</v>
      </c>
      <c r="G810" s="55" t="n">
        <v>256933.398229342</v>
      </c>
      <c r="H810" s="56" t="str">
        <f>G810-F810</f>
      </c>
      <c r="I810" s="57" t="n">
        <v>273297.569822228</v>
      </c>
      <c r="J810" s="58" t="str">
        <f>I810-E810</f>
      </c>
    </row>
    <row r="811">
      <c r="A811" t="s">
        <v>208</v>
      </c>
      <c r="B811" t="s">
        <v>210</v>
      </c>
      <c r="C811" s="52" t="n">
        <v>2036</v>
      </c>
      <c r="D811" t="s">
        <v>180</v>
      </c>
      <c r="E811" s="53" t="n">
        <v>688195.775590656</v>
      </c>
      <c r="F811" s="54" t="n">
        <v>405992.751061837</v>
      </c>
      <c r="G811" s="55" t="n">
        <v>405992.653493878</v>
      </c>
      <c r="H811" s="56" t="str">
        <f>G811-F811</f>
      </c>
      <c r="I811" s="57" t="n">
        <v>688194.684475592</v>
      </c>
      <c r="J811" s="58" t="str">
        <f>I811-E811</f>
      </c>
    </row>
    <row r="812">
      <c r="A812" t="s">
        <v>208</v>
      </c>
      <c r="B812" t="s">
        <v>210</v>
      </c>
      <c r="C812" s="52" t="n">
        <v>2036</v>
      </c>
      <c r="D812" t="s">
        <v>184</v>
      </c>
      <c r="E812" s="53" t="n">
        <v>352603.443601974</v>
      </c>
      <c r="F812" s="54" t="n">
        <v>186417.934624706</v>
      </c>
      <c r="G812" s="55" t="n">
        <v>186417.92722248</v>
      </c>
      <c r="H812" s="56" t="str">
        <f>G812-F812</f>
      </c>
      <c r="I812" s="57" t="n">
        <v>352603.071714204</v>
      </c>
      <c r="J812" s="58" t="str">
        <f>I812-E812</f>
      </c>
    </row>
    <row r="813">
      <c r="A813" t="s">
        <v>208</v>
      </c>
      <c r="B813" t="s">
        <v>210</v>
      </c>
      <c r="C813" s="52" t="n">
        <v>2036</v>
      </c>
      <c r="D813" t="s">
        <v>212</v>
      </c>
      <c r="E813" s="53" t="n">
        <v>37283.027673637</v>
      </c>
      <c r="F813" s="54" t="n">
        <v>3372.27683371227</v>
      </c>
      <c r="G813" s="55" t="n">
        <v>3578.66006488627</v>
      </c>
      <c r="H813" s="56" t="str">
        <f>G813-F813</f>
      </c>
      <c r="I813" s="57" t="n">
        <v>37283.0276293956</v>
      </c>
      <c r="J813" s="58" t="str">
        <f>I813-E813</f>
      </c>
    </row>
    <row r="814">
      <c r="A814" t="s">
        <v>208</v>
      </c>
      <c r="B814" t="s">
        <v>210</v>
      </c>
      <c r="C814" s="52" t="n">
        <v>2037</v>
      </c>
      <c r="D814" t="s">
        <v>190</v>
      </c>
      <c r="E814" s="53" t="n">
        <v>17971.5070014206</v>
      </c>
      <c r="F814" s="54" t="n">
        <v>12799.4866192153</v>
      </c>
      <c r="G814" s="55" t="n">
        <v>12799.4794545616</v>
      </c>
      <c r="H814" s="56" t="str">
        <f>G814-F814</f>
      </c>
      <c r="I814" s="57" t="n">
        <v>17971.4828640642</v>
      </c>
      <c r="J814" s="58" t="str">
        <f>I814-E814</f>
      </c>
    </row>
    <row r="815">
      <c r="A815" t="s">
        <v>208</v>
      </c>
      <c r="B815" t="s">
        <v>210</v>
      </c>
      <c r="C815" s="52" t="n">
        <v>2037</v>
      </c>
      <c r="D815" t="s">
        <v>230</v>
      </c>
      <c r="E815" s="53" t="n">
        <v>1185270.10412442</v>
      </c>
      <c r="F815" s="54" t="n">
        <v>227145.884035522</v>
      </c>
      <c r="G815" s="55" t="n">
        <v>227145.85064844</v>
      </c>
      <c r="H815" s="56" t="str">
        <f>G815-F815</f>
      </c>
      <c r="I815" s="57" t="n">
        <v>1185264.74384977</v>
      </c>
      <c r="J815" s="58" t="str">
        <f>I815-E815</f>
      </c>
    </row>
    <row r="816">
      <c r="A816" t="s">
        <v>208</v>
      </c>
      <c r="B816" t="s">
        <v>210</v>
      </c>
      <c r="C816" s="52" t="n">
        <v>2037</v>
      </c>
      <c r="D816" t="s">
        <v>166</v>
      </c>
      <c r="E816" s="53" t="n">
        <v>124489.505845752</v>
      </c>
      <c r="F816" s="54" t="n">
        <v>81244.7115277631</v>
      </c>
      <c r="G816" s="55" t="n">
        <v>81244.6913895843</v>
      </c>
      <c r="H816" s="56" t="str">
        <f>G816-F816</f>
      </c>
      <c r="I816" s="57" t="n">
        <v>124489.429760244</v>
      </c>
      <c r="J816" s="58" t="str">
        <f>I816-E816</f>
      </c>
    </row>
    <row r="817">
      <c r="A817" t="s">
        <v>208</v>
      </c>
      <c r="B817" t="s">
        <v>210</v>
      </c>
      <c r="C817" s="52" t="n">
        <v>2037</v>
      </c>
      <c r="D817" t="s">
        <v>176</v>
      </c>
      <c r="E817" s="53" t="n">
        <v>273203.201758023</v>
      </c>
      <c r="F817" s="54" t="n">
        <v>257071.048504679</v>
      </c>
      <c r="G817" s="55" t="n">
        <v>257070.973149134</v>
      </c>
      <c r="H817" s="56" t="str">
        <f>G817-F817</f>
      </c>
      <c r="I817" s="57" t="n">
        <v>273202.802274069</v>
      </c>
      <c r="J817" s="58" t="str">
        <f>I817-E817</f>
      </c>
    </row>
    <row r="818">
      <c r="A818" t="s">
        <v>208</v>
      </c>
      <c r="B818" t="s">
        <v>210</v>
      </c>
      <c r="C818" s="52" t="n">
        <v>2037</v>
      </c>
      <c r="D818" t="s">
        <v>180</v>
      </c>
      <c r="E818" s="53" t="n">
        <v>698061.769772789</v>
      </c>
      <c r="F818" s="54" t="n">
        <v>413018.471478187</v>
      </c>
      <c r="G818" s="55" t="n">
        <v>413018.343093551</v>
      </c>
      <c r="H818" s="56" t="str">
        <f>G818-F818</f>
      </c>
      <c r="I818" s="57" t="n">
        <v>698060.502126947</v>
      </c>
      <c r="J818" s="58" t="str">
        <f>I818-E818</f>
      </c>
    </row>
    <row r="819">
      <c r="A819" t="s">
        <v>208</v>
      </c>
      <c r="B819" t="s">
        <v>210</v>
      </c>
      <c r="C819" s="52" t="n">
        <v>2037</v>
      </c>
      <c r="D819" t="s">
        <v>184</v>
      </c>
      <c r="E819" s="53" t="n">
        <v>356426.111784535</v>
      </c>
      <c r="F819" s="54" t="n">
        <v>187788.322514014</v>
      </c>
      <c r="G819" s="55" t="n">
        <v>187788.312528489</v>
      </c>
      <c r="H819" s="56" t="str">
        <f>G819-F819</f>
      </c>
      <c r="I819" s="57" t="n">
        <v>356425.678918654</v>
      </c>
      <c r="J819" s="58" t="str">
        <f>I819-E819</f>
      </c>
    </row>
    <row r="820">
      <c r="A820" t="s">
        <v>208</v>
      </c>
      <c r="B820" t="s">
        <v>210</v>
      </c>
      <c r="C820" s="52" t="n">
        <v>2037</v>
      </c>
      <c r="D820" t="s">
        <v>212</v>
      </c>
      <c r="E820" s="53" t="n">
        <v>36837.2775295285</v>
      </c>
      <c r="F820" s="54" t="n">
        <v>3232.9932451355</v>
      </c>
      <c r="G820" s="55" t="n">
        <v>3450.19465573699</v>
      </c>
      <c r="H820" s="56" t="str">
        <f>G820-F820</f>
      </c>
      <c r="I820" s="57" t="n">
        <v>36837.2774807632</v>
      </c>
      <c r="J820" s="58" t="str">
        <f>I820-E820</f>
      </c>
    </row>
    <row r="821">
      <c r="A821" t="s">
        <v>208</v>
      </c>
      <c r="B821" t="s">
        <v>210</v>
      </c>
      <c r="C821" s="52" t="n">
        <v>2038</v>
      </c>
      <c r="D821" t="s">
        <v>190</v>
      </c>
      <c r="E821" s="53" t="n">
        <v>18564.7606098625</v>
      </c>
      <c r="F821" s="54" t="n">
        <v>13155.6128898412</v>
      </c>
      <c r="G821" s="55" t="n">
        <v>13155.6038503287</v>
      </c>
      <c r="H821" s="56" t="str">
        <f>G821-F821</f>
      </c>
      <c r="I821" s="57" t="n">
        <v>18564.7325343064</v>
      </c>
      <c r="J821" s="58" t="str">
        <f>I821-E821</f>
      </c>
    </row>
    <row r="822">
      <c r="A822" t="s">
        <v>208</v>
      </c>
      <c r="B822" t="s">
        <v>210</v>
      </c>
      <c r="C822" s="52" t="n">
        <v>2038</v>
      </c>
      <c r="D822" t="s">
        <v>230</v>
      </c>
      <c r="E822" s="53" t="n">
        <v>1196320.79436982</v>
      </c>
      <c r="F822" s="54" t="n">
        <v>235329.645988006</v>
      </c>
      <c r="G822" s="55" t="n">
        <v>235329.601498619</v>
      </c>
      <c r="H822" s="56" t="str">
        <f>G822-F822</f>
      </c>
      <c r="I822" s="57" t="n">
        <v>1196314.54511457</v>
      </c>
      <c r="J822" s="58" t="str">
        <f>I822-E822</f>
      </c>
    </row>
    <row r="823">
      <c r="A823" t="s">
        <v>208</v>
      </c>
      <c r="B823" t="s">
        <v>210</v>
      </c>
      <c r="C823" s="52" t="n">
        <v>2038</v>
      </c>
      <c r="D823" t="s">
        <v>166</v>
      </c>
      <c r="E823" s="53" t="n">
        <v>126555.922982154</v>
      </c>
      <c r="F823" s="54" t="n">
        <v>82253.956572428</v>
      </c>
      <c r="G823" s="55" t="n">
        <v>82253.930841494</v>
      </c>
      <c r="H823" s="56" t="str">
        <f>G823-F823</f>
      </c>
      <c r="I823" s="57" t="n">
        <v>126555.833855502</v>
      </c>
      <c r="J823" s="58" t="str">
        <f>I823-E823</f>
      </c>
    </row>
    <row r="824">
      <c r="A824" t="s">
        <v>208</v>
      </c>
      <c r="B824" t="s">
        <v>210</v>
      </c>
      <c r="C824" s="52" t="n">
        <v>2038</v>
      </c>
      <c r="D824" t="s">
        <v>176</v>
      </c>
      <c r="E824" s="53" t="n">
        <v>273035.826183648</v>
      </c>
      <c r="F824" s="54" t="n">
        <v>257130.773808628</v>
      </c>
      <c r="G824" s="55" t="n">
        <v>257130.676610817</v>
      </c>
      <c r="H824" s="56" t="str">
        <f>G824-F824</f>
      </c>
      <c r="I824" s="57" t="n">
        <v>273035.370644084</v>
      </c>
      <c r="J824" s="58" t="str">
        <f>I824-E824</f>
      </c>
    </row>
    <row r="825">
      <c r="A825" t="s">
        <v>208</v>
      </c>
      <c r="B825" t="s">
        <v>210</v>
      </c>
      <c r="C825" s="52" t="n">
        <v>2038</v>
      </c>
      <c r="D825" t="s">
        <v>180</v>
      </c>
      <c r="E825" s="53" t="n">
        <v>708676.017540569</v>
      </c>
      <c r="F825" s="54" t="n">
        <v>420445.42874328</v>
      </c>
      <c r="G825" s="55" t="n">
        <v>420445.264129068</v>
      </c>
      <c r="H825" s="56" t="str">
        <f>G825-F825</f>
      </c>
      <c r="I825" s="57" t="n">
        <v>708674.574961299</v>
      </c>
      <c r="J825" s="58" t="str">
        <f>I825-E825</f>
      </c>
    </row>
    <row r="826">
      <c r="A826" t="s">
        <v>208</v>
      </c>
      <c r="B826" t="s">
        <v>210</v>
      </c>
      <c r="C826" s="52" t="n">
        <v>2038</v>
      </c>
      <c r="D826" t="s">
        <v>184</v>
      </c>
      <c r="E826" s="53" t="n">
        <v>360901.429356978</v>
      </c>
      <c r="F826" s="54" t="n">
        <v>189347.435391306</v>
      </c>
      <c r="G826" s="55" t="n">
        <v>189347.422266605</v>
      </c>
      <c r="H826" s="56" t="str">
        <f>G826-F826</f>
      </c>
      <c r="I826" s="57" t="n">
        <v>360900.93527345</v>
      </c>
      <c r="J826" s="58" t="str">
        <f>I826-E826</f>
      </c>
    </row>
    <row r="827">
      <c r="A827" t="s">
        <v>208</v>
      </c>
      <c r="B827" t="s">
        <v>210</v>
      </c>
      <c r="C827" s="52" t="n">
        <v>2038</v>
      </c>
      <c r="D827" t="s">
        <v>212</v>
      </c>
      <c r="E827" s="53" t="n">
        <v>36551.4413082008</v>
      </c>
      <c r="F827" s="54" t="n">
        <v>3094.98580915125</v>
      </c>
      <c r="G827" s="55" t="n">
        <v>3322.82157442101</v>
      </c>
      <c r="H827" s="56" t="str">
        <f>G827-F827</f>
      </c>
      <c r="I827" s="57" t="n">
        <v>36551.441257779</v>
      </c>
      <c r="J827" s="58" t="str">
        <f>I827-E827</f>
      </c>
    </row>
    <row r="828">
      <c r="A828" t="s">
        <v>208</v>
      </c>
      <c r="B828" t="s">
        <v>210</v>
      </c>
      <c r="C828" s="52" t="n">
        <v>2039</v>
      </c>
      <c r="D828" t="s">
        <v>190</v>
      </c>
      <c r="E828" s="53" t="n">
        <v>19174.3780415844</v>
      </c>
      <c r="F828" s="54" t="n">
        <v>13516.7897038397</v>
      </c>
      <c r="G828" s="55" t="n">
        <v>13516.7785061579</v>
      </c>
      <c r="H828" s="56" t="str">
        <f>G828-F828</f>
      </c>
      <c r="I828" s="57" t="n">
        <v>19174.3457459029</v>
      </c>
      <c r="J828" s="58" t="str">
        <f>I828-E828</f>
      </c>
    </row>
    <row r="829">
      <c r="A829" t="s">
        <v>208</v>
      </c>
      <c r="B829" t="s">
        <v>210</v>
      </c>
      <c r="C829" s="52" t="n">
        <v>2039</v>
      </c>
      <c r="D829" t="s">
        <v>230</v>
      </c>
      <c r="E829" s="53" t="n">
        <v>1206932.9864423</v>
      </c>
      <c r="F829" s="54" t="n">
        <v>243483.422127152</v>
      </c>
      <c r="G829" s="55" t="n">
        <v>243483.364034463</v>
      </c>
      <c r="H829" s="56" t="str">
        <f>G829-F829</f>
      </c>
      <c r="I829" s="57" t="n">
        <v>1206925.78308321</v>
      </c>
      <c r="J829" s="58" t="str">
        <f>I829-E829</f>
      </c>
    </row>
    <row r="830">
      <c r="A830" t="s">
        <v>208</v>
      </c>
      <c r="B830" t="s">
        <v>210</v>
      </c>
      <c r="C830" s="52" t="n">
        <v>2039</v>
      </c>
      <c r="D830" t="s">
        <v>166</v>
      </c>
      <c r="E830" s="53" t="n">
        <v>128001.462265847</v>
      </c>
      <c r="F830" s="54" t="n">
        <v>83389.2134156471</v>
      </c>
      <c r="G830" s="55" t="n">
        <v>83389.1809587923</v>
      </c>
      <c r="H830" s="56" t="str">
        <f>G830-F830</f>
      </c>
      <c r="I830" s="57" t="n">
        <v>128001.347826374</v>
      </c>
      <c r="J830" s="58" t="str">
        <f>I830-E830</f>
      </c>
    </row>
    <row r="831">
      <c r="A831" t="s">
        <v>208</v>
      </c>
      <c r="B831" t="s">
        <v>210</v>
      </c>
      <c r="C831" s="52" t="n">
        <v>2039</v>
      </c>
      <c r="D831" t="s">
        <v>176</v>
      </c>
      <c r="E831" s="53" t="n">
        <v>272973.924124835</v>
      </c>
      <c r="F831" s="54" t="n">
        <v>257441.992546412</v>
      </c>
      <c r="G831" s="55" t="n">
        <v>257441.86914337</v>
      </c>
      <c r="H831" s="56" t="str">
        <f>G831-F831</f>
      </c>
      <c r="I831" s="57" t="n">
        <v>272973.34550101</v>
      </c>
      <c r="J831" s="58" t="str">
        <f>I831-E831</f>
      </c>
    </row>
    <row r="832">
      <c r="A832" t="s">
        <v>208</v>
      </c>
      <c r="B832" t="s">
        <v>210</v>
      </c>
      <c r="C832" s="52" t="n">
        <v>2039</v>
      </c>
      <c r="D832" t="s">
        <v>180</v>
      </c>
      <c r="E832" s="53" t="n">
        <v>715582.76412449</v>
      </c>
      <c r="F832" s="54" t="n">
        <v>428444.776322078</v>
      </c>
      <c r="G832" s="55" t="n">
        <v>428444.568481745</v>
      </c>
      <c r="H832" s="56" t="str">
        <f>G832-F832</f>
      </c>
      <c r="I832" s="57" t="n">
        <v>715580.887085385</v>
      </c>
      <c r="J832" s="58" t="str">
        <f>I832-E832</f>
      </c>
    </row>
    <row r="833">
      <c r="A833" t="s">
        <v>208</v>
      </c>
      <c r="B833" t="s">
        <v>210</v>
      </c>
      <c r="C833" s="52" t="n">
        <v>2039</v>
      </c>
      <c r="D833" t="s">
        <v>184</v>
      </c>
      <c r="E833" s="53" t="n">
        <v>362969.859344197</v>
      </c>
      <c r="F833" s="54" t="n">
        <v>191929.627823762</v>
      </c>
      <c r="G833" s="55" t="n">
        <v>191929.610855123</v>
      </c>
      <c r="H833" s="56" t="str">
        <f>G833-F833</f>
      </c>
      <c r="I833" s="57" t="n">
        <v>362969.198365508</v>
      </c>
      <c r="J833" s="58" t="str">
        <f>I833-E833</f>
      </c>
    </row>
    <row r="834">
      <c r="A834" t="s">
        <v>208</v>
      </c>
      <c r="B834" t="s">
        <v>210</v>
      </c>
      <c r="C834" s="52" t="n">
        <v>2039</v>
      </c>
      <c r="D834" t="s">
        <v>212</v>
      </c>
      <c r="E834" s="53" t="n">
        <v>36178.2239127041</v>
      </c>
      <c r="F834" s="54" t="n">
        <v>2961.17141824424</v>
      </c>
      <c r="G834" s="55" t="n">
        <v>3198.02305383022</v>
      </c>
      <c r="H834" s="56" t="str">
        <f>G834-F834</f>
      </c>
      <c r="I834" s="57" t="n">
        <v>36178.2238447184</v>
      </c>
      <c r="J834" s="58" t="str">
        <f>I834-E834</f>
      </c>
    </row>
    <row r="835">
      <c r="A835" t="s">
        <v>208</v>
      </c>
      <c r="B835" t="s">
        <v>210</v>
      </c>
      <c r="C835" s="52" t="n">
        <v>2040</v>
      </c>
      <c r="D835" t="s">
        <v>190</v>
      </c>
      <c r="E835" s="53" t="n">
        <v>19805.5426091923</v>
      </c>
      <c r="F835" s="54" t="n">
        <v>13879.6869288139</v>
      </c>
      <c r="G835" s="55" t="n">
        <v>13879.6732870407</v>
      </c>
      <c r="H835" s="56" t="str">
        <f>G835-F835</f>
      </c>
      <c r="I835" s="57" t="n">
        <v>19805.5058057648</v>
      </c>
      <c r="J835" s="58" t="str">
        <f>I835-E835</f>
      </c>
    </row>
    <row r="836">
      <c r="A836" t="s">
        <v>208</v>
      </c>
      <c r="B836" t="s">
        <v>210</v>
      </c>
      <c r="C836" s="52" t="n">
        <v>2040</v>
      </c>
      <c r="D836" t="s">
        <v>230</v>
      </c>
      <c r="E836" s="53" t="n">
        <v>1217037.72003504</v>
      </c>
      <c r="F836" s="54" t="n">
        <v>251591.973219738</v>
      </c>
      <c r="G836" s="55" t="n">
        <v>251591.898664867</v>
      </c>
      <c r="H836" s="56" t="str">
        <f>G836-F836</f>
      </c>
      <c r="I836" s="57" t="n">
        <v>1217029.49333677</v>
      </c>
      <c r="J836" s="58" t="str">
        <f>I836-E836</f>
      </c>
    </row>
    <row r="837">
      <c r="A837" t="s">
        <v>208</v>
      </c>
      <c r="B837" t="s">
        <v>210</v>
      </c>
      <c r="C837" s="52" t="n">
        <v>2040</v>
      </c>
      <c r="D837" t="s">
        <v>166</v>
      </c>
      <c r="E837" s="53" t="n">
        <v>130079.248900231</v>
      </c>
      <c r="F837" s="54" t="n">
        <v>84431.9317662666</v>
      </c>
      <c r="G837" s="55" t="n">
        <v>84431.8911758369</v>
      </c>
      <c r="H837" s="56" t="str">
        <f>G837-F837</f>
      </c>
      <c r="I837" s="57" t="n">
        <v>130079.117811465</v>
      </c>
      <c r="J837" s="58" t="str">
        <f>I837-E837</f>
      </c>
    </row>
    <row r="838">
      <c r="A838" t="s">
        <v>208</v>
      </c>
      <c r="B838" t="s">
        <v>210</v>
      </c>
      <c r="C838" s="52" t="n">
        <v>2040</v>
      </c>
      <c r="D838" t="s">
        <v>176</v>
      </c>
      <c r="E838" s="53" t="n">
        <v>272773.343044632</v>
      </c>
      <c r="F838" s="54" t="n">
        <v>257451.960140395</v>
      </c>
      <c r="G838" s="55" t="n">
        <v>257451.80463236</v>
      </c>
      <c r="H838" s="56" t="str">
        <f>G838-F838</f>
      </c>
      <c r="I838" s="57" t="n">
        <v>272772.692977532</v>
      </c>
      <c r="J838" s="58" t="str">
        <f>I838-E838</f>
      </c>
    </row>
    <row r="839">
      <c r="A839" t="s">
        <v>208</v>
      </c>
      <c r="B839" t="s">
        <v>210</v>
      </c>
      <c r="C839" s="52" t="n">
        <v>2040</v>
      </c>
      <c r="D839" t="s">
        <v>180</v>
      </c>
      <c r="E839" s="53" t="n">
        <v>725059.95860777</v>
      </c>
      <c r="F839" s="54" t="n">
        <v>435209.102354062</v>
      </c>
      <c r="G839" s="55" t="n">
        <v>435208.840989962</v>
      </c>
      <c r="H839" s="56" t="str">
        <f>G839-F839</f>
      </c>
      <c r="I839" s="57" t="n">
        <v>725057.851356544</v>
      </c>
      <c r="J839" s="58" t="str">
        <f>I839-E839</f>
      </c>
    </row>
    <row r="840">
      <c r="A840" t="s">
        <v>208</v>
      </c>
      <c r="B840" t="s">
        <v>210</v>
      </c>
      <c r="C840" s="52" t="n">
        <v>2040</v>
      </c>
      <c r="D840" t="s">
        <v>184</v>
      </c>
      <c r="E840" s="53" t="n">
        <v>366714.788242134</v>
      </c>
      <c r="F840" s="54" t="n">
        <v>193853.272648866</v>
      </c>
      <c r="G840" s="55" t="n">
        <v>193853.250747764</v>
      </c>
      <c r="H840" s="56" t="str">
        <f>G840-F840</f>
      </c>
      <c r="I840" s="57" t="n">
        <v>366714.045807884</v>
      </c>
      <c r="J840" s="58" t="str">
        <f>I840-E840</f>
      </c>
    </row>
    <row r="841">
      <c r="A841" t="s">
        <v>208</v>
      </c>
      <c r="B841" t="s">
        <v>210</v>
      </c>
      <c r="C841" s="52" t="n">
        <v>2040</v>
      </c>
      <c r="D841" t="s">
        <v>212</v>
      </c>
      <c r="E841" s="53" t="n">
        <v>36005.028158335</v>
      </c>
      <c r="F841" s="54" t="n">
        <v>2826.19249655741</v>
      </c>
      <c r="G841" s="55" t="n">
        <v>3069.25189350158</v>
      </c>
      <c r="H841" s="56" t="str">
        <f>G841-F841</f>
      </c>
      <c r="I841" s="57" t="n">
        <v>36005.0280863419</v>
      </c>
      <c r="J841" s="58" t="str">
        <f>I841-E841</f>
      </c>
    </row>
    <row r="842">
      <c r="A842" t="s">
        <v>208</v>
      </c>
      <c r="B842" t="s">
        <v>210</v>
      </c>
      <c r="C842" s="52" t="n">
        <v>2041</v>
      </c>
      <c r="D842" t="s">
        <v>190</v>
      </c>
      <c r="E842" s="53" t="n">
        <v>20453.6683113249</v>
      </c>
      <c r="F842" s="54" t="n">
        <v>14249.5528322814</v>
      </c>
      <c r="G842" s="55" t="n">
        <v>14249.5364552167</v>
      </c>
      <c r="H842" s="56" t="str">
        <f>G842-F842</f>
      </c>
      <c r="I842" s="57" t="n">
        <v>20453.6267543422</v>
      </c>
      <c r="J842" s="58" t="str">
        <f>I842-E842</f>
      </c>
    </row>
    <row r="843">
      <c r="A843" t="s">
        <v>208</v>
      </c>
      <c r="B843" t="s">
        <v>210</v>
      </c>
      <c r="C843" s="52" t="n">
        <v>2041</v>
      </c>
      <c r="D843" t="s">
        <v>230</v>
      </c>
      <c r="E843" s="53" t="n">
        <v>1226634.1048278</v>
      </c>
      <c r="F843" s="54" t="n">
        <v>259677.29010255</v>
      </c>
      <c r="G843" s="55" t="n">
        <v>259677.195752453</v>
      </c>
      <c r="H843" s="56" t="str">
        <f>G843-F843</f>
      </c>
      <c r="I843" s="57" t="n">
        <v>1226624.81076703</v>
      </c>
      <c r="J843" s="58" t="str">
        <f>I843-E843</f>
      </c>
    </row>
    <row r="844">
      <c r="A844" t="s">
        <v>208</v>
      </c>
      <c r="B844" t="s">
        <v>210</v>
      </c>
      <c r="C844" s="52" t="n">
        <v>2041</v>
      </c>
      <c r="D844" t="s">
        <v>166</v>
      </c>
      <c r="E844" s="53" t="n">
        <v>132229.778846321</v>
      </c>
      <c r="F844" s="54" t="n">
        <v>85532.3693882158</v>
      </c>
      <c r="G844" s="55" t="n">
        <v>85532.3195906077</v>
      </c>
      <c r="H844" s="56" t="str">
        <f>G844-F844</f>
      </c>
      <c r="I844" s="57" t="n">
        <v>132229.629710176</v>
      </c>
      <c r="J844" s="58" t="str">
        <f>I844-E844</f>
      </c>
    </row>
    <row r="845">
      <c r="A845" t="s">
        <v>208</v>
      </c>
      <c r="B845" t="s">
        <v>210</v>
      </c>
      <c r="C845" s="52" t="n">
        <v>2041</v>
      </c>
      <c r="D845" t="s">
        <v>176</v>
      </c>
      <c r="E845" s="53" t="n">
        <v>272612.480096077</v>
      </c>
      <c r="F845" s="54" t="n">
        <v>257389.823855768</v>
      </c>
      <c r="G845" s="55" t="n">
        <v>257389.631754286</v>
      </c>
      <c r="H845" s="56" t="str">
        <f>G845-F845</f>
      </c>
      <c r="I845" s="57" t="n">
        <v>272611.753671291</v>
      </c>
      <c r="J845" s="58" t="str">
        <f>I845-E845</f>
      </c>
    </row>
    <row r="846">
      <c r="A846" t="s">
        <v>208</v>
      </c>
      <c r="B846" t="s">
        <v>210</v>
      </c>
      <c r="C846" s="52" t="n">
        <v>2041</v>
      </c>
      <c r="D846" t="s">
        <v>180</v>
      </c>
      <c r="E846" s="53" t="n">
        <v>734630.095499716</v>
      </c>
      <c r="F846" s="54" t="n">
        <v>442324.628714743</v>
      </c>
      <c r="G846" s="55" t="n">
        <v>442324.306406792</v>
      </c>
      <c r="H846" s="56" t="str">
        <f>G846-F846</f>
      </c>
      <c r="I846" s="57" t="n">
        <v>734627.740075405</v>
      </c>
      <c r="J846" s="58" t="str">
        <f>I846-E846</f>
      </c>
    </row>
    <row r="847">
      <c r="A847" t="s">
        <v>208</v>
      </c>
      <c r="B847" t="s">
        <v>210</v>
      </c>
      <c r="C847" s="52" t="n">
        <v>2041</v>
      </c>
      <c r="D847" t="s">
        <v>184</v>
      </c>
      <c r="E847" s="53" t="n">
        <v>370437.80760485</v>
      </c>
      <c r="F847" s="54" t="n">
        <v>195926.934867731</v>
      </c>
      <c r="G847" s="55" t="n">
        <v>195926.907201396</v>
      </c>
      <c r="H847" s="56" t="str">
        <f>G847-F847</f>
      </c>
      <c r="I847" s="57" t="n">
        <v>370436.975606793</v>
      </c>
      <c r="J847" s="58" t="str">
        <f>I847-E847</f>
      </c>
    </row>
    <row r="848">
      <c r="A848" t="s">
        <v>208</v>
      </c>
      <c r="B848" t="s">
        <v>210</v>
      </c>
      <c r="C848" s="52" t="n">
        <v>2041</v>
      </c>
      <c r="D848" t="s">
        <v>212</v>
      </c>
      <c r="E848" s="53" t="n">
        <v>35900.7651290262</v>
      </c>
      <c r="F848" s="54" t="n">
        <v>2694.78901751959</v>
      </c>
      <c r="G848" s="55" t="n">
        <v>2944.01552271229</v>
      </c>
      <c r="H848" s="56" t="str">
        <f>G848-F848</f>
      </c>
      <c r="I848" s="57" t="n">
        <v>35900.7650540721</v>
      </c>
      <c r="J848" s="58" t="str">
        <f>I848-E848</f>
      </c>
    </row>
    <row r="849">
      <c r="A849" t="s">
        <v>208</v>
      </c>
      <c r="B849" t="s">
        <v>210</v>
      </c>
      <c r="C849" s="52" t="n">
        <v>2042</v>
      </c>
      <c r="D849" t="s">
        <v>190</v>
      </c>
      <c r="E849" s="53" t="n">
        <v>21115.6282635839</v>
      </c>
      <c r="F849" s="54" t="n">
        <v>14626.3384149437</v>
      </c>
      <c r="G849" s="55" t="n">
        <v>14626.3190066004</v>
      </c>
      <c r="H849" s="56" t="str">
        <f>G849-F849</f>
      </c>
      <c r="I849" s="57" t="n">
        <v>21115.5817026885</v>
      </c>
      <c r="J849" s="58" t="str">
        <f>I849-E849</f>
      </c>
    </row>
    <row r="850">
      <c r="A850" t="s">
        <v>208</v>
      </c>
      <c r="B850" t="s">
        <v>210</v>
      </c>
      <c r="C850" s="52" t="n">
        <v>2042</v>
      </c>
      <c r="D850" t="s">
        <v>230</v>
      </c>
      <c r="E850" s="53" t="n">
        <v>1235714.15998951</v>
      </c>
      <c r="F850" s="54" t="n">
        <v>267778.850476984</v>
      </c>
      <c r="G850" s="55" t="n">
        <v>267778.732534162</v>
      </c>
      <c r="H850" s="56" t="str">
        <f>G850-F850</f>
      </c>
      <c r="I850" s="57" t="n">
        <v>1235703.75022274</v>
      </c>
      <c r="J850" s="58" t="str">
        <f>I850-E850</f>
      </c>
    </row>
    <row r="851">
      <c r="A851" t="s">
        <v>208</v>
      </c>
      <c r="B851" t="s">
        <v>210</v>
      </c>
      <c r="C851" s="52" t="n">
        <v>2042</v>
      </c>
      <c r="D851" t="s">
        <v>166</v>
      </c>
      <c r="E851" s="53" t="n">
        <v>134351.794180438</v>
      </c>
      <c r="F851" s="54" t="n">
        <v>86657.373347896</v>
      </c>
      <c r="G851" s="55" t="n">
        <v>86657.3132213297</v>
      </c>
      <c r="H851" s="56" t="str">
        <f>G851-F851</f>
      </c>
      <c r="I851" s="57" t="n">
        <v>134351.626048708</v>
      </c>
      <c r="J851" s="58" t="str">
        <f>I851-E851</f>
      </c>
    </row>
    <row r="852">
      <c r="A852" t="s">
        <v>208</v>
      </c>
      <c r="B852" t="s">
        <v>210</v>
      </c>
      <c r="C852" s="52" t="n">
        <v>2042</v>
      </c>
      <c r="D852" t="s">
        <v>176</v>
      </c>
      <c r="E852" s="53" t="n">
        <v>272281.46410736</v>
      </c>
      <c r="F852" s="54" t="n">
        <v>257198.583105367</v>
      </c>
      <c r="G852" s="55" t="n">
        <v>257198.349756019</v>
      </c>
      <c r="H852" s="56" t="str">
        <f>G852-F852</f>
      </c>
      <c r="I852" s="57" t="n">
        <v>272280.658720601</v>
      </c>
      <c r="J852" s="58" t="str">
        <f>I852-E852</f>
      </c>
    </row>
    <row r="853">
      <c r="A853" t="s">
        <v>208</v>
      </c>
      <c r="B853" t="s">
        <v>210</v>
      </c>
      <c r="C853" s="52" t="n">
        <v>2042</v>
      </c>
      <c r="D853" t="s">
        <v>180</v>
      </c>
      <c r="E853" s="53" t="n">
        <v>744315.88559776</v>
      </c>
      <c r="F853" s="54" t="n">
        <v>449601.65227857</v>
      </c>
      <c r="G853" s="55" t="n">
        <v>449601.261227495</v>
      </c>
      <c r="H853" s="56" t="str">
        <f>G853-F853</f>
      </c>
      <c r="I853" s="57" t="n">
        <v>744313.272667757</v>
      </c>
      <c r="J853" s="58" t="str">
        <f>I853-E853</f>
      </c>
    </row>
    <row r="854">
      <c r="A854" t="s">
        <v>208</v>
      </c>
      <c r="B854" t="s">
        <v>210</v>
      </c>
      <c r="C854" s="52" t="n">
        <v>2042</v>
      </c>
      <c r="D854" t="s">
        <v>184</v>
      </c>
      <c r="E854" s="53" t="n">
        <v>374420.186760882</v>
      </c>
      <c r="F854" s="54" t="n">
        <v>198082.848430866</v>
      </c>
      <c r="G854" s="55" t="n">
        <v>198082.814103714</v>
      </c>
      <c r="H854" s="56" t="str">
        <f>G854-F854</f>
      </c>
      <c r="I854" s="57" t="n">
        <v>374419.262045636</v>
      </c>
      <c r="J854" s="58" t="str">
        <f>I854-E854</f>
      </c>
    </row>
    <row r="855">
      <c r="A855" t="s">
        <v>208</v>
      </c>
      <c r="B855" t="s">
        <v>210</v>
      </c>
      <c r="C855" s="52" t="n">
        <v>2042</v>
      </c>
      <c r="D855" t="s">
        <v>212</v>
      </c>
      <c r="E855" s="53" t="n">
        <v>35516.8406708243</v>
      </c>
      <c r="F855" s="54" t="n">
        <v>2565.49856092996</v>
      </c>
      <c r="G855" s="55" t="n">
        <v>2820.51221264468</v>
      </c>
      <c r="H855" s="56" t="str">
        <f>G855-F855</f>
      </c>
      <c r="I855" s="57" t="n">
        <v>35516.8405935332</v>
      </c>
      <c r="J855" s="58" t="str">
        <f>I855-E855</f>
      </c>
    </row>
    <row r="856">
      <c r="A856" t="s">
        <v>208</v>
      </c>
      <c r="B856" t="s">
        <v>210</v>
      </c>
      <c r="C856" s="52" t="n">
        <v>2043</v>
      </c>
      <c r="D856" t="s">
        <v>190</v>
      </c>
      <c r="E856" s="53" t="n">
        <v>21789.177484322</v>
      </c>
      <c r="F856" s="54" t="n">
        <v>15004.1088592966</v>
      </c>
      <c r="G856" s="55" t="n">
        <v>15004.0861158129</v>
      </c>
      <c r="H856" s="56" t="str">
        <f>G856-F856</f>
      </c>
      <c r="I856" s="57" t="n">
        <v>21789.1256560335</v>
      </c>
      <c r="J856" s="58" t="str">
        <f>I856-E856</f>
      </c>
    </row>
    <row r="857">
      <c r="A857" t="s">
        <v>208</v>
      </c>
      <c r="B857" t="s">
        <v>210</v>
      </c>
      <c r="C857" s="52" t="n">
        <v>2043</v>
      </c>
      <c r="D857" t="s">
        <v>230</v>
      </c>
      <c r="E857" s="53" t="n">
        <v>1244258.08465183</v>
      </c>
      <c r="F857" s="54" t="n">
        <v>275877.141499808</v>
      </c>
      <c r="G857" s="55" t="n">
        <v>275876.995486318</v>
      </c>
      <c r="H857" s="56" t="str">
        <f>G857-F857</f>
      </c>
      <c r="I857" s="57" t="n">
        <v>1244246.51153606</v>
      </c>
      <c r="J857" s="58" t="str">
        <f>I857-E857</f>
      </c>
    </row>
    <row r="858">
      <c r="A858" t="s">
        <v>208</v>
      </c>
      <c r="B858" t="s">
        <v>210</v>
      </c>
      <c r="C858" s="52" t="n">
        <v>2043</v>
      </c>
      <c r="D858" t="s">
        <v>166</v>
      </c>
      <c r="E858" s="53" t="n">
        <v>136602.161511407</v>
      </c>
      <c r="F858" s="54" t="n">
        <v>87779.1059953314</v>
      </c>
      <c r="G858" s="55" t="n">
        <v>87779.034425801</v>
      </c>
      <c r="H858" s="56" t="str">
        <f>G858-F858</f>
      </c>
      <c r="I858" s="57" t="n">
        <v>136601.974960575</v>
      </c>
      <c r="J858" s="58" t="str">
        <f>I858-E858</f>
      </c>
    </row>
    <row r="859">
      <c r="A859" t="s">
        <v>208</v>
      </c>
      <c r="B859" t="s">
        <v>210</v>
      </c>
      <c r="C859" s="52" t="n">
        <v>2043</v>
      </c>
      <c r="D859" t="s">
        <v>176</v>
      </c>
      <c r="E859" s="53" t="n">
        <v>271690.67252805</v>
      </c>
      <c r="F859" s="54" t="n">
        <v>256777.866394138</v>
      </c>
      <c r="G859" s="55" t="n">
        <v>256777.587157068</v>
      </c>
      <c r="H859" s="56" t="str">
        <f>G859-F859</f>
      </c>
      <c r="I859" s="57" t="n">
        <v>271689.794226751</v>
      </c>
      <c r="J859" s="58" t="str">
        <f>I859-E859</f>
      </c>
    </row>
    <row r="860">
      <c r="A860" t="s">
        <v>208</v>
      </c>
      <c r="B860" t="s">
        <v>210</v>
      </c>
      <c r="C860" s="52" t="n">
        <v>2043</v>
      </c>
      <c r="D860" t="s">
        <v>180</v>
      </c>
      <c r="E860" s="53" t="n">
        <v>754373.74408351</v>
      </c>
      <c r="F860" s="54" t="n">
        <v>456916.189687514</v>
      </c>
      <c r="G860" s="55" t="n">
        <v>456915.722046172</v>
      </c>
      <c r="H860" s="56" t="str">
        <f>G860-F860</f>
      </c>
      <c r="I860" s="57" t="n">
        <v>754370.892413502</v>
      </c>
      <c r="J860" s="58" t="str">
        <f>I860-E860</f>
      </c>
    </row>
    <row r="861">
      <c r="A861" t="s">
        <v>208</v>
      </c>
      <c r="B861" t="s">
        <v>210</v>
      </c>
      <c r="C861" s="52" t="n">
        <v>2043</v>
      </c>
      <c r="D861" t="s">
        <v>184</v>
      </c>
      <c r="E861" s="53" t="n">
        <v>378767.544491037</v>
      </c>
      <c r="F861" s="54" t="n">
        <v>200204.316181652</v>
      </c>
      <c r="G861" s="55" t="n">
        <v>200204.274251736</v>
      </c>
      <c r="H861" s="56" t="str">
        <f>G861-F861</f>
      </c>
      <c r="I861" s="57" t="n">
        <v>378766.534515357</v>
      </c>
      <c r="J861" s="58" t="str">
        <f>I861-E861</f>
      </c>
    </row>
    <row r="862">
      <c r="A862" t="s">
        <v>208</v>
      </c>
      <c r="B862" t="s">
        <v>210</v>
      </c>
      <c r="C862" s="52" t="n">
        <v>2043</v>
      </c>
      <c r="D862" t="s">
        <v>212</v>
      </c>
      <c r="E862" s="53" t="n">
        <v>35328.7732814532</v>
      </c>
      <c r="F862" s="54" t="n">
        <v>2437.61527515306</v>
      </c>
      <c r="G862" s="55" t="n">
        <v>2698.33092960504</v>
      </c>
      <c r="H862" s="56" t="str">
        <f>G862-F862</f>
      </c>
      <c r="I862" s="57" t="n">
        <v>35328.7732033082</v>
      </c>
      <c r="J862" s="58" t="str">
        <f>I862-E862</f>
      </c>
    </row>
    <row r="863">
      <c r="A863" t="s">
        <v>208</v>
      </c>
      <c r="B863" t="s">
        <v>210</v>
      </c>
      <c r="C863" s="52" t="n">
        <v>2044</v>
      </c>
      <c r="D863" t="s">
        <v>190</v>
      </c>
      <c r="E863" s="53" t="n">
        <v>22472.4631421021</v>
      </c>
      <c r="F863" s="54" t="n">
        <v>15388.664651788</v>
      </c>
      <c r="G863" s="55" t="n">
        <v>15388.6382618872</v>
      </c>
      <c r="H863" s="56" t="str">
        <f>G863-F863</f>
      </c>
      <c r="I863" s="57" t="n">
        <v>22472.4057787798</v>
      </c>
      <c r="J863" s="58" t="str">
        <f>I863-E863</f>
      </c>
    </row>
    <row r="864">
      <c r="A864" t="s">
        <v>208</v>
      </c>
      <c r="B864" t="s">
        <v>210</v>
      </c>
      <c r="C864" s="52" t="n">
        <v>2044</v>
      </c>
      <c r="D864" t="s">
        <v>230</v>
      </c>
      <c r="E864" s="53" t="n">
        <v>1252532.54471763</v>
      </c>
      <c r="F864" s="54" t="n">
        <v>283902.229515533</v>
      </c>
      <c r="G864" s="55" t="n">
        <v>283902.050416871</v>
      </c>
      <c r="H864" s="56" t="str">
        <f>G864-F864</f>
      </c>
      <c r="I864" s="57" t="n">
        <v>1252519.7576167</v>
      </c>
      <c r="J864" s="58" t="str">
        <f>I864-E864</f>
      </c>
    </row>
    <row r="865">
      <c r="A865" t="s">
        <v>208</v>
      </c>
      <c r="B865" t="s">
        <v>210</v>
      </c>
      <c r="C865" s="52" t="n">
        <v>2044</v>
      </c>
      <c r="D865" t="s">
        <v>166</v>
      </c>
      <c r="E865" s="53" t="n">
        <v>138128.037524424</v>
      </c>
      <c r="F865" s="54" t="n">
        <v>88912.5311205673</v>
      </c>
      <c r="G865" s="55" t="n">
        <v>88912.4462868978</v>
      </c>
      <c r="H865" s="56" t="str">
        <f>G865-F865</f>
      </c>
      <c r="I865" s="57" t="n">
        <v>138127.807492249</v>
      </c>
      <c r="J865" s="58" t="str">
        <f>I865-E865</f>
      </c>
    </row>
    <row r="866">
      <c r="A866" t="s">
        <v>208</v>
      </c>
      <c r="B866" t="s">
        <v>210</v>
      </c>
      <c r="C866" s="52" t="n">
        <v>2044</v>
      </c>
      <c r="D866" t="s">
        <v>176</v>
      </c>
      <c r="E866" s="53" t="n">
        <v>270982.120104556</v>
      </c>
      <c r="F866" s="54" t="n">
        <v>256436.731458245</v>
      </c>
      <c r="G866" s="55" t="n">
        <v>256436.399818879</v>
      </c>
      <c r="H866" s="56" t="str">
        <f>G866-F866</f>
      </c>
      <c r="I866" s="57" t="n">
        <v>270981.060601887</v>
      </c>
      <c r="J866" s="58" t="str">
        <f>I866-E866</f>
      </c>
    </row>
    <row r="867">
      <c r="A867" t="s">
        <v>208</v>
      </c>
      <c r="B867" t="s">
        <v>210</v>
      </c>
      <c r="C867" s="52" t="n">
        <v>2044</v>
      </c>
      <c r="D867" t="s">
        <v>180</v>
      </c>
      <c r="E867" s="53" t="n">
        <v>760755.075697143</v>
      </c>
      <c r="F867" s="54" t="n">
        <v>464237.178548822</v>
      </c>
      <c r="G867" s="55" t="n">
        <v>464236.623828497</v>
      </c>
      <c r="H867" s="56" t="str">
        <f>G867-F867</f>
      </c>
      <c r="I867" s="57" t="n">
        <v>760751.529161819</v>
      </c>
      <c r="J867" s="58" t="str">
        <f>I867-E867</f>
      </c>
    </row>
    <row r="868">
      <c r="A868" t="s">
        <v>208</v>
      </c>
      <c r="B868" t="s">
        <v>210</v>
      </c>
      <c r="C868" s="52" t="n">
        <v>2044</v>
      </c>
      <c r="D868" t="s">
        <v>184</v>
      </c>
      <c r="E868" s="53" t="n">
        <v>380755.817274007</v>
      </c>
      <c r="F868" s="54" t="n">
        <v>202762.486248059</v>
      </c>
      <c r="G868" s="55" t="n">
        <v>202762.435405402</v>
      </c>
      <c r="H868" s="56" t="str">
        <f>G868-F868</f>
      </c>
      <c r="I868" s="57" t="n">
        <v>380754.514374576</v>
      </c>
      <c r="J868" s="58" t="str">
        <f>I868-E868</f>
      </c>
    </row>
    <row r="869">
      <c r="A869" t="s">
        <v>208</v>
      </c>
      <c r="B869" t="s">
        <v>210</v>
      </c>
      <c r="C869" s="52" t="n">
        <v>2044</v>
      </c>
      <c r="D869" t="s">
        <v>212</v>
      </c>
      <c r="E869" s="53" t="n">
        <v>35046.7053003566</v>
      </c>
      <c r="F869" s="54" t="n">
        <v>2308.72285205773</v>
      </c>
      <c r="G869" s="55" t="n">
        <v>2573.79262430521</v>
      </c>
      <c r="H869" s="56" t="str">
        <f>G869-F869</f>
      </c>
      <c r="I869" s="57" t="n">
        <v>35046.7052079593</v>
      </c>
      <c r="J869" s="58" t="str">
        <f>I869-E869</f>
      </c>
    </row>
    <row r="870">
      <c r="A870" t="s">
        <v>208</v>
      </c>
      <c r="B870" t="s">
        <v>210</v>
      </c>
      <c r="C870" s="52" t="n">
        <v>2045</v>
      </c>
      <c r="D870" t="s">
        <v>190</v>
      </c>
      <c r="E870" s="53" t="n">
        <v>23167.0087714382</v>
      </c>
      <c r="F870" s="54" t="n">
        <v>15771.7493111932</v>
      </c>
      <c r="G870" s="55" t="n">
        <v>15771.7189092791</v>
      </c>
      <c r="H870" s="56" t="str">
        <f>G870-F870</f>
      </c>
      <c r="I870" s="57" t="n">
        <v>23166.9456880515</v>
      </c>
      <c r="J870" s="58" t="str">
        <f>I870-E870</f>
      </c>
    </row>
    <row r="871">
      <c r="A871" t="s">
        <v>208</v>
      </c>
      <c r="B871" t="s">
        <v>210</v>
      </c>
      <c r="C871" s="52" t="n">
        <v>2045</v>
      </c>
      <c r="D871" t="s">
        <v>230</v>
      </c>
      <c r="E871" s="53" t="n">
        <v>1260607.07485584</v>
      </c>
      <c r="F871" s="54" t="n">
        <v>291822.245157111</v>
      </c>
      <c r="G871" s="55" t="n">
        <v>291822.027540257</v>
      </c>
      <c r="H871" s="56" t="str">
        <f>G871-F871</f>
      </c>
      <c r="I871" s="57" t="n">
        <v>1260592.98702146</v>
      </c>
      <c r="J871" s="58" t="str">
        <f>I871-E871</f>
      </c>
    </row>
    <row r="872">
      <c r="A872" t="s">
        <v>208</v>
      </c>
      <c r="B872" t="s">
        <v>210</v>
      </c>
      <c r="C872" s="52" t="n">
        <v>2045</v>
      </c>
      <c r="D872" t="s">
        <v>166</v>
      </c>
      <c r="E872" s="53" t="n">
        <v>140173.029602268</v>
      </c>
      <c r="F872" s="54" t="n">
        <v>90041.7046871557</v>
      </c>
      <c r="G872" s="55" t="n">
        <v>90041.6045905888</v>
      </c>
      <c r="H872" s="56" t="str">
        <f>G872-F872</f>
      </c>
      <c r="I872" s="57" t="n">
        <v>140172.774815525</v>
      </c>
      <c r="J872" s="58" t="str">
        <f>I872-E872</f>
      </c>
    </row>
    <row r="873">
      <c r="A873" t="s">
        <v>208</v>
      </c>
      <c r="B873" t="s">
        <v>210</v>
      </c>
      <c r="C873" s="52" t="n">
        <v>2045</v>
      </c>
      <c r="D873" t="s">
        <v>176</v>
      </c>
      <c r="E873" s="53" t="n">
        <v>270439.755361325</v>
      </c>
      <c r="F873" s="54" t="n">
        <v>255977.300493331</v>
      </c>
      <c r="G873" s="55" t="n">
        <v>255976.908113305</v>
      </c>
      <c r="H873" s="56" t="str">
        <f>G873-F873</f>
      </c>
      <c r="I873" s="57" t="n">
        <v>270438.603152282</v>
      </c>
      <c r="J873" s="58" t="str">
        <f>I873-E873</f>
      </c>
    </row>
    <row r="874">
      <c r="A874" t="s">
        <v>208</v>
      </c>
      <c r="B874" t="s">
        <v>210</v>
      </c>
      <c r="C874" s="52" t="n">
        <v>2045</v>
      </c>
      <c r="D874" t="s">
        <v>180</v>
      </c>
      <c r="E874" s="53" t="n">
        <v>769317.658951268</v>
      </c>
      <c r="F874" s="54" t="n">
        <v>470920.951367358</v>
      </c>
      <c r="G874" s="55" t="n">
        <v>470920.29436777</v>
      </c>
      <c r="H874" s="56" t="str">
        <f>G874-F874</f>
      </c>
      <c r="I874" s="57" t="n">
        <v>769313.803212411</v>
      </c>
      <c r="J874" s="58" t="str">
        <f>I874-E874</f>
      </c>
    </row>
    <row r="875">
      <c r="A875" t="s">
        <v>208</v>
      </c>
      <c r="B875" t="s">
        <v>210</v>
      </c>
      <c r="C875" s="52" t="n">
        <v>2045</v>
      </c>
      <c r="D875" t="s">
        <v>184</v>
      </c>
      <c r="E875" s="53" t="n">
        <v>383937.609821504</v>
      </c>
      <c r="F875" s="54" t="n">
        <v>204869.390703053</v>
      </c>
      <c r="G875" s="55" t="n">
        <v>204869.328897989</v>
      </c>
      <c r="H875" s="56" t="str">
        <f>G875-F875</f>
      </c>
      <c r="I875" s="57" t="n">
        <v>383936.192524615</v>
      </c>
      <c r="J875" s="58" t="str">
        <f>I875-E875</f>
      </c>
    </row>
    <row r="876">
      <c r="A876" t="s">
        <v>208</v>
      </c>
      <c r="B876" t="s">
        <v>210</v>
      </c>
      <c r="C876" s="52" t="n">
        <v>2045</v>
      </c>
      <c r="D876" t="s">
        <v>212</v>
      </c>
      <c r="E876" s="53" t="n">
        <v>34846.7152504108</v>
      </c>
      <c r="F876" s="54" t="n">
        <v>2186.13305398531</v>
      </c>
      <c r="G876" s="55" t="n">
        <v>2452.74707379338</v>
      </c>
      <c r="H876" s="56" t="str">
        <f>G876-F876</f>
      </c>
      <c r="I876" s="57" t="n">
        <v>34846.7151562227</v>
      </c>
      <c r="J876" s="58" t="str">
        <f>I876-E876</f>
      </c>
    </row>
    <row r="877">
      <c r="A877" t="s">
        <v>208</v>
      </c>
      <c r="B877" t="s">
        <v>210</v>
      </c>
      <c r="C877" s="52" t="n">
        <v>2046</v>
      </c>
      <c r="D877" t="s">
        <v>190</v>
      </c>
      <c r="E877" s="53" t="n">
        <v>23868.2869234257</v>
      </c>
      <c r="F877" s="54" t="n">
        <v>16165.3252670675</v>
      </c>
      <c r="G877" s="55" t="n">
        <v>16165.2905403234</v>
      </c>
      <c r="H877" s="56" t="str">
        <f>G877-F877</f>
      </c>
      <c r="I877" s="57" t="n">
        <v>23868.2179440388</v>
      </c>
      <c r="J877" s="58" t="str">
        <f>I877-E877</f>
      </c>
    </row>
    <row r="878">
      <c r="A878" t="s">
        <v>208</v>
      </c>
      <c r="B878" t="s">
        <v>210</v>
      </c>
      <c r="C878" s="52" t="n">
        <v>2046</v>
      </c>
      <c r="D878" t="s">
        <v>230</v>
      </c>
      <c r="E878" s="53" t="n">
        <v>1268491.38615164</v>
      </c>
      <c r="F878" s="54" t="n">
        <v>299597.191091198</v>
      </c>
      <c r="G878" s="55" t="n">
        <v>299596.928666138</v>
      </c>
      <c r="H878" s="56" t="str">
        <f>G878-F878</f>
      </c>
      <c r="I878" s="57" t="n">
        <v>1268475.95633212</v>
      </c>
      <c r="J878" s="58" t="str">
        <f>I878-E878</f>
      </c>
    </row>
    <row r="879">
      <c r="A879" t="s">
        <v>208</v>
      </c>
      <c r="B879" t="s">
        <v>210</v>
      </c>
      <c r="C879" s="52" t="n">
        <v>2046</v>
      </c>
      <c r="D879" t="s">
        <v>166</v>
      </c>
      <c r="E879" s="53" t="n">
        <v>142194.336853751</v>
      </c>
      <c r="F879" s="54" t="n">
        <v>91199.0078086844</v>
      </c>
      <c r="G879" s="55" t="n">
        <v>91198.8909425984</v>
      </c>
      <c r="H879" s="56" t="str">
        <f>G879-F879</f>
      </c>
      <c r="I879" s="57" t="n">
        <v>142194.053650607</v>
      </c>
      <c r="J879" s="58" t="str">
        <f>I879-E879</f>
      </c>
    </row>
    <row r="880">
      <c r="A880" t="s">
        <v>208</v>
      </c>
      <c r="B880" t="s">
        <v>210</v>
      </c>
      <c r="C880" s="52" t="n">
        <v>2046</v>
      </c>
      <c r="D880" t="s">
        <v>176</v>
      </c>
      <c r="E880" s="53" t="n">
        <v>269924.503033345</v>
      </c>
      <c r="F880" s="54" t="n">
        <v>255431.620308311</v>
      </c>
      <c r="G880" s="55" t="n">
        <v>255431.161412817</v>
      </c>
      <c r="H880" s="56" t="str">
        <f>G880-F880</f>
      </c>
      <c r="I880" s="57" t="n">
        <v>269923.251682947</v>
      </c>
      <c r="J880" s="58" t="str">
        <f>I880-E880</f>
      </c>
    </row>
    <row r="881">
      <c r="A881" t="s">
        <v>208</v>
      </c>
      <c r="B881" t="s">
        <v>210</v>
      </c>
      <c r="C881" s="52" t="n">
        <v>2046</v>
      </c>
      <c r="D881" t="s">
        <v>180</v>
      </c>
      <c r="E881" s="53" t="n">
        <v>778100.03245605</v>
      </c>
      <c r="F881" s="54" t="n">
        <v>477829.701071129</v>
      </c>
      <c r="G881" s="55" t="n">
        <v>477828.931731945</v>
      </c>
      <c r="H881" s="56" t="str">
        <f>G881-F881</f>
      </c>
      <c r="I881" s="57" t="n">
        <v>778095.842672562</v>
      </c>
      <c r="J881" s="58" t="str">
        <f>I881-E881</f>
      </c>
    </row>
    <row r="882">
      <c r="A882" t="s">
        <v>208</v>
      </c>
      <c r="B882" t="s">
        <v>210</v>
      </c>
      <c r="C882" s="52" t="n">
        <v>2046</v>
      </c>
      <c r="D882" t="s">
        <v>184</v>
      </c>
      <c r="E882" s="53" t="n">
        <v>387152.971453644</v>
      </c>
      <c r="F882" s="54" t="n">
        <v>207049.019636731</v>
      </c>
      <c r="G882" s="55" t="n">
        <v>207048.945254603</v>
      </c>
      <c r="H882" s="56" t="str">
        <f>G882-F882</f>
      </c>
      <c r="I882" s="57" t="n">
        <v>387151.427044792</v>
      </c>
      <c r="J882" s="58" t="str">
        <f>I882-E882</f>
      </c>
    </row>
    <row r="883">
      <c r="A883" t="s">
        <v>208</v>
      </c>
      <c r="B883" t="s">
        <v>210</v>
      </c>
      <c r="C883" s="52" t="n">
        <v>2046</v>
      </c>
      <c r="D883" t="s">
        <v>212</v>
      </c>
      <c r="E883" s="53" t="n">
        <v>34688.2968614987</v>
      </c>
      <c r="F883" s="54" t="n">
        <v>2067.67549550634</v>
      </c>
      <c r="G883" s="55" t="n">
        <v>2335.67260927364</v>
      </c>
      <c r="H883" s="56" t="str">
        <f>G883-F883</f>
      </c>
      <c r="I883" s="57" t="n">
        <v>34688.296767041</v>
      </c>
      <c r="J883" s="58" t="str">
        <f>I883-E883</f>
      </c>
    </row>
    <row r="884">
      <c r="A884" t="s">
        <v>208</v>
      </c>
      <c r="B884" t="s">
        <v>210</v>
      </c>
      <c r="C884" s="52" t="n">
        <v>2047</v>
      </c>
      <c r="D884" t="s">
        <v>190</v>
      </c>
      <c r="E884" s="53" t="n">
        <v>24575.7601997671</v>
      </c>
      <c r="F884" s="54" t="n">
        <v>16568.6142113089</v>
      </c>
      <c r="G884" s="55" t="n">
        <v>16568.5748299244</v>
      </c>
      <c r="H884" s="56" t="str">
        <f>G884-F884</f>
      </c>
      <c r="I884" s="57" t="n">
        <v>24575.6851293632</v>
      </c>
      <c r="J884" s="58" t="str">
        <f>I884-E884</f>
      </c>
    </row>
    <row r="885">
      <c r="A885" t="s">
        <v>208</v>
      </c>
      <c r="B885" t="s">
        <v>210</v>
      </c>
      <c r="C885" s="52" t="n">
        <v>2047</v>
      </c>
      <c r="D885" t="s">
        <v>230</v>
      </c>
      <c r="E885" s="53" t="n">
        <v>1276090.29813441</v>
      </c>
      <c r="F885" s="54" t="n">
        <v>307176.323052012</v>
      </c>
      <c r="G885" s="55" t="n">
        <v>307176.008738621</v>
      </c>
      <c r="H885" s="56" t="str">
        <f>G885-F885</f>
      </c>
      <c r="I885" s="57" t="n">
        <v>1276073.48469778</v>
      </c>
      <c r="J885" s="58" t="str">
        <f>I885-E885</f>
      </c>
    </row>
    <row r="886">
      <c r="A886" t="s">
        <v>208</v>
      </c>
      <c r="B886" t="s">
        <v>210</v>
      </c>
      <c r="C886" s="52" t="n">
        <v>2047</v>
      </c>
      <c r="D886" t="s">
        <v>166</v>
      </c>
      <c r="E886" s="53" t="n">
        <v>144246.384044936</v>
      </c>
      <c r="F886" s="54" t="n">
        <v>92334.0235126038</v>
      </c>
      <c r="G886" s="55" t="n">
        <v>92333.8882911569</v>
      </c>
      <c r="H886" s="56" t="str">
        <f>G886-F886</f>
      </c>
      <c r="I886" s="57" t="n">
        <v>144246.070856709</v>
      </c>
      <c r="J886" s="58" t="str">
        <f>I886-E886</f>
      </c>
    </row>
    <row r="887">
      <c r="A887" t="s">
        <v>208</v>
      </c>
      <c r="B887" t="s">
        <v>210</v>
      </c>
      <c r="C887" s="52" t="n">
        <v>2047</v>
      </c>
      <c r="D887" t="s">
        <v>176</v>
      </c>
      <c r="E887" s="53" t="n">
        <v>269147.082276055</v>
      </c>
      <c r="F887" s="54" t="n">
        <v>254761.335026516</v>
      </c>
      <c r="G887" s="55" t="n">
        <v>254760.803670819</v>
      </c>
      <c r="H887" s="56" t="str">
        <f>G887-F887</f>
      </c>
      <c r="I887" s="57" t="n">
        <v>269145.730668352</v>
      </c>
      <c r="J887" s="58" t="str">
        <f>I887-E887</f>
      </c>
    </row>
    <row r="888">
      <c r="A888" t="s">
        <v>208</v>
      </c>
      <c r="B888" t="s">
        <v>210</v>
      </c>
      <c r="C888" s="52" t="n">
        <v>2047</v>
      </c>
      <c r="D888" t="s">
        <v>180</v>
      </c>
      <c r="E888" s="53" t="n">
        <v>786871.893940836</v>
      </c>
      <c r="F888" s="54" t="n">
        <v>484668.061694973</v>
      </c>
      <c r="G888" s="55" t="n">
        <v>484667.16956347</v>
      </c>
      <c r="H888" s="56" t="str">
        <f>G888-F888</f>
      </c>
      <c r="I888" s="57" t="n">
        <v>786867.366017657</v>
      </c>
      <c r="J888" s="58" t="str">
        <f>I888-E888</f>
      </c>
    </row>
    <row r="889">
      <c r="A889" t="s">
        <v>208</v>
      </c>
      <c r="B889" t="s">
        <v>210</v>
      </c>
      <c r="C889" s="52" t="n">
        <v>2047</v>
      </c>
      <c r="D889" t="s">
        <v>184</v>
      </c>
      <c r="E889" s="53" t="n">
        <v>390599.249813864</v>
      </c>
      <c r="F889" s="54" t="n">
        <v>209160.947722915</v>
      </c>
      <c r="G889" s="55" t="n">
        <v>209160.858915749</v>
      </c>
      <c r="H889" s="56" t="str">
        <f>G889-F889</f>
      </c>
      <c r="I889" s="57" t="n">
        <v>390597.57749153</v>
      </c>
      <c r="J889" s="58" t="str">
        <f>I889-E889</f>
      </c>
    </row>
    <row r="890">
      <c r="A890" t="s">
        <v>208</v>
      </c>
      <c r="B890" t="s">
        <v>210</v>
      </c>
      <c r="C890" s="52" t="n">
        <v>2047</v>
      </c>
      <c r="D890" t="s">
        <v>212</v>
      </c>
      <c r="E890" s="53" t="n">
        <v>34402.4543818288</v>
      </c>
      <c r="F890" s="54" t="n">
        <v>1953.01441977541</v>
      </c>
      <c r="G890" s="55" t="n">
        <v>2222.25178382332</v>
      </c>
      <c r="H890" s="56" t="str">
        <f>G890-F890</f>
      </c>
      <c r="I890" s="57" t="n">
        <v>34402.454286142</v>
      </c>
      <c r="J890" s="58" t="str">
        <f>I890-E890</f>
      </c>
    </row>
    <row r="891">
      <c r="A891" t="s">
        <v>208</v>
      </c>
      <c r="B891" t="s">
        <v>210</v>
      </c>
      <c r="C891" s="52" t="n">
        <v>2048</v>
      </c>
      <c r="D891" t="s">
        <v>190</v>
      </c>
      <c r="E891" s="53" t="n">
        <v>25282.9479142548</v>
      </c>
      <c r="F891" s="54" t="n">
        <v>16983.0115479116</v>
      </c>
      <c r="G891" s="55" t="n">
        <v>16982.9671313776</v>
      </c>
      <c r="H891" s="56" t="str">
        <f>G891-F891</f>
      </c>
      <c r="I891" s="57" t="n">
        <v>25282.866550534</v>
      </c>
      <c r="J891" s="58" t="str">
        <f>I891-E891</f>
      </c>
    </row>
    <row r="892">
      <c r="A892" t="s">
        <v>208</v>
      </c>
      <c r="B892" t="s">
        <v>210</v>
      </c>
      <c r="C892" s="52" t="n">
        <v>2048</v>
      </c>
      <c r="D892" t="s">
        <v>230</v>
      </c>
      <c r="E892" s="53" t="n">
        <v>1283485.99653599</v>
      </c>
      <c r="F892" s="54" t="n">
        <v>314550.206066883</v>
      </c>
      <c r="G892" s="55" t="n">
        <v>314549.83162808</v>
      </c>
      <c r="H892" s="56" t="str">
        <f>G892-F892</f>
      </c>
      <c r="I892" s="57" t="n">
        <v>1283467.75295342</v>
      </c>
      <c r="J892" s="58" t="str">
        <f>I892-E892</f>
      </c>
    </row>
    <row r="893">
      <c r="A893" t="s">
        <v>208</v>
      </c>
      <c r="B893" t="s">
        <v>210</v>
      </c>
      <c r="C893" s="52" t="n">
        <v>2048</v>
      </c>
      <c r="D893" t="s">
        <v>166</v>
      </c>
      <c r="E893" s="53" t="n">
        <v>146414.194488663</v>
      </c>
      <c r="F893" s="54" t="n">
        <v>93427.6623618073</v>
      </c>
      <c r="G893" s="55" t="n">
        <v>93427.507277049</v>
      </c>
      <c r="H893" s="56" t="str">
        <f>G893-F893</f>
      </c>
      <c r="I893" s="57" t="n">
        <v>146413.853149174</v>
      </c>
      <c r="J893" s="58" t="str">
        <f>I893-E893</f>
      </c>
    </row>
    <row r="894">
      <c r="A894" t="s">
        <v>208</v>
      </c>
      <c r="B894" t="s">
        <v>210</v>
      </c>
      <c r="C894" s="52" t="n">
        <v>2048</v>
      </c>
      <c r="D894" t="s">
        <v>176</v>
      </c>
      <c r="E894" s="53" t="n">
        <v>268086.887826508</v>
      </c>
      <c r="F894" s="54" t="n">
        <v>253872.656806175</v>
      </c>
      <c r="G894" s="55" t="n">
        <v>253872.047418824</v>
      </c>
      <c r="H894" s="56" t="str">
        <f>G894-F894</f>
      </c>
      <c r="I894" s="57" t="n">
        <v>268085.447945834</v>
      </c>
      <c r="J894" s="58" t="str">
        <f>I894-E894</f>
      </c>
    </row>
    <row r="895">
      <c r="A895" t="s">
        <v>208</v>
      </c>
      <c r="B895" t="s">
        <v>210</v>
      </c>
      <c r="C895" s="52" t="n">
        <v>2048</v>
      </c>
      <c r="D895" t="s">
        <v>180</v>
      </c>
      <c r="E895" s="53" t="n">
        <v>795801.644809237</v>
      </c>
      <c r="F895" s="54" t="n">
        <v>491308.734450434</v>
      </c>
      <c r="G895" s="55" t="n">
        <v>491307.709328566</v>
      </c>
      <c r="H895" s="56" t="str">
        <f>G895-F895</f>
      </c>
      <c r="I895" s="57" t="n">
        <v>795796.819401734</v>
      </c>
      <c r="J895" s="58" t="str">
        <f>I895-E895</f>
      </c>
    </row>
    <row r="896">
      <c r="A896" t="s">
        <v>208</v>
      </c>
      <c r="B896" t="s">
        <v>210</v>
      </c>
      <c r="C896" s="52" t="n">
        <v>2048</v>
      </c>
      <c r="D896" t="s">
        <v>184</v>
      </c>
      <c r="E896" s="53" t="n">
        <v>394308.014657633</v>
      </c>
      <c r="F896" s="54" t="n">
        <v>211189.404642573</v>
      </c>
      <c r="G896" s="55" t="n">
        <v>211189.299415093</v>
      </c>
      <c r="H896" s="56" t="str">
        <f>G896-F896</f>
      </c>
      <c r="I896" s="57" t="n">
        <v>394306.234009074</v>
      </c>
      <c r="J896" s="58" t="str">
        <f>I896-E896</f>
      </c>
    </row>
    <row r="897">
      <c r="A897" t="s">
        <v>208</v>
      </c>
      <c r="B897" t="s">
        <v>210</v>
      </c>
      <c r="C897" s="52" t="n">
        <v>2048</v>
      </c>
      <c r="D897" t="s">
        <v>212</v>
      </c>
      <c r="E897" s="53" t="n">
        <v>34278.863594534</v>
      </c>
      <c r="F897" s="54" t="n">
        <v>1841.97465527775</v>
      </c>
      <c r="G897" s="55" t="n">
        <v>2112.66174533725</v>
      </c>
      <c r="H897" s="56" t="str">
        <f>G897-F897</f>
      </c>
      <c r="I897" s="57" t="n">
        <v>34278.8634968121</v>
      </c>
      <c r="J897" s="58" t="str">
        <f>I897-E897</f>
      </c>
    </row>
    <row r="898">
      <c r="A898" t="s">
        <v>208</v>
      </c>
      <c r="B898" t="s">
        <v>210</v>
      </c>
      <c r="C898" s="52" t="n">
        <v>2049</v>
      </c>
      <c r="D898" t="s">
        <v>190</v>
      </c>
      <c r="E898" s="53" t="n">
        <v>25986.62534141</v>
      </c>
      <c r="F898" s="54" t="n">
        <v>17406.7089205028</v>
      </c>
      <c r="G898" s="55" t="n">
        <v>17406.6591140935</v>
      </c>
      <c r="H898" s="56" t="str">
        <f>G898-F898</f>
      </c>
      <c r="I898" s="57" t="n">
        <v>25986.5373789525</v>
      </c>
      <c r="J898" s="58" t="str">
        <f>I898-E898</f>
      </c>
    </row>
    <row r="899">
      <c r="A899" t="s">
        <v>208</v>
      </c>
      <c r="B899" t="s">
        <v>210</v>
      </c>
      <c r="C899" s="52" t="n">
        <v>2049</v>
      </c>
      <c r="D899" t="s">
        <v>230</v>
      </c>
      <c r="E899" s="53" t="n">
        <v>1290707.24038957</v>
      </c>
      <c r="F899" s="54" t="n">
        <v>321740.944720079</v>
      </c>
      <c r="G899" s="55" t="n">
        <v>321740.501148806</v>
      </c>
      <c r="H899" s="56" t="str">
        <f>G899-F899</f>
      </c>
      <c r="I899" s="57" t="n">
        <v>1290687.53512959</v>
      </c>
      <c r="J899" s="58" t="str">
        <f>I899-E899</f>
      </c>
    </row>
    <row r="900">
      <c r="A900" t="s">
        <v>208</v>
      </c>
      <c r="B900" t="s">
        <v>210</v>
      </c>
      <c r="C900" s="52" t="n">
        <v>2049</v>
      </c>
      <c r="D900" t="s">
        <v>166</v>
      </c>
      <c r="E900" s="53" t="n">
        <v>147882.509685905</v>
      </c>
      <c r="F900" s="54" t="n">
        <v>94547.0434863838</v>
      </c>
      <c r="G900" s="55" t="n">
        <v>94546.8656755522</v>
      </c>
      <c r="H900" s="56" t="str">
        <f>G900-F900</f>
      </c>
      <c r="I900" s="57" t="n">
        <v>147882.099837348</v>
      </c>
      <c r="J900" s="58" t="str">
        <f>I900-E900</f>
      </c>
    </row>
    <row r="901">
      <c r="A901" t="s">
        <v>208</v>
      </c>
      <c r="B901" t="s">
        <v>210</v>
      </c>
      <c r="C901" s="52" t="n">
        <v>2049</v>
      </c>
      <c r="D901" t="s">
        <v>176</v>
      </c>
      <c r="E901" s="53" t="n">
        <v>267005.214567805</v>
      </c>
      <c r="F901" s="54" t="n">
        <v>253106.203201678</v>
      </c>
      <c r="G901" s="55" t="n">
        <v>253105.506935702</v>
      </c>
      <c r="H901" s="56" t="str">
        <f>G901-F901</f>
      </c>
      <c r="I901" s="57" t="n">
        <v>267003.550155027</v>
      </c>
      <c r="J901" s="58" t="str">
        <f>I901-E901</f>
      </c>
    </row>
    <row r="902">
      <c r="A902" t="s">
        <v>208</v>
      </c>
      <c r="B902" t="s">
        <v>210</v>
      </c>
      <c r="C902" s="52" t="n">
        <v>2049</v>
      </c>
      <c r="D902" t="s">
        <v>180</v>
      </c>
      <c r="E902" s="53" t="n">
        <v>801602.664637749</v>
      </c>
      <c r="F902" s="54" t="n">
        <v>498011.823500864</v>
      </c>
      <c r="G902" s="55" t="n">
        <v>498010.651524044</v>
      </c>
      <c r="H902" s="56" t="str">
        <f>G902-F902</f>
      </c>
      <c r="I902" s="57" t="n">
        <v>801596.853664258</v>
      </c>
      <c r="J902" s="58" t="str">
        <f>I902-E902</f>
      </c>
    </row>
    <row r="903">
      <c r="A903" t="s">
        <v>208</v>
      </c>
      <c r="B903" t="s">
        <v>210</v>
      </c>
      <c r="C903" s="52" t="n">
        <v>2049</v>
      </c>
      <c r="D903" t="s">
        <v>184</v>
      </c>
      <c r="E903" s="53" t="n">
        <v>396060.850879333</v>
      </c>
      <c r="F903" s="54" t="n">
        <v>213580.360812372</v>
      </c>
      <c r="G903" s="55" t="n">
        <v>213580.236200068</v>
      </c>
      <c r="H903" s="56" t="str">
        <f>G903-F903</f>
      </c>
      <c r="I903" s="57" t="n">
        <v>396058.615955627</v>
      </c>
      <c r="J903" s="58" t="str">
        <f>I903-E903</f>
      </c>
    </row>
    <row r="904">
      <c r="A904" t="s">
        <v>208</v>
      </c>
      <c r="B904" t="s">
        <v>210</v>
      </c>
      <c r="C904" s="52" t="n">
        <v>2049</v>
      </c>
      <c r="D904" t="s">
        <v>212</v>
      </c>
      <c r="E904" s="53" t="n">
        <v>34087.7628125601</v>
      </c>
      <c r="F904" s="54" t="n">
        <v>1727.10336537998</v>
      </c>
      <c r="G904" s="55" t="n">
        <v>1998.59223363335</v>
      </c>
      <c r="H904" s="56" t="str">
        <f>G904-F904</f>
      </c>
      <c r="I904" s="57" t="n">
        <v>34087.7627067011</v>
      </c>
      <c r="J904" s="58" t="str">
        <f>I904-E904</f>
      </c>
    </row>
    <row r="905">
      <c r="A905" t="s">
        <v>208</v>
      </c>
      <c r="B905" t="s">
        <v>210</v>
      </c>
      <c r="C905" s="52" t="n">
        <v>2050</v>
      </c>
      <c r="D905" t="s">
        <v>190</v>
      </c>
      <c r="E905" s="53" t="n">
        <v>26690.2050255042</v>
      </c>
      <c r="F905" s="54" t="n">
        <v>17828.6930925535</v>
      </c>
      <c r="G905" s="55" t="n">
        <v>17828.637482456</v>
      </c>
      <c r="H905" s="56" t="str">
        <f>G905-F905</f>
      </c>
      <c r="I905" s="57" t="n">
        <v>26690.1101954068</v>
      </c>
      <c r="J905" s="58" t="str">
        <f>I905-E905</f>
      </c>
    </row>
    <row r="906">
      <c r="A906" t="s">
        <v>208</v>
      </c>
      <c r="B906" t="s">
        <v>210</v>
      </c>
      <c r="C906" s="52" t="n">
        <v>2050</v>
      </c>
      <c r="D906" t="s">
        <v>230</v>
      </c>
      <c r="E906" s="53" t="n">
        <v>1297819.39324427</v>
      </c>
      <c r="F906" s="54" t="n">
        <v>328734.583522915</v>
      </c>
      <c r="G906" s="55" t="n">
        <v>328734.061465412</v>
      </c>
      <c r="H906" s="56" t="str">
        <f>G906-F906</f>
      </c>
      <c r="I906" s="57" t="n">
        <v>1297798.19122542</v>
      </c>
      <c r="J906" s="58" t="str">
        <f>I906-E906</f>
      </c>
    </row>
    <row r="907">
      <c r="A907" t="s">
        <v>208</v>
      </c>
      <c r="B907" t="s">
        <v>210</v>
      </c>
      <c r="C907" s="52" t="n">
        <v>2050</v>
      </c>
      <c r="D907" t="s">
        <v>166</v>
      </c>
      <c r="E907" s="53" t="n">
        <v>149550.330480096</v>
      </c>
      <c r="F907" s="54" t="n">
        <v>95626.146988606</v>
      </c>
      <c r="G907" s="55" t="n">
        <v>95625.9439694284</v>
      </c>
      <c r="H907" s="56" t="str">
        <f>G907-F907</f>
      </c>
      <c r="I907" s="57" t="n">
        <v>149549.878981469</v>
      </c>
      <c r="J907" s="58" t="str">
        <f>I907-E907</f>
      </c>
    </row>
    <row r="908">
      <c r="A908" t="s">
        <v>208</v>
      </c>
      <c r="B908" t="s">
        <v>210</v>
      </c>
      <c r="C908" s="52" t="n">
        <v>2050</v>
      </c>
      <c r="D908" t="s">
        <v>176</v>
      </c>
      <c r="E908" s="53" t="n">
        <v>266033.274013762</v>
      </c>
      <c r="F908" s="54" t="n">
        <v>252159.72603893</v>
      </c>
      <c r="G908" s="55" t="n">
        <v>252158.933158969</v>
      </c>
      <c r="H908" s="56" t="str">
        <f>G908-F908</f>
      </c>
      <c r="I908" s="57" t="n">
        <v>266031.496410964</v>
      </c>
      <c r="J908" s="58" t="str">
        <f>I908-E908</f>
      </c>
    </row>
    <row r="909">
      <c r="A909" t="s">
        <v>208</v>
      </c>
      <c r="B909" t="s">
        <v>210</v>
      </c>
      <c r="C909" s="52" t="n">
        <v>2050</v>
      </c>
      <c r="D909" t="s">
        <v>180</v>
      </c>
      <c r="E909" s="53" t="n">
        <v>809024.92350651</v>
      </c>
      <c r="F909" s="54" t="n">
        <v>504090.764542051</v>
      </c>
      <c r="G909" s="55" t="n">
        <v>504089.426791864</v>
      </c>
      <c r="H909" s="56" t="str">
        <f>G909-F909</f>
      </c>
      <c r="I909" s="57" t="n">
        <v>809018.722538968</v>
      </c>
      <c r="J909" s="58" t="str">
        <f>I909-E909</f>
      </c>
    </row>
    <row r="910">
      <c r="A910" t="s">
        <v>208</v>
      </c>
      <c r="B910" t="s">
        <v>210</v>
      </c>
      <c r="C910" s="52" t="n">
        <v>2050</v>
      </c>
      <c r="D910" t="s">
        <v>184</v>
      </c>
      <c r="E910" s="53" t="n">
        <v>398562.425610622</v>
      </c>
      <c r="F910" s="54" t="n">
        <v>215570.885055271</v>
      </c>
      <c r="G910" s="55" t="n">
        <v>215570.737440482</v>
      </c>
      <c r="H910" s="56" t="str">
        <f>G910-F910</f>
      </c>
      <c r="I910" s="57" t="n">
        <v>398560.037918605</v>
      </c>
      <c r="J910" s="58" t="str">
        <f>I910-E910</f>
      </c>
    </row>
    <row r="911">
      <c r="A911" t="s">
        <v>208</v>
      </c>
      <c r="B911" t="s">
        <v>210</v>
      </c>
      <c r="C911" s="52" t="n">
        <v>2050</v>
      </c>
      <c r="D911" t="s">
        <v>212</v>
      </c>
      <c r="E911" s="53" t="n">
        <v>33926.479150315</v>
      </c>
      <c r="F911" s="54" t="n">
        <v>1617.70366092518</v>
      </c>
      <c r="G911" s="55" t="n">
        <v>1888.51500986557</v>
      </c>
      <c r="H911" s="56" t="str">
        <f>G911-F911</f>
      </c>
      <c r="I911" s="57" t="n">
        <v>33926.4790426967</v>
      </c>
      <c r="J911" s="58" t="str">
        <f>I911-E911</f>
      </c>
    </row>
    <row r="912">
      <c r="A912" t="s">
        <v>215</v>
      </c>
      <c r="B912" t="s">
        <v>217</v>
      </c>
      <c r="C912" s="52" t="n">
        <v>2025</v>
      </c>
      <c r="D912" t="s">
        <v>190</v>
      </c>
      <c r="E912" s="53" t="n">
        <v>12176.1707137429</v>
      </c>
      <c r="F912" s="54" t="n">
        <v>8959.2701472679</v>
      </c>
      <c r="G912" s="55" t="n">
        <v>8959.2701472679</v>
      </c>
      <c r="H912" s="56" t="str">
        <f>G912-F912</f>
      </c>
      <c r="I912" s="57" t="n">
        <v>12176.1707137429</v>
      </c>
      <c r="J912" s="58" t="str">
        <f>I912-E912</f>
      </c>
    </row>
    <row r="913">
      <c r="A913" t="s">
        <v>215</v>
      </c>
      <c r="B913" t="s">
        <v>217</v>
      </c>
      <c r="C913" s="52" t="n">
        <v>2025</v>
      </c>
      <c r="D913" t="s">
        <v>230</v>
      </c>
      <c r="E913" s="53" t="n">
        <v>1026758.5711338</v>
      </c>
      <c r="F913" s="54" t="n">
        <v>129383.323210315</v>
      </c>
      <c r="G913" s="55" t="n">
        <v>129383.323210315</v>
      </c>
      <c r="H913" s="56" t="str">
        <f>G913-F913</f>
      </c>
      <c r="I913" s="57" t="n">
        <v>1026758.5711338</v>
      </c>
      <c r="J913" s="58" t="str">
        <f>I913-E913</f>
      </c>
    </row>
    <row r="914">
      <c r="A914" t="s">
        <v>215</v>
      </c>
      <c r="B914" t="s">
        <v>217</v>
      </c>
      <c r="C914" s="52" t="n">
        <v>2025</v>
      </c>
      <c r="D914" t="s">
        <v>166</v>
      </c>
      <c r="E914" s="53" t="n">
        <v>115291.159865467</v>
      </c>
      <c r="F914" s="54" t="n">
        <v>67656.5589894958</v>
      </c>
      <c r="G914" s="55" t="n">
        <v>67656.5589894958</v>
      </c>
      <c r="H914" s="56" t="str">
        <f>G914-F914</f>
      </c>
      <c r="I914" s="57" t="n">
        <v>115291.159865467</v>
      </c>
      <c r="J914" s="58" t="str">
        <f>I914-E914</f>
      </c>
    </row>
    <row r="915">
      <c r="A915" t="s">
        <v>215</v>
      </c>
      <c r="B915" t="s">
        <v>217</v>
      </c>
      <c r="C915" s="52" t="n">
        <v>2025</v>
      </c>
      <c r="D915" t="s">
        <v>176</v>
      </c>
      <c r="E915" s="53" t="n">
        <v>281662.55341658</v>
      </c>
      <c r="F915" s="54" t="n">
        <v>263295.70058044</v>
      </c>
      <c r="G915" s="55" t="n">
        <v>263295.70058044</v>
      </c>
      <c r="H915" s="56" t="str">
        <f>G915-F915</f>
      </c>
      <c r="I915" s="57" t="n">
        <v>281662.55341658</v>
      </c>
      <c r="J915" s="58" t="str">
        <f>I915-E915</f>
      </c>
    </row>
    <row r="916">
      <c r="A916" t="s">
        <v>215</v>
      </c>
      <c r="B916" t="s">
        <v>217</v>
      </c>
      <c r="C916" s="52" t="n">
        <v>2025</v>
      </c>
      <c r="D916" t="s">
        <v>180</v>
      </c>
      <c r="E916" s="53" t="n">
        <v>612171.634776233</v>
      </c>
      <c r="F916" s="54" t="n">
        <v>335724.869793767</v>
      </c>
      <c r="G916" s="55" t="n">
        <v>335724.869793767</v>
      </c>
      <c r="H916" s="56" t="str">
        <f>G916-F916</f>
      </c>
      <c r="I916" s="57" t="n">
        <v>612171.634776233</v>
      </c>
      <c r="J916" s="58" t="str">
        <f>I916-E916</f>
      </c>
    </row>
    <row r="917">
      <c r="A917" t="s">
        <v>215</v>
      </c>
      <c r="B917" t="s">
        <v>217</v>
      </c>
      <c r="C917" s="52" t="n">
        <v>2025</v>
      </c>
      <c r="D917" t="s">
        <v>184</v>
      </c>
      <c r="E917" s="53" t="n">
        <v>339642.130126733</v>
      </c>
      <c r="F917" s="54" t="n">
        <v>190841.880003208</v>
      </c>
      <c r="G917" s="55" t="n">
        <v>190841.880003208</v>
      </c>
      <c r="H917" s="56" t="str">
        <f>G917-F917</f>
      </c>
      <c r="I917" s="57" t="n">
        <v>339642.130126733</v>
      </c>
      <c r="J917" s="58" t="str">
        <f>I917-E917</f>
      </c>
    </row>
    <row r="918">
      <c r="A918" t="s">
        <v>215</v>
      </c>
      <c r="B918" t="s">
        <v>217</v>
      </c>
      <c r="C918" s="52" t="n">
        <v>2025</v>
      </c>
      <c r="D918" t="s">
        <v>212</v>
      </c>
      <c r="E918" s="53" t="n">
        <v>39660.8365474078</v>
      </c>
      <c r="F918" s="54" t="n">
        <v>5299.14179434502</v>
      </c>
      <c r="G918" s="55" t="n">
        <v>5303.42230174402</v>
      </c>
      <c r="H918" s="56" t="str">
        <f>G918-F918</f>
      </c>
      <c r="I918" s="57" t="n">
        <v>39660.8365474078</v>
      </c>
      <c r="J918" s="58" t="str">
        <f>I918-E918</f>
      </c>
    </row>
    <row r="919">
      <c r="A919" t="s">
        <v>215</v>
      </c>
      <c r="B919" t="s">
        <v>217</v>
      </c>
      <c r="C919" s="52" t="n">
        <v>2026</v>
      </c>
      <c r="D919" t="s">
        <v>190</v>
      </c>
      <c r="E919" s="53" t="n">
        <v>12568.938704307</v>
      </c>
      <c r="F919" s="54" t="n">
        <v>9271.1333627081</v>
      </c>
      <c r="G919" s="55" t="n">
        <v>9271.1333627081</v>
      </c>
      <c r="H919" s="56" t="str">
        <f>G919-F919</f>
      </c>
      <c r="I919" s="57" t="n">
        <v>12568.9386470114</v>
      </c>
      <c r="J919" s="58" t="str">
        <f>I919-E919</f>
      </c>
    </row>
    <row r="920">
      <c r="A920" t="s">
        <v>215</v>
      </c>
      <c r="B920" t="s">
        <v>217</v>
      </c>
      <c r="C920" s="52" t="n">
        <v>2026</v>
      </c>
      <c r="D920" t="s">
        <v>230</v>
      </c>
      <c r="E920" s="53" t="n">
        <v>1042135.19774753</v>
      </c>
      <c r="F920" s="54" t="n">
        <v>137145.828958788</v>
      </c>
      <c r="G920" s="55" t="n">
        <v>137145.828958788</v>
      </c>
      <c r="H920" s="56" t="str">
        <f>G920-F920</f>
      </c>
      <c r="I920" s="57" t="n">
        <v>1042135.18581351</v>
      </c>
      <c r="J920" s="58" t="str">
        <f>I920-E920</f>
      </c>
    </row>
    <row r="921">
      <c r="A921" t="s">
        <v>215</v>
      </c>
      <c r="B921" t="s">
        <v>217</v>
      </c>
      <c r="C921" s="52" t="n">
        <v>2026</v>
      </c>
      <c r="D921" t="s">
        <v>166</v>
      </c>
      <c r="E921" s="53" t="n">
        <v>114707.9870753</v>
      </c>
      <c r="F921" s="54" t="n">
        <v>70326.6034535198</v>
      </c>
      <c r="G921" s="55" t="n">
        <v>70326.6034535198</v>
      </c>
      <c r="H921" s="56" t="str">
        <f>G921-F921</f>
      </c>
      <c r="I921" s="57" t="n">
        <v>114707.986926294</v>
      </c>
      <c r="J921" s="58" t="str">
        <f>I921-E921</f>
      </c>
    </row>
    <row r="922">
      <c r="A922" t="s">
        <v>215</v>
      </c>
      <c r="B922" t="s">
        <v>217</v>
      </c>
      <c r="C922" s="52" t="n">
        <v>2026</v>
      </c>
      <c r="D922" t="s">
        <v>176</v>
      </c>
      <c r="E922" s="53" t="n">
        <v>282722.538832161</v>
      </c>
      <c r="F922" s="54" t="n">
        <v>259504.468011332</v>
      </c>
      <c r="G922" s="55" t="n">
        <v>259504.468011332</v>
      </c>
      <c r="H922" s="56" t="str">
        <f>G922-F922</f>
      </c>
      <c r="I922" s="57" t="n">
        <v>282722.537860884</v>
      </c>
      <c r="J922" s="58" t="str">
        <f>I922-E922</f>
      </c>
    </row>
    <row r="923">
      <c r="A923" t="s">
        <v>215</v>
      </c>
      <c r="B923" t="s">
        <v>217</v>
      </c>
      <c r="C923" s="52" t="n">
        <v>2026</v>
      </c>
      <c r="D923" t="s">
        <v>180</v>
      </c>
      <c r="E923" s="53" t="n">
        <v>616790.032052651</v>
      </c>
      <c r="F923" s="54" t="n">
        <v>342960.135281865</v>
      </c>
      <c r="G923" s="55" t="n">
        <v>342960.135281865</v>
      </c>
      <c r="H923" s="56" t="str">
        <f>G923-F923</f>
      </c>
      <c r="I923" s="57" t="n">
        <v>616790.029155755</v>
      </c>
      <c r="J923" s="58" t="str">
        <f>I923-E923</f>
      </c>
    </row>
    <row r="924">
      <c r="A924" t="s">
        <v>215</v>
      </c>
      <c r="B924" t="s">
        <v>217</v>
      </c>
      <c r="C924" s="52" t="n">
        <v>2026</v>
      </c>
      <c r="D924" t="s">
        <v>184</v>
      </c>
      <c r="E924" s="53" t="n">
        <v>338499.07038026</v>
      </c>
      <c r="F924" s="54" t="n">
        <v>190574.613818848</v>
      </c>
      <c r="G924" s="55" t="n">
        <v>190574.613818848</v>
      </c>
      <c r="H924" s="56" t="str">
        <f>G924-F924</f>
      </c>
      <c r="I924" s="57" t="n">
        <v>338499.069421602</v>
      </c>
      <c r="J924" s="58" t="str">
        <f>I924-E924</f>
      </c>
    </row>
    <row r="925">
      <c r="A925" t="s">
        <v>215</v>
      </c>
      <c r="B925" t="s">
        <v>217</v>
      </c>
      <c r="C925" s="52" t="n">
        <v>2026</v>
      </c>
      <c r="D925" t="s">
        <v>212</v>
      </c>
      <c r="E925" s="53" t="n">
        <v>39250.6670180049</v>
      </c>
      <c r="F925" s="54" t="n">
        <v>5097.48520632252</v>
      </c>
      <c r="G925" s="55" t="n">
        <v>5105.60955478559</v>
      </c>
      <c r="H925" s="56" t="str">
        <f>G925-F925</f>
      </c>
      <c r="I925" s="57" t="n">
        <v>39250.6670180049</v>
      </c>
      <c r="J925" s="58" t="str">
        <f>I925-E925</f>
      </c>
    </row>
    <row r="926">
      <c r="A926" t="s">
        <v>215</v>
      </c>
      <c r="B926" t="s">
        <v>217</v>
      </c>
      <c r="C926" s="52" t="n">
        <v>2027</v>
      </c>
      <c r="D926" t="s">
        <v>190</v>
      </c>
      <c r="E926" s="53" t="n">
        <v>12976.103281997</v>
      </c>
      <c r="F926" s="54" t="n">
        <v>9577.52965945678</v>
      </c>
      <c r="G926" s="55" t="n">
        <v>9577.52965486433</v>
      </c>
      <c r="H926" s="56" t="str">
        <f>G926-F926</f>
      </c>
      <c r="I926" s="57" t="n">
        <v>12976.1031133633</v>
      </c>
      <c r="J926" s="58" t="str">
        <f>I926-E926</f>
      </c>
    </row>
    <row r="927">
      <c r="A927" t="s">
        <v>215</v>
      </c>
      <c r="B927" t="s">
        <v>217</v>
      </c>
      <c r="C927" s="52" t="n">
        <v>2027</v>
      </c>
      <c r="D927" t="s">
        <v>230</v>
      </c>
      <c r="E927" s="53" t="n">
        <v>1057148.35442908</v>
      </c>
      <c r="F927" s="54" t="n">
        <v>145009.442007891</v>
      </c>
      <c r="G927" s="55" t="n">
        <v>145009.441994705</v>
      </c>
      <c r="H927" s="56" t="str">
        <f>G927-F927</f>
      </c>
      <c r="I927" s="57" t="n">
        <v>1057148.31873483</v>
      </c>
      <c r="J927" s="58" t="str">
        <f>I927-E927</f>
      </c>
    </row>
    <row r="928">
      <c r="A928" t="s">
        <v>215</v>
      </c>
      <c r="B928" t="s">
        <v>217</v>
      </c>
      <c r="C928" s="52" t="n">
        <v>2027</v>
      </c>
      <c r="D928" t="s">
        <v>166</v>
      </c>
      <c r="E928" s="53" t="n">
        <v>114152.944593214</v>
      </c>
      <c r="F928" s="54" t="n">
        <v>72290.1700033752</v>
      </c>
      <c r="G928" s="55" t="n">
        <v>72290.1699912091</v>
      </c>
      <c r="H928" s="56" t="str">
        <f>G928-F928</f>
      </c>
      <c r="I928" s="57" t="n">
        <v>114152.944165875</v>
      </c>
      <c r="J928" s="58" t="str">
        <f>I928-E928</f>
      </c>
    </row>
    <row r="929">
      <c r="A929" t="s">
        <v>215</v>
      </c>
      <c r="B929" t="s">
        <v>217</v>
      </c>
      <c r="C929" s="52" t="n">
        <v>2027</v>
      </c>
      <c r="D929" t="s">
        <v>176</v>
      </c>
      <c r="E929" s="53" t="n">
        <v>277877.512189252</v>
      </c>
      <c r="F929" s="54" t="n">
        <v>260330.421179246</v>
      </c>
      <c r="G929" s="55" t="n">
        <v>260330.421136777</v>
      </c>
      <c r="H929" s="56" t="str">
        <f>G929-F929</f>
      </c>
      <c r="I929" s="57" t="n">
        <v>277877.509454571</v>
      </c>
      <c r="J929" s="58" t="str">
        <f>I929-E929</f>
      </c>
    </row>
    <row r="930">
      <c r="A930" t="s">
        <v>215</v>
      </c>
      <c r="B930" t="s">
        <v>217</v>
      </c>
      <c r="C930" s="52" t="n">
        <v>2027</v>
      </c>
      <c r="D930" t="s">
        <v>180</v>
      </c>
      <c r="E930" s="53" t="n">
        <v>621430.910949675</v>
      </c>
      <c r="F930" s="54" t="n">
        <v>349405.300801816</v>
      </c>
      <c r="G930" s="55" t="n">
        <v>349405.300730343</v>
      </c>
      <c r="H930" s="56" t="str">
        <f>G930-F930</f>
      </c>
      <c r="I930" s="57" t="n">
        <v>621430.902801161</v>
      </c>
      <c r="J930" s="58" t="str">
        <f>I930-E930</f>
      </c>
    </row>
    <row r="931">
      <c r="A931" t="s">
        <v>215</v>
      </c>
      <c r="B931" t="s">
        <v>217</v>
      </c>
      <c r="C931" s="52" t="n">
        <v>2027</v>
      </c>
      <c r="D931" t="s">
        <v>184</v>
      </c>
      <c r="E931" s="53" t="n">
        <v>337398.95173876</v>
      </c>
      <c r="F931" s="54" t="n">
        <v>189031.10045017</v>
      </c>
      <c r="G931" s="55" t="n">
        <v>189031.100445512</v>
      </c>
      <c r="H931" s="56" t="str">
        <f>G931-F931</f>
      </c>
      <c r="I931" s="57" t="n">
        <v>337398.949071723</v>
      </c>
      <c r="J931" s="58" t="str">
        <f>I931-E931</f>
      </c>
    </row>
    <row r="932">
      <c r="A932" t="s">
        <v>215</v>
      </c>
      <c r="B932" t="s">
        <v>217</v>
      </c>
      <c r="C932" s="52" t="n">
        <v>2027</v>
      </c>
      <c r="D932" t="s">
        <v>212</v>
      </c>
      <c r="E932" s="53" t="n">
        <v>38773.6271864185</v>
      </c>
      <c r="F932" s="54" t="n">
        <v>4909.89747407649</v>
      </c>
      <c r="G932" s="55" t="n">
        <v>4921.4971535539</v>
      </c>
      <c r="H932" s="56" t="str">
        <f>G932-F932</f>
      </c>
      <c r="I932" s="57" t="n">
        <v>38773.6271863431</v>
      </c>
      <c r="J932" s="58" t="str">
        <f>I932-E932</f>
      </c>
    </row>
    <row r="933">
      <c r="A933" t="s">
        <v>215</v>
      </c>
      <c r="B933" t="s">
        <v>217</v>
      </c>
      <c r="C933" s="52" t="n">
        <v>2028</v>
      </c>
      <c r="D933" t="s">
        <v>190</v>
      </c>
      <c r="E933" s="53" t="n">
        <v>13394.6742634046</v>
      </c>
      <c r="F933" s="54" t="n">
        <v>9881.92203707298</v>
      </c>
      <c r="G933" s="55" t="n">
        <v>9881.92201892528</v>
      </c>
      <c r="H933" s="56" t="str">
        <f>G933-F933</f>
      </c>
      <c r="I933" s="57" t="n">
        <v>13394.6739315754</v>
      </c>
      <c r="J933" s="58" t="str">
        <f>I933-E933</f>
      </c>
    </row>
    <row r="934">
      <c r="A934" t="s">
        <v>215</v>
      </c>
      <c r="B934" t="s">
        <v>217</v>
      </c>
      <c r="C934" s="52" t="n">
        <v>2028</v>
      </c>
      <c r="D934" t="s">
        <v>230</v>
      </c>
      <c r="E934" s="53" t="n">
        <v>1071826.19626776</v>
      </c>
      <c r="F934" s="54" t="n">
        <v>152971.72944396</v>
      </c>
      <c r="G934" s="55" t="n">
        <v>152971.729388998</v>
      </c>
      <c r="H934" s="56" t="str">
        <f>G934-F934</f>
      </c>
      <c r="I934" s="57" t="n">
        <v>1071826.12505593</v>
      </c>
      <c r="J934" s="58" t="str">
        <f>I934-E934</f>
      </c>
    </row>
    <row r="935">
      <c r="A935" t="s">
        <v>215</v>
      </c>
      <c r="B935" t="s">
        <v>217</v>
      </c>
      <c r="C935" s="52" t="n">
        <v>2028</v>
      </c>
      <c r="D935" t="s">
        <v>166</v>
      </c>
      <c r="E935" s="53" t="n">
        <v>114139.123749686</v>
      </c>
      <c r="F935" s="54" t="n">
        <v>73846.8742560865</v>
      </c>
      <c r="G935" s="55" t="n">
        <v>73846.8742094397</v>
      </c>
      <c r="H935" s="56" t="str">
        <f>G935-F935</f>
      </c>
      <c r="I935" s="57" t="n">
        <v>114139.122924862</v>
      </c>
      <c r="J935" s="58" t="str">
        <f>I935-E935</f>
      </c>
    </row>
    <row r="936">
      <c r="A936" t="s">
        <v>215</v>
      </c>
      <c r="B936" t="s">
        <v>217</v>
      </c>
      <c r="C936" s="52" t="n">
        <v>2028</v>
      </c>
      <c r="D936" t="s">
        <v>176</v>
      </c>
      <c r="E936" s="53" t="n">
        <v>277735.701290283</v>
      </c>
      <c r="F936" s="54" t="n">
        <v>257765.323435566</v>
      </c>
      <c r="G936" s="55" t="n">
        <v>257765.323271705</v>
      </c>
      <c r="H936" s="56" t="str">
        <f>G936-F936</f>
      </c>
      <c r="I936" s="57" t="n">
        <v>277735.696141204</v>
      </c>
      <c r="J936" s="58" t="str">
        <f>I936-E936</f>
      </c>
    </row>
    <row r="937">
      <c r="A937" t="s">
        <v>215</v>
      </c>
      <c r="B937" t="s">
        <v>217</v>
      </c>
      <c r="C937" s="52" t="n">
        <v>2028</v>
      </c>
      <c r="D937" t="s">
        <v>180</v>
      </c>
      <c r="E937" s="53" t="n">
        <v>627723.85944745</v>
      </c>
      <c r="F937" s="54" t="n">
        <v>356159.253180562</v>
      </c>
      <c r="G937" s="55" t="n">
        <v>356159.252906041</v>
      </c>
      <c r="H937" s="56" t="str">
        <f>G937-F937</f>
      </c>
      <c r="I937" s="57" t="n">
        <v>627723.844155296</v>
      </c>
      <c r="J937" s="58" t="str">
        <f>I937-E937</f>
      </c>
    </row>
    <row r="938">
      <c r="A938" t="s">
        <v>215</v>
      </c>
      <c r="B938" t="s">
        <v>217</v>
      </c>
      <c r="C938" s="52" t="n">
        <v>2028</v>
      </c>
      <c r="D938" t="s">
        <v>184</v>
      </c>
      <c r="E938" s="53" t="n">
        <v>337514.700467425</v>
      </c>
      <c r="F938" s="54" t="n">
        <v>187116.639897312</v>
      </c>
      <c r="G938" s="55" t="n">
        <v>187116.639879467</v>
      </c>
      <c r="H938" s="56" t="str">
        <f>G938-F938</f>
      </c>
      <c r="I938" s="57" t="n">
        <v>337514.695524676</v>
      </c>
      <c r="J938" s="58" t="str">
        <f>I938-E938</f>
      </c>
    </row>
    <row r="939">
      <c r="A939" t="s">
        <v>215</v>
      </c>
      <c r="B939" t="s">
        <v>217</v>
      </c>
      <c r="C939" s="52" t="n">
        <v>2028</v>
      </c>
      <c r="D939" t="s">
        <v>212</v>
      </c>
      <c r="E939" s="53" t="n">
        <v>38149.2915794865</v>
      </c>
      <c r="F939" s="54" t="n">
        <v>4727.26676483841</v>
      </c>
      <c r="G939" s="55" t="n">
        <v>4742.08557297834</v>
      </c>
      <c r="H939" s="56" t="str">
        <f>G939-F939</f>
      </c>
      <c r="I939" s="57" t="n">
        <v>38149.2915792319</v>
      </c>
      <c r="J939" s="58" t="str">
        <f>I939-E939</f>
      </c>
    </row>
    <row r="940">
      <c r="A940" t="s">
        <v>215</v>
      </c>
      <c r="B940" t="s">
        <v>217</v>
      </c>
      <c r="C940" s="52" t="n">
        <v>2029</v>
      </c>
      <c r="D940" t="s">
        <v>190</v>
      </c>
      <c r="E940" s="53" t="n">
        <v>13830.0491435592</v>
      </c>
      <c r="F940" s="54" t="n">
        <v>10188.3949311831</v>
      </c>
      <c r="G940" s="55" t="n">
        <v>10188.394886281</v>
      </c>
      <c r="H940" s="56" t="str">
        <f>G940-F940</f>
      </c>
      <c r="I940" s="57" t="n">
        <v>13830.0485982781</v>
      </c>
      <c r="J940" s="58" t="str">
        <f>I940-E940</f>
      </c>
    </row>
    <row r="941">
      <c r="A941" t="s">
        <v>215</v>
      </c>
      <c r="B941" t="s">
        <v>217</v>
      </c>
      <c r="C941" s="52" t="n">
        <v>2029</v>
      </c>
      <c r="D941" t="s">
        <v>230</v>
      </c>
      <c r="E941" s="53" t="n">
        <v>1086200.61962442</v>
      </c>
      <c r="F941" s="54" t="n">
        <v>161038.227830692</v>
      </c>
      <c r="G941" s="55" t="n">
        <v>161038.227687319</v>
      </c>
      <c r="H941" s="56" t="str">
        <f>G941-F941</f>
      </c>
      <c r="I941" s="57" t="n">
        <v>1086200.50099061</v>
      </c>
      <c r="J941" s="58" t="str">
        <f>I941-E941</f>
      </c>
    </row>
    <row r="942">
      <c r="A942" t="s">
        <v>215</v>
      </c>
      <c r="B942" t="s">
        <v>217</v>
      </c>
      <c r="C942" s="52" t="n">
        <v>2029</v>
      </c>
      <c r="D942" t="s">
        <v>166</v>
      </c>
      <c r="E942" s="53" t="n">
        <v>114048.156830855</v>
      </c>
      <c r="F942" s="54" t="n">
        <v>75452.2226919283</v>
      </c>
      <c r="G942" s="55" t="n">
        <v>75452.2225775915</v>
      </c>
      <c r="H942" s="56" t="str">
        <f>G942-F942</f>
      </c>
      <c r="I942" s="57" t="n">
        <v>114048.155335882</v>
      </c>
      <c r="J942" s="58" t="str">
        <f>I942-E942</f>
      </c>
    </row>
    <row r="943">
      <c r="A943" t="s">
        <v>215</v>
      </c>
      <c r="B943" t="s">
        <v>217</v>
      </c>
      <c r="C943" s="52" t="n">
        <v>2029</v>
      </c>
      <c r="D943" t="s">
        <v>176</v>
      </c>
      <c r="E943" s="53" t="n">
        <v>275821.092340481</v>
      </c>
      <c r="F943" s="54" t="n">
        <v>258334.317797752</v>
      </c>
      <c r="G943" s="55" t="n">
        <v>258334.317394862</v>
      </c>
      <c r="H943" s="56" t="str">
        <f>G943-F943</f>
      </c>
      <c r="I943" s="57" t="n">
        <v>275821.082992428</v>
      </c>
      <c r="J943" s="58" t="str">
        <f>I943-E943</f>
      </c>
    </row>
    <row r="944">
      <c r="A944" t="s">
        <v>215</v>
      </c>
      <c r="B944" t="s">
        <v>217</v>
      </c>
      <c r="C944" s="52" t="n">
        <v>2029</v>
      </c>
      <c r="D944" t="s">
        <v>180</v>
      </c>
      <c r="E944" s="53" t="n">
        <v>630779.398486723</v>
      </c>
      <c r="F944" s="54" t="n">
        <v>363892.268945482</v>
      </c>
      <c r="G944" s="55" t="n">
        <v>363892.268279926</v>
      </c>
      <c r="H944" s="56" t="str">
        <f>G944-F944</f>
      </c>
      <c r="I944" s="57" t="n">
        <v>630779.369985079</v>
      </c>
      <c r="J944" s="58" t="str">
        <f>I944-E944</f>
      </c>
    </row>
    <row r="945">
      <c r="A945" t="s">
        <v>215</v>
      </c>
      <c r="B945" t="s">
        <v>217</v>
      </c>
      <c r="C945" s="52" t="n">
        <v>2029</v>
      </c>
      <c r="D945" t="s">
        <v>184</v>
      </c>
      <c r="E945" s="53" t="n">
        <v>335921.302273708</v>
      </c>
      <c r="F945" s="54" t="n">
        <v>186821.560130666</v>
      </c>
      <c r="G945" s="55" t="n">
        <v>186821.560087492</v>
      </c>
      <c r="H945" s="56" t="str">
        <f>G945-F945</f>
      </c>
      <c r="I945" s="57" t="n">
        <v>335921.292831796</v>
      </c>
      <c r="J945" s="58" t="str">
        <f>I945-E945</f>
      </c>
    </row>
    <row r="946">
      <c r="A946" t="s">
        <v>215</v>
      </c>
      <c r="B946" t="s">
        <v>217</v>
      </c>
      <c r="C946" s="52" t="n">
        <v>2029</v>
      </c>
      <c r="D946" t="s">
        <v>212</v>
      </c>
      <c r="E946" s="53" t="n">
        <v>37777.4672197266</v>
      </c>
      <c r="F946" s="54" t="n">
        <v>4586.12409275952</v>
      </c>
      <c r="G946" s="55" t="n">
        <v>4604.06814831639</v>
      </c>
      <c r="H946" s="56" t="str">
        <f>G946-F946</f>
      </c>
      <c r="I946" s="57" t="n">
        <v>37777.4672189776</v>
      </c>
      <c r="J946" s="58" t="str">
        <f>I946-E946</f>
      </c>
    </row>
    <row r="947">
      <c r="A947" t="s">
        <v>215</v>
      </c>
      <c r="B947" t="s">
        <v>217</v>
      </c>
      <c r="C947" s="52" t="n">
        <v>2030</v>
      </c>
      <c r="D947" t="s">
        <v>190</v>
      </c>
      <c r="E947" s="53" t="n">
        <v>14281.9598495691</v>
      </c>
      <c r="F947" s="54" t="n">
        <v>10500.2868114038</v>
      </c>
      <c r="G947" s="55" t="n">
        <v>10500.2867221377</v>
      </c>
      <c r="H947" s="56" t="str">
        <f>G947-F947</f>
      </c>
      <c r="I947" s="57" t="n">
        <v>14281.9590395355</v>
      </c>
      <c r="J947" s="58" t="str">
        <f>I947-E947</f>
      </c>
    </row>
    <row r="948">
      <c r="A948" t="s">
        <v>215</v>
      </c>
      <c r="B948" t="s">
        <v>217</v>
      </c>
      <c r="C948" s="52" t="n">
        <v>2030</v>
      </c>
      <c r="D948" t="s">
        <v>230</v>
      </c>
      <c r="E948" s="53" t="n">
        <v>1100191.96438295</v>
      </c>
      <c r="F948" s="54" t="n">
        <v>169196.385651507</v>
      </c>
      <c r="G948" s="55" t="n">
        <v>169196.385350075</v>
      </c>
      <c r="H948" s="56" t="str">
        <f>G948-F948</f>
      </c>
      <c r="I948" s="57" t="n">
        <v>1100191.78654723</v>
      </c>
      <c r="J948" s="58" t="str">
        <f>I948-E948</f>
      </c>
    </row>
    <row r="949">
      <c r="A949" t="s">
        <v>215</v>
      </c>
      <c r="B949" t="s">
        <v>217</v>
      </c>
      <c r="C949" s="52" t="n">
        <v>2030</v>
      </c>
      <c r="D949" t="s">
        <v>166</v>
      </c>
      <c r="E949" s="53" t="n">
        <v>114781.953850758</v>
      </c>
      <c r="F949" s="54" t="n">
        <v>76004.3750073767</v>
      </c>
      <c r="G949" s="55" t="n">
        <v>76004.3747737111</v>
      </c>
      <c r="H949" s="56" t="str">
        <f>G949-F949</f>
      </c>
      <c r="I949" s="57" t="n">
        <v>114781.951575614</v>
      </c>
      <c r="J949" s="58" t="str">
        <f>I949-E949</f>
      </c>
    </row>
    <row r="950">
      <c r="A950" t="s">
        <v>215</v>
      </c>
      <c r="B950" t="s">
        <v>217</v>
      </c>
      <c r="C950" s="52" t="n">
        <v>2030</v>
      </c>
      <c r="D950" t="s">
        <v>176</v>
      </c>
      <c r="E950" s="53" t="n">
        <v>275750.830236263</v>
      </c>
      <c r="F950" s="54" t="n">
        <v>257411.198617322</v>
      </c>
      <c r="G950" s="55" t="n">
        <v>257411.197787159</v>
      </c>
      <c r="H950" s="56" t="str">
        <f>G950-F950</f>
      </c>
      <c r="I950" s="57" t="n">
        <v>275750.816549508</v>
      </c>
      <c r="J950" s="58" t="str">
        <f>I950-E950</f>
      </c>
    </row>
    <row r="951">
      <c r="A951" t="s">
        <v>215</v>
      </c>
      <c r="B951" t="s">
        <v>217</v>
      </c>
      <c r="C951" s="52" t="n">
        <v>2030</v>
      </c>
      <c r="D951" t="s">
        <v>180</v>
      </c>
      <c r="E951" s="53" t="n">
        <v>638199.409168281</v>
      </c>
      <c r="F951" s="54" t="n">
        <v>368920.444868874</v>
      </c>
      <c r="G951" s="55" t="n">
        <v>368920.443479077</v>
      </c>
      <c r="H951" s="56" t="str">
        <f>G951-F951</f>
      </c>
      <c r="I951" s="57" t="n">
        <v>638199.367226914</v>
      </c>
      <c r="J951" s="58" t="str">
        <f>I951-E951</f>
      </c>
    </row>
    <row r="952">
      <c r="A952" t="s">
        <v>215</v>
      </c>
      <c r="B952" t="s">
        <v>217</v>
      </c>
      <c r="C952" s="52" t="n">
        <v>2030</v>
      </c>
      <c r="D952" t="s">
        <v>184</v>
      </c>
      <c r="E952" s="53" t="n">
        <v>337374.960883069</v>
      </c>
      <c r="F952" s="54" t="n">
        <v>185442.493282934</v>
      </c>
      <c r="G952" s="55" t="n">
        <v>185442.493190957</v>
      </c>
      <c r="H952" s="56" t="str">
        <f>G952-F952</f>
      </c>
      <c r="I952" s="57" t="n">
        <v>337374.946866334</v>
      </c>
      <c r="J952" s="58" t="str">
        <f>I952-E952</f>
      </c>
    </row>
    <row r="953">
      <c r="A953" t="s">
        <v>215</v>
      </c>
      <c r="B953" t="s">
        <v>217</v>
      </c>
      <c r="C953" s="52" t="n">
        <v>2030</v>
      </c>
      <c r="D953" t="s">
        <v>212</v>
      </c>
      <c r="E953" s="53" t="n">
        <v>38012.6736390946</v>
      </c>
      <c r="F953" s="54" t="n">
        <v>4411.63470626535</v>
      </c>
      <c r="G953" s="55" t="n">
        <v>4432.1168533299</v>
      </c>
      <c r="H953" s="56" t="str">
        <f>G953-F953</f>
      </c>
      <c r="I953" s="57" t="n">
        <v>38012.6736377562</v>
      </c>
      <c r="J953" s="58" t="str">
        <f>I953-E953</f>
      </c>
    </row>
    <row r="954">
      <c r="A954" t="s">
        <v>215</v>
      </c>
      <c r="B954" t="s">
        <v>217</v>
      </c>
      <c r="C954" s="52" t="n">
        <v>2031</v>
      </c>
      <c r="D954" t="s">
        <v>190</v>
      </c>
      <c r="E954" s="53" t="n">
        <v>14754.4306205126</v>
      </c>
      <c r="F954" s="54" t="n">
        <v>10814.9180533452</v>
      </c>
      <c r="G954" s="55" t="n">
        <v>10814.9178976517</v>
      </c>
      <c r="H954" s="56" t="str">
        <f>G954-F954</f>
      </c>
      <c r="I954" s="57" t="n">
        <v>14754.4294987798</v>
      </c>
      <c r="J954" s="58" t="str">
        <f>I954-E954</f>
      </c>
    </row>
    <row r="955">
      <c r="A955" t="s">
        <v>215</v>
      </c>
      <c r="B955" t="s">
        <v>217</v>
      </c>
      <c r="C955" s="52" t="n">
        <v>2031</v>
      </c>
      <c r="D955" t="s">
        <v>230</v>
      </c>
      <c r="E955" s="53" t="n">
        <v>1113725.47437511</v>
      </c>
      <c r="F955" s="54" t="n">
        <v>177420.196232185</v>
      </c>
      <c r="G955" s="55" t="n">
        <v>177420.195676039</v>
      </c>
      <c r="H955" s="56" t="str">
        <f>G955-F955</f>
      </c>
      <c r="I955" s="57" t="n">
        <v>1113725.22635968</v>
      </c>
      <c r="J955" s="58" t="str">
        <f>I955-E955</f>
      </c>
    </row>
    <row r="956">
      <c r="A956" t="s">
        <v>215</v>
      </c>
      <c r="B956" t="s">
        <v>217</v>
      </c>
      <c r="C956" s="52" t="n">
        <v>2031</v>
      </c>
      <c r="D956" t="s">
        <v>166</v>
      </c>
      <c r="E956" s="53" t="n">
        <v>115757.022070864</v>
      </c>
      <c r="F956" s="54" t="n">
        <v>76556.6284319282</v>
      </c>
      <c r="G956" s="55" t="n">
        <v>76556.6280135149</v>
      </c>
      <c r="H956" s="56" t="str">
        <f>G956-F956</f>
      </c>
      <c r="I956" s="57" t="n">
        <v>115757.018858842</v>
      </c>
      <c r="J956" s="58" t="str">
        <f>I956-E956</f>
      </c>
    </row>
    <row r="957">
      <c r="A957" t="s">
        <v>215</v>
      </c>
      <c r="B957" t="s">
        <v>217</v>
      </c>
      <c r="C957" s="52" t="n">
        <v>2031</v>
      </c>
      <c r="D957" t="s">
        <v>176</v>
      </c>
      <c r="E957" s="53" t="n">
        <v>274719.796299718</v>
      </c>
      <c r="F957" s="54" t="n">
        <v>257245.006974635</v>
      </c>
      <c r="G957" s="55" t="n">
        <v>257245.005480193</v>
      </c>
      <c r="H957" s="56" t="str">
        <f>G957-F957</f>
      </c>
      <c r="I957" s="57" t="n">
        <v>274719.77758767</v>
      </c>
      <c r="J957" s="58" t="str">
        <f>I957-E957</f>
      </c>
    </row>
    <row r="958">
      <c r="A958" t="s">
        <v>215</v>
      </c>
      <c r="B958" t="s">
        <v>217</v>
      </c>
      <c r="C958" s="52" t="n">
        <v>2031</v>
      </c>
      <c r="D958" t="s">
        <v>180</v>
      </c>
      <c r="E958" s="53" t="n">
        <v>646110.921712538</v>
      </c>
      <c r="F958" s="54" t="n">
        <v>374207.731584436</v>
      </c>
      <c r="G958" s="55" t="n">
        <v>374207.729078974</v>
      </c>
      <c r="H958" s="56" t="str">
        <f>G958-F958</f>
      </c>
      <c r="I958" s="57" t="n">
        <v>646110.864169859</v>
      </c>
      <c r="J958" s="58" t="str">
        <f>I958-E958</f>
      </c>
    </row>
    <row r="959">
      <c r="A959" t="s">
        <v>215</v>
      </c>
      <c r="B959" t="s">
        <v>217</v>
      </c>
      <c r="C959" s="52" t="n">
        <v>2031</v>
      </c>
      <c r="D959" t="s">
        <v>184</v>
      </c>
      <c r="E959" s="53" t="n">
        <v>339204.438400761</v>
      </c>
      <c r="F959" s="54" t="n">
        <v>184315.562544898</v>
      </c>
      <c r="G959" s="55" t="n">
        <v>184315.562373235</v>
      </c>
      <c r="H959" s="56" t="str">
        <f>G959-F959</f>
      </c>
      <c r="I959" s="57" t="n">
        <v>339204.419150594</v>
      </c>
      <c r="J959" s="58" t="str">
        <f>I959-E959</f>
      </c>
    </row>
    <row r="960">
      <c r="A960" t="s">
        <v>215</v>
      </c>
      <c r="B960" t="s">
        <v>217</v>
      </c>
      <c r="C960" s="52" t="n">
        <v>2031</v>
      </c>
      <c r="D960" t="s">
        <v>212</v>
      </c>
      <c r="E960" s="53" t="n">
        <v>38191.623102053</v>
      </c>
      <c r="F960" s="54" t="n">
        <v>4251.77573492237</v>
      </c>
      <c r="G960" s="55" t="n">
        <v>4274.72729327381</v>
      </c>
      <c r="H960" s="56" t="str">
        <f>G960-F960</f>
      </c>
      <c r="I960" s="57" t="n">
        <v>38191.6231000681</v>
      </c>
      <c r="J960" s="58" t="str">
        <f>I960-E960</f>
      </c>
    </row>
    <row r="961">
      <c r="A961" t="s">
        <v>215</v>
      </c>
      <c r="B961" t="s">
        <v>217</v>
      </c>
      <c r="C961" s="52" t="n">
        <v>2032</v>
      </c>
      <c r="D961" t="s">
        <v>190</v>
      </c>
      <c r="E961" s="53" t="n">
        <v>15247.7706719902</v>
      </c>
      <c r="F961" s="54" t="n">
        <v>11132.1789838308</v>
      </c>
      <c r="G961" s="55" t="n">
        <v>11132.1787355836</v>
      </c>
      <c r="H961" s="56" t="str">
        <f>G961-F961</f>
      </c>
      <c r="I961" s="57" t="n">
        <v>15247.769190462</v>
      </c>
      <c r="J961" s="58" t="str">
        <f>I961-E961</f>
      </c>
    </row>
    <row r="962">
      <c r="A962" t="s">
        <v>215</v>
      </c>
      <c r="B962" t="s">
        <v>217</v>
      </c>
      <c r="C962" s="52" t="n">
        <v>2032</v>
      </c>
      <c r="D962" t="s">
        <v>230</v>
      </c>
      <c r="E962" s="53" t="n">
        <v>1126783.64671054</v>
      </c>
      <c r="F962" s="54" t="n">
        <v>185691.453151037</v>
      </c>
      <c r="G962" s="55" t="n">
        <v>185691.45221249</v>
      </c>
      <c r="H962" s="56" t="str">
        <f>G962-F962</f>
      </c>
      <c r="I962" s="57" t="n">
        <v>1126783.31749171</v>
      </c>
      <c r="J962" s="58" t="str">
        <f>I962-E962</f>
      </c>
    </row>
    <row r="963">
      <c r="A963" t="s">
        <v>215</v>
      </c>
      <c r="B963" t="s">
        <v>217</v>
      </c>
      <c r="C963" s="52" t="n">
        <v>2032</v>
      </c>
      <c r="D963" t="s">
        <v>166</v>
      </c>
      <c r="E963" s="53" t="n">
        <v>116892.916792748</v>
      </c>
      <c r="F963" s="54" t="n">
        <v>77198.3899841787</v>
      </c>
      <c r="G963" s="55" t="n">
        <v>77198.3893074221</v>
      </c>
      <c r="H963" s="56" t="str">
        <f>G963-F963</f>
      </c>
      <c r="I963" s="57" t="n">
        <v>116892.91249656</v>
      </c>
      <c r="J963" s="58" t="str">
        <f>I963-E963</f>
      </c>
    </row>
    <row r="964">
      <c r="A964" t="s">
        <v>215</v>
      </c>
      <c r="B964" t="s">
        <v>217</v>
      </c>
      <c r="C964" s="52" t="n">
        <v>2032</v>
      </c>
      <c r="D964" t="s">
        <v>176</v>
      </c>
      <c r="E964" s="53" t="n">
        <v>274412.417759406</v>
      </c>
      <c r="F964" s="54" t="n">
        <v>256745.678801938</v>
      </c>
      <c r="G964" s="55" t="n">
        <v>256745.676365841</v>
      </c>
      <c r="H964" s="56" t="str">
        <f>G964-F964</f>
      </c>
      <c r="I964" s="57" t="n">
        <v>274412.393429799</v>
      </c>
      <c r="J964" s="58" t="str">
        <f>I964-E964</f>
      </c>
    </row>
    <row r="965">
      <c r="A965" t="s">
        <v>215</v>
      </c>
      <c r="B965" t="s">
        <v>217</v>
      </c>
      <c r="C965" s="52" t="n">
        <v>2032</v>
      </c>
      <c r="D965" t="s">
        <v>180</v>
      </c>
      <c r="E965" s="53" t="n">
        <v>654519.886214282</v>
      </c>
      <c r="F965" s="54" t="n">
        <v>380127.651911956</v>
      </c>
      <c r="G965" s="55" t="n">
        <v>380127.647848666</v>
      </c>
      <c r="H965" s="56" t="str">
        <f>G965-F965</f>
      </c>
      <c r="I965" s="57" t="n">
        <v>654519.811420389</v>
      </c>
      <c r="J965" s="58" t="str">
        <f>I965-E965</f>
      </c>
    </row>
    <row r="966">
      <c r="A966" t="s">
        <v>215</v>
      </c>
      <c r="B966" t="s">
        <v>217</v>
      </c>
      <c r="C966" s="52" t="n">
        <v>2032</v>
      </c>
      <c r="D966" t="s">
        <v>184</v>
      </c>
      <c r="E966" s="53" t="n">
        <v>341581.678304957</v>
      </c>
      <c r="F966" s="54" t="n">
        <v>183730.084499997</v>
      </c>
      <c r="G966" s="55" t="n">
        <v>183730.084212538</v>
      </c>
      <c r="H966" s="56" t="str">
        <f>G966-F966</f>
      </c>
      <c r="I966" s="57" t="n">
        <v>341581.65326776</v>
      </c>
      <c r="J966" s="58" t="str">
        <f>I966-E966</f>
      </c>
    </row>
    <row r="967">
      <c r="A967" t="s">
        <v>215</v>
      </c>
      <c r="B967" t="s">
        <v>217</v>
      </c>
      <c r="C967" s="52" t="n">
        <v>2032</v>
      </c>
      <c r="D967" t="s">
        <v>212</v>
      </c>
      <c r="E967" s="53" t="n">
        <v>38037.5517947594</v>
      </c>
      <c r="F967" s="54" t="n">
        <v>4100.36806315017</v>
      </c>
      <c r="G967" s="55" t="n">
        <v>4125.72247917104</v>
      </c>
      <c r="H967" s="56" t="str">
        <f>G967-F967</f>
      </c>
      <c r="I967" s="57" t="n">
        <v>38037.5517920999</v>
      </c>
      <c r="J967" s="58" t="str">
        <f>I967-E967</f>
      </c>
    </row>
    <row r="968">
      <c r="A968" t="s">
        <v>215</v>
      </c>
      <c r="B968" t="s">
        <v>217</v>
      </c>
      <c r="C968" s="52" t="n">
        <v>2033</v>
      </c>
      <c r="D968" t="s">
        <v>190</v>
      </c>
      <c r="E968" s="53" t="n">
        <v>15759.5170062279</v>
      </c>
      <c r="F968" s="54" t="n">
        <v>11452.2053683094</v>
      </c>
      <c r="G968" s="55" t="n">
        <v>11452.2049974033</v>
      </c>
      <c r="H968" s="56" t="str">
        <f>G968-F968</f>
      </c>
      <c r="I968" s="57" t="n">
        <v>15759.5151167894</v>
      </c>
      <c r="J968" s="58" t="str">
        <f>I968-E968</f>
      </c>
    </row>
    <row r="969">
      <c r="A969" t="s">
        <v>215</v>
      </c>
      <c r="B969" t="s">
        <v>217</v>
      </c>
      <c r="C969" s="52" t="n">
        <v>2033</v>
      </c>
      <c r="D969" t="s">
        <v>230</v>
      </c>
      <c r="E969" s="53" t="n">
        <v>1139273.17518982</v>
      </c>
      <c r="F969" s="54" t="n">
        <v>194005.602052273</v>
      </c>
      <c r="G969" s="55" t="n">
        <v>194005.600566516</v>
      </c>
      <c r="H969" s="56" t="str">
        <f>G969-F969</f>
      </c>
      <c r="I969" s="57" t="n">
        <v>1139272.75378683</v>
      </c>
      <c r="J969" s="58" t="str">
        <f>I969-E969</f>
      </c>
    </row>
    <row r="970">
      <c r="A970" t="s">
        <v>215</v>
      </c>
      <c r="B970" t="s">
        <v>217</v>
      </c>
      <c r="C970" s="52" t="n">
        <v>2033</v>
      </c>
      <c r="D970" t="s">
        <v>166</v>
      </c>
      <c r="E970" s="53" t="n">
        <v>118281.834114997</v>
      </c>
      <c r="F970" s="54" t="n">
        <v>77917.1631083628</v>
      </c>
      <c r="G970" s="55" t="n">
        <v>77917.1620906902</v>
      </c>
      <c r="H970" s="56" t="str">
        <f>G970-F970</f>
      </c>
      <c r="I970" s="57" t="n">
        <v>118281.828559023</v>
      </c>
      <c r="J970" s="58" t="str">
        <f>I970-E970</f>
      </c>
    </row>
    <row r="971">
      <c r="A971" t="s">
        <v>215</v>
      </c>
      <c r="B971" t="s">
        <v>217</v>
      </c>
      <c r="C971" s="52" t="n">
        <v>2033</v>
      </c>
      <c r="D971" t="s">
        <v>176</v>
      </c>
      <c r="E971" s="53" t="n">
        <v>273893.558661758</v>
      </c>
      <c r="F971" s="54" t="n">
        <v>256655.562722481</v>
      </c>
      <c r="G971" s="55" t="n">
        <v>256655.559026211</v>
      </c>
      <c r="H971" s="56" t="str">
        <f>G971-F971</f>
      </c>
      <c r="I971" s="57" t="n">
        <v>273893.528221021</v>
      </c>
      <c r="J971" s="58" t="str">
        <f>I971-E971</f>
      </c>
    </row>
    <row r="972">
      <c r="A972" t="s">
        <v>215</v>
      </c>
      <c r="B972" t="s">
        <v>217</v>
      </c>
      <c r="C972" s="52" t="n">
        <v>2033</v>
      </c>
      <c r="D972" t="s">
        <v>180</v>
      </c>
      <c r="E972" s="53" t="n">
        <v>664009.232005351</v>
      </c>
      <c r="F972" s="54" t="n">
        <v>386583.237047266</v>
      </c>
      <c r="G972" s="55" t="n">
        <v>386583.230936034</v>
      </c>
      <c r="H972" s="56" t="str">
        <f>G972-F972</f>
      </c>
      <c r="I972" s="57" t="n">
        <v>664009.138744924</v>
      </c>
      <c r="J972" s="58" t="str">
        <f>I972-E972</f>
      </c>
    </row>
    <row r="973">
      <c r="A973" t="s">
        <v>215</v>
      </c>
      <c r="B973" t="s">
        <v>217</v>
      </c>
      <c r="C973" s="52" t="n">
        <v>2033</v>
      </c>
      <c r="D973" t="s">
        <v>184</v>
      </c>
      <c r="E973" s="53" t="n">
        <v>344995.295953182</v>
      </c>
      <c r="F973" s="54" t="n">
        <v>183583.042647457</v>
      </c>
      <c r="G973" s="55" t="n">
        <v>183583.042202715</v>
      </c>
      <c r="H973" s="56" t="str">
        <f>G973-F973</f>
      </c>
      <c r="I973" s="57" t="n">
        <v>344995.264629881</v>
      </c>
      <c r="J973" s="58" t="str">
        <f>I973-E973</f>
      </c>
    </row>
    <row r="974">
      <c r="A974" t="s">
        <v>215</v>
      </c>
      <c r="B974" t="s">
        <v>217</v>
      </c>
      <c r="C974" s="52" t="n">
        <v>2033</v>
      </c>
      <c r="D974" t="s">
        <v>212</v>
      </c>
      <c r="E974" s="53" t="n">
        <v>37788.3959165179</v>
      </c>
      <c r="F974" s="54" t="n">
        <v>3950.03911333237</v>
      </c>
      <c r="G974" s="55" t="n">
        <v>3977.71437573526</v>
      </c>
      <c r="H974" s="56" t="str">
        <f>G974-F974</f>
      </c>
      <c r="I974" s="57" t="n">
        <v>37788.395913351</v>
      </c>
      <c r="J974" s="58" t="str">
        <f>I974-E974</f>
      </c>
    </row>
    <row r="975">
      <c r="A975" t="s">
        <v>215</v>
      </c>
      <c r="B975" t="s">
        <v>217</v>
      </c>
      <c r="C975" s="52" t="n">
        <v>2034</v>
      </c>
      <c r="D975" t="s">
        <v>190</v>
      </c>
      <c r="E975" s="53" t="n">
        <v>16285.7663833131</v>
      </c>
      <c r="F975" s="54" t="n">
        <v>11779.4147031333</v>
      </c>
      <c r="G975" s="55" t="n">
        <v>11779.4141755774</v>
      </c>
      <c r="H975" s="56" t="str">
        <f>G975-F975</f>
      </c>
      <c r="I975" s="57" t="n">
        <v>16285.7640376227</v>
      </c>
      <c r="J975" s="58" t="str">
        <f>I975-E975</f>
      </c>
    </row>
    <row r="976">
      <c r="A976" t="s">
        <v>215</v>
      </c>
      <c r="B976" t="s">
        <v>217</v>
      </c>
      <c r="C976" s="52" t="n">
        <v>2034</v>
      </c>
      <c r="D976" t="s">
        <v>230</v>
      </c>
      <c r="E976" s="53" t="n">
        <v>1151233.14953795</v>
      </c>
      <c r="F976" s="54" t="n">
        <v>202320.638361543</v>
      </c>
      <c r="G976" s="55" t="n">
        <v>202320.636121151</v>
      </c>
      <c r="H976" s="56" t="str">
        <f>G976-F976</f>
      </c>
      <c r="I976" s="57" t="n">
        <v>1151232.62464015</v>
      </c>
      <c r="J976" s="58" t="str">
        <f>I976-E976</f>
      </c>
    </row>
    <row r="977">
      <c r="A977" t="s">
        <v>215</v>
      </c>
      <c r="B977" t="s">
        <v>217</v>
      </c>
      <c r="C977" s="52" t="n">
        <v>2034</v>
      </c>
      <c r="D977" t="s">
        <v>166</v>
      </c>
      <c r="E977" s="53" t="n">
        <v>119173.812957855</v>
      </c>
      <c r="F977" s="54" t="n">
        <v>78781.7247018728</v>
      </c>
      <c r="G977" s="55" t="n">
        <v>78781.7232358728</v>
      </c>
      <c r="H977" s="56" t="str">
        <f>G977-F977</f>
      </c>
      <c r="I977" s="57" t="n">
        <v>119173.805374547</v>
      </c>
      <c r="J977" s="58" t="str">
        <f>I977-E977</f>
      </c>
    </row>
    <row r="978">
      <c r="A978" t="s">
        <v>215</v>
      </c>
      <c r="B978" t="s">
        <v>217</v>
      </c>
      <c r="C978" s="52" t="n">
        <v>2034</v>
      </c>
      <c r="D978" t="s">
        <v>176</v>
      </c>
      <c r="E978" s="53" t="n">
        <v>273669.691891433</v>
      </c>
      <c r="F978" s="54" t="n">
        <v>256753.132479678</v>
      </c>
      <c r="G978" s="55" t="n">
        <v>256753.127116244</v>
      </c>
      <c r="H978" s="56" t="str">
        <f>G978-F978</f>
      </c>
      <c r="I978" s="57" t="n">
        <v>273669.650202867</v>
      </c>
      <c r="J978" s="58" t="str">
        <f>I978-E978</f>
      </c>
    </row>
    <row r="979">
      <c r="A979" t="s">
        <v>215</v>
      </c>
      <c r="B979" t="s">
        <v>217</v>
      </c>
      <c r="C979" s="52" t="n">
        <v>2034</v>
      </c>
      <c r="D979" t="s">
        <v>180</v>
      </c>
      <c r="E979" s="53" t="n">
        <v>669565.222881814</v>
      </c>
      <c r="F979" s="54" t="n">
        <v>393806.928913204</v>
      </c>
      <c r="G979" s="55" t="n">
        <v>393806.920121914</v>
      </c>
      <c r="H979" s="56" t="str">
        <f>G979-F979</f>
      </c>
      <c r="I979" s="57" t="n">
        <v>669565.091865969</v>
      </c>
      <c r="J979" s="58" t="str">
        <f>I979-E979</f>
      </c>
    </row>
    <row r="980">
      <c r="A980" t="s">
        <v>215</v>
      </c>
      <c r="B980" t="s">
        <v>217</v>
      </c>
      <c r="C980" s="52" t="n">
        <v>2034</v>
      </c>
      <c r="D980" t="s">
        <v>184</v>
      </c>
      <c r="E980" s="53" t="n">
        <v>345926.441422601</v>
      </c>
      <c r="F980" s="54" t="n">
        <v>184800.885675769</v>
      </c>
      <c r="G980" s="55" t="n">
        <v>184800.885019324</v>
      </c>
      <c r="H980" s="56" t="str">
        <f>G980-F980</f>
      </c>
      <c r="I980" s="57" t="n">
        <v>345926.396497523</v>
      </c>
      <c r="J980" s="58" t="str">
        <f>I980-E980</f>
      </c>
    </row>
    <row r="981">
      <c r="A981" t="s">
        <v>215</v>
      </c>
      <c r="B981" t="s">
        <v>217</v>
      </c>
      <c r="C981" s="52" t="n">
        <v>2034</v>
      </c>
      <c r="D981" t="s">
        <v>212</v>
      </c>
      <c r="E981" s="53" t="n">
        <v>37391.118984718</v>
      </c>
      <c r="F981" s="54" t="n">
        <v>3819.49301473121</v>
      </c>
      <c r="G981" s="55" t="n">
        <v>3849.43642407178</v>
      </c>
      <c r="H981" s="56" t="str">
        <f>G981-F981</f>
      </c>
      <c r="I981" s="57" t="n">
        <v>37391.1189795399</v>
      </c>
      <c r="J981" s="58" t="str">
        <f>I981-E981</f>
      </c>
    </row>
    <row r="982">
      <c r="A982" t="s">
        <v>215</v>
      </c>
      <c r="B982" t="s">
        <v>217</v>
      </c>
      <c r="C982" s="52" t="n">
        <v>2035</v>
      </c>
      <c r="D982" t="s">
        <v>190</v>
      </c>
      <c r="E982" s="53" t="n">
        <v>16830.6449530622</v>
      </c>
      <c r="F982" s="54" t="n">
        <v>12112.8150842519</v>
      </c>
      <c r="G982" s="55" t="n">
        <v>12112.814364394</v>
      </c>
      <c r="H982" s="56" t="str">
        <f>G982-F982</f>
      </c>
      <c r="I982" s="57" t="n">
        <v>16830.6420972909</v>
      </c>
      <c r="J982" s="58" t="str">
        <f>I982-E982</f>
      </c>
    </row>
    <row r="983">
      <c r="A983" t="s">
        <v>215</v>
      </c>
      <c r="B983" t="s">
        <v>217</v>
      </c>
      <c r="C983" s="52" t="n">
        <v>2035</v>
      </c>
      <c r="D983" t="s">
        <v>230</v>
      </c>
      <c r="E983" s="53" t="n">
        <v>1162777.92385451</v>
      </c>
      <c r="F983" s="54" t="n">
        <v>210627.426028211</v>
      </c>
      <c r="G983" s="55" t="n">
        <v>210627.422792314</v>
      </c>
      <c r="H983" s="56" t="str">
        <f>G983-F983</f>
      </c>
      <c r="I983" s="57" t="n">
        <v>1162777.28327874</v>
      </c>
      <c r="J983" s="58" t="str">
        <f>I983-E983</f>
      </c>
    </row>
    <row r="984">
      <c r="A984" t="s">
        <v>215</v>
      </c>
      <c r="B984" t="s">
        <v>217</v>
      </c>
      <c r="C984" s="52" t="n">
        <v>2035</v>
      </c>
      <c r="D984" t="s">
        <v>166</v>
      </c>
      <c r="E984" s="53" t="n">
        <v>120799.075248002</v>
      </c>
      <c r="F984" s="54" t="n">
        <v>79456.6344752998</v>
      </c>
      <c r="G984" s="55" t="n">
        <v>79456.6324211876</v>
      </c>
      <c r="H984" s="56" t="str">
        <f>G984-F984</f>
      </c>
      <c r="I984" s="57" t="n">
        <v>120799.065903184</v>
      </c>
      <c r="J984" s="58" t="str">
        <f>I984-E984</f>
      </c>
    </row>
    <row r="985">
      <c r="A985" t="s">
        <v>215</v>
      </c>
      <c r="B985" t="s">
        <v>217</v>
      </c>
      <c r="C985" s="52" t="n">
        <v>2035</v>
      </c>
      <c r="D985" t="s">
        <v>176</v>
      </c>
      <c r="E985" s="53" t="n">
        <v>273345.41013178</v>
      </c>
      <c r="F985" s="54" t="n">
        <v>256807.539819963</v>
      </c>
      <c r="G985" s="55" t="n">
        <v>256807.532230081</v>
      </c>
      <c r="H985" s="56" t="str">
        <f>G985-F985</f>
      </c>
      <c r="I985" s="57" t="n">
        <v>273345.360062938</v>
      </c>
      <c r="J985" s="58" t="str">
        <f>I985-E985</f>
      </c>
    </row>
    <row r="986">
      <c r="A986" t="s">
        <v>215</v>
      </c>
      <c r="B986" t="s">
        <v>217</v>
      </c>
      <c r="C986" s="52" t="n">
        <v>2035</v>
      </c>
      <c r="D986" t="s">
        <v>180</v>
      </c>
      <c r="E986" s="53" t="n">
        <v>678638.59195599</v>
      </c>
      <c r="F986" s="54" t="n">
        <v>399492.962973142</v>
      </c>
      <c r="G986" s="55" t="n">
        <v>399492.950532998</v>
      </c>
      <c r="H986" s="56" t="str">
        <f>G986-F986</f>
      </c>
      <c r="I986" s="57" t="n">
        <v>678638.434521443</v>
      </c>
      <c r="J986" s="58" t="str">
        <f>I986-E986</f>
      </c>
    </row>
    <row r="987">
      <c r="A987" t="s">
        <v>215</v>
      </c>
      <c r="B987" t="s">
        <v>217</v>
      </c>
      <c r="C987" s="52" t="n">
        <v>2035</v>
      </c>
      <c r="D987" t="s">
        <v>184</v>
      </c>
      <c r="E987" s="53" t="n">
        <v>349146.116597084</v>
      </c>
      <c r="F987" s="54" t="n">
        <v>185365.762057939</v>
      </c>
      <c r="G987" s="55" t="n">
        <v>185365.761103579</v>
      </c>
      <c r="H987" s="56" t="str">
        <f>G987-F987</f>
      </c>
      <c r="I987" s="57" t="n">
        <v>349146.062455764</v>
      </c>
      <c r="J987" s="58" t="str">
        <f>I987-E987</f>
      </c>
    </row>
    <row r="988">
      <c r="A988" t="s">
        <v>215</v>
      </c>
      <c r="B988" t="s">
        <v>217</v>
      </c>
      <c r="C988" s="52" t="n">
        <v>2035</v>
      </c>
      <c r="D988" t="s">
        <v>212</v>
      </c>
      <c r="E988" s="53" t="n">
        <v>37274.3979079296</v>
      </c>
      <c r="F988" s="54" t="n">
        <v>3678.5607155018</v>
      </c>
      <c r="G988" s="55" t="n">
        <v>3710.43177455469</v>
      </c>
      <c r="H988" s="56" t="str">
        <f>G988-F988</f>
      </c>
      <c r="I988" s="57" t="n">
        <v>37274.3979018446</v>
      </c>
      <c r="J988" s="58" t="str">
        <f>I988-E988</f>
      </c>
    </row>
    <row r="989">
      <c r="A989" t="s">
        <v>215</v>
      </c>
      <c r="B989" t="s">
        <v>217</v>
      </c>
      <c r="C989" s="52" t="n">
        <v>2036</v>
      </c>
      <c r="D989" t="s">
        <v>190</v>
      </c>
      <c r="E989" s="53" t="n">
        <v>17392.6133182794</v>
      </c>
      <c r="F989" s="54" t="n">
        <v>12452.8649649466</v>
      </c>
      <c r="G989" s="55" t="n">
        <v>12452.8640137516</v>
      </c>
      <c r="H989" s="56" t="str">
        <f>G989-F989</f>
      </c>
      <c r="I989" s="57" t="n">
        <v>17392.6099040701</v>
      </c>
      <c r="J989" s="58" t="str">
        <f>I989-E989</f>
      </c>
    </row>
    <row r="990">
      <c r="A990" t="s">
        <v>215</v>
      </c>
      <c r="B990" t="s">
        <v>217</v>
      </c>
      <c r="C990" s="52" t="n">
        <v>2036</v>
      </c>
      <c r="D990" t="s">
        <v>230</v>
      </c>
      <c r="E990" s="53" t="n">
        <v>1174086.28061701</v>
      </c>
      <c r="F990" s="54" t="n">
        <v>218906.627959321</v>
      </c>
      <c r="G990" s="55" t="n">
        <v>218906.623444501</v>
      </c>
      <c r="H990" s="56" t="str">
        <f>G990-F990</f>
      </c>
      <c r="I990" s="57" t="n">
        <v>1174085.51289072</v>
      </c>
      <c r="J990" s="58" t="str">
        <f>I990-E990</f>
      </c>
    </row>
    <row r="991">
      <c r="A991" t="s">
        <v>215</v>
      </c>
      <c r="B991" t="s">
        <v>217</v>
      </c>
      <c r="C991" s="52" t="n">
        <v>2036</v>
      </c>
      <c r="D991" t="s">
        <v>166</v>
      </c>
      <c r="E991" s="53" t="n">
        <v>122618.331585325</v>
      </c>
      <c r="F991" s="54" t="n">
        <v>80302.8457660255</v>
      </c>
      <c r="G991" s="55" t="n">
        <v>80302.8429955226</v>
      </c>
      <c r="H991" s="56" t="str">
        <f>G991-F991</f>
      </c>
      <c r="I991" s="57" t="n">
        <v>122618.320312187</v>
      </c>
      <c r="J991" s="58" t="str">
        <f>I991-E991</f>
      </c>
    </row>
    <row r="992">
      <c r="A992" t="s">
        <v>215</v>
      </c>
      <c r="B992" t="s">
        <v>217</v>
      </c>
      <c r="C992" s="52" t="n">
        <v>2036</v>
      </c>
      <c r="D992" t="s">
        <v>176</v>
      </c>
      <c r="E992" s="53" t="n">
        <v>273297.628927443</v>
      </c>
      <c r="F992" s="54" t="n">
        <v>256933.408568387</v>
      </c>
      <c r="G992" s="55" t="n">
        <v>256933.398229342</v>
      </c>
      <c r="H992" s="56" t="str">
        <f>G992-F992</f>
      </c>
      <c r="I992" s="57" t="n">
        <v>273297.569822228</v>
      </c>
      <c r="J992" s="58" t="str">
        <f>I992-E992</f>
      </c>
    </row>
    <row r="993">
      <c r="A993" t="s">
        <v>215</v>
      </c>
      <c r="B993" t="s">
        <v>217</v>
      </c>
      <c r="C993" s="52" t="n">
        <v>2036</v>
      </c>
      <c r="D993" t="s">
        <v>180</v>
      </c>
      <c r="E993" s="53" t="n">
        <v>688194.870327679</v>
      </c>
      <c r="F993" s="54" t="n">
        <v>405992.670409329</v>
      </c>
      <c r="G993" s="55" t="n">
        <v>405992.653493878</v>
      </c>
      <c r="H993" s="56" t="str">
        <f>G993-F993</f>
      </c>
      <c r="I993" s="57" t="n">
        <v>688194.684475592</v>
      </c>
      <c r="J993" s="58" t="str">
        <f>I993-E993</f>
      </c>
    </row>
    <row r="994">
      <c r="A994" t="s">
        <v>215</v>
      </c>
      <c r="B994" t="s">
        <v>217</v>
      </c>
      <c r="C994" s="52" t="n">
        <v>2036</v>
      </c>
      <c r="D994" t="s">
        <v>184</v>
      </c>
      <c r="E994" s="53" t="n">
        <v>352603.135703636</v>
      </c>
      <c r="F994" s="54" t="n">
        <v>186417.928555892</v>
      </c>
      <c r="G994" s="55" t="n">
        <v>186417.92722248</v>
      </c>
      <c r="H994" s="56" t="str">
        <f>G994-F994</f>
      </c>
      <c r="I994" s="57" t="n">
        <v>352603.071714204</v>
      </c>
      <c r="J994" s="58" t="str">
        <f>I994-E994</f>
      </c>
    </row>
    <row r="995">
      <c r="A995" t="s">
        <v>215</v>
      </c>
      <c r="B995" t="s">
        <v>217</v>
      </c>
      <c r="C995" s="52" t="n">
        <v>2036</v>
      </c>
      <c r="D995" t="s">
        <v>212</v>
      </c>
      <c r="E995" s="53" t="n">
        <v>37283.027636348</v>
      </c>
      <c r="F995" s="54" t="n">
        <v>3545.014511397</v>
      </c>
      <c r="G995" s="55" t="n">
        <v>3578.66006488627</v>
      </c>
      <c r="H995" s="56" t="str">
        <f>G995-F995</f>
      </c>
      <c r="I995" s="57" t="n">
        <v>37283.0276293956</v>
      </c>
      <c r="J995" s="58" t="str">
        <f>I995-E995</f>
      </c>
    </row>
    <row r="996">
      <c r="A996" t="s">
        <v>215</v>
      </c>
      <c r="B996" t="s">
        <v>217</v>
      </c>
      <c r="C996" s="52" t="n">
        <v>2037</v>
      </c>
      <c r="D996" t="s">
        <v>190</v>
      </c>
      <c r="E996" s="53" t="n">
        <v>17971.4868828959</v>
      </c>
      <c r="F996" s="54" t="n">
        <v>12799.4806781478</v>
      </c>
      <c r="G996" s="55" t="n">
        <v>12799.4794545616</v>
      </c>
      <c r="H996" s="56" t="str">
        <f>G996-F996</f>
      </c>
      <c r="I996" s="57" t="n">
        <v>17971.4828640642</v>
      </c>
      <c r="J996" s="58" t="str">
        <f>I996-E996</f>
      </c>
    </row>
    <row r="997">
      <c r="A997" t="s">
        <v>215</v>
      </c>
      <c r="B997" t="s">
        <v>217</v>
      </c>
      <c r="C997" s="52" t="n">
        <v>2037</v>
      </c>
      <c r="D997" t="s">
        <v>230</v>
      </c>
      <c r="E997" s="53" t="n">
        <v>1185265.64915849</v>
      </c>
      <c r="F997" s="54" t="n">
        <v>227145.856767958</v>
      </c>
      <c r="G997" s="55" t="n">
        <v>227145.85064844</v>
      </c>
      <c r="H997" s="56" t="str">
        <f>G997-F997</f>
      </c>
      <c r="I997" s="57" t="n">
        <v>1185264.74384977</v>
      </c>
      <c r="J997" s="58" t="str">
        <f>I997-E997</f>
      </c>
    </row>
    <row r="998">
      <c r="A998" t="s">
        <v>215</v>
      </c>
      <c r="B998" t="s">
        <v>217</v>
      </c>
      <c r="C998" s="52" t="n">
        <v>2037</v>
      </c>
      <c r="D998" t="s">
        <v>166</v>
      </c>
      <c r="E998" s="53" t="n">
        <v>124489.443122664</v>
      </c>
      <c r="F998" s="54" t="n">
        <v>81244.6950118276</v>
      </c>
      <c r="G998" s="55" t="n">
        <v>81244.6913895843</v>
      </c>
      <c r="H998" s="56" t="str">
        <f>G998-F998</f>
      </c>
      <c r="I998" s="57" t="n">
        <v>124489.429760244</v>
      </c>
      <c r="J998" s="58" t="str">
        <f>I998-E998</f>
      </c>
    </row>
    <row r="999">
      <c r="A999" t="s">
        <v>215</v>
      </c>
      <c r="B999" t="s">
        <v>217</v>
      </c>
      <c r="C999" s="52" t="n">
        <v>2037</v>
      </c>
      <c r="D999" t="s">
        <v>176</v>
      </c>
      <c r="E999" s="53" t="n">
        <v>273202.870980807</v>
      </c>
      <c r="F999" s="54" t="n">
        <v>257070.98680034</v>
      </c>
      <c r="G999" s="55" t="n">
        <v>257070.973149134</v>
      </c>
      <c r="H999" s="56" t="str">
        <f>G999-F999</f>
      </c>
      <c r="I999" s="57" t="n">
        <v>273202.802274069</v>
      </c>
      <c r="J999" s="58" t="str">
        <f>I999-E999</f>
      </c>
    </row>
    <row r="1000">
      <c r="A1000" t="s">
        <v>215</v>
      </c>
      <c r="B1000" t="s">
        <v>217</v>
      </c>
      <c r="C1000" s="52" t="n">
        <v>2037</v>
      </c>
      <c r="D1000" t="s">
        <v>180</v>
      </c>
      <c r="E1000" s="53" t="n">
        <v>698060.717886194</v>
      </c>
      <c r="F1000" s="54" t="n">
        <v>413018.365365256</v>
      </c>
      <c r="G1000" s="55" t="n">
        <v>413018.343093551</v>
      </c>
      <c r="H1000" s="56" t="str">
        <f>G1000-F1000</f>
      </c>
      <c r="I1000" s="57" t="n">
        <v>698060.502126947</v>
      </c>
      <c r="J1000" s="58" t="str">
        <f>I1000-E1000</f>
      </c>
    </row>
    <row r="1001">
      <c r="A1001" t="s">
        <v>215</v>
      </c>
      <c r="B1001" t="s">
        <v>217</v>
      </c>
      <c r="C1001" s="52" t="n">
        <v>2037</v>
      </c>
      <c r="D1001" t="s">
        <v>184</v>
      </c>
      <c r="E1001" s="53" t="n">
        <v>356425.75326064</v>
      </c>
      <c r="F1001" s="54" t="n">
        <v>187788.314329456</v>
      </c>
      <c r="G1001" s="55" t="n">
        <v>187788.312528489</v>
      </c>
      <c r="H1001" s="56" t="str">
        <f>G1001-F1001</f>
      </c>
      <c r="I1001" s="57" t="n">
        <v>356425.678918654</v>
      </c>
      <c r="J1001" s="58" t="str">
        <f>I1001-E1001</f>
      </c>
    </row>
    <row r="1002">
      <c r="A1002" t="s">
        <v>215</v>
      </c>
      <c r="B1002" t="s">
        <v>217</v>
      </c>
      <c r="C1002" s="52" t="n">
        <v>2037</v>
      </c>
      <c r="D1002" t="s">
        <v>212</v>
      </c>
      <c r="E1002" s="53" t="n">
        <v>36837.2774884258</v>
      </c>
      <c r="F1002" s="54" t="n">
        <v>3414.83311225071</v>
      </c>
      <c r="G1002" s="55" t="n">
        <v>3450.19465573699</v>
      </c>
      <c r="H1002" s="56" t="str">
        <f>G1002-F1002</f>
      </c>
      <c r="I1002" s="57" t="n">
        <v>36837.2774807632</v>
      </c>
      <c r="J1002" s="58" t="str">
        <f>I1002-E1002</f>
      </c>
    </row>
    <row r="1003">
      <c r="A1003" t="s">
        <v>215</v>
      </c>
      <c r="B1003" t="s">
        <v>217</v>
      </c>
      <c r="C1003" s="52" t="n">
        <v>2038</v>
      </c>
      <c r="D1003" t="s">
        <v>190</v>
      </c>
      <c r="E1003" s="53" t="n">
        <v>18564.7372060038</v>
      </c>
      <c r="F1003" s="54" t="n">
        <v>13155.605389799</v>
      </c>
      <c r="G1003" s="55" t="n">
        <v>13155.6038503287</v>
      </c>
      <c r="H1003" s="56" t="str">
        <f>G1003-F1003</f>
      </c>
      <c r="I1003" s="57" t="n">
        <v>18564.7325343064</v>
      </c>
      <c r="J1003" s="58" t="str">
        <f>I1003-E1003</f>
      </c>
    </row>
    <row r="1004">
      <c r="A1004" t="s">
        <v>215</v>
      </c>
      <c r="B1004" t="s">
        <v>217</v>
      </c>
      <c r="C1004" s="52" t="n">
        <v>2038</v>
      </c>
      <c r="D1004" t="s">
        <v>230</v>
      </c>
      <c r="E1004" s="53" t="n">
        <v>1196315.59852896</v>
      </c>
      <c r="F1004" s="54" t="n">
        <v>235329.609600309</v>
      </c>
      <c r="G1004" s="55" t="n">
        <v>235329.601498619</v>
      </c>
      <c r="H1004" s="56" t="str">
        <f>G1004-F1004</f>
      </c>
      <c r="I1004" s="57" t="n">
        <v>1196314.54511457</v>
      </c>
      <c r="J1004" s="58" t="str">
        <f>I1004-E1004</f>
      </c>
    </row>
    <row r="1005">
      <c r="A1005" t="s">
        <v>215</v>
      </c>
      <c r="B1005" t="s">
        <v>217</v>
      </c>
      <c r="C1005" s="52" t="n">
        <v>2038</v>
      </c>
      <c r="D1005" t="s">
        <v>166</v>
      </c>
      <c r="E1005" s="53" t="n">
        <v>126555.849489581</v>
      </c>
      <c r="F1005" s="54" t="n">
        <v>82253.9354601302</v>
      </c>
      <c r="G1005" s="55" t="n">
        <v>82253.930841494</v>
      </c>
      <c r="H1005" s="56" t="str">
        <f>G1005-F1005</f>
      </c>
      <c r="I1005" s="57" t="n">
        <v>126555.833855502</v>
      </c>
      <c r="J1005" s="58" t="str">
        <f>I1005-E1005</f>
      </c>
    </row>
    <row r="1006">
      <c r="A1006" t="s">
        <v>215</v>
      </c>
      <c r="B1006" t="s">
        <v>217</v>
      </c>
      <c r="C1006" s="52" t="n">
        <v>2038</v>
      </c>
      <c r="D1006" t="s">
        <v>176</v>
      </c>
      <c r="E1006" s="53" t="n">
        <v>273035.449073952</v>
      </c>
      <c r="F1006" s="54" t="n">
        <v>257130.694181</v>
      </c>
      <c r="G1006" s="55" t="n">
        <v>257130.676610817</v>
      </c>
      <c r="H1006" s="56" t="str">
        <f>G1006-F1006</f>
      </c>
      <c r="I1006" s="57" t="n">
        <v>273035.370644084</v>
      </c>
      <c r="J1006" s="58" t="str">
        <f>I1006-E1006</f>
      </c>
    </row>
    <row r="1007">
      <c r="A1007" t="s">
        <v>215</v>
      </c>
      <c r="B1007" t="s">
        <v>217</v>
      </c>
      <c r="C1007" s="52" t="n">
        <v>2038</v>
      </c>
      <c r="D1007" t="s">
        <v>180</v>
      </c>
      <c r="E1007" s="53" t="n">
        <v>708674.820698614</v>
      </c>
      <c r="F1007" s="54" t="n">
        <v>420445.292693938</v>
      </c>
      <c r="G1007" s="55" t="n">
        <v>420445.264129068</v>
      </c>
      <c r="H1007" s="56" t="str">
        <f>G1007-F1007</f>
      </c>
      <c r="I1007" s="57" t="n">
        <v>708674.574961299</v>
      </c>
      <c r="J1007" s="58" t="str">
        <f>I1007-E1007</f>
      </c>
    </row>
    <row r="1008">
      <c r="A1008" t="s">
        <v>215</v>
      </c>
      <c r="B1008" t="s">
        <v>217</v>
      </c>
      <c r="C1008" s="52" t="n">
        <v>2038</v>
      </c>
      <c r="D1008" t="s">
        <v>184</v>
      </c>
      <c r="E1008" s="53" t="n">
        <v>360901.020137705</v>
      </c>
      <c r="F1008" s="54" t="n">
        <v>189347.424632919</v>
      </c>
      <c r="G1008" s="55" t="n">
        <v>189347.422266605</v>
      </c>
      <c r="H1008" s="56" t="str">
        <f>G1008-F1008</f>
      </c>
      <c r="I1008" s="57" t="n">
        <v>360900.93527345</v>
      </c>
      <c r="J1008" s="58" t="str">
        <f>I1008-E1008</f>
      </c>
    </row>
    <row r="1009">
      <c r="A1009" t="s">
        <v>215</v>
      </c>
      <c r="B1009" t="s">
        <v>217</v>
      </c>
      <c r="C1009" s="52" t="n">
        <v>2038</v>
      </c>
      <c r="D1009" t="s">
        <v>212</v>
      </c>
      <c r="E1009" s="53" t="n">
        <v>36551.4412657011</v>
      </c>
      <c r="F1009" s="54" t="n">
        <v>3285.7854235395</v>
      </c>
      <c r="G1009" s="55" t="n">
        <v>3322.82157442101</v>
      </c>
      <c r="H1009" s="56" t="str">
        <f>G1009-F1009</f>
      </c>
      <c r="I1009" s="57" t="n">
        <v>36551.441257779</v>
      </c>
      <c r="J1009" s="58" t="str">
        <f>I1009-E1009</f>
      </c>
    </row>
    <row r="1010">
      <c r="A1010" t="s">
        <v>215</v>
      </c>
      <c r="B1010" t="s">
        <v>217</v>
      </c>
      <c r="C1010" s="52" t="n">
        <v>2039</v>
      </c>
      <c r="D1010" t="s">
        <v>190</v>
      </c>
      <c r="E1010" s="53" t="n">
        <v>19174.3511166858</v>
      </c>
      <c r="F1010" s="54" t="n">
        <v>13516.7804086955</v>
      </c>
      <c r="G1010" s="55" t="n">
        <v>13516.7785061579</v>
      </c>
      <c r="H1010" s="56" t="str">
        <f>G1010-F1010</f>
      </c>
      <c r="I1010" s="57" t="n">
        <v>19174.3457459029</v>
      </c>
      <c r="J1010" s="58" t="str">
        <f>I1010-E1010</f>
      </c>
    </row>
    <row r="1011">
      <c r="A1011" t="s">
        <v>215</v>
      </c>
      <c r="B1011" t="s">
        <v>217</v>
      </c>
      <c r="C1011" s="52" t="n">
        <v>2039</v>
      </c>
      <c r="D1011" t="s">
        <v>230</v>
      </c>
      <c r="E1011" s="53" t="n">
        <v>1206926.99483107</v>
      </c>
      <c r="F1011" s="54" t="n">
        <v>243483.374552588</v>
      </c>
      <c r="G1011" s="55" t="n">
        <v>243483.364034463</v>
      </c>
      <c r="H1011" s="56" t="str">
        <f>G1011-F1011</f>
      </c>
      <c r="I1011" s="57" t="n">
        <v>1206925.78308321</v>
      </c>
      <c r="J1011" s="58" t="str">
        <f>I1011-E1011</f>
      </c>
    </row>
    <row r="1012">
      <c r="A1012" t="s">
        <v>215</v>
      </c>
      <c r="B1012" t="s">
        <v>217</v>
      </c>
      <c r="C1012" s="52" t="n">
        <v>2039</v>
      </c>
      <c r="D1012" t="s">
        <v>166</v>
      </c>
      <c r="E1012" s="53" t="n">
        <v>128001.367744125</v>
      </c>
      <c r="F1012" s="54" t="n">
        <v>83389.186771328</v>
      </c>
      <c r="G1012" s="55" t="n">
        <v>83389.1809587923</v>
      </c>
      <c r="H1012" s="56" t="str">
        <f>G1012-F1012</f>
      </c>
      <c r="I1012" s="57" t="n">
        <v>128001.347826374</v>
      </c>
      <c r="J1012" s="58" t="str">
        <f>I1012-E1012</f>
      </c>
    </row>
    <row r="1013">
      <c r="A1013" t="s">
        <v>215</v>
      </c>
      <c r="B1013" t="s">
        <v>217</v>
      </c>
      <c r="C1013" s="52" t="n">
        <v>2039</v>
      </c>
      <c r="D1013" t="s">
        <v>176</v>
      </c>
      <c r="E1013" s="53" t="n">
        <v>272973.444445714</v>
      </c>
      <c r="F1013" s="54" t="n">
        <v>257441.891391154</v>
      </c>
      <c r="G1013" s="55" t="n">
        <v>257441.86914337</v>
      </c>
      <c r="H1013" s="56" t="str">
        <f>G1013-F1013</f>
      </c>
      <c r="I1013" s="57" t="n">
        <v>272973.34550101</v>
      </c>
      <c r="J1013" s="58" t="str">
        <f>I1013-E1013</f>
      </c>
    </row>
    <row r="1014">
      <c r="A1014" t="s">
        <v>215</v>
      </c>
      <c r="B1014" t="s">
        <v>217</v>
      </c>
      <c r="C1014" s="52" t="n">
        <v>2039</v>
      </c>
      <c r="D1014" t="s">
        <v>180</v>
      </c>
      <c r="E1014" s="53" t="n">
        <v>715581.205793178</v>
      </c>
      <c r="F1014" s="54" t="n">
        <v>428444.604540209</v>
      </c>
      <c r="G1014" s="55" t="n">
        <v>428444.568481745</v>
      </c>
      <c r="H1014" s="56" t="str">
        <f>G1014-F1014</f>
      </c>
      <c r="I1014" s="57" t="n">
        <v>715580.887085385</v>
      </c>
      <c r="J1014" s="58" t="str">
        <f>I1014-E1014</f>
      </c>
    </row>
    <row r="1015">
      <c r="A1015" t="s">
        <v>215</v>
      </c>
      <c r="B1015" t="s">
        <v>217</v>
      </c>
      <c r="C1015" s="52" t="n">
        <v>2039</v>
      </c>
      <c r="D1015" t="s">
        <v>184</v>
      </c>
      <c r="E1015" s="53" t="n">
        <v>362969.311655976</v>
      </c>
      <c r="F1015" s="54" t="n">
        <v>191929.613911847</v>
      </c>
      <c r="G1015" s="55" t="n">
        <v>191929.610855123</v>
      </c>
      <c r="H1015" s="56" t="str">
        <f>G1015-F1015</f>
      </c>
      <c r="I1015" s="57" t="n">
        <v>362969.198365508</v>
      </c>
      <c r="J1015" s="58" t="str">
        <f>I1015-E1015</f>
      </c>
    </row>
    <row r="1016">
      <c r="A1016" t="s">
        <v>215</v>
      </c>
      <c r="B1016" t="s">
        <v>217</v>
      </c>
      <c r="C1016" s="52" t="n">
        <v>2039</v>
      </c>
      <c r="D1016" t="s">
        <v>212</v>
      </c>
      <c r="E1016" s="53" t="n">
        <v>36178.2238553983</v>
      </c>
      <c r="F1016" s="54" t="n">
        <v>3159.57456665979</v>
      </c>
      <c r="G1016" s="55" t="n">
        <v>3198.02305383022</v>
      </c>
      <c r="H1016" s="56" t="str">
        <f>G1016-F1016</f>
      </c>
      <c r="I1016" s="57" t="n">
        <v>36178.2238447184</v>
      </c>
      <c r="J1016" s="58" t="str">
        <f>I1016-E1016</f>
      </c>
    </row>
    <row r="1017">
      <c r="A1017" t="s">
        <v>215</v>
      </c>
      <c r="B1017" t="s">
        <v>217</v>
      </c>
      <c r="C1017" s="52" t="n">
        <v>2040</v>
      </c>
      <c r="D1017" t="s">
        <v>190</v>
      </c>
      <c r="E1017" s="53" t="n">
        <v>19805.5119219041</v>
      </c>
      <c r="F1017" s="54" t="n">
        <v>13879.6756005362</v>
      </c>
      <c r="G1017" s="55" t="n">
        <v>13879.6732870407</v>
      </c>
      <c r="H1017" s="56" t="str">
        <f>G1017-F1017</f>
      </c>
      <c r="I1017" s="57" t="n">
        <v>19805.5058057648</v>
      </c>
      <c r="J1017" s="58" t="str">
        <f>I1017-E1017</f>
      </c>
    </row>
    <row r="1018">
      <c r="A1018" t="s">
        <v>215</v>
      </c>
      <c r="B1018" t="s">
        <v>217</v>
      </c>
      <c r="C1018" s="52" t="n">
        <v>2040</v>
      </c>
      <c r="D1018" t="s">
        <v>230</v>
      </c>
      <c r="E1018" s="53" t="n">
        <v>1217030.87436371</v>
      </c>
      <c r="F1018" s="54" t="n">
        <v>251591.912104972</v>
      </c>
      <c r="G1018" s="55" t="n">
        <v>251591.898664867</v>
      </c>
      <c r="H1018" s="56" t="str">
        <f>G1018-F1018</f>
      </c>
      <c r="I1018" s="57" t="n">
        <v>1217029.49333677</v>
      </c>
      <c r="J1018" s="58" t="str">
        <f>I1018-E1018</f>
      </c>
    </row>
    <row r="1019">
      <c r="A1019" t="s">
        <v>215</v>
      </c>
      <c r="B1019" t="s">
        <v>217</v>
      </c>
      <c r="C1019" s="52" t="n">
        <v>2040</v>
      </c>
      <c r="D1019" t="s">
        <v>166</v>
      </c>
      <c r="E1019" s="53" t="n">
        <v>130079.140608159</v>
      </c>
      <c r="F1019" s="54" t="n">
        <v>84431.8984248812</v>
      </c>
      <c r="G1019" s="55" t="n">
        <v>84431.8911758369</v>
      </c>
      <c r="H1019" s="56" t="str">
        <f>G1019-F1019</f>
      </c>
      <c r="I1019" s="57" t="n">
        <v>130079.117811465</v>
      </c>
      <c r="J1019" s="58" t="str">
        <f>I1019-E1019</f>
      </c>
    </row>
    <row r="1020">
      <c r="A1020" t="s">
        <v>215</v>
      </c>
      <c r="B1020" t="s">
        <v>217</v>
      </c>
      <c r="C1020" s="52" t="n">
        <v>2040</v>
      </c>
      <c r="D1020" t="s">
        <v>176</v>
      </c>
      <c r="E1020" s="53" t="n">
        <v>272772.804181426</v>
      </c>
      <c r="F1020" s="54" t="n">
        <v>257451.832566056</v>
      </c>
      <c r="G1020" s="55" t="n">
        <v>257451.80463236</v>
      </c>
      <c r="H1020" s="56" t="str">
        <f>G1020-F1020</f>
      </c>
      <c r="I1020" s="57" t="n">
        <v>272772.692977532</v>
      </c>
      <c r="J1020" s="58" t="str">
        <f>I1020-E1020</f>
      </c>
    </row>
    <row r="1021">
      <c r="A1021" t="s">
        <v>215</v>
      </c>
      <c r="B1021" t="s">
        <v>217</v>
      </c>
      <c r="C1021" s="52" t="n">
        <v>2040</v>
      </c>
      <c r="D1021" t="s">
        <v>180</v>
      </c>
      <c r="E1021" s="53" t="n">
        <v>725058.209979367</v>
      </c>
      <c r="F1021" s="54" t="n">
        <v>435208.8862974</v>
      </c>
      <c r="G1021" s="55" t="n">
        <v>435208.840989962</v>
      </c>
      <c r="H1021" s="56" t="str">
        <f>G1021-F1021</f>
      </c>
      <c r="I1021" s="57" t="n">
        <v>725057.851356544</v>
      </c>
      <c r="J1021" s="58" t="str">
        <f>I1021-E1021</f>
      </c>
    </row>
    <row r="1022">
      <c r="A1022" t="s">
        <v>215</v>
      </c>
      <c r="B1022" t="s">
        <v>217</v>
      </c>
      <c r="C1022" s="52" t="n">
        <v>2040</v>
      </c>
      <c r="D1022" t="s">
        <v>184</v>
      </c>
      <c r="E1022" s="53" t="n">
        <v>366714.173546848</v>
      </c>
      <c r="F1022" s="54" t="n">
        <v>193853.254687109</v>
      </c>
      <c r="G1022" s="55" t="n">
        <v>193853.250747764</v>
      </c>
      <c r="H1022" s="56" t="str">
        <f>G1022-F1022</f>
      </c>
      <c r="I1022" s="57" t="n">
        <v>366714.045807884</v>
      </c>
      <c r="J1022" s="58" t="str">
        <f>I1022-E1022</f>
      </c>
    </row>
    <row r="1023">
      <c r="A1023" t="s">
        <v>215</v>
      </c>
      <c r="B1023" t="s">
        <v>217</v>
      </c>
      <c r="C1023" s="52" t="n">
        <v>2040</v>
      </c>
      <c r="D1023" t="s">
        <v>212</v>
      </c>
      <c r="E1023" s="53" t="n">
        <v>36005.0280976501</v>
      </c>
      <c r="F1023" s="54" t="n">
        <v>3029.58576825635</v>
      </c>
      <c r="G1023" s="55" t="n">
        <v>3069.25189350158</v>
      </c>
      <c r="H1023" s="56" t="str">
        <f>G1023-F1023</f>
      </c>
      <c r="I1023" s="57" t="n">
        <v>36005.0280863419</v>
      </c>
      <c r="J1023" s="58" t="str">
        <f>I1023-E1023</f>
      </c>
    </row>
    <row r="1024">
      <c r="A1024" t="s">
        <v>215</v>
      </c>
      <c r="B1024" t="s">
        <v>217</v>
      </c>
      <c r="C1024" s="52" t="n">
        <v>2041</v>
      </c>
      <c r="D1024" t="s">
        <v>190</v>
      </c>
      <c r="E1024" s="53" t="n">
        <v>20453.6336612312</v>
      </c>
      <c r="F1024" s="54" t="n">
        <v>14249.5392279775</v>
      </c>
      <c r="G1024" s="55" t="n">
        <v>14249.5364552167</v>
      </c>
      <c r="H1024" s="56" t="str">
        <f>G1024-F1024</f>
      </c>
      <c r="I1024" s="57" t="n">
        <v>20453.6267543422</v>
      </c>
      <c r="J1024" s="58" t="str">
        <f>I1024-E1024</f>
      </c>
    </row>
    <row r="1025">
      <c r="A1025" t="s">
        <v>215</v>
      </c>
      <c r="B1025" t="s">
        <v>217</v>
      </c>
      <c r="C1025" s="52" t="n">
        <v>2041</v>
      </c>
      <c r="D1025" t="s">
        <v>230</v>
      </c>
      <c r="E1025" s="53" t="n">
        <v>1226626.36982141</v>
      </c>
      <c r="F1025" s="54" t="n">
        <v>259677.212699617</v>
      </c>
      <c r="G1025" s="55" t="n">
        <v>259677.195752453</v>
      </c>
      <c r="H1025" s="56" t="str">
        <f>G1025-F1025</f>
      </c>
      <c r="I1025" s="57" t="n">
        <v>1226624.81076703</v>
      </c>
      <c r="J1025" s="58" t="str">
        <f>I1025-E1025</f>
      </c>
    </row>
    <row r="1026">
      <c r="A1026" t="s">
        <v>215</v>
      </c>
      <c r="B1026" t="s">
        <v>217</v>
      </c>
      <c r="C1026" s="52" t="n">
        <v>2041</v>
      </c>
      <c r="D1026" t="s">
        <v>166</v>
      </c>
      <c r="E1026" s="53" t="n">
        <v>132229.655605545</v>
      </c>
      <c r="F1026" s="54" t="n">
        <v>85532.3284628657</v>
      </c>
      <c r="G1026" s="55" t="n">
        <v>85532.3195906077</v>
      </c>
      <c r="H1026" s="56" t="str">
        <f>G1026-F1026</f>
      </c>
      <c r="I1026" s="57" t="n">
        <v>132229.629710176</v>
      </c>
      <c r="J1026" s="58" t="str">
        <f>I1026-E1026</f>
      </c>
    </row>
    <row r="1027">
      <c r="A1027" t="s">
        <v>215</v>
      </c>
      <c r="B1027" t="s">
        <v>217</v>
      </c>
      <c r="C1027" s="52" t="n">
        <v>2041</v>
      </c>
      <c r="D1027" t="s">
        <v>176</v>
      </c>
      <c r="E1027" s="53" t="n">
        <v>272611.877926948</v>
      </c>
      <c r="F1027" s="54" t="n">
        <v>257389.66615143</v>
      </c>
      <c r="G1027" s="55" t="n">
        <v>257389.631754286</v>
      </c>
      <c r="H1027" s="56" t="str">
        <f>G1027-F1027</f>
      </c>
      <c r="I1027" s="57" t="n">
        <v>272611.753671291</v>
      </c>
      <c r="J1027" s="58" t="str">
        <f>I1027-E1027</f>
      </c>
    </row>
    <row r="1028">
      <c r="A1028" t="s">
        <v>215</v>
      </c>
      <c r="B1028" t="s">
        <v>217</v>
      </c>
      <c r="C1028" s="52" t="n">
        <v>2041</v>
      </c>
      <c r="D1028" t="s">
        <v>180</v>
      </c>
      <c r="E1028" s="53" t="n">
        <v>734628.140964685</v>
      </c>
      <c r="F1028" s="54" t="n">
        <v>442324.362249376</v>
      </c>
      <c r="G1028" s="55" t="n">
        <v>442324.306406792</v>
      </c>
      <c r="H1028" s="56" t="str">
        <f>G1028-F1028</f>
      </c>
      <c r="I1028" s="57" t="n">
        <v>734627.740075405</v>
      </c>
      <c r="J1028" s="58" t="str">
        <f>I1028-E1028</f>
      </c>
    </row>
    <row r="1029">
      <c r="A1029" t="s">
        <v>215</v>
      </c>
      <c r="B1029" t="s">
        <v>217</v>
      </c>
      <c r="C1029" s="52" t="n">
        <v>2041</v>
      </c>
      <c r="D1029" t="s">
        <v>184</v>
      </c>
      <c r="E1029" s="53" t="n">
        <v>370437.118703323</v>
      </c>
      <c r="F1029" s="54" t="n">
        <v>195926.912171702</v>
      </c>
      <c r="G1029" s="55" t="n">
        <v>195926.907201396</v>
      </c>
      <c r="H1029" s="56" t="str">
        <f>G1029-F1029</f>
      </c>
      <c r="I1029" s="57" t="n">
        <v>370436.975606793</v>
      </c>
      <c r="J1029" s="58" t="str">
        <f>I1029-E1029</f>
      </c>
    </row>
    <row r="1030">
      <c r="A1030" t="s">
        <v>215</v>
      </c>
      <c r="B1030" t="s">
        <v>217</v>
      </c>
      <c r="C1030" s="52" t="n">
        <v>2041</v>
      </c>
      <c r="D1030" t="s">
        <v>212</v>
      </c>
      <c r="E1030" s="53" t="n">
        <v>35900.765065844</v>
      </c>
      <c r="F1030" s="54" t="n">
        <v>2903.44336011439</v>
      </c>
      <c r="G1030" s="55" t="n">
        <v>2944.01552271229</v>
      </c>
      <c r="H1030" s="56" t="str">
        <f>G1030-F1030</f>
      </c>
      <c r="I1030" s="57" t="n">
        <v>35900.7650540721</v>
      </c>
      <c r="J1030" s="58" t="str">
        <f>I1030-E1030</f>
      </c>
    </row>
    <row r="1031">
      <c r="A1031" t="s">
        <v>215</v>
      </c>
      <c r="B1031" t="s">
        <v>217</v>
      </c>
      <c r="C1031" s="52" t="n">
        <v>2042</v>
      </c>
      <c r="D1031" t="s">
        <v>190</v>
      </c>
      <c r="E1031" s="53" t="n">
        <v>21115.5894401698</v>
      </c>
      <c r="F1031" s="54" t="n">
        <v>14626.3222882478</v>
      </c>
      <c r="G1031" s="55" t="n">
        <v>14626.3190066004</v>
      </c>
      <c r="H1031" s="56" t="str">
        <f>G1031-F1031</f>
      </c>
      <c r="I1031" s="57" t="n">
        <v>21115.5817026885</v>
      </c>
      <c r="J1031" s="58" t="str">
        <f>I1031-E1031</f>
      </c>
    </row>
    <row r="1032">
      <c r="A1032" t="s">
        <v>215</v>
      </c>
      <c r="B1032" t="s">
        <v>217</v>
      </c>
      <c r="C1032" s="52" t="n">
        <v>2042</v>
      </c>
      <c r="D1032" t="s">
        <v>230</v>
      </c>
      <c r="E1032" s="53" t="n">
        <v>1235705.49474756</v>
      </c>
      <c r="F1032" s="54" t="n">
        <v>267778.75365556</v>
      </c>
      <c r="G1032" s="55" t="n">
        <v>267778.732534162</v>
      </c>
      <c r="H1032" s="56" t="str">
        <f>G1032-F1032</f>
      </c>
      <c r="I1032" s="57" t="n">
        <v>1235703.75022274</v>
      </c>
      <c r="J1032" s="58" t="str">
        <f>I1032-E1032</f>
      </c>
    </row>
    <row r="1033">
      <c r="A1033" t="s">
        <v>215</v>
      </c>
      <c r="B1033" t="s">
        <v>217</v>
      </c>
      <c r="C1033" s="52" t="n">
        <v>2042</v>
      </c>
      <c r="D1033" t="s">
        <v>166</v>
      </c>
      <c r="E1033" s="53" t="n">
        <v>134351.655192062</v>
      </c>
      <c r="F1033" s="54" t="n">
        <v>86657.3239109674</v>
      </c>
      <c r="G1033" s="55" t="n">
        <v>86657.3132213297</v>
      </c>
      <c r="H1033" s="56" t="str">
        <f>G1033-F1033</f>
      </c>
      <c r="I1033" s="57" t="n">
        <v>134351.626048708</v>
      </c>
      <c r="J1033" s="58" t="str">
        <f>I1033-E1033</f>
      </c>
    </row>
    <row r="1034">
      <c r="A1034" t="s">
        <v>215</v>
      </c>
      <c r="B1034" t="s">
        <v>217</v>
      </c>
      <c r="C1034" s="52" t="n">
        <v>2042</v>
      </c>
      <c r="D1034" t="s">
        <v>176</v>
      </c>
      <c r="E1034" s="53" t="n">
        <v>272280.796433457</v>
      </c>
      <c r="F1034" s="54" t="n">
        <v>257198.391420039</v>
      </c>
      <c r="G1034" s="55" t="n">
        <v>257198.349756019</v>
      </c>
      <c r="H1034" s="56" t="str">
        <f>G1034-F1034</f>
      </c>
      <c r="I1034" s="57" t="n">
        <v>272280.658720601</v>
      </c>
      <c r="J1034" s="58" t="str">
        <f>I1034-E1034</f>
      </c>
    </row>
    <row r="1035">
      <c r="A1035" t="s">
        <v>215</v>
      </c>
      <c r="B1035" t="s">
        <v>217</v>
      </c>
      <c r="C1035" s="52" t="n">
        <v>2042</v>
      </c>
      <c r="D1035" t="s">
        <v>180</v>
      </c>
      <c r="E1035" s="53" t="n">
        <v>744313.717072763</v>
      </c>
      <c r="F1035" s="54" t="n">
        <v>449601.328947347</v>
      </c>
      <c r="G1035" s="55" t="n">
        <v>449601.261227495</v>
      </c>
      <c r="H1035" s="56" t="str">
        <f>G1035-F1035</f>
      </c>
      <c r="I1035" s="57" t="n">
        <v>744313.272667757</v>
      </c>
      <c r="J1035" s="58" t="str">
        <f>I1035-E1035</f>
      </c>
    </row>
    <row r="1036">
      <c r="A1036" t="s">
        <v>215</v>
      </c>
      <c r="B1036" t="s">
        <v>217</v>
      </c>
      <c r="C1036" s="52" t="n">
        <v>2042</v>
      </c>
      <c r="D1036" t="s">
        <v>184</v>
      </c>
      <c r="E1036" s="53" t="n">
        <v>374419.420838383</v>
      </c>
      <c r="F1036" s="54" t="n">
        <v>198082.820261158</v>
      </c>
      <c r="G1036" s="55" t="n">
        <v>198082.814103714</v>
      </c>
      <c r="H1036" s="56" t="str">
        <f>G1036-F1036</f>
      </c>
      <c r="I1036" s="57" t="n">
        <v>374419.262045636</v>
      </c>
      <c r="J1036" s="58" t="str">
        <f>I1036-E1036</f>
      </c>
    </row>
    <row r="1037">
      <c r="A1037" t="s">
        <v>215</v>
      </c>
      <c r="B1037" t="s">
        <v>217</v>
      </c>
      <c r="C1037" s="52" t="n">
        <v>2042</v>
      </c>
      <c r="D1037" t="s">
        <v>212</v>
      </c>
      <c r="E1037" s="53" t="n">
        <v>35516.8406056707</v>
      </c>
      <c r="F1037" s="54" t="n">
        <v>2779.06761427916</v>
      </c>
      <c r="G1037" s="55" t="n">
        <v>2820.51221264468</v>
      </c>
      <c r="H1037" s="56" t="str">
        <f>G1037-F1037</f>
      </c>
      <c r="I1037" s="57" t="n">
        <v>35516.8405935332</v>
      </c>
      <c r="J1037" s="58" t="str">
        <f>I1037-E1037</f>
      </c>
    </row>
    <row r="1038">
      <c r="A1038" t="s">
        <v>215</v>
      </c>
      <c r="B1038" t="s">
        <v>217</v>
      </c>
      <c r="C1038" s="52" t="n">
        <v>2043</v>
      </c>
      <c r="D1038" t="s">
        <v>190</v>
      </c>
      <c r="E1038" s="53" t="n">
        <v>21789.134267154</v>
      </c>
      <c r="F1038" s="54" t="n">
        <v>15004.0899566587</v>
      </c>
      <c r="G1038" s="55" t="n">
        <v>15004.0861158129</v>
      </c>
      <c r="H1038" s="56" t="str">
        <f>G1038-F1038</f>
      </c>
      <c r="I1038" s="57" t="n">
        <v>21789.1256560335</v>
      </c>
      <c r="J1038" s="58" t="str">
        <f>I1038-E1038</f>
      </c>
    </row>
    <row r="1039">
      <c r="A1039" t="s">
        <v>215</v>
      </c>
      <c r="B1039" t="s">
        <v>217</v>
      </c>
      <c r="C1039" s="52" t="n">
        <v>2043</v>
      </c>
      <c r="D1039" t="s">
        <v>230</v>
      </c>
      <c r="E1039" s="53" t="n">
        <v>1244248.44900023</v>
      </c>
      <c r="F1039" s="54" t="n">
        <v>275877.021565015</v>
      </c>
      <c r="G1039" s="55" t="n">
        <v>275876.995486318</v>
      </c>
      <c r="H1039" s="56" t="str">
        <f>G1039-F1039</f>
      </c>
      <c r="I1039" s="57" t="n">
        <v>1244246.51153606</v>
      </c>
      <c r="J1039" s="58" t="str">
        <f>I1039-E1039</f>
      </c>
    </row>
    <row r="1040">
      <c r="A1040" t="s">
        <v>215</v>
      </c>
      <c r="B1040" t="s">
        <v>217</v>
      </c>
      <c r="C1040" s="52" t="n">
        <v>2043</v>
      </c>
      <c r="D1040" t="s">
        <v>166</v>
      </c>
      <c r="E1040" s="53" t="n">
        <v>136602.007281528</v>
      </c>
      <c r="F1040" s="54" t="n">
        <v>87779.0471258565</v>
      </c>
      <c r="G1040" s="55" t="n">
        <v>87779.034425801</v>
      </c>
      <c r="H1040" s="56" t="str">
        <f>G1040-F1040</f>
      </c>
      <c r="I1040" s="57" t="n">
        <v>136601.974960575</v>
      </c>
      <c r="J1040" s="58" t="str">
        <f>I1040-E1040</f>
      </c>
    </row>
    <row r="1041">
      <c r="A1041" t="s">
        <v>215</v>
      </c>
      <c r="B1041" t="s">
        <v>217</v>
      </c>
      <c r="C1041" s="52" t="n">
        <v>2043</v>
      </c>
      <c r="D1041" t="s">
        <v>176</v>
      </c>
      <c r="E1041" s="53" t="n">
        <v>271689.944505011</v>
      </c>
      <c r="F1041" s="54" t="n">
        <v>256777.636888588</v>
      </c>
      <c r="G1041" s="55" t="n">
        <v>256777.587157068</v>
      </c>
      <c r="H1041" s="56" t="str">
        <f>G1041-F1041</f>
      </c>
      <c r="I1041" s="57" t="n">
        <v>271689.794226751</v>
      </c>
      <c r="J1041" s="58" t="str">
        <f>I1041-E1041</f>
      </c>
    </row>
    <row r="1042">
      <c r="A1042" t="s">
        <v>215</v>
      </c>
      <c r="B1042" t="s">
        <v>217</v>
      </c>
      <c r="C1042" s="52" t="n">
        <v>2043</v>
      </c>
      <c r="D1042" t="s">
        <v>180</v>
      </c>
      <c r="E1042" s="53" t="n">
        <v>754371.377695095</v>
      </c>
      <c r="F1042" s="54" t="n">
        <v>456915.802993423</v>
      </c>
      <c r="G1042" s="55" t="n">
        <v>456915.722046172</v>
      </c>
      <c r="H1042" s="56" t="str">
        <f>G1042-F1042</f>
      </c>
      <c r="I1042" s="57" t="n">
        <v>754370.892413502</v>
      </c>
      <c r="J1042" s="58" t="str">
        <f>I1042-E1042</f>
      </c>
    </row>
    <row r="1043">
      <c r="A1043" t="s">
        <v>215</v>
      </c>
      <c r="B1043" t="s">
        <v>217</v>
      </c>
      <c r="C1043" s="52" t="n">
        <v>2043</v>
      </c>
      <c r="D1043" t="s">
        <v>184</v>
      </c>
      <c r="E1043" s="53" t="n">
        <v>378766.707981235</v>
      </c>
      <c r="F1043" s="54" t="n">
        <v>200204.281759716</v>
      </c>
      <c r="G1043" s="55" t="n">
        <v>200204.274251736</v>
      </c>
      <c r="H1043" s="56" t="str">
        <f>G1043-F1043</f>
      </c>
      <c r="I1043" s="57" t="n">
        <v>378766.534515357</v>
      </c>
      <c r="J1043" s="58" t="str">
        <f>I1043-E1043</f>
      </c>
    </row>
    <row r="1044">
      <c r="A1044" t="s">
        <v>215</v>
      </c>
      <c r="B1044" t="s">
        <v>217</v>
      </c>
      <c r="C1044" s="52" t="n">
        <v>2043</v>
      </c>
      <c r="D1044" t="s">
        <v>212</v>
      </c>
      <c r="E1044" s="53" t="n">
        <v>35328.7732155785</v>
      </c>
      <c r="F1044" s="54" t="n">
        <v>2656.03871269193</v>
      </c>
      <c r="G1044" s="55" t="n">
        <v>2698.33092960504</v>
      </c>
      <c r="H1044" s="56" t="str">
        <f>G1044-F1044</f>
      </c>
      <c r="I1044" s="57" t="n">
        <v>35328.7732033082</v>
      </c>
      <c r="J1044" s="58" t="str">
        <f>I1044-E1044</f>
      </c>
    </row>
    <row r="1045">
      <c r="A1045" t="s">
        <v>215</v>
      </c>
      <c r="B1045" t="s">
        <v>217</v>
      </c>
      <c r="C1045" s="52" t="n">
        <v>2044</v>
      </c>
      <c r="D1045" t="s">
        <v>190</v>
      </c>
      <c r="E1045" s="53" t="n">
        <v>22472.4153076108</v>
      </c>
      <c r="F1045" s="54" t="n">
        <v>15388.6427127577</v>
      </c>
      <c r="G1045" s="55" t="n">
        <v>15388.6382618872</v>
      </c>
      <c r="H1045" s="56" t="str">
        <f>G1045-F1045</f>
      </c>
      <c r="I1045" s="57" t="n">
        <v>22472.4057787798</v>
      </c>
      <c r="J1045" s="58" t="str">
        <f>I1045-E1045</f>
      </c>
    </row>
    <row r="1046">
      <c r="A1046" t="s">
        <v>215</v>
      </c>
      <c r="B1046" t="s">
        <v>217</v>
      </c>
      <c r="C1046" s="52" t="n">
        <v>2044</v>
      </c>
      <c r="D1046" t="s">
        <v>230</v>
      </c>
      <c r="E1046" s="53" t="n">
        <v>1252521.89583216</v>
      </c>
      <c r="F1046" s="54" t="n">
        <v>283902.082328014</v>
      </c>
      <c r="G1046" s="55" t="n">
        <v>283902.050416871</v>
      </c>
      <c r="H1046" s="56" t="str">
        <f>G1046-F1046</f>
      </c>
      <c r="I1046" s="57" t="n">
        <v>1252519.7576167</v>
      </c>
      <c r="J1046" s="58" t="str">
        <f>I1046-E1046</f>
      </c>
    </row>
    <row r="1047">
      <c r="A1047" t="s">
        <v>215</v>
      </c>
      <c r="B1047" t="s">
        <v>217</v>
      </c>
      <c r="C1047" s="52" t="n">
        <v>2044</v>
      </c>
      <c r="D1047" t="s">
        <v>166</v>
      </c>
      <c r="E1047" s="53" t="n">
        <v>138127.847318699</v>
      </c>
      <c r="F1047" s="54" t="n">
        <v>88912.4613111944</v>
      </c>
      <c r="G1047" s="55" t="n">
        <v>88912.4462868978</v>
      </c>
      <c r="H1047" s="56" t="str">
        <f>G1047-F1047</f>
      </c>
      <c r="I1047" s="57" t="n">
        <v>138127.807492249</v>
      </c>
      <c r="J1047" s="58" t="str">
        <f>I1047-E1047</f>
      </c>
    </row>
    <row r="1048">
      <c r="A1048" t="s">
        <v>215</v>
      </c>
      <c r="B1048" t="s">
        <v>217</v>
      </c>
      <c r="C1048" s="52" t="n">
        <v>2044</v>
      </c>
      <c r="D1048" t="s">
        <v>176</v>
      </c>
      <c r="E1048" s="53" t="n">
        <v>270981.240897732</v>
      </c>
      <c r="F1048" s="54" t="n">
        <v>256436.458719037</v>
      </c>
      <c r="G1048" s="55" t="n">
        <v>256436.399818879</v>
      </c>
      <c r="H1048" s="56" t="str">
        <f>G1048-F1048</f>
      </c>
      <c r="I1048" s="57" t="n">
        <v>270981.060601887</v>
      </c>
      <c r="J1048" s="58" t="str">
        <f>I1048-E1048</f>
      </c>
    </row>
    <row r="1049">
      <c r="A1049" t="s">
        <v>215</v>
      </c>
      <c r="B1049" t="s">
        <v>217</v>
      </c>
      <c r="C1049" s="52" t="n">
        <v>2044</v>
      </c>
      <c r="D1049" t="s">
        <v>180</v>
      </c>
      <c r="E1049" s="53" t="n">
        <v>760752.130951808</v>
      </c>
      <c r="F1049" s="54" t="n">
        <v>464236.719765588</v>
      </c>
      <c r="G1049" s="55" t="n">
        <v>464236.623828497</v>
      </c>
      <c r="H1049" s="56" t="str">
        <f>G1049-F1049</f>
      </c>
      <c r="I1049" s="57" t="n">
        <v>760751.529161819</v>
      </c>
      <c r="J1049" s="58" t="str">
        <f>I1049-E1049</f>
      </c>
    </row>
    <row r="1050">
      <c r="A1050" t="s">
        <v>215</v>
      </c>
      <c r="B1050" t="s">
        <v>217</v>
      </c>
      <c r="C1050" s="52" t="n">
        <v>2044</v>
      </c>
      <c r="D1050" t="s">
        <v>184</v>
      </c>
      <c r="E1050" s="53" t="n">
        <v>380754.737539755</v>
      </c>
      <c r="F1050" s="54" t="n">
        <v>202762.444514065</v>
      </c>
      <c r="G1050" s="55" t="n">
        <v>202762.435405402</v>
      </c>
      <c r="H1050" s="56" t="str">
        <f>G1050-F1050</f>
      </c>
      <c r="I1050" s="57" t="n">
        <v>380754.514374576</v>
      </c>
      <c r="J1050" s="58" t="str">
        <f>I1050-E1050</f>
      </c>
    </row>
    <row r="1051">
      <c r="A1051" t="s">
        <v>215</v>
      </c>
      <c r="B1051" t="s">
        <v>217</v>
      </c>
      <c r="C1051" s="52" t="n">
        <v>2044</v>
      </c>
      <c r="D1051" t="s">
        <v>212</v>
      </c>
      <c r="E1051" s="53" t="n">
        <v>35046.7052224641</v>
      </c>
      <c r="F1051" s="54" t="n">
        <v>2530.90395427539</v>
      </c>
      <c r="G1051" s="55" t="n">
        <v>2573.79262430521</v>
      </c>
      <c r="H1051" s="56" t="str">
        <f>G1051-F1051</f>
      </c>
      <c r="I1051" s="57" t="n">
        <v>35046.7052079593</v>
      </c>
      <c r="J1051" s="58" t="str">
        <f>I1051-E1051</f>
      </c>
    </row>
    <row r="1052">
      <c r="A1052" t="s">
        <v>215</v>
      </c>
      <c r="B1052" t="s">
        <v>217</v>
      </c>
      <c r="C1052" s="52" t="n">
        <v>2045</v>
      </c>
      <c r="D1052" t="s">
        <v>190</v>
      </c>
      <c r="E1052" s="53" t="n">
        <v>23166.9561644854</v>
      </c>
      <c r="F1052" s="54" t="n">
        <v>15771.7240339668</v>
      </c>
      <c r="G1052" s="55" t="n">
        <v>15771.7189092791</v>
      </c>
      <c r="H1052" s="56" t="str">
        <f>G1052-F1052</f>
      </c>
      <c r="I1052" s="57" t="n">
        <v>23166.9456880515</v>
      </c>
      <c r="J1052" s="58" t="str">
        <f>I1052-E1052</f>
      </c>
    </row>
    <row r="1053">
      <c r="A1053" t="s">
        <v>215</v>
      </c>
      <c r="B1053" t="s">
        <v>217</v>
      </c>
      <c r="C1053" s="52" t="n">
        <v>2045</v>
      </c>
      <c r="D1053" t="s">
        <v>230</v>
      </c>
      <c r="E1053" s="53" t="n">
        <v>1260595.33887752</v>
      </c>
      <c r="F1053" s="54" t="n">
        <v>291822.066232817</v>
      </c>
      <c r="G1053" s="55" t="n">
        <v>291822.027540257</v>
      </c>
      <c r="H1053" s="56" t="str">
        <f>G1053-F1053</f>
      </c>
      <c r="I1053" s="57" t="n">
        <v>1260592.98702146</v>
      </c>
      <c r="J1053" s="58" t="str">
        <f>I1053-E1053</f>
      </c>
    </row>
    <row r="1054">
      <c r="A1054" t="s">
        <v>215</v>
      </c>
      <c r="B1054" t="s">
        <v>217</v>
      </c>
      <c r="C1054" s="52" t="n">
        <v>2045</v>
      </c>
      <c r="D1054" t="s">
        <v>166</v>
      </c>
      <c r="E1054" s="53" t="n">
        <v>140172.819029841</v>
      </c>
      <c r="F1054" s="54" t="n">
        <v>90041.6222865629</v>
      </c>
      <c r="G1054" s="55" t="n">
        <v>90041.6045905888</v>
      </c>
      <c r="H1054" s="56" t="str">
        <f>G1054-F1054</f>
      </c>
      <c r="I1054" s="57" t="n">
        <v>140172.774815525</v>
      </c>
      <c r="J1054" s="58" t="str">
        <f>I1054-E1054</f>
      </c>
    </row>
    <row r="1055">
      <c r="A1055" t="s">
        <v>215</v>
      </c>
      <c r="B1055" t="s">
        <v>217</v>
      </c>
      <c r="C1055" s="52" t="n">
        <v>2045</v>
      </c>
      <c r="D1055" t="s">
        <v>176</v>
      </c>
      <c r="E1055" s="53" t="n">
        <v>270438.79909425</v>
      </c>
      <c r="F1055" s="54" t="n">
        <v>255976.97759256</v>
      </c>
      <c r="G1055" s="55" t="n">
        <v>255976.908113305</v>
      </c>
      <c r="H1055" s="56" t="str">
        <f>G1055-F1055</f>
      </c>
      <c r="I1055" s="57" t="n">
        <v>270438.603152282</v>
      </c>
      <c r="J1055" s="58" t="str">
        <f>I1055-E1055</f>
      </c>
    </row>
    <row r="1056">
      <c r="A1056" t="s">
        <v>215</v>
      </c>
      <c r="B1056" t="s">
        <v>217</v>
      </c>
      <c r="C1056" s="52" t="n">
        <v>2045</v>
      </c>
      <c r="D1056" t="s">
        <v>180</v>
      </c>
      <c r="E1056" s="53" t="n">
        <v>769314.457806725</v>
      </c>
      <c r="F1056" s="54" t="n">
        <v>470920.407872873</v>
      </c>
      <c r="G1056" s="55" t="n">
        <v>470920.29436777</v>
      </c>
      <c r="H1056" s="56" t="str">
        <f>G1056-F1056</f>
      </c>
      <c r="I1056" s="57" t="n">
        <v>769313.803212411</v>
      </c>
      <c r="J1056" s="58" t="str">
        <f>I1056-E1056</f>
      </c>
    </row>
    <row r="1057">
      <c r="A1057" t="s">
        <v>215</v>
      </c>
      <c r="B1057" t="s">
        <v>217</v>
      </c>
      <c r="C1057" s="52" t="n">
        <v>2045</v>
      </c>
      <c r="D1057" t="s">
        <v>184</v>
      </c>
      <c r="E1057" s="53" t="n">
        <v>383936.43564263</v>
      </c>
      <c r="F1057" s="54" t="n">
        <v>204869.339986543</v>
      </c>
      <c r="G1057" s="55" t="n">
        <v>204869.328897989</v>
      </c>
      <c r="H1057" s="56" t="str">
        <f>G1057-F1057</f>
      </c>
      <c r="I1057" s="57" t="n">
        <v>383936.192524615</v>
      </c>
      <c r="J1057" s="58" t="str">
        <f>I1057-E1057</f>
      </c>
    </row>
    <row r="1058">
      <c r="A1058" t="s">
        <v>215</v>
      </c>
      <c r="B1058" t="s">
        <v>217</v>
      </c>
      <c r="C1058" s="52" t="n">
        <v>2045</v>
      </c>
      <c r="D1058" t="s">
        <v>212</v>
      </c>
      <c r="E1058" s="53" t="n">
        <v>34846.7151710067</v>
      </c>
      <c r="F1058" s="54" t="n">
        <v>2409.28098957073</v>
      </c>
      <c r="G1058" s="55" t="n">
        <v>2452.74707379338</v>
      </c>
      <c r="H1058" s="56" t="str">
        <f>G1058-F1058</f>
      </c>
      <c r="I1058" s="57" t="n">
        <v>34846.7151562227</v>
      </c>
      <c r="J1058" s="58" t="str">
        <f>I1058-E1058</f>
      </c>
    </row>
    <row r="1059">
      <c r="A1059" t="s">
        <v>215</v>
      </c>
      <c r="B1059" t="s">
        <v>217</v>
      </c>
      <c r="C1059" s="52" t="n">
        <v>2046</v>
      </c>
      <c r="D1059" t="s">
        <v>190</v>
      </c>
      <c r="E1059" s="53" t="n">
        <v>23868.2294068864</v>
      </c>
      <c r="F1059" s="54" t="n">
        <v>16165.2963922896</v>
      </c>
      <c r="G1059" s="55" t="n">
        <v>16165.2905403234</v>
      </c>
      <c r="H1059" s="56" t="str">
        <f>G1059-F1059</f>
      </c>
      <c r="I1059" s="57" t="n">
        <v>23868.2179440388</v>
      </c>
      <c r="J1059" s="58" t="str">
        <f>I1059-E1059</f>
      </c>
    </row>
    <row r="1060">
      <c r="A1060" t="s">
        <v>215</v>
      </c>
      <c r="B1060" t="s">
        <v>217</v>
      </c>
      <c r="C1060" s="52" t="n">
        <v>2046</v>
      </c>
      <c r="D1060" t="s">
        <v>230</v>
      </c>
      <c r="E1060" s="53" t="n">
        <v>1268478.53081991</v>
      </c>
      <c r="F1060" s="54" t="n">
        <v>299596.975233586</v>
      </c>
      <c r="G1060" s="55" t="n">
        <v>299596.928666138</v>
      </c>
      <c r="H1060" s="56" t="str">
        <f>G1060-F1060</f>
      </c>
      <c r="I1060" s="57" t="n">
        <v>1268475.95633212</v>
      </c>
      <c r="J1060" s="58" t="str">
        <f>I1060-E1060</f>
      </c>
    </row>
    <row r="1061">
      <c r="A1061" t="s">
        <v>215</v>
      </c>
      <c r="B1061" t="s">
        <v>217</v>
      </c>
      <c r="C1061" s="52" t="n">
        <v>2046</v>
      </c>
      <c r="D1061" t="s">
        <v>166</v>
      </c>
      <c r="E1061" s="53" t="n">
        <v>142194.102822621</v>
      </c>
      <c r="F1061" s="54" t="n">
        <v>91198.9115700697</v>
      </c>
      <c r="G1061" s="55" t="n">
        <v>91198.8909425984</v>
      </c>
      <c r="H1061" s="56" t="str">
        <f>G1061-F1061</f>
      </c>
      <c r="I1061" s="57" t="n">
        <v>142194.053650607</v>
      </c>
      <c r="J1061" s="58" t="str">
        <f>I1061-E1061</f>
      </c>
    </row>
    <row r="1062">
      <c r="A1062" t="s">
        <v>215</v>
      </c>
      <c r="B1062" t="s">
        <v>217</v>
      </c>
      <c r="C1062" s="52" t="n">
        <v>2046</v>
      </c>
      <c r="D1062" t="s">
        <v>176</v>
      </c>
      <c r="E1062" s="53" t="n">
        <v>269923.464396622</v>
      </c>
      <c r="F1062" s="54" t="n">
        <v>255431.242450489</v>
      </c>
      <c r="G1062" s="55" t="n">
        <v>255431.161412817</v>
      </c>
      <c r="H1062" s="56" t="str">
        <f>G1062-F1062</f>
      </c>
      <c r="I1062" s="57" t="n">
        <v>269923.251682947</v>
      </c>
      <c r="J1062" s="58" t="str">
        <f>I1062-E1062</f>
      </c>
    </row>
    <row r="1063">
      <c r="A1063" t="s">
        <v>215</v>
      </c>
      <c r="B1063" t="s">
        <v>217</v>
      </c>
      <c r="C1063" s="52" t="n">
        <v>2046</v>
      </c>
      <c r="D1063" t="s">
        <v>180</v>
      </c>
      <c r="E1063" s="53" t="n">
        <v>778096.553584584</v>
      </c>
      <c r="F1063" s="54" t="n">
        <v>477829.064511993</v>
      </c>
      <c r="G1063" s="55" t="n">
        <v>477828.931731945</v>
      </c>
      <c r="H1063" s="56" t="str">
        <f>G1063-F1063</f>
      </c>
      <c r="I1063" s="57" t="n">
        <v>778095.842672562</v>
      </c>
      <c r="J1063" s="58" t="str">
        <f>I1063-E1063</f>
      </c>
    </row>
    <row r="1064">
      <c r="A1064" t="s">
        <v>215</v>
      </c>
      <c r="B1064" t="s">
        <v>217</v>
      </c>
      <c r="C1064" s="52" t="n">
        <v>2046</v>
      </c>
      <c r="D1064" t="s">
        <v>184</v>
      </c>
      <c r="E1064" s="53" t="n">
        <v>387151.691741898</v>
      </c>
      <c r="F1064" s="54" t="n">
        <v>207048.958620032</v>
      </c>
      <c r="G1064" s="55" t="n">
        <v>207048.945254603</v>
      </c>
      <c r="H1064" s="56" t="str">
        <f>G1064-F1064</f>
      </c>
      <c r="I1064" s="57" t="n">
        <v>387151.427044792</v>
      </c>
      <c r="J1064" s="58" t="str">
        <f>I1064-E1064</f>
      </c>
    </row>
    <row r="1065">
      <c r="A1065" t="s">
        <v>215</v>
      </c>
      <c r="B1065" t="s">
        <v>217</v>
      </c>
      <c r="C1065" s="52" t="n">
        <v>2046</v>
      </c>
      <c r="D1065" t="s">
        <v>212</v>
      </c>
      <c r="E1065" s="53" t="n">
        <v>34688.2967818657</v>
      </c>
      <c r="F1065" s="54" t="n">
        <v>2292.05841849861</v>
      </c>
      <c r="G1065" s="55" t="n">
        <v>2335.67260927364</v>
      </c>
      <c r="H1065" s="56" t="str">
        <f>G1065-F1065</f>
      </c>
      <c r="I1065" s="57" t="n">
        <v>34688.296767041</v>
      </c>
      <c r="J1065" s="58" t="str">
        <f>I1065-E1065</f>
      </c>
    </row>
    <row r="1066">
      <c r="A1066" t="s">
        <v>215</v>
      </c>
      <c r="B1066" t="s">
        <v>217</v>
      </c>
      <c r="C1066" s="52" t="n">
        <v>2047</v>
      </c>
      <c r="D1066" t="s">
        <v>190</v>
      </c>
      <c r="E1066" s="53" t="n">
        <v>24575.6976118648</v>
      </c>
      <c r="F1066" s="54" t="n">
        <v>16568.5814649064</v>
      </c>
      <c r="G1066" s="55" t="n">
        <v>16568.5748299244</v>
      </c>
      <c r="H1066" s="56" t="str">
        <f>G1066-F1066</f>
      </c>
      <c r="I1066" s="57" t="n">
        <v>24575.6851293632</v>
      </c>
      <c r="J1066" s="58" t="str">
        <f>I1066-E1066</f>
      </c>
    </row>
    <row r="1067">
      <c r="A1067" t="s">
        <v>215</v>
      </c>
      <c r="B1067" t="s">
        <v>217</v>
      </c>
      <c r="C1067" s="52" t="n">
        <v>2047</v>
      </c>
      <c r="D1067" t="s">
        <v>230</v>
      </c>
      <c r="E1067" s="53" t="n">
        <v>1276076.28815638</v>
      </c>
      <c r="F1067" s="54" t="n">
        <v>307176.064410981</v>
      </c>
      <c r="G1067" s="55" t="n">
        <v>307176.008738621</v>
      </c>
      <c r="H1067" s="56" t="str">
        <f>G1067-F1067</f>
      </c>
      <c r="I1067" s="57" t="n">
        <v>1276073.48469778</v>
      </c>
      <c r="J1067" s="58" t="str">
        <f>I1067-E1067</f>
      </c>
    </row>
    <row r="1068">
      <c r="A1068" t="s">
        <v>215</v>
      </c>
      <c r="B1068" t="s">
        <v>217</v>
      </c>
      <c r="C1068" s="52" t="n">
        <v>2047</v>
      </c>
      <c r="D1068" t="s">
        <v>166</v>
      </c>
      <c r="E1068" s="53" t="n">
        <v>144246.125225374</v>
      </c>
      <c r="F1068" s="54" t="n">
        <v>92333.9121247466</v>
      </c>
      <c r="G1068" s="55" t="n">
        <v>92333.8882911569</v>
      </c>
      <c r="H1068" s="56" t="str">
        <f>G1068-F1068</f>
      </c>
      <c r="I1068" s="57" t="n">
        <v>144246.070856709</v>
      </c>
      <c r="J1068" s="58" t="str">
        <f>I1068-E1068</f>
      </c>
    </row>
    <row r="1069">
      <c r="A1069" t="s">
        <v>215</v>
      </c>
      <c r="B1069" t="s">
        <v>217</v>
      </c>
      <c r="C1069" s="52" t="n">
        <v>2047</v>
      </c>
      <c r="D1069" t="s">
        <v>176</v>
      </c>
      <c r="E1069" s="53" t="n">
        <v>269145.960341633</v>
      </c>
      <c r="F1069" s="54" t="n">
        <v>254760.897281154</v>
      </c>
      <c r="G1069" s="55" t="n">
        <v>254760.803670819</v>
      </c>
      <c r="H1069" s="56" t="str">
        <f>G1069-F1069</f>
      </c>
      <c r="I1069" s="57" t="n">
        <v>269145.730668352</v>
      </c>
      <c r="J1069" s="58" t="str">
        <f>I1069-E1069</f>
      </c>
    </row>
    <row r="1070">
      <c r="A1070" t="s">
        <v>215</v>
      </c>
      <c r="B1070" t="s">
        <v>217</v>
      </c>
      <c r="C1070" s="52" t="n">
        <v>2047</v>
      </c>
      <c r="D1070" t="s">
        <v>180</v>
      </c>
      <c r="E1070" s="53" t="n">
        <v>786868.133561931</v>
      </c>
      <c r="F1070" s="54" t="n">
        <v>484667.323395839</v>
      </c>
      <c r="G1070" s="55" t="n">
        <v>484667.16956347</v>
      </c>
      <c r="H1070" s="56" t="str">
        <f>G1070-F1070</f>
      </c>
      <c r="I1070" s="57" t="n">
        <v>786867.366017657</v>
      </c>
      <c r="J1070" s="58" t="str">
        <f>I1070-E1070</f>
      </c>
    </row>
    <row r="1071">
      <c r="A1071" t="s">
        <v>215</v>
      </c>
      <c r="B1071" t="s">
        <v>217</v>
      </c>
      <c r="C1071" s="52" t="n">
        <v>2047</v>
      </c>
      <c r="D1071" t="s">
        <v>184</v>
      </c>
      <c r="E1071" s="53" t="n">
        <v>390597.863675294</v>
      </c>
      <c r="F1071" s="54" t="n">
        <v>209160.874890471</v>
      </c>
      <c r="G1071" s="55" t="n">
        <v>209160.858915749</v>
      </c>
      <c r="H1071" s="56" t="str">
        <f>G1071-F1071</f>
      </c>
      <c r="I1071" s="57" t="n">
        <v>390597.57749153</v>
      </c>
      <c r="J1071" s="58" t="str">
        <f>I1071-E1071</f>
      </c>
    </row>
    <row r="1072">
      <c r="A1072" t="s">
        <v>215</v>
      </c>
      <c r="B1072" t="s">
        <v>217</v>
      </c>
      <c r="C1072" s="52" t="n">
        <v>2047</v>
      </c>
      <c r="D1072" t="s">
        <v>212</v>
      </c>
      <c r="E1072" s="53" t="n">
        <v>34402.4543011574</v>
      </c>
      <c r="F1072" s="54" t="n">
        <v>2178.49436030112</v>
      </c>
      <c r="G1072" s="55" t="n">
        <v>2222.25178382332</v>
      </c>
      <c r="H1072" s="56" t="str">
        <f>G1072-F1072</f>
      </c>
      <c r="I1072" s="57" t="n">
        <v>34402.454286142</v>
      </c>
      <c r="J1072" s="58" t="str">
        <f>I1072-E1072</f>
      </c>
    </row>
    <row r="1073">
      <c r="A1073" t="s">
        <v>215</v>
      </c>
      <c r="B1073" t="s">
        <v>217</v>
      </c>
      <c r="C1073" s="52" t="n">
        <v>2048</v>
      </c>
      <c r="D1073" t="s">
        <v>190</v>
      </c>
      <c r="E1073" s="53" t="n">
        <v>25282.8800884984</v>
      </c>
      <c r="F1073" s="54" t="n">
        <v>16982.9746125541</v>
      </c>
      <c r="G1073" s="55" t="n">
        <v>16982.9671313776</v>
      </c>
      <c r="H1073" s="56" t="str">
        <f>G1073-F1073</f>
      </c>
      <c r="I1073" s="57" t="n">
        <v>25282.866550534</v>
      </c>
      <c r="J1073" s="58" t="str">
        <f>I1073-E1073</f>
      </c>
    </row>
    <row r="1074">
      <c r="A1074" t="s">
        <v>215</v>
      </c>
      <c r="B1074" t="s">
        <v>217</v>
      </c>
      <c r="C1074" s="52" t="n">
        <v>2048</v>
      </c>
      <c r="D1074" t="s">
        <v>230</v>
      </c>
      <c r="E1074" s="53" t="n">
        <v>1283470.79257036</v>
      </c>
      <c r="F1074" s="54" t="n">
        <v>314549.897828871</v>
      </c>
      <c r="G1074" s="55" t="n">
        <v>314549.83162808</v>
      </c>
      <c r="H1074" s="56" t="str">
        <f>G1074-F1074</f>
      </c>
      <c r="I1074" s="57" t="n">
        <v>1283467.75295342</v>
      </c>
      <c r="J1074" s="58" t="str">
        <f>I1074-E1074</f>
      </c>
    </row>
    <row r="1075">
      <c r="A1075" t="s">
        <v>215</v>
      </c>
      <c r="B1075" t="s">
        <v>217</v>
      </c>
      <c r="C1075" s="52" t="n">
        <v>2048</v>
      </c>
      <c r="D1075" t="s">
        <v>166</v>
      </c>
      <c r="E1075" s="53" t="n">
        <v>146413.912444307</v>
      </c>
      <c r="F1075" s="54" t="n">
        <v>93427.5345790856</v>
      </c>
      <c r="G1075" s="55" t="n">
        <v>93427.507277049</v>
      </c>
      <c r="H1075" s="56" t="str">
        <f>G1075-F1075</f>
      </c>
      <c r="I1075" s="57" t="n">
        <v>146413.853149174</v>
      </c>
      <c r="J1075" s="58" t="str">
        <f>I1075-E1075</f>
      </c>
    </row>
    <row r="1076">
      <c r="A1076" t="s">
        <v>215</v>
      </c>
      <c r="B1076" t="s">
        <v>217</v>
      </c>
      <c r="C1076" s="52" t="n">
        <v>2048</v>
      </c>
      <c r="D1076" t="s">
        <v>176</v>
      </c>
      <c r="E1076" s="53" t="n">
        <v>268085.692701763</v>
      </c>
      <c r="F1076" s="54" t="n">
        <v>253872.154553496</v>
      </c>
      <c r="G1076" s="55" t="n">
        <v>253872.047418824</v>
      </c>
      <c r="H1076" s="56" t="str">
        <f>G1076-F1076</f>
      </c>
      <c r="I1076" s="57" t="n">
        <v>268085.447945834</v>
      </c>
      <c r="J1076" s="58" t="str">
        <f>I1076-E1076</f>
      </c>
    </row>
    <row r="1077">
      <c r="A1077" t="s">
        <v>215</v>
      </c>
      <c r="B1077" t="s">
        <v>217</v>
      </c>
      <c r="C1077" s="52" t="n">
        <v>2048</v>
      </c>
      <c r="D1077" t="s">
        <v>180</v>
      </c>
      <c r="E1077" s="53" t="n">
        <v>795797.637289729</v>
      </c>
      <c r="F1077" s="54" t="n">
        <v>491307.88594609</v>
      </c>
      <c r="G1077" s="55" t="n">
        <v>491307.709328566</v>
      </c>
      <c r="H1077" s="56" t="str">
        <f>G1077-F1077</f>
      </c>
      <c r="I1077" s="57" t="n">
        <v>795796.819401734</v>
      </c>
      <c r="J1077" s="58" t="str">
        <f>I1077-E1077</f>
      </c>
    </row>
    <row r="1078">
      <c r="A1078" t="s">
        <v>215</v>
      </c>
      <c r="B1078" t="s">
        <v>217</v>
      </c>
      <c r="C1078" s="52" t="n">
        <v>2048</v>
      </c>
      <c r="D1078" t="s">
        <v>184</v>
      </c>
      <c r="E1078" s="53" t="n">
        <v>394306.538689026</v>
      </c>
      <c r="F1078" s="54" t="n">
        <v>211189.318356044</v>
      </c>
      <c r="G1078" s="55" t="n">
        <v>211189.299415093</v>
      </c>
      <c r="H1078" s="56" t="str">
        <f>G1078-F1078</f>
      </c>
      <c r="I1078" s="57" t="n">
        <v>394306.234009074</v>
      </c>
      <c r="J1078" s="58" t="str">
        <f>I1078-E1078</f>
      </c>
    </row>
    <row r="1079">
      <c r="A1079" t="s">
        <v>215</v>
      </c>
      <c r="B1079" t="s">
        <v>217</v>
      </c>
      <c r="C1079" s="52" t="n">
        <v>2048</v>
      </c>
      <c r="D1079" t="s">
        <v>212</v>
      </c>
      <c r="E1079" s="53" t="n">
        <v>34278.8635121449</v>
      </c>
      <c r="F1079" s="54" t="n">
        <v>2068.73852182152</v>
      </c>
      <c r="G1079" s="55" t="n">
        <v>2112.66174533725</v>
      </c>
      <c r="H1079" s="56" t="str">
        <f>G1079-F1079</f>
      </c>
      <c r="I1079" s="57" t="n">
        <v>34278.8634968121</v>
      </c>
      <c r="J1079" s="58" t="str">
        <f>I1079-E1079</f>
      </c>
    </row>
    <row r="1080">
      <c r="A1080" t="s">
        <v>215</v>
      </c>
      <c r="B1080" t="s">
        <v>217</v>
      </c>
      <c r="C1080" s="52" t="n">
        <v>2049</v>
      </c>
      <c r="D1080" t="s">
        <v>190</v>
      </c>
      <c r="E1080" s="53" t="n">
        <v>25986.5520241556</v>
      </c>
      <c r="F1080" s="54" t="n">
        <v>17406.667500913</v>
      </c>
      <c r="G1080" s="55" t="n">
        <v>17406.6591140935</v>
      </c>
      <c r="H1080" s="56" t="str">
        <f>G1080-F1080</f>
      </c>
      <c r="I1080" s="57" t="n">
        <v>25986.5373789525</v>
      </c>
      <c r="J1080" s="58" t="str">
        <f>I1080-E1080</f>
      </c>
    </row>
    <row r="1081">
      <c r="A1081" t="s">
        <v>215</v>
      </c>
      <c r="B1081" t="s">
        <v>217</v>
      </c>
      <c r="C1081" s="52" t="n">
        <v>2049</v>
      </c>
      <c r="D1081" t="s">
        <v>230</v>
      </c>
      <c r="E1081" s="53" t="n">
        <v>1290690.81565146</v>
      </c>
      <c r="F1081" s="54" t="n">
        <v>321740.579428682</v>
      </c>
      <c r="G1081" s="55" t="n">
        <v>321740.501148806</v>
      </c>
      <c r="H1081" s="56" t="str">
        <f>G1081-F1081</f>
      </c>
      <c r="I1081" s="57" t="n">
        <v>1290687.53512959</v>
      </c>
      <c r="J1081" s="58" t="str">
        <f>I1081-E1081</f>
      </c>
    </row>
    <row r="1082">
      <c r="A1082" t="s">
        <v>215</v>
      </c>
      <c r="B1082" t="s">
        <v>217</v>
      </c>
      <c r="C1082" s="52" t="n">
        <v>2049</v>
      </c>
      <c r="D1082" t="s">
        <v>166</v>
      </c>
      <c r="E1082" s="53" t="n">
        <v>147882.171381311</v>
      </c>
      <c r="F1082" s="54" t="n">
        <v>94546.8969280894</v>
      </c>
      <c r="G1082" s="55" t="n">
        <v>94546.8656755522</v>
      </c>
      <c r="H1082" s="56" t="str">
        <f>G1082-F1082</f>
      </c>
      <c r="I1082" s="57" t="n">
        <v>147882.099837348</v>
      </c>
      <c r="J1082" s="58" t="str">
        <f>I1082-E1082</f>
      </c>
    </row>
    <row r="1083">
      <c r="A1083" t="s">
        <v>215</v>
      </c>
      <c r="B1083" t="s">
        <v>217</v>
      </c>
      <c r="C1083" s="52" t="n">
        <v>2049</v>
      </c>
      <c r="D1083" t="s">
        <v>176</v>
      </c>
      <c r="E1083" s="53" t="n">
        <v>267003.832162522</v>
      </c>
      <c r="F1083" s="54" t="n">
        <v>253105.629073482</v>
      </c>
      <c r="G1083" s="55" t="n">
        <v>253105.506935702</v>
      </c>
      <c r="H1083" s="56" t="str">
        <f>G1083-F1083</f>
      </c>
      <c r="I1083" s="57" t="n">
        <v>267003.550155027</v>
      </c>
      <c r="J1083" s="58" t="str">
        <f>I1083-E1083</f>
      </c>
    </row>
    <row r="1084">
      <c r="A1084" t="s">
        <v>215</v>
      </c>
      <c r="B1084" t="s">
        <v>217</v>
      </c>
      <c r="C1084" s="52" t="n">
        <v>2049</v>
      </c>
      <c r="D1084" t="s">
        <v>180</v>
      </c>
      <c r="E1084" s="53" t="n">
        <v>801597.837313041</v>
      </c>
      <c r="F1084" s="54" t="n">
        <v>498010.853229975</v>
      </c>
      <c r="G1084" s="55" t="n">
        <v>498010.651524044</v>
      </c>
      <c r="H1084" s="56" t="str">
        <f>G1084-F1084</f>
      </c>
      <c r="I1084" s="57" t="n">
        <v>801596.853664258</v>
      </c>
      <c r="J1084" s="58" t="str">
        <f>I1084-E1084</f>
      </c>
    </row>
    <row r="1085">
      <c r="A1085" t="s">
        <v>215</v>
      </c>
      <c r="B1085" t="s">
        <v>217</v>
      </c>
      <c r="C1085" s="52" t="n">
        <v>2049</v>
      </c>
      <c r="D1085" t="s">
        <v>184</v>
      </c>
      <c r="E1085" s="53" t="n">
        <v>396058.997793529</v>
      </c>
      <c r="F1085" s="54" t="n">
        <v>213580.258628426</v>
      </c>
      <c r="G1085" s="55" t="n">
        <v>213580.236200068</v>
      </c>
      <c r="H1085" s="56" t="str">
        <f>G1085-F1085</f>
      </c>
      <c r="I1085" s="57" t="n">
        <v>396058.615955627</v>
      </c>
      <c r="J1085" s="58" t="str">
        <f>I1085-E1085</f>
      </c>
    </row>
    <row r="1086">
      <c r="A1086" t="s">
        <v>215</v>
      </c>
      <c r="B1086" t="s">
        <v>217</v>
      </c>
      <c r="C1086" s="52" t="n">
        <v>2049</v>
      </c>
      <c r="D1086" t="s">
        <v>212</v>
      </c>
      <c r="E1086" s="53" t="n">
        <v>34087.7627233071</v>
      </c>
      <c r="F1086" s="54" t="n">
        <v>1954.67495622989</v>
      </c>
      <c r="G1086" s="55" t="n">
        <v>1998.59223363335</v>
      </c>
      <c r="H1086" s="56" t="str">
        <f>G1086-F1086</f>
      </c>
      <c r="I1086" s="57" t="n">
        <v>34087.7627067011</v>
      </c>
      <c r="J1086" s="58" t="str">
        <f>I1086-E1086</f>
      </c>
    </row>
    <row r="1087">
      <c r="A1087" t="s">
        <v>215</v>
      </c>
      <c r="B1087" t="s">
        <v>217</v>
      </c>
      <c r="C1087" s="52" t="n">
        <v>2050</v>
      </c>
      <c r="D1087" t="s">
        <v>190</v>
      </c>
      <c r="E1087" s="53" t="n">
        <v>26690.125990051</v>
      </c>
      <c r="F1087" s="54" t="n">
        <v>17828.6468386505</v>
      </c>
      <c r="G1087" s="55" t="n">
        <v>17828.637482456</v>
      </c>
      <c r="H1087" s="56" t="str">
        <f>G1087-F1087</f>
      </c>
      <c r="I1087" s="57" t="n">
        <v>26690.1101954068</v>
      </c>
      <c r="J1087" s="58" t="str">
        <f>I1087-E1087</f>
      </c>
    </row>
    <row r="1088">
      <c r="A1088" t="s">
        <v>215</v>
      </c>
      <c r="B1088" t="s">
        <v>217</v>
      </c>
      <c r="C1088" s="52" t="n">
        <v>2050</v>
      </c>
      <c r="D1088" t="s">
        <v>230</v>
      </c>
      <c r="E1088" s="53" t="n">
        <v>1297801.71664562</v>
      </c>
      <c r="F1088" s="54" t="n">
        <v>328734.15345392</v>
      </c>
      <c r="G1088" s="55" t="n">
        <v>328734.061465412</v>
      </c>
      <c r="H1088" s="56" t="str">
        <f>G1088-F1088</f>
      </c>
      <c r="I1088" s="57" t="n">
        <v>1297798.19122542</v>
      </c>
      <c r="J1088" s="58" t="str">
        <f>I1088-E1088</f>
      </c>
    </row>
    <row r="1089">
      <c r="A1089" t="s">
        <v>215</v>
      </c>
      <c r="B1089" t="s">
        <v>217</v>
      </c>
      <c r="C1089" s="52" t="n">
        <v>2050</v>
      </c>
      <c r="D1089" t="s">
        <v>166</v>
      </c>
      <c r="E1089" s="53" t="n">
        <v>149549.958185229</v>
      </c>
      <c r="F1089" s="54" t="n">
        <v>95625.979600601</v>
      </c>
      <c r="G1089" s="55" t="n">
        <v>95625.9439694284</v>
      </c>
      <c r="H1089" s="56" t="str">
        <f>G1089-F1089</f>
      </c>
      <c r="I1089" s="57" t="n">
        <v>149549.878981469</v>
      </c>
      <c r="J1089" s="58" t="str">
        <f>I1089-E1089</f>
      </c>
    </row>
    <row r="1090">
      <c r="A1090" t="s">
        <v>215</v>
      </c>
      <c r="B1090" t="s">
        <v>217</v>
      </c>
      <c r="C1090" s="52" t="n">
        <v>2050</v>
      </c>
      <c r="D1090" t="s">
        <v>176</v>
      </c>
      <c r="E1090" s="53" t="n">
        <v>266031.797410048</v>
      </c>
      <c r="F1090" s="54" t="n">
        <v>252159.071948988</v>
      </c>
      <c r="G1090" s="55" t="n">
        <v>252158.933158969</v>
      </c>
      <c r="H1090" s="56" t="str">
        <f>G1090-F1090</f>
      </c>
      <c r="I1090" s="57" t="n">
        <v>266031.496410964</v>
      </c>
      <c r="J1090" s="58" t="str">
        <f>I1090-E1090</f>
      </c>
    </row>
    <row r="1091">
      <c r="A1091" t="s">
        <v>215</v>
      </c>
      <c r="B1091" t="s">
        <v>217</v>
      </c>
      <c r="C1091" s="52" t="n">
        <v>2050</v>
      </c>
      <c r="D1091" t="s">
        <v>180</v>
      </c>
      <c r="E1091" s="53" t="n">
        <v>809019.772038053</v>
      </c>
      <c r="F1091" s="54" t="n">
        <v>504089.65680742</v>
      </c>
      <c r="G1091" s="55" t="n">
        <v>504089.426791864</v>
      </c>
      <c r="H1091" s="56" t="str">
        <f>G1091-F1091</f>
      </c>
      <c r="I1091" s="57" t="n">
        <v>809018.722538968</v>
      </c>
      <c r="J1091" s="58" t="str">
        <f>I1091-E1091</f>
      </c>
    </row>
    <row r="1092">
      <c r="A1092" t="s">
        <v>215</v>
      </c>
      <c r="B1092" t="s">
        <v>217</v>
      </c>
      <c r="C1092" s="52" t="n">
        <v>2050</v>
      </c>
      <c r="D1092" t="s">
        <v>184</v>
      </c>
      <c r="E1092" s="53" t="n">
        <v>398560.445950661</v>
      </c>
      <c r="F1092" s="54" t="n">
        <v>215570.763996479</v>
      </c>
      <c r="G1092" s="55" t="n">
        <v>215570.737440482</v>
      </c>
      <c r="H1092" s="56" t="str">
        <f>G1092-F1092</f>
      </c>
      <c r="I1092" s="57" t="n">
        <v>398560.037918605</v>
      </c>
      <c r="J1092" s="58" t="str">
        <f>I1092-E1092</f>
      </c>
    </row>
    <row r="1093">
      <c r="A1093" t="s">
        <v>215</v>
      </c>
      <c r="B1093" t="s">
        <v>217</v>
      </c>
      <c r="C1093" s="52" t="n">
        <v>2050</v>
      </c>
      <c r="D1093" t="s">
        <v>212</v>
      </c>
      <c r="E1093" s="53" t="n">
        <v>33926.4790595766</v>
      </c>
      <c r="F1093" s="54" t="n">
        <v>1844.54835802773</v>
      </c>
      <c r="G1093" s="55" t="n">
        <v>1888.51500986557</v>
      </c>
      <c r="H1093" s="56" t="str">
        <f>G1093-F1093</f>
      </c>
      <c r="I1093" s="57" t="n">
        <v>33926.4790426967</v>
      </c>
      <c r="J1093" s="58" t="str">
        <f>I1093-E1093</f>
      </c>
    </row>
    <row r="1094">
      <c r="A1094" t="s">
        <v>220</v>
      </c>
      <c r="B1094" t="s">
        <v>222</v>
      </c>
      <c r="C1094" s="52" t="n">
        <v>2025</v>
      </c>
      <c r="D1094" t="s">
        <v>190</v>
      </c>
      <c r="E1094" s="53" t="n">
        <v>12176.1707137429</v>
      </c>
      <c r="F1094" s="54" t="n">
        <v>8959.2701472679</v>
      </c>
      <c r="G1094" s="55" t="n">
        <v>8959.2701472679</v>
      </c>
      <c r="H1094" s="56" t="str">
        <f>G1094-F1094</f>
      </c>
      <c r="I1094" s="57" t="n">
        <v>12176.1707137429</v>
      </c>
      <c r="J1094" s="58" t="str">
        <f>I1094-E1094</f>
      </c>
    </row>
    <row r="1095">
      <c r="A1095" t="s">
        <v>220</v>
      </c>
      <c r="B1095" t="s">
        <v>222</v>
      </c>
      <c r="C1095" s="52" t="n">
        <v>2025</v>
      </c>
      <c r="D1095" t="s">
        <v>230</v>
      </c>
      <c r="E1095" s="53" t="n">
        <v>1026758.5711338</v>
      </c>
      <c r="F1095" s="54" t="n">
        <v>129383.323210315</v>
      </c>
      <c r="G1095" s="55" t="n">
        <v>129383.323210315</v>
      </c>
      <c r="H1095" s="56" t="str">
        <f>G1095-F1095</f>
      </c>
      <c r="I1095" s="57" t="n">
        <v>1026758.5711338</v>
      </c>
      <c r="J1095" s="58" t="str">
        <f>I1095-E1095</f>
      </c>
    </row>
    <row r="1096">
      <c r="A1096" t="s">
        <v>220</v>
      </c>
      <c r="B1096" t="s">
        <v>222</v>
      </c>
      <c r="C1096" s="52" t="n">
        <v>2025</v>
      </c>
      <c r="D1096" t="s">
        <v>166</v>
      </c>
      <c r="E1096" s="53" t="n">
        <v>115291.159865467</v>
      </c>
      <c r="F1096" s="54" t="n">
        <v>67656.5589894958</v>
      </c>
      <c r="G1096" s="55" t="n">
        <v>67656.5589894958</v>
      </c>
      <c r="H1096" s="56" t="str">
        <f>G1096-F1096</f>
      </c>
      <c r="I1096" s="57" t="n">
        <v>115291.159865467</v>
      </c>
      <c r="J1096" s="58" t="str">
        <f>I1096-E1096</f>
      </c>
    </row>
    <row r="1097">
      <c r="A1097" t="s">
        <v>220</v>
      </c>
      <c r="B1097" t="s">
        <v>222</v>
      </c>
      <c r="C1097" s="52" t="n">
        <v>2025</v>
      </c>
      <c r="D1097" t="s">
        <v>176</v>
      </c>
      <c r="E1097" s="53" t="n">
        <v>281662.55341658</v>
      </c>
      <c r="F1097" s="54" t="n">
        <v>263226.365583439</v>
      </c>
      <c r="G1097" s="55" t="n">
        <v>263295.70058044</v>
      </c>
      <c r="H1097" s="56" t="str">
        <f>G1097-F1097</f>
      </c>
      <c r="I1097" s="57" t="n">
        <v>281662.55341658</v>
      </c>
      <c r="J1097" s="58" t="str">
        <f>I1097-E1097</f>
      </c>
    </row>
    <row r="1098">
      <c r="A1098" t="s">
        <v>220</v>
      </c>
      <c r="B1098" t="s">
        <v>222</v>
      </c>
      <c r="C1098" s="52" t="n">
        <v>2025</v>
      </c>
      <c r="D1098" t="s">
        <v>180</v>
      </c>
      <c r="E1098" s="53" t="n">
        <v>612171.634776233</v>
      </c>
      <c r="F1098" s="54" t="n">
        <v>335724.869793767</v>
      </c>
      <c r="G1098" s="55" t="n">
        <v>335724.869793767</v>
      </c>
      <c r="H1098" s="56" t="str">
        <f>G1098-F1098</f>
      </c>
      <c r="I1098" s="57" t="n">
        <v>612171.634776233</v>
      </c>
      <c r="J1098" s="58" t="str">
        <f>I1098-E1098</f>
      </c>
    </row>
    <row r="1099">
      <c r="A1099" t="s">
        <v>220</v>
      </c>
      <c r="B1099" t="s">
        <v>222</v>
      </c>
      <c r="C1099" s="52" t="n">
        <v>2025</v>
      </c>
      <c r="D1099" t="s">
        <v>184</v>
      </c>
      <c r="E1099" s="53" t="n">
        <v>339642.130126733</v>
      </c>
      <c r="F1099" s="54" t="n">
        <v>190725.824837693</v>
      </c>
      <c r="G1099" s="55" t="n">
        <v>190841.880003208</v>
      </c>
      <c r="H1099" s="56" t="str">
        <f>G1099-F1099</f>
      </c>
      <c r="I1099" s="57" t="n">
        <v>339642.130126733</v>
      </c>
      <c r="J1099" s="58" t="str">
        <f>I1099-E1099</f>
      </c>
    </row>
    <row r="1100">
      <c r="A1100" t="s">
        <v>220</v>
      </c>
      <c r="B1100" t="s">
        <v>222</v>
      </c>
      <c r="C1100" s="52" t="n">
        <v>2025</v>
      </c>
      <c r="D1100" t="s">
        <v>212</v>
      </c>
      <c r="E1100" s="53" t="n">
        <v>39660.8365474078</v>
      </c>
      <c r="F1100" s="54" t="n">
        <v>5303.42230174402</v>
      </c>
      <c r="G1100" s="55" t="n">
        <v>5303.42230174402</v>
      </c>
      <c r="H1100" s="56" t="str">
        <f>G1100-F1100</f>
      </c>
      <c r="I1100" s="57" t="n">
        <v>39660.8365474078</v>
      </c>
      <c r="J1100" s="58" t="str">
        <f>I1100-E1100</f>
      </c>
    </row>
    <row r="1101">
      <c r="A1101" t="s">
        <v>220</v>
      </c>
      <c r="B1101" t="s">
        <v>222</v>
      </c>
      <c r="C1101" s="52" t="n">
        <v>2026</v>
      </c>
      <c r="D1101" t="s">
        <v>190</v>
      </c>
      <c r="E1101" s="53" t="n">
        <v>12568.9776424748</v>
      </c>
      <c r="F1101" s="54" t="n">
        <v>9271.1333627081</v>
      </c>
      <c r="G1101" s="55" t="n">
        <v>9271.1333627081</v>
      </c>
      <c r="H1101" s="56" t="str">
        <f>G1101-F1101</f>
      </c>
      <c r="I1101" s="57" t="n">
        <v>12568.9386470114</v>
      </c>
      <c r="J1101" s="58" t="str">
        <f>I1101-E1101</f>
      </c>
    </row>
    <row r="1102">
      <c r="A1102" t="s">
        <v>220</v>
      </c>
      <c r="B1102" t="s">
        <v>222</v>
      </c>
      <c r="C1102" s="52" t="n">
        <v>2026</v>
      </c>
      <c r="D1102" t="s">
        <v>230</v>
      </c>
      <c r="E1102" s="53" t="n">
        <v>1042136.64321222</v>
      </c>
      <c r="F1102" s="54" t="n">
        <v>137145.828958788</v>
      </c>
      <c r="G1102" s="55" t="n">
        <v>137145.828958788</v>
      </c>
      <c r="H1102" s="56" t="str">
        <f>G1102-F1102</f>
      </c>
      <c r="I1102" s="57" t="n">
        <v>1042135.18581351</v>
      </c>
      <c r="J1102" s="58" t="str">
        <f>I1102-E1102</f>
      </c>
    </row>
    <row r="1103">
      <c r="A1103" t="s">
        <v>220</v>
      </c>
      <c r="B1103" t="s">
        <v>222</v>
      </c>
      <c r="C1103" s="52" t="n">
        <v>2026</v>
      </c>
      <c r="D1103" t="s">
        <v>166</v>
      </c>
      <c r="E1103" s="53" t="n">
        <v>114708.452902186</v>
      </c>
      <c r="F1103" s="54" t="n">
        <v>70326.6034535198</v>
      </c>
      <c r="G1103" s="55" t="n">
        <v>70326.6034535198</v>
      </c>
      <c r="H1103" s="56" t="str">
        <f>G1103-F1103</f>
      </c>
      <c r="I1103" s="57" t="n">
        <v>114707.986926294</v>
      </c>
      <c r="J1103" s="58" t="str">
        <f>I1103-E1103</f>
      </c>
    </row>
    <row r="1104">
      <c r="A1104" t="s">
        <v>220</v>
      </c>
      <c r="B1104" t="s">
        <v>222</v>
      </c>
      <c r="C1104" s="52" t="n">
        <v>2026</v>
      </c>
      <c r="D1104" t="s">
        <v>176</v>
      </c>
      <c r="E1104" s="53" t="n">
        <v>282723.185358882</v>
      </c>
      <c r="F1104" s="54" t="n">
        <v>259395.382891266</v>
      </c>
      <c r="G1104" s="55" t="n">
        <v>259504.468011332</v>
      </c>
      <c r="H1104" s="56" t="str">
        <f>G1104-F1104</f>
      </c>
      <c r="I1104" s="57" t="n">
        <v>282722.537860884</v>
      </c>
      <c r="J1104" s="58" t="str">
        <f>I1104-E1104</f>
      </c>
    </row>
    <row r="1105">
      <c r="A1105" t="s">
        <v>220</v>
      </c>
      <c r="B1105" t="s">
        <v>222</v>
      </c>
      <c r="C1105" s="52" t="n">
        <v>2026</v>
      </c>
      <c r="D1105" t="s">
        <v>180</v>
      </c>
      <c r="E1105" s="53" t="n">
        <v>616791.893833492</v>
      </c>
      <c r="F1105" s="54" t="n">
        <v>342960.135281865</v>
      </c>
      <c r="G1105" s="55" t="n">
        <v>342960.135281865</v>
      </c>
      <c r="H1105" s="56" t="str">
        <f>G1105-F1105</f>
      </c>
      <c r="I1105" s="57" t="n">
        <v>616790.029155755</v>
      </c>
      <c r="J1105" s="58" t="str">
        <f>I1105-E1105</f>
      </c>
    </row>
    <row r="1106">
      <c r="A1106" t="s">
        <v>220</v>
      </c>
      <c r="B1106" t="s">
        <v>222</v>
      </c>
      <c r="C1106" s="52" t="n">
        <v>2026</v>
      </c>
      <c r="D1106" t="s">
        <v>184</v>
      </c>
      <c r="E1106" s="53" t="n">
        <v>338499.43525999</v>
      </c>
      <c r="F1106" s="54" t="n">
        <v>190352.958430865</v>
      </c>
      <c r="G1106" s="55" t="n">
        <v>190574.613818848</v>
      </c>
      <c r="H1106" s="56" t="str">
        <f>G1106-F1106</f>
      </c>
      <c r="I1106" s="57" t="n">
        <v>338499.069421602</v>
      </c>
      <c r="J1106" s="58" t="str">
        <f>I1106-E1106</f>
      </c>
    </row>
    <row r="1107">
      <c r="A1107" t="s">
        <v>220</v>
      </c>
      <c r="B1107" t="s">
        <v>222</v>
      </c>
      <c r="C1107" s="52" t="n">
        <v>2026</v>
      </c>
      <c r="D1107" t="s">
        <v>212</v>
      </c>
      <c r="E1107" s="53" t="n">
        <v>39250.6690886607</v>
      </c>
      <c r="F1107" s="54" t="n">
        <v>5105.60955478559</v>
      </c>
      <c r="G1107" s="55" t="n">
        <v>5105.60955478559</v>
      </c>
      <c r="H1107" s="56" t="str">
        <f>G1107-F1107</f>
      </c>
      <c r="I1107" s="57" t="n">
        <v>39250.6670180049</v>
      </c>
      <c r="J1107" s="58" t="str">
        <f>I1107-E1107</f>
      </c>
    </row>
    <row r="1108">
      <c r="A1108" t="s">
        <v>220</v>
      </c>
      <c r="B1108" t="s">
        <v>222</v>
      </c>
      <c r="C1108" s="52" t="n">
        <v>2027</v>
      </c>
      <c r="D1108" t="s">
        <v>190</v>
      </c>
      <c r="E1108" s="53" t="n">
        <v>12976.211564769</v>
      </c>
      <c r="F1108" s="54" t="n">
        <v>9577.53625924001</v>
      </c>
      <c r="G1108" s="55" t="n">
        <v>9577.52965486433</v>
      </c>
      <c r="H1108" s="56" t="str">
        <f>G1108-F1108</f>
      </c>
      <c r="I1108" s="57" t="n">
        <v>12976.1031133633</v>
      </c>
      <c r="J1108" s="58" t="str">
        <f>I1108-E1108</f>
      </c>
    </row>
    <row r="1109">
      <c r="A1109" t="s">
        <v>220</v>
      </c>
      <c r="B1109" t="s">
        <v>222</v>
      </c>
      <c r="C1109" s="52" t="n">
        <v>2027</v>
      </c>
      <c r="D1109" t="s">
        <v>230</v>
      </c>
      <c r="E1109" s="53" t="n">
        <v>1057152.34816409</v>
      </c>
      <c r="F1109" s="54" t="n">
        <v>145009.463657819</v>
      </c>
      <c r="G1109" s="55" t="n">
        <v>145009.441994705</v>
      </c>
      <c r="H1109" s="56" t="str">
        <f>G1109-F1109</f>
      </c>
      <c r="I1109" s="57" t="n">
        <v>1057148.31873483</v>
      </c>
      <c r="J1109" s="58" t="str">
        <f>I1109-E1109</f>
      </c>
    </row>
    <row r="1110">
      <c r="A1110" t="s">
        <v>220</v>
      </c>
      <c r="B1110" t="s">
        <v>222</v>
      </c>
      <c r="C1110" s="52" t="n">
        <v>2027</v>
      </c>
      <c r="D1110" t="s">
        <v>166</v>
      </c>
      <c r="E1110" s="53" t="n">
        <v>114154.170470068</v>
      </c>
      <c r="F1110" s="54" t="n">
        <v>72290.2374759327</v>
      </c>
      <c r="G1110" s="55" t="n">
        <v>72290.1699912091</v>
      </c>
      <c r="H1110" s="56" t="str">
        <f>G1110-F1110</f>
      </c>
      <c r="I1110" s="57" t="n">
        <v>114152.944165875</v>
      </c>
      <c r="J1110" s="58" t="str">
        <f>I1110-E1110</f>
      </c>
    </row>
    <row r="1111">
      <c r="A1111" t="s">
        <v>220</v>
      </c>
      <c r="B1111" t="s">
        <v>222</v>
      </c>
      <c r="C1111" s="52" t="n">
        <v>2027</v>
      </c>
      <c r="D1111" t="s">
        <v>176</v>
      </c>
      <c r="E1111" s="53" t="n">
        <v>277879.288033078</v>
      </c>
      <c r="F1111" s="54" t="n">
        <v>260193.093015352</v>
      </c>
      <c r="G1111" s="55" t="n">
        <v>260330.421136777</v>
      </c>
      <c r="H1111" s="56" t="str">
        <f>G1111-F1111</f>
      </c>
      <c r="I1111" s="57" t="n">
        <v>277877.509454571</v>
      </c>
      <c r="J1111" s="58" t="str">
        <f>I1111-E1111</f>
      </c>
    </row>
    <row r="1112">
      <c r="A1112" t="s">
        <v>220</v>
      </c>
      <c r="B1112" t="s">
        <v>222</v>
      </c>
      <c r="C1112" s="52" t="n">
        <v>2027</v>
      </c>
      <c r="D1112" t="s">
        <v>180</v>
      </c>
      <c r="E1112" s="53" t="n">
        <v>621435.859561116</v>
      </c>
      <c r="F1112" s="54" t="n">
        <v>349405.480628194</v>
      </c>
      <c r="G1112" s="55" t="n">
        <v>349405.300730343</v>
      </c>
      <c r="H1112" s="56" t="str">
        <f>G1112-F1112</f>
      </c>
      <c r="I1112" s="57" t="n">
        <v>621430.902801161</v>
      </c>
      <c r="J1112" s="58" t="str">
        <f>I1112-E1112</f>
      </c>
    </row>
    <row r="1113">
      <c r="A1113" t="s">
        <v>220</v>
      </c>
      <c r="B1113" t="s">
        <v>222</v>
      </c>
      <c r="C1113" s="52" t="n">
        <v>2027</v>
      </c>
      <c r="D1113" t="s">
        <v>184</v>
      </c>
      <c r="E1113" s="53" t="n">
        <v>337399.815347117</v>
      </c>
      <c r="F1113" s="54" t="n">
        <v>188711.178270705</v>
      </c>
      <c r="G1113" s="55" t="n">
        <v>189031.100445512</v>
      </c>
      <c r="H1113" s="56" t="str">
        <f>G1113-F1113</f>
      </c>
      <c r="I1113" s="57" t="n">
        <v>337398.949071723</v>
      </c>
      <c r="J1113" s="58" t="str">
        <f>I1113-E1113</f>
      </c>
    </row>
    <row r="1114">
      <c r="A1114" t="s">
        <v>220</v>
      </c>
      <c r="B1114" t="s">
        <v>222</v>
      </c>
      <c r="C1114" s="52" t="n">
        <v>2027</v>
      </c>
      <c r="D1114" t="s">
        <v>212</v>
      </c>
      <c r="E1114" s="53" t="n">
        <v>38773.6299382285</v>
      </c>
      <c r="F1114" s="54" t="n">
        <v>4921.49717344178</v>
      </c>
      <c r="G1114" s="55" t="n">
        <v>4921.4971535539</v>
      </c>
      <c r="H1114" s="56" t="str">
        <f>G1114-F1114</f>
      </c>
      <c r="I1114" s="57" t="n">
        <v>38773.6271863431</v>
      </c>
      <c r="J1114" s="58" t="str">
        <f>I1114-E1114</f>
      </c>
    </row>
    <row r="1115">
      <c r="A1115" t="s">
        <v>220</v>
      </c>
      <c r="B1115" t="s">
        <v>222</v>
      </c>
      <c r="C1115" s="52" t="n">
        <v>2028</v>
      </c>
      <c r="D1115" t="s">
        <v>190</v>
      </c>
      <c r="E1115" s="53" t="n">
        <v>13394.8796068309</v>
      </c>
      <c r="F1115" s="54" t="n">
        <v>9881.94537816065</v>
      </c>
      <c r="G1115" s="55" t="n">
        <v>9881.92201892528</v>
      </c>
      <c r="H1115" s="56" t="str">
        <f>G1115-F1115</f>
      </c>
      <c r="I1115" s="57" t="n">
        <v>13394.6739315754</v>
      </c>
      <c r="J1115" s="58" t="str">
        <f>I1115-E1115</f>
      </c>
    </row>
    <row r="1116">
      <c r="A1116" t="s">
        <v>220</v>
      </c>
      <c r="B1116" t="s">
        <v>222</v>
      </c>
      <c r="C1116" s="52" t="n">
        <v>2028</v>
      </c>
      <c r="D1116" t="s">
        <v>230</v>
      </c>
      <c r="E1116" s="53" t="n">
        <v>1071833.65969695</v>
      </c>
      <c r="F1116" s="54" t="n">
        <v>152971.810383984</v>
      </c>
      <c r="G1116" s="55" t="n">
        <v>152971.729388998</v>
      </c>
      <c r="H1116" s="56" t="str">
        <f>G1116-F1116</f>
      </c>
      <c r="I1116" s="57" t="n">
        <v>1071826.12505593</v>
      </c>
      <c r="J1116" s="58" t="str">
        <f>I1116-E1116</f>
      </c>
    </row>
    <row r="1117">
      <c r="A1117" t="s">
        <v>220</v>
      </c>
      <c r="B1117" t="s">
        <v>222</v>
      </c>
      <c r="C1117" s="52" t="n">
        <v>2028</v>
      </c>
      <c r="D1117" t="s">
        <v>166</v>
      </c>
      <c r="E1117" s="53" t="n">
        <v>114141.297894737</v>
      </c>
      <c r="F1117" s="54" t="n">
        <v>73847.1055312553</v>
      </c>
      <c r="G1117" s="55" t="n">
        <v>73846.8742094397</v>
      </c>
      <c r="H1117" s="56" t="str">
        <f>G1117-F1117</f>
      </c>
      <c r="I1117" s="57" t="n">
        <v>114139.122924862</v>
      </c>
      <c r="J1117" s="58" t="str">
        <f>I1117-E1117</f>
      </c>
    </row>
    <row r="1118">
      <c r="A1118" t="s">
        <v>220</v>
      </c>
      <c r="B1118" t="s">
        <v>222</v>
      </c>
      <c r="C1118" s="52" t="n">
        <v>2028</v>
      </c>
      <c r="D1118" t="s">
        <v>176</v>
      </c>
      <c r="E1118" s="53" t="n">
        <v>277739.031170487</v>
      </c>
      <c r="F1118" s="54" t="n">
        <v>257607.602878726</v>
      </c>
      <c r="G1118" s="55" t="n">
        <v>257765.323271705</v>
      </c>
      <c r="H1118" s="56" t="str">
        <f>G1118-F1118</f>
      </c>
      <c r="I1118" s="57" t="n">
        <v>277735.696141204</v>
      </c>
      <c r="J1118" s="58" t="str">
        <f>I1118-E1118</f>
      </c>
    </row>
    <row r="1119">
      <c r="A1119" t="s">
        <v>220</v>
      </c>
      <c r="B1119" t="s">
        <v>222</v>
      </c>
      <c r="C1119" s="52" t="n">
        <v>2028</v>
      </c>
      <c r="D1119" t="s">
        <v>180</v>
      </c>
      <c r="E1119" s="53" t="n">
        <v>627732.744628892</v>
      </c>
      <c r="F1119" s="54" t="n">
        <v>356159.888052562</v>
      </c>
      <c r="G1119" s="55" t="n">
        <v>356159.252906041</v>
      </c>
      <c r="H1119" s="56" t="str">
        <f>G1119-F1119</f>
      </c>
      <c r="I1119" s="57" t="n">
        <v>627723.844155296</v>
      </c>
      <c r="J1119" s="58" t="str">
        <f>I1119-E1119</f>
      </c>
    </row>
    <row r="1120">
      <c r="A1120" t="s">
        <v>220</v>
      </c>
      <c r="B1120" t="s">
        <v>222</v>
      </c>
      <c r="C1120" s="52" t="n">
        <v>2028</v>
      </c>
      <c r="D1120" t="s">
        <v>184</v>
      </c>
      <c r="E1120" s="53" t="n">
        <v>337516.124975072</v>
      </c>
      <c r="F1120" s="54" t="n">
        <v>186704.087464858</v>
      </c>
      <c r="G1120" s="55" t="n">
        <v>187116.639879467</v>
      </c>
      <c r="H1120" s="56" t="str">
        <f>G1120-F1120</f>
      </c>
      <c r="I1120" s="57" t="n">
        <v>337514.695524676</v>
      </c>
      <c r="J1120" s="58" t="str">
        <f>I1120-E1120</f>
      </c>
    </row>
    <row r="1121">
      <c r="A1121" t="s">
        <v>220</v>
      </c>
      <c r="B1121" t="s">
        <v>222</v>
      </c>
      <c r="C1121" s="52" t="n">
        <v>2028</v>
      </c>
      <c r="D1121" t="s">
        <v>212</v>
      </c>
      <c r="E1121" s="53" t="n">
        <v>38149.2917469735</v>
      </c>
      <c r="F1121" s="54" t="n">
        <v>4742.08561254313</v>
      </c>
      <c r="G1121" s="55" t="n">
        <v>4742.08557297834</v>
      </c>
      <c r="H1121" s="56" t="str">
        <f>G1121-F1121</f>
      </c>
      <c r="I1121" s="57" t="n">
        <v>38149.2915792319</v>
      </c>
      <c r="J1121" s="58" t="str">
        <f>I1121-E1121</f>
      </c>
    </row>
    <row r="1122">
      <c r="A1122" t="s">
        <v>220</v>
      </c>
      <c r="B1122" t="s">
        <v>222</v>
      </c>
      <c r="C1122" s="52" t="n">
        <v>2029</v>
      </c>
      <c r="D1122" t="s">
        <v>190</v>
      </c>
      <c r="E1122" s="53" t="n">
        <v>13830.3770869092</v>
      </c>
      <c r="F1122" s="54" t="n">
        <v>10188.4475566134</v>
      </c>
      <c r="G1122" s="55" t="n">
        <v>10188.394886281</v>
      </c>
      <c r="H1122" s="56" t="str">
        <f>G1122-F1122</f>
      </c>
      <c r="I1122" s="57" t="n">
        <v>13830.0485982781</v>
      </c>
      <c r="J1122" s="58" t="str">
        <f>I1122-E1122</f>
      </c>
    </row>
    <row r="1123">
      <c r="A1123" t="s">
        <v>220</v>
      </c>
      <c r="B1123" t="s">
        <v>222</v>
      </c>
      <c r="C1123" s="52" t="n">
        <v>2029</v>
      </c>
      <c r="D1123" t="s">
        <v>230</v>
      </c>
      <c r="E1123" s="53" t="n">
        <v>1086212.32897132</v>
      </c>
      <c r="F1123" s="54" t="n">
        <v>161038.419396206</v>
      </c>
      <c r="G1123" s="55" t="n">
        <v>161038.227687319</v>
      </c>
      <c r="H1123" s="56" t="str">
        <f>G1123-F1123</f>
      </c>
      <c r="I1123" s="57" t="n">
        <v>1086200.50099061</v>
      </c>
      <c r="J1123" s="58" t="str">
        <f>I1123-E1123</f>
      </c>
    </row>
    <row r="1124">
      <c r="A1124" t="s">
        <v>220</v>
      </c>
      <c r="B1124" t="s">
        <v>222</v>
      </c>
      <c r="C1124" s="52" t="n">
        <v>2029</v>
      </c>
      <c r="D1124" t="s">
        <v>166</v>
      </c>
      <c r="E1124" s="53" t="n">
        <v>114051.629585414</v>
      </c>
      <c r="F1124" s="54" t="n">
        <v>75452.7240145095</v>
      </c>
      <c r="G1124" s="55" t="n">
        <v>75452.2225775915</v>
      </c>
      <c r="H1124" s="56" t="str">
        <f>G1124-F1124</f>
      </c>
      <c r="I1124" s="57" t="n">
        <v>114048.155335882</v>
      </c>
      <c r="J1124" s="58" t="str">
        <f>I1124-E1124</f>
      </c>
    </row>
    <row r="1125">
      <c r="A1125" t="s">
        <v>220</v>
      </c>
      <c r="B1125" t="s">
        <v>222</v>
      </c>
      <c r="C1125" s="52" t="n">
        <v>2029</v>
      </c>
      <c r="D1125" t="s">
        <v>176</v>
      </c>
      <c r="E1125" s="53" t="n">
        <v>275826.264519394</v>
      </c>
      <c r="F1125" s="54" t="n">
        <v>258159.492648314</v>
      </c>
      <c r="G1125" s="55" t="n">
        <v>258334.317394862</v>
      </c>
      <c r="H1125" s="56" t="str">
        <f>G1125-F1125</f>
      </c>
      <c r="I1125" s="57" t="n">
        <v>275821.082992428</v>
      </c>
      <c r="J1125" s="58" t="str">
        <f>I1125-E1125</f>
      </c>
    </row>
    <row r="1126">
      <c r="A1126" t="s">
        <v>220</v>
      </c>
      <c r="B1126" t="s">
        <v>222</v>
      </c>
      <c r="C1126" s="52" t="n">
        <v>2029</v>
      </c>
      <c r="D1126" t="s">
        <v>180</v>
      </c>
      <c r="E1126" s="53" t="n">
        <v>630793.633309248</v>
      </c>
      <c r="F1126" s="54" t="n">
        <v>363893.683551753</v>
      </c>
      <c r="G1126" s="55" t="n">
        <v>363892.268279926</v>
      </c>
      <c r="H1126" s="56" t="str">
        <f>G1126-F1126</f>
      </c>
      <c r="I1126" s="57" t="n">
        <v>630779.369985079</v>
      </c>
      <c r="J1126" s="58" t="str">
        <f>I1126-E1126</f>
      </c>
    </row>
    <row r="1127">
      <c r="A1127" t="s">
        <v>220</v>
      </c>
      <c r="B1127" t="s">
        <v>222</v>
      </c>
      <c r="C1127" s="52" t="n">
        <v>2029</v>
      </c>
      <c r="D1127" t="s">
        <v>184</v>
      </c>
      <c r="E1127" s="53" t="n">
        <v>335923.391658905</v>
      </c>
      <c r="F1127" s="54" t="n">
        <v>186312.98534554</v>
      </c>
      <c r="G1127" s="55" t="n">
        <v>186821.560087492</v>
      </c>
      <c r="H1127" s="56" t="str">
        <f>G1127-F1127</f>
      </c>
      <c r="I1127" s="57" t="n">
        <v>335921.292831796</v>
      </c>
      <c r="J1127" s="58" t="str">
        <f>I1127-E1127</f>
      </c>
    </row>
    <row r="1128">
      <c r="A1128" t="s">
        <v>220</v>
      </c>
      <c r="B1128" t="s">
        <v>222</v>
      </c>
      <c r="C1128" s="52" t="n">
        <v>2029</v>
      </c>
      <c r="D1128" t="s">
        <v>212</v>
      </c>
      <c r="E1128" s="53" t="n">
        <v>37777.4674835156</v>
      </c>
      <c r="F1128" s="54" t="n">
        <v>4604.06818737965</v>
      </c>
      <c r="G1128" s="55" t="n">
        <v>4604.06814831639</v>
      </c>
      <c r="H1128" s="56" t="str">
        <f>G1128-F1128</f>
      </c>
      <c r="I1128" s="57" t="n">
        <v>37777.4672189776</v>
      </c>
      <c r="J1128" s="58" t="str">
        <f>I1128-E1128</f>
      </c>
    </row>
    <row r="1129">
      <c r="A1129" t="s">
        <v>220</v>
      </c>
      <c r="B1129" t="s">
        <v>222</v>
      </c>
      <c r="C1129" s="52" t="n">
        <v>2030</v>
      </c>
      <c r="D1129" t="s">
        <v>190</v>
      </c>
      <c r="E1129" s="53" t="n">
        <v>14282.4369065476</v>
      </c>
      <c r="F1129" s="54" t="n">
        <v>10500.3823347788</v>
      </c>
      <c r="G1129" s="55" t="n">
        <v>10500.2867221377</v>
      </c>
      <c r="H1129" s="56" t="str">
        <f>G1129-F1129</f>
      </c>
      <c r="I1129" s="57" t="n">
        <v>14281.9590395355</v>
      </c>
      <c r="J1129" s="58" t="str">
        <f>I1129-E1129</f>
      </c>
    </row>
    <row r="1130">
      <c r="A1130" t="s">
        <v>220</v>
      </c>
      <c r="B1130" t="s">
        <v>222</v>
      </c>
      <c r="C1130" s="52" t="n">
        <v>2030</v>
      </c>
      <c r="D1130" t="s">
        <v>230</v>
      </c>
      <c r="E1130" s="53" t="n">
        <v>1100208.64548873</v>
      </c>
      <c r="F1130" s="54" t="n">
        <v>169196.749439647</v>
      </c>
      <c r="G1130" s="55" t="n">
        <v>169196.385350075</v>
      </c>
      <c r="H1130" s="56" t="str">
        <f>G1130-F1130</f>
      </c>
      <c r="I1130" s="57" t="n">
        <v>1100191.78654723</v>
      </c>
      <c r="J1130" s="58" t="str">
        <f>I1130-E1130</f>
      </c>
    </row>
    <row r="1131">
      <c r="A1131" t="s">
        <v>220</v>
      </c>
      <c r="B1131" t="s">
        <v>222</v>
      </c>
      <c r="C1131" s="52" t="n">
        <v>2030</v>
      </c>
      <c r="D1131" t="s">
        <v>166</v>
      </c>
      <c r="E1131" s="53" t="n">
        <v>114786.794975667</v>
      </c>
      <c r="F1131" s="54" t="n">
        <v>76005.2704355505</v>
      </c>
      <c r="G1131" s="55" t="n">
        <v>76004.3747737111</v>
      </c>
      <c r="H1131" s="56" t="str">
        <f>G1131-F1131</f>
      </c>
      <c r="I1131" s="57" t="n">
        <v>114781.951575614</v>
      </c>
      <c r="J1131" s="58" t="str">
        <f>I1131-E1131</f>
      </c>
    </row>
    <row r="1132">
      <c r="A1132" t="s">
        <v>220</v>
      </c>
      <c r="B1132" t="s">
        <v>222</v>
      </c>
      <c r="C1132" s="52" t="n">
        <v>2030</v>
      </c>
      <c r="D1132" t="s">
        <v>176</v>
      </c>
      <c r="E1132" s="53" t="n">
        <v>275758.149624891</v>
      </c>
      <c r="F1132" s="54" t="n">
        <v>257223.099971434</v>
      </c>
      <c r="G1132" s="55" t="n">
        <v>257411.197787159</v>
      </c>
      <c r="H1132" s="56" t="str">
        <f>G1132-F1132</f>
      </c>
      <c r="I1132" s="57" t="n">
        <v>275750.816549508</v>
      </c>
      <c r="J1132" s="58" t="str">
        <f>I1132-E1132</f>
      </c>
    </row>
    <row r="1133">
      <c r="A1133" t="s">
        <v>220</v>
      </c>
      <c r="B1133" t="s">
        <v>222</v>
      </c>
      <c r="C1133" s="52" t="n">
        <v>2030</v>
      </c>
      <c r="D1133" t="s">
        <v>180</v>
      </c>
      <c r="E1133" s="53" t="n">
        <v>638219.32118342</v>
      </c>
      <c r="F1133" s="54" t="n">
        <v>368923.033812893</v>
      </c>
      <c r="G1133" s="55" t="n">
        <v>368920.443479077</v>
      </c>
      <c r="H1133" s="56" t="str">
        <f>G1133-F1133</f>
      </c>
      <c r="I1133" s="57" t="n">
        <v>638199.367226914</v>
      </c>
      <c r="J1133" s="58" t="str">
        <f>I1133-E1133</f>
      </c>
    </row>
    <row r="1134">
      <c r="A1134" t="s">
        <v>220</v>
      </c>
      <c r="B1134" t="s">
        <v>222</v>
      </c>
      <c r="C1134" s="52" t="n">
        <v>2030</v>
      </c>
      <c r="D1134" t="s">
        <v>184</v>
      </c>
      <c r="E1134" s="53" t="n">
        <v>337377.75149664</v>
      </c>
      <c r="F1134" s="54" t="n">
        <v>184843.651078537</v>
      </c>
      <c r="G1134" s="55" t="n">
        <v>185442.493190957</v>
      </c>
      <c r="H1134" s="56" t="str">
        <f>G1134-F1134</f>
      </c>
      <c r="I1134" s="57" t="n">
        <v>337374.946866334</v>
      </c>
      <c r="J1134" s="58" t="str">
        <f>I1134-E1134</f>
      </c>
    </row>
    <row r="1135">
      <c r="A1135" t="s">
        <v>220</v>
      </c>
      <c r="B1135" t="s">
        <v>222</v>
      </c>
      <c r="C1135" s="52" t="n">
        <v>2030</v>
      </c>
      <c r="D1135" t="s">
        <v>212</v>
      </c>
      <c r="E1135" s="53" t="n">
        <v>38012.6740110987</v>
      </c>
      <c r="F1135" s="54" t="n">
        <v>4432.11689187201</v>
      </c>
      <c r="G1135" s="55" t="n">
        <v>4432.1168533299</v>
      </c>
      <c r="H1135" s="56" t="str">
        <f>G1135-F1135</f>
      </c>
      <c r="I1135" s="57" t="n">
        <v>38012.6736377562</v>
      </c>
      <c r="J1135" s="58" t="str">
        <f>I1135-E1135</f>
      </c>
    </row>
    <row r="1136">
      <c r="A1136" t="s">
        <v>220</v>
      </c>
      <c r="B1136" t="s">
        <v>222</v>
      </c>
      <c r="C1136" s="52" t="n">
        <v>2031</v>
      </c>
      <c r="D1136" t="s">
        <v>190</v>
      </c>
      <c r="E1136" s="53" t="n">
        <v>14755.083414112</v>
      </c>
      <c r="F1136" s="54" t="n">
        <v>10815.0710927985</v>
      </c>
      <c r="G1136" s="55" t="n">
        <v>10814.9178976517</v>
      </c>
      <c r="H1136" s="56" t="str">
        <f>G1136-F1136</f>
      </c>
      <c r="I1136" s="57" t="n">
        <v>14754.4294987798</v>
      </c>
      <c r="J1136" s="58" t="str">
        <f>I1136-E1136</f>
      </c>
    </row>
    <row r="1137">
      <c r="A1137" t="s">
        <v>220</v>
      </c>
      <c r="B1137" t="s">
        <v>222</v>
      </c>
      <c r="C1137" s="52" t="n">
        <v>2031</v>
      </c>
      <c r="D1137" t="s">
        <v>230</v>
      </c>
      <c r="E1137" s="53" t="n">
        <v>1113747.74761212</v>
      </c>
      <c r="F1137" s="54" t="n">
        <v>177420.804195129</v>
      </c>
      <c r="G1137" s="55" t="n">
        <v>177420.195676039</v>
      </c>
      <c r="H1137" s="56" t="str">
        <f>G1137-F1137</f>
      </c>
      <c r="I1137" s="57" t="n">
        <v>1113725.22635968</v>
      </c>
      <c r="J1137" s="58" t="str">
        <f>I1137-E1137</f>
      </c>
    </row>
    <row r="1138">
      <c r="A1138" t="s">
        <v>220</v>
      </c>
      <c r="B1138" t="s">
        <v>222</v>
      </c>
      <c r="C1138" s="52" t="n">
        <v>2031</v>
      </c>
      <c r="D1138" t="s">
        <v>166</v>
      </c>
      <c r="E1138" s="53" t="n">
        <v>115763.368409021</v>
      </c>
      <c r="F1138" s="54" t="n">
        <v>76558.0267411924</v>
      </c>
      <c r="G1138" s="55" t="n">
        <v>76556.6280135149</v>
      </c>
      <c r="H1138" s="56" t="str">
        <f>G1138-F1138</f>
      </c>
      <c r="I1138" s="57" t="n">
        <v>115757.018858842</v>
      </c>
      <c r="J1138" s="58" t="str">
        <f>I1138-E1138</f>
      </c>
    </row>
    <row r="1139">
      <c r="A1139" t="s">
        <v>220</v>
      </c>
      <c r="B1139" t="s">
        <v>222</v>
      </c>
      <c r="C1139" s="52" t="n">
        <v>2031</v>
      </c>
      <c r="D1139" t="s">
        <v>176</v>
      </c>
      <c r="E1139" s="53" t="n">
        <v>274729.480809157</v>
      </c>
      <c r="F1139" s="54" t="n">
        <v>257045.779553582</v>
      </c>
      <c r="G1139" s="55" t="n">
        <v>257245.005480193</v>
      </c>
      <c r="H1139" s="56" t="str">
        <f>G1139-F1139</f>
      </c>
      <c r="I1139" s="57" t="n">
        <v>274719.77758767</v>
      </c>
      <c r="J1139" s="58" t="str">
        <f>I1139-E1139</f>
      </c>
    </row>
    <row r="1140">
      <c r="A1140" t="s">
        <v>220</v>
      </c>
      <c r="B1140" t="s">
        <v>222</v>
      </c>
      <c r="C1140" s="52" t="n">
        <v>2031</v>
      </c>
      <c r="D1140" t="s">
        <v>180</v>
      </c>
      <c r="E1140" s="53" t="n">
        <v>646137.110235311</v>
      </c>
      <c r="F1140" s="54" t="n">
        <v>374211.873299303</v>
      </c>
      <c r="G1140" s="55" t="n">
        <v>374207.729078974</v>
      </c>
      <c r="H1140" s="56" t="str">
        <f>G1140-F1140</f>
      </c>
      <c r="I1140" s="57" t="n">
        <v>646110.864169859</v>
      </c>
      <c r="J1140" s="58" t="str">
        <f>I1140-E1140</f>
      </c>
    </row>
    <row r="1141">
      <c r="A1141" t="s">
        <v>220</v>
      </c>
      <c r="B1141" t="s">
        <v>222</v>
      </c>
      <c r="C1141" s="52" t="n">
        <v>2031</v>
      </c>
      <c r="D1141" t="s">
        <v>184</v>
      </c>
      <c r="E1141" s="53" t="n">
        <v>339207.97189656</v>
      </c>
      <c r="F1141" s="54" t="n">
        <v>183630.250911535</v>
      </c>
      <c r="G1141" s="55" t="n">
        <v>184315.562373235</v>
      </c>
      <c r="H1141" s="56" t="str">
        <f>G1141-F1141</f>
      </c>
      <c r="I1141" s="57" t="n">
        <v>339204.419150594</v>
      </c>
      <c r="J1141" s="58" t="str">
        <f>I1141-E1141</f>
      </c>
    </row>
    <row r="1142">
      <c r="A1142" t="s">
        <v>220</v>
      </c>
      <c r="B1142" t="s">
        <v>222</v>
      </c>
      <c r="C1142" s="52" t="n">
        <v>2031</v>
      </c>
      <c r="D1142" t="s">
        <v>212</v>
      </c>
      <c r="E1142" s="53" t="n">
        <v>38191.6235587517</v>
      </c>
      <c r="F1142" s="54" t="n">
        <v>4274.72733117874</v>
      </c>
      <c r="G1142" s="55" t="n">
        <v>4274.72729327381</v>
      </c>
      <c r="H1142" s="56" t="str">
        <f>G1142-F1142</f>
      </c>
      <c r="I1142" s="57" t="n">
        <v>38191.6231000681</v>
      </c>
      <c r="J1142" s="58" t="str">
        <f>I1142-E1142</f>
      </c>
    </row>
    <row r="1143">
      <c r="A1143" t="s">
        <v>220</v>
      </c>
      <c r="B1143" t="s">
        <v>222</v>
      </c>
      <c r="C1143" s="52" t="n">
        <v>2032</v>
      </c>
      <c r="D1143" t="s">
        <v>190</v>
      </c>
      <c r="E1143" s="53" t="n">
        <v>15248.6252798094</v>
      </c>
      <c r="F1143" s="54" t="n">
        <v>11132.4048600395</v>
      </c>
      <c r="G1143" s="55" t="n">
        <v>11132.1787355836</v>
      </c>
      <c r="H1143" s="56" t="str">
        <f>G1143-F1143</f>
      </c>
      <c r="I1143" s="57" t="n">
        <v>15247.769190462</v>
      </c>
      <c r="J1143" s="58" t="str">
        <f>I1143-E1143</f>
      </c>
    </row>
    <row r="1144">
      <c r="A1144" t="s">
        <v>220</v>
      </c>
      <c r="B1144" t="s">
        <v>222</v>
      </c>
      <c r="C1144" s="52" t="n">
        <v>2032</v>
      </c>
      <c r="D1144" t="s">
        <v>230</v>
      </c>
      <c r="E1144" s="53" t="n">
        <v>1126812.06019569</v>
      </c>
      <c r="F1144" s="54" t="n">
        <v>185692.385905075</v>
      </c>
      <c r="G1144" s="55" t="n">
        <v>185691.45221249</v>
      </c>
      <c r="H1144" s="56" t="str">
        <f>G1144-F1144</f>
      </c>
      <c r="I1144" s="57" t="n">
        <v>1126783.31749171</v>
      </c>
      <c r="J1144" s="58" t="str">
        <f>I1144-E1144</f>
      </c>
    </row>
    <row r="1145">
      <c r="A1145" t="s">
        <v>220</v>
      </c>
      <c r="B1145" t="s">
        <v>222</v>
      </c>
      <c r="C1145" s="52" t="n">
        <v>2032</v>
      </c>
      <c r="D1145" t="s">
        <v>166</v>
      </c>
      <c r="E1145" s="53" t="n">
        <v>116900.865364405</v>
      </c>
      <c r="F1145" s="54" t="n">
        <v>77200.3946986976</v>
      </c>
      <c r="G1145" s="55" t="n">
        <v>77198.3893074221</v>
      </c>
      <c r="H1145" s="56" t="str">
        <f>G1145-F1145</f>
      </c>
      <c r="I1145" s="57" t="n">
        <v>116892.91249656</v>
      </c>
      <c r="J1145" s="58" t="str">
        <f>I1145-E1145</f>
      </c>
    </row>
    <row r="1146">
      <c r="A1146" t="s">
        <v>220</v>
      </c>
      <c r="B1146" t="s">
        <v>222</v>
      </c>
      <c r="C1146" s="52" t="n">
        <v>2032</v>
      </c>
      <c r="D1146" t="s">
        <v>176</v>
      </c>
      <c r="E1146" s="53" t="n">
        <v>274424.661884163</v>
      </c>
      <c r="F1146" s="54" t="n">
        <v>256537.332504747</v>
      </c>
      <c r="G1146" s="55" t="n">
        <v>256745.676365841</v>
      </c>
      <c r="H1146" s="56" t="str">
        <f>G1146-F1146</f>
      </c>
      <c r="I1146" s="57" t="n">
        <v>274412.393429799</v>
      </c>
      <c r="J1146" s="58" t="str">
        <f>I1146-E1146</f>
      </c>
    </row>
    <row r="1147">
      <c r="A1147" t="s">
        <v>220</v>
      </c>
      <c r="B1147" t="s">
        <v>222</v>
      </c>
      <c r="C1147" s="52" t="n">
        <v>2032</v>
      </c>
      <c r="D1147" t="s">
        <v>180</v>
      </c>
      <c r="E1147" s="53" t="n">
        <v>654552.821505096</v>
      </c>
      <c r="F1147" s="54" t="n">
        <v>380133.730682083</v>
      </c>
      <c r="G1147" s="55" t="n">
        <v>380127.647848666</v>
      </c>
      <c r="H1147" s="56" t="str">
        <f>G1147-F1147</f>
      </c>
      <c r="I1147" s="57" t="n">
        <v>654519.811420389</v>
      </c>
      <c r="J1147" s="58" t="str">
        <f>I1147-E1147</f>
      </c>
    </row>
    <row r="1148">
      <c r="A1148" t="s">
        <v>220</v>
      </c>
      <c r="B1148" t="s">
        <v>222</v>
      </c>
      <c r="C1148" s="52" t="n">
        <v>2032</v>
      </c>
      <c r="D1148" t="s">
        <v>184</v>
      </c>
      <c r="E1148" s="53" t="n">
        <v>341585.995876467</v>
      </c>
      <c r="F1148" s="54" t="n">
        <v>182958.139142302</v>
      </c>
      <c r="G1148" s="55" t="n">
        <v>183730.084212538</v>
      </c>
      <c r="H1148" s="56" t="str">
        <f>G1148-F1148</f>
      </c>
      <c r="I1148" s="57" t="n">
        <v>341581.65326776</v>
      </c>
      <c r="J1148" s="58" t="str">
        <f>I1148-E1148</f>
      </c>
    </row>
    <row r="1149">
      <c r="A1149" t="s">
        <v>220</v>
      </c>
      <c r="B1149" t="s">
        <v>222</v>
      </c>
      <c r="C1149" s="52" t="n">
        <v>2032</v>
      </c>
      <c r="D1149" t="s">
        <v>212</v>
      </c>
      <c r="E1149" s="53" t="n">
        <v>38037.5523272983</v>
      </c>
      <c r="F1149" s="54" t="n">
        <v>4125.72251494087</v>
      </c>
      <c r="G1149" s="55" t="n">
        <v>4125.72247917104</v>
      </c>
      <c r="H1149" s="56" t="str">
        <f>G1149-F1149</f>
      </c>
      <c r="I1149" s="57" t="n">
        <v>38037.5517920999</v>
      </c>
      <c r="J1149" s="58" t="str">
        <f>I1149-E1149</f>
      </c>
    </row>
    <row r="1150">
      <c r="A1150" t="s">
        <v>220</v>
      </c>
      <c r="B1150" t="s">
        <v>222</v>
      </c>
      <c r="C1150" s="52" t="n">
        <v>2033</v>
      </c>
      <c r="D1150" t="s">
        <v>190</v>
      </c>
      <c r="E1150" s="53" t="n">
        <v>15760.60229314</v>
      </c>
      <c r="F1150" s="54" t="n">
        <v>11452.5202230263</v>
      </c>
      <c r="G1150" s="55" t="n">
        <v>11452.2049974033</v>
      </c>
      <c r="H1150" s="56" t="str">
        <f>G1150-F1150</f>
      </c>
      <c r="I1150" s="57" t="n">
        <v>15759.5151167894</v>
      </c>
      <c r="J1150" s="58" t="str">
        <f>I1150-E1150</f>
      </c>
    </row>
    <row r="1151">
      <c r="A1151" t="s">
        <v>220</v>
      </c>
      <c r="B1151" t="s">
        <v>222</v>
      </c>
      <c r="C1151" s="52" t="n">
        <v>2033</v>
      </c>
      <c r="D1151" t="s">
        <v>230</v>
      </c>
      <c r="E1151" s="53" t="n">
        <v>1139308.23628569</v>
      </c>
      <c r="F1151" s="54" t="n">
        <v>194006.948742894</v>
      </c>
      <c r="G1151" s="55" t="n">
        <v>194005.600566516</v>
      </c>
      <c r="H1151" s="56" t="str">
        <f>G1151-F1151</f>
      </c>
      <c r="I1151" s="57" t="n">
        <v>1139272.75378683</v>
      </c>
      <c r="J1151" s="58" t="str">
        <f>I1151-E1151</f>
      </c>
    </row>
    <row r="1152">
      <c r="A1152" t="s">
        <v>220</v>
      </c>
      <c r="B1152" t="s">
        <v>222</v>
      </c>
      <c r="C1152" s="52" t="n">
        <v>2033</v>
      </c>
      <c r="D1152" t="s">
        <v>166</v>
      </c>
      <c r="E1152" s="53" t="n">
        <v>118291.422073578</v>
      </c>
      <c r="F1152" s="54" t="n">
        <v>77919.8696142038</v>
      </c>
      <c r="G1152" s="55" t="n">
        <v>77917.1620906902</v>
      </c>
      <c r="H1152" s="56" t="str">
        <f>G1152-F1152</f>
      </c>
      <c r="I1152" s="57" t="n">
        <v>118281.828559023</v>
      </c>
      <c r="J1152" s="58" t="str">
        <f>I1152-E1152</f>
      </c>
    </row>
    <row r="1153">
      <c r="A1153" t="s">
        <v>220</v>
      </c>
      <c r="B1153" t="s">
        <v>222</v>
      </c>
      <c r="C1153" s="52" t="n">
        <v>2033</v>
      </c>
      <c r="D1153" t="s">
        <v>176</v>
      </c>
      <c r="E1153" s="53" t="n">
        <v>273908.543732286</v>
      </c>
      <c r="F1153" s="54" t="n">
        <v>256440.158710377</v>
      </c>
      <c r="G1153" s="55" t="n">
        <v>256655.559026211</v>
      </c>
      <c r="H1153" s="56" t="str">
        <f>G1153-F1153</f>
      </c>
      <c r="I1153" s="57" t="n">
        <v>273893.528221021</v>
      </c>
      <c r="J1153" s="58" t="str">
        <f>I1153-E1153</f>
      </c>
    </row>
    <row r="1154">
      <c r="A1154" t="s">
        <v>220</v>
      </c>
      <c r="B1154" t="s">
        <v>222</v>
      </c>
      <c r="C1154" s="52" t="n">
        <v>2033</v>
      </c>
      <c r="D1154" t="s">
        <v>180</v>
      </c>
      <c r="E1154" s="53" t="n">
        <v>664049.147425482</v>
      </c>
      <c r="F1154" s="54" t="n">
        <v>386591.629944825</v>
      </c>
      <c r="G1154" s="55" t="n">
        <v>386583.230936034</v>
      </c>
      <c r="H1154" s="56" t="str">
        <f>G1154-F1154</f>
      </c>
      <c r="I1154" s="57" t="n">
        <v>664009.138744924</v>
      </c>
      <c r="J1154" s="58" t="str">
        <f>I1154-E1154</f>
      </c>
    </row>
    <row r="1155">
      <c r="A1155" t="s">
        <v>220</v>
      </c>
      <c r="B1155" t="s">
        <v>222</v>
      </c>
      <c r="C1155" s="52" t="n">
        <v>2033</v>
      </c>
      <c r="D1155" t="s">
        <v>184</v>
      </c>
      <c r="E1155" s="53" t="n">
        <v>345000.413149</v>
      </c>
      <c r="F1155" s="54" t="n">
        <v>182726.651369803</v>
      </c>
      <c r="G1155" s="55" t="n">
        <v>183583.042202715</v>
      </c>
      <c r="H1155" s="56" t="str">
        <f>G1155-F1155</f>
      </c>
      <c r="I1155" s="57" t="n">
        <v>344995.264629881</v>
      </c>
      <c r="J1155" s="58" t="str">
        <f>I1155-E1155</f>
      </c>
    </row>
    <row r="1156">
      <c r="A1156" t="s">
        <v>220</v>
      </c>
      <c r="B1156" t="s">
        <v>222</v>
      </c>
      <c r="C1156" s="52" t="n">
        <v>2033</v>
      </c>
      <c r="D1156" t="s">
        <v>212</v>
      </c>
      <c r="E1156" s="53" t="n">
        <v>37788.3965305568</v>
      </c>
      <c r="F1156" s="54" t="n">
        <v>3977.71440637294</v>
      </c>
      <c r="G1156" s="55" t="n">
        <v>3977.71437573526</v>
      </c>
      <c r="H1156" s="56" t="str">
        <f>G1156-F1156</f>
      </c>
      <c r="I1156" s="57" t="n">
        <v>37788.395913351</v>
      </c>
      <c r="J1156" s="58" t="str">
        <f>I1156-E1156</f>
      </c>
    </row>
    <row r="1157">
      <c r="A1157" t="s">
        <v>220</v>
      </c>
      <c r="B1157" t="s">
        <v>222</v>
      </c>
      <c r="C1157" s="52" t="n">
        <v>2034</v>
      </c>
      <c r="D1157" t="s">
        <v>190</v>
      </c>
      <c r="E1157" s="53" t="n">
        <v>16287.1121222462</v>
      </c>
      <c r="F1157" s="54" t="n">
        <v>11779.8355805027</v>
      </c>
      <c r="G1157" s="55" t="n">
        <v>11779.4141755774</v>
      </c>
      <c r="H1157" s="56" t="str">
        <f>G1157-F1157</f>
      </c>
      <c r="I1157" s="57" t="n">
        <v>16285.7640376227</v>
      </c>
      <c r="J1157" s="58" t="str">
        <f>I1157-E1157</f>
      </c>
    </row>
    <row r="1158">
      <c r="A1158" t="s">
        <v>220</v>
      </c>
      <c r="B1158" t="s">
        <v>222</v>
      </c>
      <c r="C1158" s="52" t="n">
        <v>2034</v>
      </c>
      <c r="D1158" t="s">
        <v>230</v>
      </c>
      <c r="E1158" s="53" t="n">
        <v>1151275.32380439</v>
      </c>
      <c r="F1158" s="54" t="n">
        <v>202322.497342932</v>
      </c>
      <c r="G1158" s="55" t="n">
        <v>202320.636121151</v>
      </c>
      <c r="H1158" s="56" t="str">
        <f>G1158-F1158</f>
      </c>
      <c r="I1158" s="57" t="n">
        <v>1151232.62464015</v>
      </c>
      <c r="J1158" s="58" t="str">
        <f>I1158-E1158</f>
      </c>
    </row>
    <row r="1159">
      <c r="A1159" t="s">
        <v>220</v>
      </c>
      <c r="B1159" t="s">
        <v>222</v>
      </c>
      <c r="C1159" s="52" t="n">
        <v>2034</v>
      </c>
      <c r="D1159" t="s">
        <v>166</v>
      </c>
      <c r="E1159" s="53" t="n">
        <v>119185.667062424</v>
      </c>
      <c r="F1159" s="54" t="n">
        <v>78785.2186141517</v>
      </c>
      <c r="G1159" s="55" t="n">
        <v>78781.7232358728</v>
      </c>
      <c r="H1159" s="56" t="str">
        <f>G1159-F1159</f>
      </c>
      <c r="I1159" s="57" t="n">
        <v>119173.805374547</v>
      </c>
      <c r="J1159" s="58" t="str">
        <f>I1159-E1159</f>
      </c>
    </row>
    <row r="1160">
      <c r="A1160" t="s">
        <v>220</v>
      </c>
      <c r="B1160" t="s">
        <v>222</v>
      </c>
      <c r="C1160" s="52" t="n">
        <v>2034</v>
      </c>
      <c r="D1160" t="s">
        <v>176</v>
      </c>
      <c r="E1160" s="53" t="n">
        <v>273687.470950551</v>
      </c>
      <c r="F1160" s="54" t="n">
        <v>256531.427776054</v>
      </c>
      <c r="G1160" s="55" t="n">
        <v>256753.127116244</v>
      </c>
      <c r="H1160" s="56" t="str">
        <f>G1160-F1160</f>
      </c>
      <c r="I1160" s="57" t="n">
        <v>273669.650202867</v>
      </c>
      <c r="J1160" s="58" t="str">
        <f>I1160-E1160</f>
      </c>
    </row>
    <row r="1161">
      <c r="A1161" t="s">
        <v>220</v>
      </c>
      <c r="B1161" t="s">
        <v>222</v>
      </c>
      <c r="C1161" s="52" t="n">
        <v>2034</v>
      </c>
      <c r="D1161" t="s">
        <v>180</v>
      </c>
      <c r="E1161" s="53" t="n">
        <v>669614.516932208</v>
      </c>
      <c r="F1161" s="54" t="n">
        <v>393817.978508535</v>
      </c>
      <c r="G1161" s="55" t="n">
        <v>393806.920121914</v>
      </c>
      <c r="H1161" s="56" t="str">
        <f>G1161-F1161</f>
      </c>
      <c r="I1161" s="57" t="n">
        <v>669565.091865969</v>
      </c>
      <c r="J1161" s="58" t="str">
        <f>I1161-E1161</f>
      </c>
    </row>
    <row r="1162">
      <c r="A1162" t="s">
        <v>220</v>
      </c>
      <c r="B1162" t="s">
        <v>222</v>
      </c>
      <c r="C1162" s="52" t="n">
        <v>2034</v>
      </c>
      <c r="D1162" t="s">
        <v>184</v>
      </c>
      <c r="E1162" s="53" t="n">
        <v>345932.510916637</v>
      </c>
      <c r="F1162" s="54" t="n">
        <v>183853.533065677</v>
      </c>
      <c r="G1162" s="55" t="n">
        <v>184800.885019324</v>
      </c>
      <c r="H1162" s="56" t="str">
        <f>G1162-F1162</f>
      </c>
      <c r="I1162" s="57" t="n">
        <v>345926.396497523</v>
      </c>
      <c r="J1162" s="58" t="str">
        <f>I1162-E1162</f>
      </c>
    </row>
    <row r="1163">
      <c r="A1163" t="s">
        <v>220</v>
      </c>
      <c r="B1163" t="s">
        <v>222</v>
      </c>
      <c r="C1163" s="52" t="n">
        <v>2034</v>
      </c>
      <c r="D1163" t="s">
        <v>212</v>
      </c>
      <c r="E1163" s="53" t="n">
        <v>37391.1197011399</v>
      </c>
      <c r="F1163" s="54" t="n">
        <v>3849.43645392863</v>
      </c>
      <c r="G1163" s="55" t="n">
        <v>3849.43642407178</v>
      </c>
      <c r="H1163" s="56" t="str">
        <f>G1163-F1163</f>
      </c>
      <c r="I1163" s="57" t="n">
        <v>37391.1189795399</v>
      </c>
      <c r="J1163" s="58" t="str">
        <f>I1163-E1163</f>
      </c>
    </row>
    <row r="1164">
      <c r="A1164" t="s">
        <v>220</v>
      </c>
      <c r="B1164" t="s">
        <v>222</v>
      </c>
      <c r="C1164" s="52" t="n">
        <v>2035</v>
      </c>
      <c r="D1164" t="s">
        <v>190</v>
      </c>
      <c r="E1164" s="53" t="n">
        <v>16832.2832925461</v>
      </c>
      <c r="F1164" s="54" t="n">
        <v>12113.3595868986</v>
      </c>
      <c r="G1164" s="55" t="n">
        <v>12112.814364394</v>
      </c>
      <c r="H1164" s="56" t="str">
        <f>G1164-F1164</f>
      </c>
      <c r="I1164" s="57" t="n">
        <v>16830.6420972909</v>
      </c>
      <c r="J1164" s="58" t="str">
        <f>I1164-E1164</f>
      </c>
    </row>
    <row r="1165">
      <c r="A1165" t="s">
        <v>220</v>
      </c>
      <c r="B1165" t="s">
        <v>222</v>
      </c>
      <c r="C1165" s="52" t="n">
        <v>2035</v>
      </c>
      <c r="D1165" t="s">
        <v>230</v>
      </c>
      <c r="E1165" s="53" t="n">
        <v>1162827.65078914</v>
      </c>
      <c r="F1165" s="54" t="n">
        <v>210629.895248707</v>
      </c>
      <c r="G1165" s="55" t="n">
        <v>210627.422792314</v>
      </c>
      <c r="H1165" s="56" t="str">
        <f>G1165-F1165</f>
      </c>
      <c r="I1165" s="57" t="n">
        <v>1162777.28327874</v>
      </c>
      <c r="J1165" s="58" t="str">
        <f>I1165-E1165</f>
      </c>
    </row>
    <row r="1166">
      <c r="A1166" t="s">
        <v>220</v>
      </c>
      <c r="B1166" t="s">
        <v>222</v>
      </c>
      <c r="C1166" s="52" t="n">
        <v>2035</v>
      </c>
      <c r="D1166" t="s">
        <v>166</v>
      </c>
      <c r="E1166" s="53" t="n">
        <v>120812.874273844</v>
      </c>
      <c r="F1166" s="54" t="n">
        <v>79461.0274217721</v>
      </c>
      <c r="G1166" s="55" t="n">
        <v>79456.6324211876</v>
      </c>
      <c r="H1166" s="56" t="str">
        <f>G1166-F1166</f>
      </c>
      <c r="I1166" s="57" t="n">
        <v>120799.065903184</v>
      </c>
      <c r="J1166" s="58" t="str">
        <f>I1166-E1166</f>
      </c>
    </row>
    <row r="1167">
      <c r="A1167" t="s">
        <v>220</v>
      </c>
      <c r="B1167" t="s">
        <v>222</v>
      </c>
      <c r="C1167" s="52" t="n">
        <v>2035</v>
      </c>
      <c r="D1167" t="s">
        <v>176</v>
      </c>
      <c r="E1167" s="53" t="n">
        <v>273366.111368676</v>
      </c>
      <c r="F1167" s="54" t="n">
        <v>256580.977557064</v>
      </c>
      <c r="G1167" s="55" t="n">
        <v>256807.532230081</v>
      </c>
      <c r="H1167" s="56" t="str">
        <f>G1167-F1167</f>
      </c>
      <c r="I1167" s="57" t="n">
        <v>273345.360062938</v>
      </c>
      <c r="J1167" s="58" t="str">
        <f>I1167-E1167</f>
      </c>
    </row>
    <row r="1168">
      <c r="A1168" t="s">
        <v>220</v>
      </c>
      <c r="B1168" t="s">
        <v>222</v>
      </c>
      <c r="C1168" s="52" t="n">
        <v>2035</v>
      </c>
      <c r="D1168" t="s">
        <v>180</v>
      </c>
      <c r="E1168" s="53" t="n">
        <v>678696.117305318</v>
      </c>
      <c r="F1168" s="54" t="n">
        <v>399507.115072727</v>
      </c>
      <c r="G1168" s="55" t="n">
        <v>399492.950532998</v>
      </c>
      <c r="H1168" s="56" t="str">
        <f>G1168-F1168</f>
      </c>
      <c r="I1168" s="57" t="n">
        <v>678638.434521443</v>
      </c>
      <c r="J1168" s="58" t="str">
        <f>I1168-E1168</f>
      </c>
    </row>
    <row r="1169">
      <c r="A1169" t="s">
        <v>220</v>
      </c>
      <c r="B1169" t="s">
        <v>222</v>
      </c>
      <c r="C1169" s="52" t="n">
        <v>2035</v>
      </c>
      <c r="D1169" t="s">
        <v>184</v>
      </c>
      <c r="E1169" s="53" t="n">
        <v>349153.080288608</v>
      </c>
      <c r="F1169" s="54" t="n">
        <v>184338.004345207</v>
      </c>
      <c r="G1169" s="55" t="n">
        <v>185365.761103579</v>
      </c>
      <c r="H1169" s="56" t="str">
        <f>G1169-F1169</f>
      </c>
      <c r="I1169" s="57" t="n">
        <v>349146.062455764</v>
      </c>
      <c r="J1169" s="58" t="str">
        <f>I1169-E1169</f>
      </c>
    </row>
    <row r="1170">
      <c r="A1170" t="s">
        <v>220</v>
      </c>
      <c r="B1170" t="s">
        <v>222</v>
      </c>
      <c r="C1170" s="52" t="n">
        <v>2035</v>
      </c>
      <c r="D1170" t="s">
        <v>212</v>
      </c>
      <c r="E1170" s="53" t="n">
        <v>37274.3986818903</v>
      </c>
      <c r="F1170" s="54" t="n">
        <v>3710.43180365132</v>
      </c>
      <c r="G1170" s="55" t="n">
        <v>3710.43177455469</v>
      </c>
      <c r="H1170" s="56" t="str">
        <f>G1170-F1170</f>
      </c>
      <c r="I1170" s="57" t="n">
        <v>37274.3979018446</v>
      </c>
      <c r="J1170" s="58" t="str">
        <f>I1170-E1170</f>
      </c>
    </row>
    <row r="1171">
      <c r="A1171" t="s">
        <v>220</v>
      </c>
      <c r="B1171" t="s">
        <v>222</v>
      </c>
      <c r="C1171" s="52" t="n">
        <v>2036</v>
      </c>
      <c r="D1171" t="s">
        <v>190</v>
      </c>
      <c r="E1171" s="53" t="n">
        <v>17394.5753146209</v>
      </c>
      <c r="F1171" s="54" t="n">
        <v>12453.5517104338</v>
      </c>
      <c r="G1171" s="55" t="n">
        <v>12452.8640137516</v>
      </c>
      <c r="H1171" s="56" t="str">
        <f>G1171-F1171</f>
      </c>
      <c r="I1171" s="57" t="n">
        <v>17392.6099040701</v>
      </c>
      <c r="J1171" s="58" t="str">
        <f>I1171-E1171</f>
      </c>
    </row>
    <row r="1172">
      <c r="A1172" t="s">
        <v>220</v>
      </c>
      <c r="B1172" t="s">
        <v>222</v>
      </c>
      <c r="C1172" s="52" t="n">
        <v>2036</v>
      </c>
      <c r="D1172" t="s">
        <v>230</v>
      </c>
      <c r="E1172" s="53" t="n">
        <v>1174143.92811106</v>
      </c>
      <c r="F1172" s="54" t="n">
        <v>218909.817088714</v>
      </c>
      <c r="G1172" s="55" t="n">
        <v>218906.623444501</v>
      </c>
      <c r="H1172" s="56" t="str">
        <f>G1172-F1172</f>
      </c>
      <c r="I1172" s="57" t="n">
        <v>1174085.51289072</v>
      </c>
      <c r="J1172" s="58" t="str">
        <f>I1172-E1172</f>
      </c>
    </row>
    <row r="1173">
      <c r="A1173" t="s">
        <v>220</v>
      </c>
      <c r="B1173" t="s">
        <v>222</v>
      </c>
      <c r="C1173" s="52" t="n">
        <v>2036</v>
      </c>
      <c r="D1173" t="s">
        <v>166</v>
      </c>
      <c r="E1173" s="53" t="n">
        <v>122634.165392064</v>
      </c>
      <c r="F1173" s="54" t="n">
        <v>80308.2152558564</v>
      </c>
      <c r="G1173" s="55" t="n">
        <v>80302.8429955226</v>
      </c>
      <c r="H1173" s="56" t="str">
        <f>G1173-F1173</f>
      </c>
      <c r="I1173" s="57" t="n">
        <v>122618.320312187</v>
      </c>
      <c r="J1173" s="58" t="str">
        <f>I1173-E1173</f>
      </c>
    </row>
    <row r="1174">
      <c r="A1174" t="s">
        <v>220</v>
      </c>
      <c r="B1174" t="s">
        <v>222</v>
      </c>
      <c r="C1174" s="52" t="n">
        <v>2036</v>
      </c>
      <c r="D1174" t="s">
        <v>176</v>
      </c>
      <c r="E1174" s="53" t="n">
        <v>273321.34407897</v>
      </c>
      <c r="F1174" s="54" t="n">
        <v>256702.705540678</v>
      </c>
      <c r="G1174" s="55" t="n">
        <v>256933.398229342</v>
      </c>
      <c r="H1174" s="56" t="str">
        <f>G1174-F1174</f>
      </c>
      <c r="I1174" s="57" t="n">
        <v>273297.569822228</v>
      </c>
      <c r="J1174" s="58" t="str">
        <f>I1174-E1174</f>
      </c>
    </row>
    <row r="1175">
      <c r="A1175" t="s">
        <v>220</v>
      </c>
      <c r="B1175" t="s">
        <v>222</v>
      </c>
      <c r="C1175" s="52" t="n">
        <v>2036</v>
      </c>
      <c r="D1175" t="s">
        <v>180</v>
      </c>
      <c r="E1175" s="53" t="n">
        <v>688261.022909968</v>
      </c>
      <c r="F1175" s="54" t="n">
        <v>406010.273592966</v>
      </c>
      <c r="G1175" s="55" t="n">
        <v>405992.653493878</v>
      </c>
      <c r="H1175" s="56" t="str">
        <f>G1175-F1175</f>
      </c>
      <c r="I1175" s="57" t="n">
        <v>688194.684475592</v>
      </c>
      <c r="J1175" s="58" t="str">
        <f>I1175-E1175</f>
      </c>
    </row>
    <row r="1176">
      <c r="A1176" t="s">
        <v>220</v>
      </c>
      <c r="B1176" t="s">
        <v>222</v>
      </c>
      <c r="C1176" s="52" t="n">
        <v>2036</v>
      </c>
      <c r="D1176" t="s">
        <v>184</v>
      </c>
      <c r="E1176" s="53" t="n">
        <v>352611.01697621</v>
      </c>
      <c r="F1176" s="54" t="n">
        <v>185314.259190302</v>
      </c>
      <c r="G1176" s="55" t="n">
        <v>186417.92722248</v>
      </c>
      <c r="H1176" s="56" t="str">
        <f>G1176-F1176</f>
      </c>
      <c r="I1176" s="57" t="n">
        <v>352603.071714204</v>
      </c>
      <c r="J1176" s="58" t="str">
        <f>I1176-E1176</f>
      </c>
    </row>
    <row r="1177">
      <c r="A1177" t="s">
        <v>220</v>
      </c>
      <c r="B1177" t="s">
        <v>222</v>
      </c>
      <c r="C1177" s="52" t="n">
        <v>2036</v>
      </c>
      <c r="D1177" t="s">
        <v>212</v>
      </c>
      <c r="E1177" s="53" t="n">
        <v>37283.028475077</v>
      </c>
      <c r="F1177" s="54" t="n">
        <v>3578.6600931722</v>
      </c>
      <c r="G1177" s="55" t="n">
        <v>3578.66006488627</v>
      </c>
      <c r="H1177" s="56" t="str">
        <f>G1177-F1177</f>
      </c>
      <c r="I1177" s="57" t="n">
        <v>37283.0276293956</v>
      </c>
      <c r="J1177" s="58" t="str">
        <f>I1177-E1177</f>
      </c>
    </row>
    <row r="1178">
      <c r="A1178" t="s">
        <v>220</v>
      </c>
      <c r="B1178" t="s">
        <v>222</v>
      </c>
      <c r="C1178" s="52" t="n">
        <v>2037</v>
      </c>
      <c r="D1178" t="s">
        <v>190</v>
      </c>
      <c r="E1178" s="53" t="n">
        <v>17973.8003374228</v>
      </c>
      <c r="F1178" s="54" t="n">
        <v>12800.328410467</v>
      </c>
      <c r="G1178" s="55" t="n">
        <v>12799.4794545616</v>
      </c>
      <c r="H1178" s="56" t="str">
        <f>G1178-F1178</f>
      </c>
      <c r="I1178" s="57" t="n">
        <v>17971.4828640642</v>
      </c>
      <c r="J1178" s="58" t="str">
        <f>I1178-E1178</f>
      </c>
    </row>
    <row r="1179">
      <c r="A1179" t="s">
        <v>220</v>
      </c>
      <c r="B1179" t="s">
        <v>222</v>
      </c>
      <c r="C1179" s="52" t="n">
        <v>2037</v>
      </c>
      <c r="D1179" t="s">
        <v>230</v>
      </c>
      <c r="E1179" s="53" t="n">
        <v>1185331.5495184</v>
      </c>
      <c r="F1179" s="54" t="n">
        <v>227149.880628529</v>
      </c>
      <c r="G1179" s="55" t="n">
        <v>227145.85064844</v>
      </c>
      <c r="H1179" s="56" t="str">
        <f>G1179-F1179</f>
      </c>
      <c r="I1179" s="57" t="n">
        <v>1185264.74384977</v>
      </c>
      <c r="J1179" s="58" t="str">
        <f>I1179-E1179</f>
      </c>
    </row>
    <row r="1180">
      <c r="A1180" t="s">
        <v>220</v>
      </c>
      <c r="B1180" t="s">
        <v>222</v>
      </c>
      <c r="C1180" s="52" t="n">
        <v>2037</v>
      </c>
      <c r="D1180" t="s">
        <v>166</v>
      </c>
      <c r="E1180" s="53" t="n">
        <v>124507.348193245</v>
      </c>
      <c r="F1180" s="54" t="n">
        <v>81251.112363871</v>
      </c>
      <c r="G1180" s="55" t="n">
        <v>81244.6913895843</v>
      </c>
      <c r="H1180" s="56" t="str">
        <f>G1180-F1180</f>
      </c>
      <c r="I1180" s="57" t="n">
        <v>124489.429760244</v>
      </c>
      <c r="J1180" s="58" t="str">
        <f>I1180-E1180</f>
      </c>
    </row>
    <row r="1181">
      <c r="A1181" t="s">
        <v>220</v>
      </c>
      <c r="B1181" t="s">
        <v>222</v>
      </c>
      <c r="C1181" s="52" t="n">
        <v>2037</v>
      </c>
      <c r="D1181" t="s">
        <v>176</v>
      </c>
      <c r="E1181" s="53" t="n">
        <v>273229.643016229</v>
      </c>
      <c r="F1181" s="54" t="n">
        <v>256837.442010077</v>
      </c>
      <c r="G1181" s="55" t="n">
        <v>257070.973149134</v>
      </c>
      <c r="H1181" s="56" t="str">
        <f>G1181-F1181</f>
      </c>
      <c r="I1181" s="57" t="n">
        <v>273202.802274069</v>
      </c>
      <c r="J1181" s="58" t="str">
        <f>I1181-E1181</f>
      </c>
    </row>
    <row r="1182">
      <c r="A1182" t="s">
        <v>220</v>
      </c>
      <c r="B1182" t="s">
        <v>222</v>
      </c>
      <c r="C1182" s="52" t="n">
        <v>2037</v>
      </c>
      <c r="D1182" t="s">
        <v>180</v>
      </c>
      <c r="E1182" s="53" t="n">
        <v>698135.726363347</v>
      </c>
      <c r="F1182" s="54" t="n">
        <v>413039.756463169</v>
      </c>
      <c r="G1182" s="55" t="n">
        <v>413018.343093551</v>
      </c>
      <c r="H1182" s="56" t="str">
        <f>G1182-F1182</f>
      </c>
      <c r="I1182" s="57" t="n">
        <v>698060.502126947</v>
      </c>
      <c r="J1182" s="58" t="str">
        <f>I1182-E1182</f>
      </c>
    </row>
    <row r="1183">
      <c r="A1183" t="s">
        <v>220</v>
      </c>
      <c r="B1183" t="s">
        <v>222</v>
      </c>
      <c r="C1183" s="52" t="n">
        <v>2037</v>
      </c>
      <c r="D1183" t="s">
        <v>184</v>
      </c>
      <c r="E1183" s="53" t="n">
        <v>356434.574626679</v>
      </c>
      <c r="F1183" s="54" t="n">
        <v>186609.713612621</v>
      </c>
      <c r="G1183" s="55" t="n">
        <v>187788.312528489</v>
      </c>
      <c r="H1183" s="56" t="str">
        <f>G1183-F1183</f>
      </c>
      <c r="I1183" s="57" t="n">
        <v>356425.678918654</v>
      </c>
      <c r="J1183" s="58" t="str">
        <f>I1183-E1183</f>
      </c>
    </row>
    <row r="1184">
      <c r="A1184" t="s">
        <v>220</v>
      </c>
      <c r="B1184" t="s">
        <v>222</v>
      </c>
      <c r="C1184" s="52" t="n">
        <v>2037</v>
      </c>
      <c r="D1184" t="s">
        <v>212</v>
      </c>
      <c r="E1184" s="53" t="n">
        <v>36837.2783904822</v>
      </c>
      <c r="F1184" s="54" t="n">
        <v>3450.19468278851</v>
      </c>
      <c r="G1184" s="55" t="n">
        <v>3450.19465573699</v>
      </c>
      <c r="H1184" s="56" t="str">
        <f>G1184-F1184</f>
      </c>
      <c r="I1184" s="57" t="n">
        <v>36837.2774807632</v>
      </c>
      <c r="J1184" s="58" t="str">
        <f>I1184-E1184</f>
      </c>
    </row>
    <row r="1185">
      <c r="A1185" t="s">
        <v>220</v>
      </c>
      <c r="B1185" t="s">
        <v>222</v>
      </c>
      <c r="C1185" s="52" t="n">
        <v>2038</v>
      </c>
      <c r="D1185" t="s">
        <v>190</v>
      </c>
      <c r="E1185" s="53" t="n">
        <v>18567.4319035219</v>
      </c>
      <c r="F1185" s="54" t="n">
        <v>13156.6327703927</v>
      </c>
      <c r="G1185" s="55" t="n">
        <v>13155.6038503287</v>
      </c>
      <c r="H1185" s="56" t="str">
        <f>G1185-F1185</f>
      </c>
      <c r="I1185" s="57" t="n">
        <v>18564.7325343064</v>
      </c>
      <c r="J1185" s="58" t="str">
        <f>I1185-E1185</f>
      </c>
    </row>
    <row r="1186">
      <c r="A1186" t="s">
        <v>220</v>
      </c>
      <c r="B1186" t="s">
        <v>222</v>
      </c>
      <c r="C1186" s="52" t="n">
        <v>2038</v>
      </c>
      <c r="D1186" t="s">
        <v>230</v>
      </c>
      <c r="E1186" s="53" t="n">
        <v>1196390.05073527</v>
      </c>
      <c r="F1186" s="54" t="n">
        <v>235334.589855831</v>
      </c>
      <c r="G1186" s="55" t="n">
        <v>235329.601498619</v>
      </c>
      <c r="H1186" s="56" t="str">
        <f>G1186-F1186</f>
      </c>
      <c r="I1186" s="57" t="n">
        <v>1196314.54511457</v>
      </c>
      <c r="J1186" s="58" t="str">
        <f>I1186-E1186</f>
      </c>
    </row>
    <row r="1187">
      <c r="A1187" t="s">
        <v>220</v>
      </c>
      <c r="B1187" t="s">
        <v>222</v>
      </c>
      <c r="C1187" s="52" t="n">
        <v>2038</v>
      </c>
      <c r="D1187" t="s">
        <v>166</v>
      </c>
      <c r="E1187" s="53" t="n">
        <v>126575.765589857</v>
      </c>
      <c r="F1187" s="54" t="n">
        <v>82261.4615015561</v>
      </c>
      <c r="G1187" s="55" t="n">
        <v>82253.930841494</v>
      </c>
      <c r="H1187" s="56" t="str">
        <f>G1187-F1187</f>
      </c>
      <c r="I1187" s="57" t="n">
        <v>126555.833855502</v>
      </c>
      <c r="J1187" s="58" t="str">
        <f>I1187-E1187</f>
      </c>
    </row>
    <row r="1188">
      <c r="A1188" t="s">
        <v>220</v>
      </c>
      <c r="B1188" t="s">
        <v>222</v>
      </c>
      <c r="C1188" s="52" t="n">
        <v>2038</v>
      </c>
      <c r="D1188" t="s">
        <v>176</v>
      </c>
      <c r="E1188" s="53" t="n">
        <v>273065.335260817</v>
      </c>
      <c r="F1188" s="54" t="n">
        <v>256895.184945813</v>
      </c>
      <c r="G1188" s="55" t="n">
        <v>257130.676610817</v>
      </c>
      <c r="H1188" s="56" t="str">
        <f>G1188-F1188</f>
      </c>
      <c r="I1188" s="57" t="n">
        <v>273035.370644084</v>
      </c>
      <c r="J1188" s="58" t="str">
        <f>I1188-E1188</f>
      </c>
    </row>
    <row r="1189">
      <c r="A1189" t="s">
        <v>220</v>
      </c>
      <c r="B1189" t="s">
        <v>222</v>
      </c>
      <c r="C1189" s="52" t="n">
        <v>2038</v>
      </c>
      <c r="D1189" t="s">
        <v>180</v>
      </c>
      <c r="E1189" s="53" t="n">
        <v>708758.546407215</v>
      </c>
      <c r="F1189" s="54" t="n">
        <v>420470.777160467</v>
      </c>
      <c r="G1189" s="55" t="n">
        <v>420445.264129068</v>
      </c>
      <c r="H1189" s="56" t="str">
        <f>G1189-F1189</f>
      </c>
      <c r="I1189" s="57" t="n">
        <v>708674.574961299</v>
      </c>
      <c r="J1189" s="58" t="str">
        <f>I1189-E1189</f>
      </c>
    </row>
    <row r="1190">
      <c r="A1190" t="s">
        <v>220</v>
      </c>
      <c r="B1190" t="s">
        <v>222</v>
      </c>
      <c r="C1190" s="52" t="n">
        <v>2038</v>
      </c>
      <c r="D1190" t="s">
        <v>184</v>
      </c>
      <c r="E1190" s="53" t="n">
        <v>360910.772423241</v>
      </c>
      <c r="F1190" s="54" t="n">
        <v>188094.877842141</v>
      </c>
      <c r="G1190" s="55" t="n">
        <v>189347.422266605</v>
      </c>
      <c r="H1190" s="56" t="str">
        <f>G1190-F1190</f>
      </c>
      <c r="I1190" s="57" t="n">
        <v>360900.93527345</v>
      </c>
      <c r="J1190" s="58" t="str">
        <f>I1190-E1190</f>
      </c>
    </row>
    <row r="1191">
      <c r="A1191" t="s">
        <v>220</v>
      </c>
      <c r="B1191" t="s">
        <v>222</v>
      </c>
      <c r="C1191" s="52" t="n">
        <v>2038</v>
      </c>
      <c r="D1191" t="s">
        <v>212</v>
      </c>
      <c r="E1191" s="53" t="n">
        <v>36551.4422224923</v>
      </c>
      <c r="F1191" s="54" t="n">
        <v>3322.82159926151</v>
      </c>
      <c r="G1191" s="55" t="n">
        <v>3322.82157442101</v>
      </c>
      <c r="H1191" s="56" t="str">
        <f>G1191-F1191</f>
      </c>
      <c r="I1191" s="57" t="n">
        <v>36551.441257779</v>
      </c>
      <c r="J1191" s="58" t="str">
        <f>I1191-E1191</f>
      </c>
    </row>
    <row r="1192">
      <c r="A1192" t="s">
        <v>220</v>
      </c>
      <c r="B1192" t="s">
        <v>222</v>
      </c>
      <c r="C1192" s="52" t="n">
        <v>2039</v>
      </c>
      <c r="D1192" t="s">
        <v>190</v>
      </c>
      <c r="E1192" s="53" t="n">
        <v>19177.456974337</v>
      </c>
      <c r="F1192" s="54" t="n">
        <v>13518.0064311466</v>
      </c>
      <c r="G1192" s="55" t="n">
        <v>13516.7785061579</v>
      </c>
      <c r="H1192" s="56" t="str">
        <f>G1192-F1192</f>
      </c>
      <c r="I1192" s="57" t="n">
        <v>19174.3457459029</v>
      </c>
      <c r="J1192" s="58" t="str">
        <f>I1192-E1192</f>
      </c>
    </row>
    <row r="1193">
      <c r="A1193" t="s">
        <v>220</v>
      </c>
      <c r="B1193" t="s">
        <v>222</v>
      </c>
      <c r="C1193" s="52" t="n">
        <v>2039</v>
      </c>
      <c r="D1193" t="s">
        <v>230</v>
      </c>
      <c r="E1193" s="53" t="n">
        <v>1207010.30594189</v>
      </c>
      <c r="F1193" s="54" t="n">
        <v>243489.437604299</v>
      </c>
      <c r="G1193" s="55" t="n">
        <v>243483.364034463</v>
      </c>
      <c r="H1193" s="56" t="str">
        <f>G1193-F1193</f>
      </c>
      <c r="I1193" s="57" t="n">
        <v>1206925.78308321</v>
      </c>
      <c r="J1193" s="58" t="str">
        <f>I1193-E1193</f>
      </c>
    </row>
    <row r="1194">
      <c r="A1194" t="s">
        <v>220</v>
      </c>
      <c r="B1194" t="s">
        <v>222</v>
      </c>
      <c r="C1194" s="52" t="n">
        <v>2039</v>
      </c>
      <c r="D1194" t="s">
        <v>166</v>
      </c>
      <c r="E1194" s="53" t="n">
        <v>128024.186489802</v>
      </c>
      <c r="F1194" s="54" t="n">
        <v>83397.8769782253</v>
      </c>
      <c r="G1194" s="55" t="n">
        <v>83389.1809587923</v>
      </c>
      <c r="H1194" s="56" t="str">
        <f>G1194-F1194</f>
      </c>
      <c r="I1194" s="57" t="n">
        <v>128001.347826374</v>
      </c>
      <c r="J1194" s="58" t="str">
        <f>I1194-E1194</f>
      </c>
    </row>
    <row r="1195">
      <c r="A1195" t="s">
        <v>220</v>
      </c>
      <c r="B1195" t="s">
        <v>222</v>
      </c>
      <c r="C1195" s="52" t="n">
        <v>2039</v>
      </c>
      <c r="D1195" t="s">
        <v>176</v>
      </c>
      <c r="E1195" s="53" t="n">
        <v>273006.346967192</v>
      </c>
      <c r="F1195" s="54" t="n">
        <v>257204.681907428</v>
      </c>
      <c r="G1195" s="55" t="n">
        <v>257441.86914337</v>
      </c>
      <c r="H1195" s="56" t="str">
        <f>G1195-F1195</f>
      </c>
      <c r="I1195" s="57" t="n">
        <v>272973.34550101</v>
      </c>
      <c r="J1195" s="58" t="str">
        <f>I1195-E1195</f>
      </c>
    </row>
    <row r="1196">
      <c r="A1196" t="s">
        <v>220</v>
      </c>
      <c r="B1196" t="s">
        <v>222</v>
      </c>
      <c r="C1196" s="52" t="n">
        <v>2039</v>
      </c>
      <c r="D1196" t="s">
        <v>180</v>
      </c>
      <c r="E1196" s="53" t="n">
        <v>715676.876599244</v>
      </c>
      <c r="F1196" s="54" t="n">
        <v>428474.435150186</v>
      </c>
      <c r="G1196" s="55" t="n">
        <v>428444.568481745</v>
      </c>
      <c r="H1196" s="56" t="str">
        <f>G1196-F1196</f>
      </c>
      <c r="I1196" s="57" t="n">
        <v>715580.887085385</v>
      </c>
      <c r="J1196" s="58" t="str">
        <f>I1196-E1196</f>
      </c>
    </row>
    <row r="1197">
      <c r="A1197" t="s">
        <v>220</v>
      </c>
      <c r="B1197" t="s">
        <v>222</v>
      </c>
      <c r="C1197" s="52" t="n">
        <v>2039</v>
      </c>
      <c r="D1197" t="s">
        <v>184</v>
      </c>
      <c r="E1197" s="53" t="n">
        <v>362980.162241885</v>
      </c>
      <c r="F1197" s="54" t="n">
        <v>190595.300329295</v>
      </c>
      <c r="G1197" s="55" t="n">
        <v>191929.610855123</v>
      </c>
      <c r="H1197" s="56" t="str">
        <f>G1197-F1197</f>
      </c>
      <c r="I1197" s="57" t="n">
        <v>362969.198365508</v>
      </c>
      <c r="J1197" s="58" t="str">
        <f>I1197-E1197</f>
      </c>
    </row>
    <row r="1198">
      <c r="A1198" t="s">
        <v>220</v>
      </c>
      <c r="B1198" t="s">
        <v>222</v>
      </c>
      <c r="C1198" s="52" t="n">
        <v>2039</v>
      </c>
      <c r="D1198" t="s">
        <v>212</v>
      </c>
      <c r="E1198" s="53" t="n">
        <v>36178.2249196597</v>
      </c>
      <c r="F1198" s="54" t="n">
        <v>3198.02307844361</v>
      </c>
      <c r="G1198" s="55" t="n">
        <v>3198.02305383022</v>
      </c>
      <c r="H1198" s="56" t="str">
        <f>G1198-F1198</f>
      </c>
      <c r="I1198" s="57" t="n">
        <v>36178.2238447184</v>
      </c>
      <c r="J1198" s="58" t="str">
        <f>I1198-E1198</f>
      </c>
    </row>
    <row r="1199">
      <c r="A1199" t="s">
        <v>220</v>
      </c>
      <c r="B1199" t="s">
        <v>222</v>
      </c>
      <c r="C1199" s="52" t="n">
        <v>2040</v>
      </c>
      <c r="D1199" t="s">
        <v>190</v>
      </c>
      <c r="E1199" s="53" t="n">
        <v>19809.0602507589</v>
      </c>
      <c r="F1199" s="54" t="n">
        <v>13881.11882654</v>
      </c>
      <c r="G1199" s="55" t="n">
        <v>13879.6732870407</v>
      </c>
      <c r="H1199" s="56" t="str">
        <f>G1199-F1199</f>
      </c>
      <c r="I1199" s="57" t="n">
        <v>19805.5058057648</v>
      </c>
      <c r="J1199" s="58" t="str">
        <f>I1199-E1199</f>
      </c>
    </row>
    <row r="1200">
      <c r="A1200" t="s">
        <v>220</v>
      </c>
      <c r="B1200" t="s">
        <v>222</v>
      </c>
      <c r="C1200" s="52" t="n">
        <v>2040</v>
      </c>
      <c r="D1200" t="s">
        <v>230</v>
      </c>
      <c r="E1200" s="53" t="n">
        <v>1217123.34323958</v>
      </c>
      <c r="F1200" s="54" t="n">
        <v>251599.16694002</v>
      </c>
      <c r="G1200" s="55" t="n">
        <v>251591.898664867</v>
      </c>
      <c r="H1200" s="56" t="str">
        <f>G1200-F1200</f>
      </c>
      <c r="I1200" s="57" t="n">
        <v>1217029.49333677</v>
      </c>
      <c r="J1200" s="58" t="str">
        <f>I1200-E1200</f>
      </c>
    </row>
    <row r="1201">
      <c r="A1201" t="s">
        <v>220</v>
      </c>
      <c r="B1201" t="s">
        <v>222</v>
      </c>
      <c r="C1201" s="52" t="n">
        <v>2040</v>
      </c>
      <c r="D1201" t="s">
        <v>166</v>
      </c>
      <c r="E1201" s="53" t="n">
        <v>130104.207517821</v>
      </c>
      <c r="F1201" s="54" t="n">
        <v>84441.82762566</v>
      </c>
      <c r="G1201" s="55" t="n">
        <v>84431.8911758369</v>
      </c>
      <c r="H1201" s="56" t="str">
        <f>G1201-F1201</f>
      </c>
      <c r="I1201" s="57" t="n">
        <v>130079.117811465</v>
      </c>
      <c r="J1201" s="58" t="str">
        <f>I1201-E1201</f>
      </c>
    </row>
    <row r="1202">
      <c r="A1202" t="s">
        <v>220</v>
      </c>
      <c r="B1202" t="s">
        <v>222</v>
      </c>
      <c r="C1202" s="52" t="n">
        <v>2040</v>
      </c>
      <c r="D1202" t="s">
        <v>176</v>
      </c>
      <c r="E1202" s="53" t="n">
        <v>272808.768378808</v>
      </c>
      <c r="F1202" s="54" t="n">
        <v>257213.901228514</v>
      </c>
      <c r="G1202" s="55" t="n">
        <v>257451.80463236</v>
      </c>
      <c r="H1202" s="56" t="str">
        <f>G1202-F1202</f>
      </c>
      <c r="I1202" s="57" t="n">
        <v>272772.692977532</v>
      </c>
      <c r="J1202" s="58" t="str">
        <f>I1202-E1202</f>
      </c>
    </row>
    <row r="1203">
      <c r="A1203" t="s">
        <v>220</v>
      </c>
      <c r="B1203" t="s">
        <v>222</v>
      </c>
      <c r="C1203" s="52" t="n">
        <v>2040</v>
      </c>
      <c r="D1203" t="s">
        <v>180</v>
      </c>
      <c r="E1203" s="53" t="n">
        <v>725163.482863746</v>
      </c>
      <c r="F1203" s="54" t="n">
        <v>435243.424649522</v>
      </c>
      <c r="G1203" s="55" t="n">
        <v>435208.840989962</v>
      </c>
      <c r="H1203" s="56" t="str">
        <f>G1203-F1203</f>
      </c>
      <c r="I1203" s="57" t="n">
        <v>725057.851356544</v>
      </c>
      <c r="J1203" s="58" t="str">
        <f>I1203-E1203</f>
      </c>
    </row>
    <row r="1204">
      <c r="A1204" t="s">
        <v>220</v>
      </c>
      <c r="B1204" t="s">
        <v>222</v>
      </c>
      <c r="C1204" s="52" t="n">
        <v>2040</v>
      </c>
      <c r="D1204" t="s">
        <v>184</v>
      </c>
      <c r="E1204" s="53" t="n">
        <v>366726.001787058</v>
      </c>
      <c r="F1204" s="54" t="n">
        <v>192445.636796034</v>
      </c>
      <c r="G1204" s="55" t="n">
        <v>193853.250747764</v>
      </c>
      <c r="H1204" s="56" t="str">
        <f>G1204-F1204</f>
      </c>
      <c r="I1204" s="57" t="n">
        <v>366714.045807884</v>
      </c>
      <c r="J1204" s="58" t="str">
        <f>I1204-E1204</f>
      </c>
    </row>
    <row r="1205">
      <c r="A1205" t="s">
        <v>220</v>
      </c>
      <c r="B1205" t="s">
        <v>222</v>
      </c>
      <c r="C1205" s="52" t="n">
        <v>2040</v>
      </c>
      <c r="D1205" t="s">
        <v>212</v>
      </c>
      <c r="E1205" s="53" t="n">
        <v>36005.0292251486</v>
      </c>
      <c r="F1205" s="54" t="n">
        <v>3069.25191844329</v>
      </c>
      <c r="G1205" s="55" t="n">
        <v>3069.25189350158</v>
      </c>
      <c r="H1205" s="56" t="str">
        <f>G1205-F1205</f>
      </c>
      <c r="I1205" s="57" t="n">
        <v>36005.0280863419</v>
      </c>
      <c r="J1205" s="58" t="str">
        <f>I1205-E1205</f>
      </c>
    </row>
    <row r="1206">
      <c r="A1206" t="s">
        <v>220</v>
      </c>
      <c r="B1206" t="s">
        <v>222</v>
      </c>
      <c r="C1206" s="52" t="n">
        <v>2041</v>
      </c>
      <c r="D1206" t="s">
        <v>190</v>
      </c>
      <c r="E1206" s="53" t="n">
        <v>20457.6539969147</v>
      </c>
      <c r="F1206" s="54" t="n">
        <v>14251.2189241779</v>
      </c>
      <c r="G1206" s="55" t="n">
        <v>14249.5364552167</v>
      </c>
      <c r="H1206" s="56" t="str">
        <f>G1206-F1206</f>
      </c>
      <c r="I1206" s="57" t="n">
        <v>20453.6267543422</v>
      </c>
      <c r="J1206" s="58" t="str">
        <f>I1206-E1206</f>
      </c>
    </row>
    <row r="1207">
      <c r="A1207" t="s">
        <v>220</v>
      </c>
      <c r="B1207" t="s">
        <v>222</v>
      </c>
      <c r="C1207" s="52" t="n">
        <v>2041</v>
      </c>
      <c r="D1207" t="s">
        <v>230</v>
      </c>
      <c r="E1207" s="53" t="n">
        <v>1226728.26341126</v>
      </c>
      <c r="F1207" s="54" t="n">
        <v>259685.785943578</v>
      </c>
      <c r="G1207" s="55" t="n">
        <v>259677.195752453</v>
      </c>
      <c r="H1207" s="56" t="str">
        <f>G1207-F1207</f>
      </c>
      <c r="I1207" s="57" t="n">
        <v>1226624.81076703</v>
      </c>
      <c r="J1207" s="58" t="str">
        <f>I1207-E1207</f>
      </c>
    </row>
    <row r="1208">
      <c r="A1208" t="s">
        <v>220</v>
      </c>
      <c r="B1208" t="s">
        <v>222</v>
      </c>
      <c r="C1208" s="52" t="n">
        <v>2041</v>
      </c>
      <c r="D1208" t="s">
        <v>166</v>
      </c>
      <c r="E1208" s="53" t="n">
        <v>132257.02739191</v>
      </c>
      <c r="F1208" s="54" t="n">
        <v>85543.5341210584</v>
      </c>
      <c r="G1208" s="55" t="n">
        <v>85532.3195906077</v>
      </c>
      <c r="H1208" s="56" t="str">
        <f>G1208-F1208</f>
      </c>
      <c r="I1208" s="57" t="n">
        <v>132229.629710176</v>
      </c>
      <c r="J1208" s="58" t="str">
        <f>I1208-E1208</f>
      </c>
    </row>
    <row r="1209">
      <c r="A1209" t="s">
        <v>220</v>
      </c>
      <c r="B1209" t="s">
        <v>222</v>
      </c>
      <c r="C1209" s="52" t="n">
        <v>2041</v>
      </c>
      <c r="D1209" t="s">
        <v>176</v>
      </c>
      <c r="E1209" s="53" t="n">
        <v>272650.926494455</v>
      </c>
      <c r="F1209" s="54" t="n">
        <v>257151.092826031</v>
      </c>
      <c r="G1209" s="55" t="n">
        <v>257389.631754286</v>
      </c>
      <c r="H1209" s="56" t="str">
        <f>G1209-F1209</f>
      </c>
      <c r="I1209" s="57" t="n">
        <v>272611.753671291</v>
      </c>
      <c r="J1209" s="58" t="str">
        <f>I1209-E1209</f>
      </c>
    </row>
    <row r="1210">
      <c r="A1210" t="s">
        <v>220</v>
      </c>
      <c r="B1210" t="s">
        <v>222</v>
      </c>
      <c r="C1210" s="52" t="n">
        <v>2041</v>
      </c>
      <c r="D1210" t="s">
        <v>180</v>
      </c>
      <c r="E1210" s="53" t="n">
        <v>734743.269143998</v>
      </c>
      <c r="F1210" s="54" t="n">
        <v>442363.832878619</v>
      </c>
      <c r="G1210" s="55" t="n">
        <v>442324.306406792</v>
      </c>
      <c r="H1210" s="56" t="str">
        <f>G1210-F1210</f>
      </c>
      <c r="I1210" s="57" t="n">
        <v>734627.740075405</v>
      </c>
      <c r="J1210" s="58" t="str">
        <f>I1210-E1210</f>
      </c>
    </row>
    <row r="1211">
      <c r="A1211" t="s">
        <v>220</v>
      </c>
      <c r="B1211" t="s">
        <v>222</v>
      </c>
      <c r="C1211" s="52" t="n">
        <v>2041</v>
      </c>
      <c r="D1211" t="s">
        <v>184</v>
      </c>
      <c r="E1211" s="53" t="n">
        <v>370449.925903532</v>
      </c>
      <c r="F1211" s="54" t="n">
        <v>194449.215854674</v>
      </c>
      <c r="G1211" s="55" t="n">
        <v>195926.907201396</v>
      </c>
      <c r="H1211" s="56" t="str">
        <f>G1211-F1211</f>
      </c>
      <c r="I1211" s="57" t="n">
        <v>370436.975606793</v>
      </c>
      <c r="J1211" s="58" t="str">
        <f>I1211-E1211</f>
      </c>
    </row>
    <row r="1212">
      <c r="A1212" t="s">
        <v>220</v>
      </c>
      <c r="B1212" t="s">
        <v>222</v>
      </c>
      <c r="C1212" s="52" t="n">
        <v>2041</v>
      </c>
      <c r="D1212" t="s">
        <v>212</v>
      </c>
      <c r="E1212" s="53" t="n">
        <v>35900.7662469158</v>
      </c>
      <c r="F1212" s="54" t="n">
        <v>2944.01554829232</v>
      </c>
      <c r="G1212" s="55" t="n">
        <v>2944.01552271229</v>
      </c>
      <c r="H1212" s="56" t="str">
        <f>G1212-F1212</f>
      </c>
      <c r="I1212" s="57" t="n">
        <v>35900.7650540721</v>
      </c>
      <c r="J1212" s="58" t="str">
        <f>I1212-E1212</f>
      </c>
    </row>
    <row r="1213">
      <c r="A1213" t="s">
        <v>220</v>
      </c>
      <c r="B1213" t="s">
        <v>222</v>
      </c>
      <c r="C1213" s="52" t="n">
        <v>2042</v>
      </c>
      <c r="D1213" t="s">
        <v>190</v>
      </c>
      <c r="E1213" s="53" t="n">
        <v>21120.1075444436</v>
      </c>
      <c r="F1213" s="54" t="n">
        <v>14628.2575483028</v>
      </c>
      <c r="G1213" s="55" t="n">
        <v>14626.3190066004</v>
      </c>
      <c r="H1213" s="56" t="str">
        <f>G1213-F1213</f>
      </c>
      <c r="I1213" s="57" t="n">
        <v>21115.5817026885</v>
      </c>
      <c r="J1213" s="58" t="str">
        <f>I1213-E1213</f>
      </c>
    </row>
    <row r="1214">
      <c r="A1214" t="s">
        <v>220</v>
      </c>
      <c r="B1214" t="s">
        <v>222</v>
      </c>
      <c r="C1214" s="52" t="n">
        <v>2042</v>
      </c>
      <c r="D1214" t="s">
        <v>230</v>
      </c>
      <c r="E1214" s="53" t="n">
        <v>1235817.04975843</v>
      </c>
      <c r="F1214" s="54" t="n">
        <v>267788.773424588</v>
      </c>
      <c r="G1214" s="55" t="n">
        <v>267778.732534162</v>
      </c>
      <c r="H1214" s="56" t="str">
        <f>G1214-F1214</f>
      </c>
      <c r="I1214" s="57" t="n">
        <v>1235703.75022274</v>
      </c>
      <c r="J1214" s="58" t="str">
        <f>I1214-E1214</f>
      </c>
    </row>
    <row r="1215">
      <c r="A1215" t="s">
        <v>220</v>
      </c>
      <c r="B1215" t="s">
        <v>222</v>
      </c>
      <c r="C1215" s="52" t="n">
        <v>2042</v>
      </c>
      <c r="D1215" t="s">
        <v>166</v>
      </c>
      <c r="E1215" s="53" t="n">
        <v>134381.329974065</v>
      </c>
      <c r="F1215" s="54" t="n">
        <v>86669.8389039245</v>
      </c>
      <c r="G1215" s="55" t="n">
        <v>86657.3132213297</v>
      </c>
      <c r="H1215" s="56" t="str">
        <f>G1215-F1215</f>
      </c>
      <c r="I1215" s="57" t="n">
        <v>134351.626048708</v>
      </c>
      <c r="J1215" s="58" t="str">
        <f>I1215-E1215</f>
      </c>
    </row>
    <row r="1216">
      <c r="A1216" t="s">
        <v>220</v>
      </c>
      <c r="B1216" t="s">
        <v>222</v>
      </c>
      <c r="C1216" s="52" t="n">
        <v>2042</v>
      </c>
      <c r="D1216" t="s">
        <v>176</v>
      </c>
      <c r="E1216" s="53" t="n">
        <v>272322.927988135</v>
      </c>
      <c r="F1216" s="54" t="n">
        <v>256960.156678897</v>
      </c>
      <c r="G1216" s="55" t="n">
        <v>257198.349756019</v>
      </c>
      <c r="H1216" s="56" t="str">
        <f>G1216-F1216</f>
      </c>
      <c r="I1216" s="57" t="n">
        <v>272280.658720601</v>
      </c>
      <c r="J1216" s="58" t="str">
        <f>I1216-E1216</f>
      </c>
    </row>
    <row r="1217">
      <c r="A1217" t="s">
        <v>220</v>
      </c>
      <c r="B1217" t="s">
        <v>222</v>
      </c>
      <c r="C1217" s="52" t="n">
        <v>2042</v>
      </c>
      <c r="D1217" t="s">
        <v>180</v>
      </c>
      <c r="E1217" s="53" t="n">
        <v>744438.784980406</v>
      </c>
      <c r="F1217" s="54" t="n">
        <v>449645.939365832</v>
      </c>
      <c r="G1217" s="55" t="n">
        <v>449601.261227495</v>
      </c>
      <c r="H1217" s="56" t="str">
        <f>G1217-F1217</f>
      </c>
      <c r="I1217" s="57" t="n">
        <v>744313.272667757</v>
      </c>
      <c r="J1217" s="58" t="str">
        <f>I1217-E1217</f>
      </c>
    </row>
    <row r="1218">
      <c r="A1218" t="s">
        <v>220</v>
      </c>
      <c r="B1218" t="s">
        <v>222</v>
      </c>
      <c r="C1218" s="52" t="n">
        <v>2042</v>
      </c>
      <c r="D1218" t="s">
        <v>184</v>
      </c>
      <c r="E1218" s="53" t="n">
        <v>374433.214307587</v>
      </c>
      <c r="F1218" s="54" t="n">
        <v>196534.336321053</v>
      </c>
      <c r="G1218" s="55" t="n">
        <v>198082.814103714</v>
      </c>
      <c r="H1218" s="56" t="str">
        <f>G1218-F1218</f>
      </c>
      <c r="I1218" s="57" t="n">
        <v>374419.262045636</v>
      </c>
      <c r="J1218" s="58" t="str">
        <f>I1218-E1218</f>
      </c>
    </row>
    <row r="1219">
      <c r="A1219" t="s">
        <v>220</v>
      </c>
      <c r="B1219" t="s">
        <v>222</v>
      </c>
      <c r="C1219" s="52" t="n">
        <v>2042</v>
      </c>
      <c r="D1219" t="s">
        <v>212</v>
      </c>
      <c r="E1219" s="53" t="n">
        <v>35516.8418380667</v>
      </c>
      <c r="F1219" s="54" t="n">
        <v>2820.5122390148</v>
      </c>
      <c r="G1219" s="55" t="n">
        <v>2820.51221264468</v>
      </c>
      <c r="H1219" s="56" t="str">
        <f>G1219-F1219</f>
      </c>
      <c r="I1219" s="57" t="n">
        <v>35516.8405935332</v>
      </c>
      <c r="J1219" s="58" t="str">
        <f>I1219-E1219</f>
      </c>
    </row>
    <row r="1220">
      <c r="A1220" t="s">
        <v>220</v>
      </c>
      <c r="B1220" t="s">
        <v>222</v>
      </c>
      <c r="C1220" s="52" t="n">
        <v>2043</v>
      </c>
      <c r="D1220" t="s">
        <v>190</v>
      </c>
      <c r="E1220" s="53" t="n">
        <v>21794.1792330546</v>
      </c>
      <c r="F1220" s="54" t="n">
        <v>15006.2996371426</v>
      </c>
      <c r="G1220" s="55" t="n">
        <v>15004.0861158129</v>
      </c>
      <c r="H1220" s="56" t="str">
        <f>G1220-F1220</f>
      </c>
      <c r="I1220" s="57" t="n">
        <v>21789.1256560335</v>
      </c>
      <c r="J1220" s="58" t="str">
        <f>I1220-E1220</f>
      </c>
    </row>
    <row r="1221">
      <c r="A1221" t="s">
        <v>220</v>
      </c>
      <c r="B1221" t="s">
        <v>222</v>
      </c>
      <c r="C1221" s="52" t="n">
        <v>2043</v>
      </c>
      <c r="D1221" t="s">
        <v>230</v>
      </c>
      <c r="E1221" s="53" t="n">
        <v>1244369.90796249</v>
      </c>
      <c r="F1221" s="54" t="n">
        <v>275888.621287866</v>
      </c>
      <c r="G1221" s="55" t="n">
        <v>275876.995486318</v>
      </c>
      <c r="H1221" s="56" t="str">
        <f>G1221-F1221</f>
      </c>
      <c r="I1221" s="57" t="n">
        <v>1244246.51153606</v>
      </c>
      <c r="J1221" s="58" t="str">
        <f>I1221-E1221</f>
      </c>
    </row>
    <row r="1222">
      <c r="A1222" t="s">
        <v>220</v>
      </c>
      <c r="B1222" t="s">
        <v>222</v>
      </c>
      <c r="C1222" s="52" t="n">
        <v>2043</v>
      </c>
      <c r="D1222" t="s">
        <v>166</v>
      </c>
      <c r="E1222" s="53" t="n">
        <v>136633.915581905</v>
      </c>
      <c r="F1222" s="54" t="n">
        <v>87792.89562375</v>
      </c>
      <c r="G1222" s="55" t="n">
        <v>87779.034425801</v>
      </c>
      <c r="H1222" s="56" t="str">
        <f>G1222-F1222</f>
      </c>
      <c r="I1222" s="57" t="n">
        <v>136601.974960575</v>
      </c>
      <c r="J1222" s="58" t="str">
        <f>I1222-E1222</f>
      </c>
    </row>
    <row r="1223">
      <c r="A1223" t="s">
        <v>220</v>
      </c>
      <c r="B1223" t="s">
        <v>222</v>
      </c>
      <c r="C1223" s="52" t="n">
        <v>2043</v>
      </c>
      <c r="D1223" t="s">
        <v>176</v>
      </c>
      <c r="E1223" s="53" t="n">
        <v>271735.169100357</v>
      </c>
      <c r="F1223" s="54" t="n">
        <v>256540.315799297</v>
      </c>
      <c r="G1223" s="55" t="n">
        <v>256777.587157068</v>
      </c>
      <c r="H1223" s="56" t="str">
        <f>G1223-F1223</f>
      </c>
      <c r="I1223" s="57" t="n">
        <v>271689.794226751</v>
      </c>
      <c r="J1223" s="58" t="str">
        <f>I1223-E1223</f>
      </c>
    </row>
    <row r="1224">
      <c r="A1224" t="s">
        <v>220</v>
      </c>
      <c r="B1224" t="s">
        <v>222</v>
      </c>
      <c r="C1224" s="52" t="n">
        <v>2043</v>
      </c>
      <c r="D1224" t="s">
        <v>180</v>
      </c>
      <c r="E1224" s="53" t="n">
        <v>754506.236099538</v>
      </c>
      <c r="F1224" s="54" t="n">
        <v>456965.73896461</v>
      </c>
      <c r="G1224" s="55" t="n">
        <v>456915.722046172</v>
      </c>
      <c r="H1224" s="56" t="str">
        <f>G1224-F1224</f>
      </c>
      <c r="I1224" s="57" t="n">
        <v>754370.892413502</v>
      </c>
      <c r="J1224" s="58" t="str">
        <f>I1224-E1224</f>
      </c>
    </row>
    <row r="1225">
      <c r="A1225" t="s">
        <v>220</v>
      </c>
      <c r="B1225" t="s">
        <v>222</v>
      </c>
      <c r="C1225" s="52" t="n">
        <v>2043</v>
      </c>
      <c r="D1225" t="s">
        <v>184</v>
      </c>
      <c r="E1225" s="53" t="n">
        <v>378781.471877659</v>
      </c>
      <c r="F1225" s="54" t="n">
        <v>198585.42397416</v>
      </c>
      <c r="G1225" s="55" t="n">
        <v>200204.274251736</v>
      </c>
      <c r="H1225" s="56" t="str">
        <f>G1225-F1225</f>
      </c>
      <c r="I1225" s="57" t="n">
        <v>378766.534515357</v>
      </c>
      <c r="J1225" s="58" t="str">
        <f>I1225-E1225</f>
      </c>
    </row>
    <row r="1226">
      <c r="A1226" t="s">
        <v>220</v>
      </c>
      <c r="B1226" t="s">
        <v>222</v>
      </c>
      <c r="C1226" s="52" t="n">
        <v>2043</v>
      </c>
      <c r="D1226" t="s">
        <v>212</v>
      </c>
      <c r="E1226" s="53" t="n">
        <v>35328.7744832778</v>
      </c>
      <c r="F1226" s="54" t="n">
        <v>2698.33095661027</v>
      </c>
      <c r="G1226" s="55" t="n">
        <v>2698.33092960504</v>
      </c>
      <c r="H1226" s="56" t="str">
        <f>G1226-F1226</f>
      </c>
      <c r="I1226" s="57" t="n">
        <v>35328.7732033082</v>
      </c>
      <c r="J1226" s="58" t="str">
        <f>I1226-E1226</f>
      </c>
    </row>
    <row r="1227">
      <c r="A1227" t="s">
        <v>220</v>
      </c>
      <c r="B1227" t="s">
        <v>222</v>
      </c>
      <c r="C1227" s="52" t="n">
        <v>2044</v>
      </c>
      <c r="D1227" t="s">
        <v>190</v>
      </c>
      <c r="E1227" s="53" t="n">
        <v>22478.0138416815</v>
      </c>
      <c r="F1227" s="54" t="n">
        <v>15391.1460776139</v>
      </c>
      <c r="G1227" s="55" t="n">
        <v>15388.6382618872</v>
      </c>
      <c r="H1227" s="56" t="str">
        <f>G1227-F1227</f>
      </c>
      <c r="I1227" s="57" t="n">
        <v>22472.4057787798</v>
      </c>
      <c r="J1227" s="58" t="str">
        <f>I1227-E1227</f>
      </c>
    </row>
    <row r="1228">
      <c r="A1228" t="s">
        <v>220</v>
      </c>
      <c r="B1228" t="s">
        <v>222</v>
      </c>
      <c r="C1228" s="52" t="n">
        <v>2044</v>
      </c>
      <c r="D1228" t="s">
        <v>230</v>
      </c>
      <c r="E1228" s="53" t="n">
        <v>1252653.43406934</v>
      </c>
      <c r="F1228" s="54" t="n">
        <v>283915.401421207</v>
      </c>
      <c r="G1228" s="55" t="n">
        <v>283902.050416871</v>
      </c>
      <c r="H1228" s="56" t="str">
        <f>G1228-F1228</f>
      </c>
      <c r="I1228" s="57" t="n">
        <v>1252519.7576167</v>
      </c>
      <c r="J1228" s="58" t="str">
        <f>I1228-E1228</f>
      </c>
    </row>
    <row r="1229">
      <c r="A1229" t="s">
        <v>220</v>
      </c>
      <c r="B1229" t="s">
        <v>222</v>
      </c>
      <c r="C1229" s="52" t="n">
        <v>2044</v>
      </c>
      <c r="D1229" t="s">
        <v>166</v>
      </c>
      <c r="E1229" s="53" t="n">
        <v>138163.006031223</v>
      </c>
      <c r="F1229" s="54" t="n">
        <v>88927.6651553453</v>
      </c>
      <c r="G1229" s="55" t="n">
        <v>88912.4462868978</v>
      </c>
      <c r="H1229" s="56" t="str">
        <f>G1229-F1229</f>
      </c>
      <c r="I1229" s="57" t="n">
        <v>138127.807492249</v>
      </c>
      <c r="J1229" s="58" t="str">
        <f>I1229-E1229</f>
      </c>
    </row>
    <row r="1230">
      <c r="A1230" t="s">
        <v>220</v>
      </c>
      <c r="B1230" t="s">
        <v>222</v>
      </c>
      <c r="C1230" s="52" t="n">
        <v>2044</v>
      </c>
      <c r="D1230" t="s">
        <v>176</v>
      </c>
      <c r="E1230" s="53" t="n">
        <v>271029.372133547</v>
      </c>
      <c r="F1230" s="54" t="n">
        <v>256199.809544916</v>
      </c>
      <c r="G1230" s="55" t="n">
        <v>256436.399818879</v>
      </c>
      <c r="H1230" s="56" t="str">
        <f>G1230-F1230</f>
      </c>
      <c r="I1230" s="57" t="n">
        <v>270981.060601887</v>
      </c>
      <c r="J1230" s="58" t="str">
        <f>I1230-E1230</f>
      </c>
    </row>
    <row r="1231">
      <c r="A1231" t="s">
        <v>220</v>
      </c>
      <c r="B1231" t="s">
        <v>222</v>
      </c>
      <c r="C1231" s="52" t="n">
        <v>2044</v>
      </c>
      <c r="D1231" t="s">
        <v>180</v>
      </c>
      <c r="E1231" s="53" t="n">
        <v>760900.296277024</v>
      </c>
      <c r="F1231" s="54" t="n">
        <v>464292.094445714</v>
      </c>
      <c r="G1231" s="55" t="n">
        <v>464236.623828497</v>
      </c>
      <c r="H1231" s="56" t="str">
        <f>G1231-F1231</f>
      </c>
      <c r="I1231" s="57" t="n">
        <v>760751.529161819</v>
      </c>
      <c r="J1231" s="58" t="str">
        <f>I1231-E1231</f>
      </c>
    </row>
    <row r="1232">
      <c r="A1232" t="s">
        <v>220</v>
      </c>
      <c r="B1232" t="s">
        <v>222</v>
      </c>
      <c r="C1232" s="52" t="n">
        <v>2044</v>
      </c>
      <c r="D1232" t="s">
        <v>184</v>
      </c>
      <c r="E1232" s="53" t="n">
        <v>380770.59009992</v>
      </c>
      <c r="F1232" s="54" t="n">
        <v>201067.241363482</v>
      </c>
      <c r="G1232" s="55" t="n">
        <v>202762.435405402</v>
      </c>
      <c r="H1232" s="56" t="str">
        <f>G1232-F1232</f>
      </c>
      <c r="I1232" s="57" t="n">
        <v>380754.514374576</v>
      </c>
      <c r="J1232" s="58" t="str">
        <f>I1232-E1232</f>
      </c>
    </row>
    <row r="1233">
      <c r="A1233" t="s">
        <v>220</v>
      </c>
      <c r="B1233" t="s">
        <v>222</v>
      </c>
      <c r="C1233" s="52" t="n">
        <v>2044</v>
      </c>
      <c r="D1233" t="s">
        <v>212</v>
      </c>
      <c r="E1233" s="53" t="n">
        <v>35046.7065906585</v>
      </c>
      <c r="F1233" s="54" t="n">
        <v>2573.79264904922</v>
      </c>
      <c r="G1233" s="55" t="n">
        <v>2573.79262430521</v>
      </c>
      <c r="H1233" s="56" t="str">
        <f>G1233-F1233</f>
      </c>
      <c r="I1233" s="57" t="n">
        <v>35046.7052079593</v>
      </c>
      <c r="J1233" s="58" t="str">
        <f>I1233-E1233</f>
      </c>
    </row>
    <row r="1234">
      <c r="A1234" t="s">
        <v>220</v>
      </c>
      <c r="B1234" t="s">
        <v>222</v>
      </c>
      <c r="C1234" s="52" t="n">
        <v>2045</v>
      </c>
      <c r="D1234" t="s">
        <v>190</v>
      </c>
      <c r="E1234" s="53" t="n">
        <v>23173.1338658799</v>
      </c>
      <c r="F1234" s="54" t="n">
        <v>15774.5392909146</v>
      </c>
      <c r="G1234" s="55" t="n">
        <v>15771.7189092791</v>
      </c>
      <c r="H1234" s="56" t="str">
        <f>G1234-F1234</f>
      </c>
      <c r="I1234" s="57" t="n">
        <v>23166.9456880515</v>
      </c>
      <c r="J1234" s="58" t="str">
        <f>I1234-E1234</f>
      </c>
    </row>
    <row r="1235">
      <c r="A1235" t="s">
        <v>220</v>
      </c>
      <c r="B1235" t="s">
        <v>222</v>
      </c>
      <c r="C1235" s="52" t="n">
        <v>2045</v>
      </c>
      <c r="D1235" t="s">
        <v>230</v>
      </c>
      <c r="E1235" s="53" t="n">
        <v>1260737.04469472</v>
      </c>
      <c r="F1235" s="54" t="n">
        <v>291837.217354964</v>
      </c>
      <c r="G1235" s="55" t="n">
        <v>291822.027540257</v>
      </c>
      <c r="H1235" s="56" t="str">
        <f>G1235-F1235</f>
      </c>
      <c r="I1235" s="57" t="n">
        <v>1260592.98702146</v>
      </c>
      <c r="J1235" s="58" t="str">
        <f>I1235-E1235</f>
      </c>
    </row>
    <row r="1236">
      <c r="A1236" t="s">
        <v>220</v>
      </c>
      <c r="B1236" t="s">
        <v>222</v>
      </c>
      <c r="C1236" s="52" t="n">
        <v>2045</v>
      </c>
      <c r="D1236" t="s">
        <v>166</v>
      </c>
      <c r="E1236" s="53" t="n">
        <v>140210.411971853</v>
      </c>
      <c r="F1236" s="54" t="n">
        <v>90058.2334359621</v>
      </c>
      <c r="G1236" s="55" t="n">
        <v>90041.6045905888</v>
      </c>
      <c r="H1236" s="56" t="str">
        <f>G1236-F1236</f>
      </c>
      <c r="I1236" s="57" t="n">
        <v>140172.774815525</v>
      </c>
      <c r="J1236" s="58" t="str">
        <f>I1236-E1236</f>
      </c>
    </row>
    <row r="1237">
      <c r="A1237" t="s">
        <v>220</v>
      </c>
      <c r="B1237" t="s">
        <v>222</v>
      </c>
      <c r="C1237" s="52" t="n">
        <v>2045</v>
      </c>
      <c r="D1237" t="s">
        <v>176</v>
      </c>
      <c r="E1237" s="53" t="n">
        <v>270489.920761571</v>
      </c>
      <c r="F1237" s="54" t="n">
        <v>255741.703070305</v>
      </c>
      <c r="G1237" s="55" t="n">
        <v>255976.908113305</v>
      </c>
      <c r="H1237" s="56" t="str">
        <f>G1237-F1237</f>
      </c>
      <c r="I1237" s="57" t="n">
        <v>270438.603152282</v>
      </c>
      <c r="J1237" s="58" t="str">
        <f>I1237-E1237</f>
      </c>
    </row>
    <row r="1238">
      <c r="A1238" t="s">
        <v>220</v>
      </c>
      <c r="B1238" t="s">
        <v>222</v>
      </c>
      <c r="C1238" s="52" t="n">
        <v>2045</v>
      </c>
      <c r="D1238" t="s">
        <v>180</v>
      </c>
      <c r="E1238" s="53" t="n">
        <v>769473.080869319</v>
      </c>
      <c r="F1238" s="54" t="n">
        <v>470981.508306256</v>
      </c>
      <c r="G1238" s="55" t="n">
        <v>470920.29436777</v>
      </c>
      <c r="H1238" s="56" t="str">
        <f>G1238-F1238</f>
      </c>
      <c r="I1238" s="57" t="n">
        <v>769313.803212411</v>
      </c>
      <c r="J1238" s="58" t="str">
        <f>I1238-E1238</f>
      </c>
    </row>
    <row r="1239">
      <c r="A1239" t="s">
        <v>220</v>
      </c>
      <c r="B1239" t="s">
        <v>222</v>
      </c>
      <c r="C1239" s="52" t="n">
        <v>2045</v>
      </c>
      <c r="D1239" t="s">
        <v>184</v>
      </c>
      <c r="E1239" s="53" t="n">
        <v>383953.236011669</v>
      </c>
      <c r="F1239" s="54" t="n">
        <v>203104.786746995</v>
      </c>
      <c r="G1239" s="55" t="n">
        <v>204869.328897989</v>
      </c>
      <c r="H1239" s="56" t="str">
        <f>G1239-F1239</f>
      </c>
      <c r="I1239" s="57" t="n">
        <v>383936.192524615</v>
      </c>
      <c r="J1239" s="58" t="str">
        <f>I1239-E1239</f>
      </c>
    </row>
    <row r="1240">
      <c r="A1240" t="s">
        <v>220</v>
      </c>
      <c r="B1240" t="s">
        <v>222</v>
      </c>
      <c r="C1240" s="52" t="n">
        <v>2045</v>
      </c>
      <c r="D1240" t="s">
        <v>212</v>
      </c>
      <c r="E1240" s="53" t="n">
        <v>34846.7165858032</v>
      </c>
      <c r="F1240" s="54" t="n">
        <v>2452.74709726397</v>
      </c>
      <c r="G1240" s="55" t="n">
        <v>2452.74707379338</v>
      </c>
      <c r="H1240" s="56" t="str">
        <f>G1240-F1240</f>
      </c>
      <c r="I1240" s="57" t="n">
        <v>34846.7151562227</v>
      </c>
      <c r="J1240" s="58" t="str">
        <f>I1240-E1240</f>
      </c>
    </row>
    <row r="1241">
      <c r="A1241" t="s">
        <v>220</v>
      </c>
      <c r="B1241" t="s">
        <v>222</v>
      </c>
      <c r="C1241" s="52" t="n">
        <v>2046</v>
      </c>
      <c r="D1241" t="s">
        <v>190</v>
      </c>
      <c r="E1241" s="53" t="n">
        <v>23875.0106704265</v>
      </c>
      <c r="F1241" s="54" t="n">
        <v>16168.4411130828</v>
      </c>
      <c r="G1241" s="55" t="n">
        <v>16165.2905403234</v>
      </c>
      <c r="H1241" s="56" t="str">
        <f>G1241-F1241</f>
      </c>
      <c r="I1241" s="57" t="n">
        <v>23868.2179440388</v>
      </c>
      <c r="J1241" s="58" t="str">
        <f>I1241-E1241</f>
      </c>
    </row>
    <row r="1242">
      <c r="A1242" t="s">
        <v>220</v>
      </c>
      <c r="B1242" t="s">
        <v>222</v>
      </c>
      <c r="C1242" s="52" t="n">
        <v>2046</v>
      </c>
      <c r="D1242" t="s">
        <v>230</v>
      </c>
      <c r="E1242" s="53" t="n">
        <v>1268630.50739054</v>
      </c>
      <c r="F1242" s="54" t="n">
        <v>299614.086998299</v>
      </c>
      <c r="G1242" s="55" t="n">
        <v>299596.928666138</v>
      </c>
      <c r="H1242" s="56" t="str">
        <f>G1242-F1242</f>
      </c>
      <c r="I1242" s="57" t="n">
        <v>1268475.95633212</v>
      </c>
      <c r="J1242" s="58" t="str">
        <f>I1242-E1242</f>
      </c>
    </row>
    <row r="1243">
      <c r="A1243" t="s">
        <v>220</v>
      </c>
      <c r="B1243" t="s">
        <v>222</v>
      </c>
      <c r="C1243" s="52" t="n">
        <v>2046</v>
      </c>
      <c r="D1243" t="s">
        <v>166</v>
      </c>
      <c r="E1243" s="53" t="n">
        <v>142234.191612537</v>
      </c>
      <c r="F1243" s="54" t="n">
        <v>91216.9552017603</v>
      </c>
      <c r="G1243" s="55" t="n">
        <v>91198.8909425984</v>
      </c>
      <c r="H1243" s="56" t="str">
        <f>G1243-F1243</f>
      </c>
      <c r="I1243" s="57" t="n">
        <v>142194.053650607</v>
      </c>
      <c r="J1243" s="58" t="str">
        <f>I1243-E1243</f>
      </c>
    </row>
    <row r="1244">
      <c r="A1244" t="s">
        <v>220</v>
      </c>
      <c r="B1244" t="s">
        <v>222</v>
      </c>
      <c r="C1244" s="52" t="n">
        <v>2046</v>
      </c>
      <c r="D1244" t="s">
        <v>176</v>
      </c>
      <c r="E1244" s="53" t="n">
        <v>269977.573370097</v>
      </c>
      <c r="F1244" s="54" t="n">
        <v>255196.742079711</v>
      </c>
      <c r="G1244" s="55" t="n">
        <v>255431.161412817</v>
      </c>
      <c r="H1244" s="56" t="str">
        <f>G1244-F1244</f>
      </c>
      <c r="I1244" s="57" t="n">
        <v>269923.251682947</v>
      </c>
      <c r="J1244" s="58" t="str">
        <f>I1244-E1244</f>
      </c>
    </row>
    <row r="1245">
      <c r="A1245" t="s">
        <v>220</v>
      </c>
      <c r="B1245" t="s">
        <v>222</v>
      </c>
      <c r="C1245" s="52" t="n">
        <v>2046</v>
      </c>
      <c r="D1245" t="s">
        <v>180</v>
      </c>
      <c r="E1245" s="53" t="n">
        <v>778265.895588223</v>
      </c>
      <c r="F1245" s="54" t="n">
        <v>477896.055952174</v>
      </c>
      <c r="G1245" s="55" t="n">
        <v>477828.931731945</v>
      </c>
      <c r="H1245" s="56" t="str">
        <f>G1245-F1245</f>
      </c>
      <c r="I1245" s="57" t="n">
        <v>778095.842672562</v>
      </c>
      <c r="J1245" s="58" t="str">
        <f>I1245-E1245</f>
      </c>
    </row>
    <row r="1246">
      <c r="A1246" t="s">
        <v>220</v>
      </c>
      <c r="B1246" t="s">
        <v>222</v>
      </c>
      <c r="C1246" s="52" t="n">
        <v>2046</v>
      </c>
      <c r="D1246" t="s">
        <v>184</v>
      </c>
      <c r="E1246" s="53" t="n">
        <v>387169.427440181</v>
      </c>
      <c r="F1246" s="54" t="n">
        <v>205218.817378951</v>
      </c>
      <c r="G1246" s="55" t="n">
        <v>207048.945254603</v>
      </c>
      <c r="H1246" s="56" t="str">
        <f>G1246-F1246</f>
      </c>
      <c r="I1246" s="57" t="n">
        <v>387151.427044792</v>
      </c>
      <c r="J1246" s="58" t="str">
        <f>I1246-E1246</f>
      </c>
    </row>
    <row r="1247">
      <c r="A1247" t="s">
        <v>220</v>
      </c>
      <c r="B1247" t="s">
        <v>222</v>
      </c>
      <c r="C1247" s="52" t="n">
        <v>2046</v>
      </c>
      <c r="D1247" t="s">
        <v>212</v>
      </c>
      <c r="E1247" s="53" t="n">
        <v>34688.2982399507</v>
      </c>
      <c r="F1247" s="54" t="n">
        <v>2335.67263217333</v>
      </c>
      <c r="G1247" s="55" t="n">
        <v>2335.67260927364</v>
      </c>
      <c r="H1247" s="56" t="str">
        <f>G1247-F1247</f>
      </c>
      <c r="I1247" s="57" t="n">
        <v>34688.296767041</v>
      </c>
      <c r="J1247" s="58" t="str">
        <f>I1247-E1247</f>
      </c>
    </row>
    <row r="1248">
      <c r="A1248" t="s">
        <v>220</v>
      </c>
      <c r="B1248" t="s">
        <v>222</v>
      </c>
      <c r="C1248" s="52" t="n">
        <v>2047</v>
      </c>
      <c r="D1248" t="s">
        <v>190</v>
      </c>
      <c r="E1248" s="53" t="n">
        <v>24583.1033336018</v>
      </c>
      <c r="F1248" s="54" t="n">
        <v>16572.0729640941</v>
      </c>
      <c r="G1248" s="55" t="n">
        <v>16568.5748299244</v>
      </c>
      <c r="H1248" s="56" t="str">
        <f>G1248-F1248</f>
      </c>
      <c r="I1248" s="57" t="n">
        <v>24575.6851293632</v>
      </c>
      <c r="J1248" s="58" t="str">
        <f>I1248-E1248</f>
      </c>
    </row>
    <row r="1249">
      <c r="A1249" t="s">
        <v>220</v>
      </c>
      <c r="B1249" t="s">
        <v>222</v>
      </c>
      <c r="C1249" s="52" t="n">
        <v>2047</v>
      </c>
      <c r="D1249" t="s">
        <v>230</v>
      </c>
      <c r="E1249" s="53" t="n">
        <v>1276238.61022372</v>
      </c>
      <c r="F1249" s="54" t="n">
        <v>307195.259694009</v>
      </c>
      <c r="G1249" s="55" t="n">
        <v>307176.008738621</v>
      </c>
      <c r="H1249" s="56" t="str">
        <f>G1249-F1249</f>
      </c>
      <c r="I1249" s="57" t="n">
        <v>1276073.48469778</v>
      </c>
      <c r="J1249" s="58" t="str">
        <f>I1249-E1249</f>
      </c>
    </row>
    <row r="1250">
      <c r="A1250" t="s">
        <v>220</v>
      </c>
      <c r="B1250" t="s">
        <v>222</v>
      </c>
      <c r="C1250" s="52" t="n">
        <v>2047</v>
      </c>
      <c r="D1250" t="s">
        <v>166</v>
      </c>
      <c r="E1250" s="53" t="n">
        <v>144288.704984404</v>
      </c>
      <c r="F1250" s="54" t="n">
        <v>92353.4032034895</v>
      </c>
      <c r="G1250" s="55" t="n">
        <v>92333.8882911569</v>
      </c>
      <c r="H1250" s="56" t="str">
        <f>G1250-F1250</f>
      </c>
      <c r="I1250" s="57" t="n">
        <v>144246.070856709</v>
      </c>
      <c r="J1250" s="58" t="str">
        <f>I1250-E1250</f>
      </c>
    </row>
    <row r="1251">
      <c r="A1251" t="s">
        <v>220</v>
      </c>
      <c r="B1251" t="s">
        <v>222</v>
      </c>
      <c r="C1251" s="52" t="n">
        <v>2047</v>
      </c>
      <c r="D1251" t="s">
        <v>176</v>
      </c>
      <c r="E1251" s="53" t="n">
        <v>269203.037249205</v>
      </c>
      <c r="F1251" s="54" t="n">
        <v>254528.081442102</v>
      </c>
      <c r="G1251" s="55" t="n">
        <v>254760.803670819</v>
      </c>
      <c r="H1251" s="56" t="str">
        <f>G1251-F1251</f>
      </c>
      <c r="I1251" s="57" t="n">
        <v>269145.730668352</v>
      </c>
      <c r="J1251" s="58" t="str">
        <f>I1251-E1251</f>
      </c>
    </row>
    <row r="1252">
      <c r="A1252" t="s">
        <v>220</v>
      </c>
      <c r="B1252" t="s">
        <v>222</v>
      </c>
      <c r="C1252" s="52" t="n">
        <v>2047</v>
      </c>
      <c r="D1252" t="s">
        <v>180</v>
      </c>
      <c r="E1252" s="53" t="n">
        <v>787048.283542624</v>
      </c>
      <c r="F1252" s="54" t="n">
        <v>484740.331886814</v>
      </c>
      <c r="G1252" s="55" t="n">
        <v>484667.16956347</v>
      </c>
      <c r="H1252" s="56" t="str">
        <f>G1252-F1252</f>
      </c>
      <c r="I1252" s="57" t="n">
        <v>786867.366017657</v>
      </c>
      <c r="J1252" s="58" t="str">
        <f>I1252-E1252</f>
      </c>
    </row>
    <row r="1253">
      <c r="A1253" t="s">
        <v>220</v>
      </c>
      <c r="B1253" t="s">
        <v>222</v>
      </c>
      <c r="C1253" s="52" t="n">
        <v>2047</v>
      </c>
      <c r="D1253" t="s">
        <v>184</v>
      </c>
      <c r="E1253" s="53" t="n">
        <v>390616.544595885</v>
      </c>
      <c r="F1253" s="54" t="n">
        <v>207265.310844749</v>
      </c>
      <c r="G1253" s="55" t="n">
        <v>209160.858915749</v>
      </c>
      <c r="H1253" s="56" t="str">
        <f>G1253-F1253</f>
      </c>
      <c r="I1253" s="57" t="n">
        <v>390597.57749153</v>
      </c>
      <c r="J1253" s="58" t="str">
        <f>I1253-E1253</f>
      </c>
    </row>
    <row r="1254">
      <c r="A1254" t="s">
        <v>220</v>
      </c>
      <c r="B1254" t="s">
        <v>222</v>
      </c>
      <c r="C1254" s="52" t="n">
        <v>2047</v>
      </c>
      <c r="D1254" t="s">
        <v>212</v>
      </c>
      <c r="E1254" s="53" t="n">
        <v>34402.4557923149</v>
      </c>
      <c r="F1254" s="54" t="n">
        <v>2222.2518064655</v>
      </c>
      <c r="G1254" s="55" t="n">
        <v>2222.25178382332</v>
      </c>
      <c r="H1254" s="56" t="str">
        <f>G1254-F1254</f>
      </c>
      <c r="I1254" s="57" t="n">
        <v>34402.454286142</v>
      </c>
      <c r="J1254" s="58" t="str">
        <f>I1254-E1254</f>
      </c>
    </row>
    <row r="1255">
      <c r="A1255" t="s">
        <v>220</v>
      </c>
      <c r="B1255" t="s">
        <v>222</v>
      </c>
      <c r="C1255" s="52" t="n">
        <v>2048</v>
      </c>
      <c r="D1255" t="s">
        <v>190</v>
      </c>
      <c r="E1255" s="53" t="n">
        <v>25290.933385541</v>
      </c>
      <c r="F1255" s="54" t="n">
        <v>16986.8300057934</v>
      </c>
      <c r="G1255" s="55" t="n">
        <v>16982.9671313776</v>
      </c>
      <c r="H1255" s="56" t="str">
        <f>G1255-F1255</f>
      </c>
      <c r="I1255" s="57" t="n">
        <v>25282.866550534</v>
      </c>
      <c r="J1255" s="58" t="str">
        <f>I1255-E1255</f>
      </c>
    </row>
    <row r="1256">
      <c r="A1256" t="s">
        <v>220</v>
      </c>
      <c r="B1256" t="s">
        <v>222</v>
      </c>
      <c r="C1256" s="52" t="n">
        <v>2048</v>
      </c>
      <c r="D1256" t="s">
        <v>230</v>
      </c>
      <c r="E1256" s="53" t="n">
        <v>1283643.52457054</v>
      </c>
      <c r="F1256" s="54" t="n">
        <v>314571.301663976</v>
      </c>
      <c r="G1256" s="55" t="n">
        <v>314549.83162808</v>
      </c>
      <c r="H1256" s="56" t="str">
        <f>G1256-F1256</f>
      </c>
      <c r="I1256" s="57" t="n">
        <v>1283467.75295342</v>
      </c>
      <c r="J1256" s="58" t="str">
        <f>I1256-E1256</f>
      </c>
    </row>
    <row r="1257">
      <c r="A1257" t="s">
        <v>220</v>
      </c>
      <c r="B1257" t="s">
        <v>222</v>
      </c>
      <c r="C1257" s="52" t="n">
        <v>2048</v>
      </c>
      <c r="D1257" t="s">
        <v>166</v>
      </c>
      <c r="E1257" s="53" t="n">
        <v>146458.914065279</v>
      </c>
      <c r="F1257" s="54" t="n">
        <v>93448.4843188032</v>
      </c>
      <c r="G1257" s="55" t="n">
        <v>93427.507277049</v>
      </c>
      <c r="H1257" s="56" t="str">
        <f>G1257-F1257</f>
      </c>
      <c r="I1257" s="57" t="n">
        <v>146413.853149174</v>
      </c>
      <c r="J1257" s="58" t="str">
        <f>I1257-E1257</f>
      </c>
    </row>
    <row r="1258">
      <c r="A1258" t="s">
        <v>220</v>
      </c>
      <c r="B1258" t="s">
        <v>222</v>
      </c>
      <c r="C1258" s="52" t="n">
        <v>2048</v>
      </c>
      <c r="D1258" t="s">
        <v>176</v>
      </c>
      <c r="E1258" s="53" t="n">
        <v>268145.718558751</v>
      </c>
      <c r="F1258" s="54" t="n">
        <v>253641.746385639</v>
      </c>
      <c r="G1258" s="55" t="n">
        <v>253872.047418824</v>
      </c>
      <c r="H1258" s="56" t="str">
        <f>G1258-F1258</f>
      </c>
      <c r="I1258" s="57" t="n">
        <v>268085.447945834</v>
      </c>
      <c r="J1258" s="58" t="str">
        <f>I1258-E1258</f>
      </c>
    </row>
    <row r="1259">
      <c r="A1259" t="s">
        <v>220</v>
      </c>
      <c r="B1259" t="s">
        <v>222</v>
      </c>
      <c r="C1259" s="52" t="n">
        <v>2048</v>
      </c>
      <c r="D1259" t="s">
        <v>180</v>
      </c>
      <c r="E1259" s="53" t="n">
        <v>795988.455790519</v>
      </c>
      <c r="F1259" s="54" t="n">
        <v>491387.027992285</v>
      </c>
      <c r="G1259" s="55" t="n">
        <v>491307.709328566</v>
      </c>
      <c r="H1259" s="56" t="str">
        <f>G1259-F1259</f>
      </c>
      <c r="I1259" s="57" t="n">
        <v>795796.819401734</v>
      </c>
      <c r="J1259" s="58" t="str">
        <f>I1259-E1259</f>
      </c>
    </row>
    <row r="1260">
      <c r="A1260" t="s">
        <v>220</v>
      </c>
      <c r="B1260" t="s">
        <v>222</v>
      </c>
      <c r="C1260" s="52" t="n">
        <v>2048</v>
      </c>
      <c r="D1260" t="s">
        <v>184</v>
      </c>
      <c r="E1260" s="53" t="n">
        <v>394326.159265439</v>
      </c>
      <c r="F1260" s="54" t="n">
        <v>209229.971994812</v>
      </c>
      <c r="G1260" s="55" t="n">
        <v>211189.299415093</v>
      </c>
      <c r="H1260" s="56" t="str">
        <f>G1260-F1260</f>
      </c>
      <c r="I1260" s="57" t="n">
        <v>394306.234009074</v>
      </c>
      <c r="J1260" s="58" t="str">
        <f>I1260-E1260</f>
      </c>
    </row>
    <row r="1261">
      <c r="A1261" t="s">
        <v>220</v>
      </c>
      <c r="B1261" t="s">
        <v>222</v>
      </c>
      <c r="C1261" s="52" t="n">
        <v>2048</v>
      </c>
      <c r="D1261" t="s">
        <v>212</v>
      </c>
      <c r="E1261" s="53" t="n">
        <v>34278.8650438377</v>
      </c>
      <c r="F1261" s="54" t="n">
        <v>2112.66176791484</v>
      </c>
      <c r="G1261" s="55" t="n">
        <v>2112.66174533725</v>
      </c>
      <c r="H1261" s="56" t="str">
        <f>G1261-F1261</f>
      </c>
      <c r="I1261" s="57" t="n">
        <v>34278.8634968121</v>
      </c>
      <c r="J1261" s="58" t="str">
        <f>I1261-E1261</f>
      </c>
    </row>
    <row r="1262">
      <c r="A1262" t="s">
        <v>220</v>
      </c>
      <c r="B1262" t="s">
        <v>222</v>
      </c>
      <c r="C1262" s="52" t="n">
        <v>2049</v>
      </c>
      <c r="D1262" t="s">
        <v>190</v>
      </c>
      <c r="E1262" s="53" t="n">
        <v>25995.2775387354</v>
      </c>
      <c r="F1262" s="54" t="n">
        <v>17410.903302073</v>
      </c>
      <c r="G1262" s="55" t="n">
        <v>17406.6591140935</v>
      </c>
      <c r="H1262" s="56" t="str">
        <f>G1262-F1262</f>
      </c>
      <c r="I1262" s="57" t="n">
        <v>25986.5373789525</v>
      </c>
      <c r="J1262" s="58" t="str">
        <f>I1262-E1262</f>
      </c>
    </row>
    <row r="1263">
      <c r="A1263" t="s">
        <v>220</v>
      </c>
      <c r="B1263" t="s">
        <v>222</v>
      </c>
      <c r="C1263" s="52" t="n">
        <v>2049</v>
      </c>
      <c r="D1263" t="s">
        <v>230</v>
      </c>
      <c r="E1263" s="53" t="n">
        <v>1290874.06433829</v>
      </c>
      <c r="F1263" s="54" t="n">
        <v>321764.303474972</v>
      </c>
      <c r="G1263" s="55" t="n">
        <v>321740.501148806</v>
      </c>
      <c r="H1263" s="56" t="str">
        <f>G1263-F1263</f>
      </c>
      <c r="I1263" s="57" t="n">
        <v>1290687.53512959</v>
      </c>
      <c r="J1263" s="58" t="str">
        <f>I1263-E1263</f>
      </c>
    </row>
    <row r="1264">
      <c r="A1264" t="s">
        <v>220</v>
      </c>
      <c r="B1264" t="s">
        <v>222</v>
      </c>
      <c r="C1264" s="52" t="n">
        <v>2049</v>
      </c>
      <c r="D1264" t="s">
        <v>166</v>
      </c>
      <c r="E1264" s="53" t="n">
        <v>147930.602472783</v>
      </c>
      <c r="F1264" s="54" t="n">
        <v>94569.3284625604</v>
      </c>
      <c r="G1264" s="55" t="n">
        <v>94546.8656755522</v>
      </c>
      <c r="H1264" s="56" t="str">
        <f>G1264-F1264</f>
      </c>
      <c r="I1264" s="57" t="n">
        <v>147882.099837348</v>
      </c>
      <c r="J1264" s="58" t="str">
        <f>I1264-E1264</f>
      </c>
    </row>
    <row r="1265">
      <c r="A1265" t="s">
        <v>220</v>
      </c>
      <c r="B1265" t="s">
        <v>222</v>
      </c>
      <c r="C1265" s="52" t="n">
        <v>2049</v>
      </c>
      <c r="D1265" t="s">
        <v>176</v>
      </c>
      <c r="E1265" s="53" t="n">
        <v>267066.625637534</v>
      </c>
      <c r="F1265" s="54" t="n">
        <v>252877.195320123</v>
      </c>
      <c r="G1265" s="55" t="n">
        <v>253105.506935702</v>
      </c>
      <c r="H1265" s="56" t="str">
        <f>G1265-F1265</f>
      </c>
      <c r="I1265" s="57" t="n">
        <v>267003.550155027</v>
      </c>
      <c r="J1265" s="58" t="str">
        <f>I1265-E1265</f>
      </c>
    </row>
    <row r="1266">
      <c r="A1266" t="s">
        <v>220</v>
      </c>
      <c r="B1266" t="s">
        <v>222</v>
      </c>
      <c r="C1266" s="52" t="n">
        <v>2049</v>
      </c>
      <c r="D1266" t="s">
        <v>180</v>
      </c>
      <c r="E1266" s="53" t="n">
        <v>801802.683369722</v>
      </c>
      <c r="F1266" s="54" t="n">
        <v>498096.214995583</v>
      </c>
      <c r="G1266" s="55" t="n">
        <v>498010.651524044</v>
      </c>
      <c r="H1266" s="56" t="str">
        <f>G1266-F1266</f>
      </c>
      <c r="I1266" s="57" t="n">
        <v>801596.853664258</v>
      </c>
      <c r="J1266" s="58" t="str">
        <f>I1266-E1266</f>
      </c>
    </row>
    <row r="1267">
      <c r="A1267" t="s">
        <v>220</v>
      </c>
      <c r="B1267" t="s">
        <v>222</v>
      </c>
      <c r="C1267" s="52" t="n">
        <v>2049</v>
      </c>
      <c r="D1267" t="s">
        <v>184</v>
      </c>
      <c r="E1267" s="53" t="n">
        <v>396079.619539758</v>
      </c>
      <c r="F1267" s="54" t="n">
        <v>211551.719598358</v>
      </c>
      <c r="G1267" s="55" t="n">
        <v>213580.236200068</v>
      </c>
      <c r="H1267" s="56" t="str">
        <f>G1267-F1267</f>
      </c>
      <c r="I1267" s="57" t="n">
        <v>396058.615955627</v>
      </c>
      <c r="J1267" s="58" t="str">
        <f>I1267-E1267</f>
      </c>
    </row>
    <row r="1268">
      <c r="A1268" t="s">
        <v>220</v>
      </c>
      <c r="B1268" t="s">
        <v>222</v>
      </c>
      <c r="C1268" s="52" t="n">
        <v>2049</v>
      </c>
      <c r="D1268" t="s">
        <v>212</v>
      </c>
      <c r="E1268" s="53" t="n">
        <v>34087.7643025624</v>
      </c>
      <c r="F1268" s="54" t="n">
        <v>1998.59225500041</v>
      </c>
      <c r="G1268" s="55" t="n">
        <v>1998.59223363335</v>
      </c>
      <c r="H1268" s="56" t="str">
        <f>G1268-F1268</f>
      </c>
      <c r="I1268" s="57" t="n">
        <v>34087.7627067011</v>
      </c>
      <c r="J1268" s="58" t="str">
        <f>I1268-E1268</f>
      </c>
    </row>
    <row r="1269">
      <c r="A1269" t="s">
        <v>220</v>
      </c>
      <c r="B1269" t="s">
        <v>222</v>
      </c>
      <c r="C1269" s="52" t="n">
        <v>2050</v>
      </c>
      <c r="D1269" t="s">
        <v>190</v>
      </c>
      <c r="E1269" s="53" t="n">
        <v>26699.5479510881</v>
      </c>
      <c r="F1269" s="54" t="n">
        <v>17833.278019718</v>
      </c>
      <c r="G1269" s="55" t="n">
        <v>17828.637482456</v>
      </c>
      <c r="H1269" s="56" t="str">
        <f>G1269-F1269</f>
      </c>
      <c r="I1269" s="57" t="n">
        <v>26690.1101954068</v>
      </c>
      <c r="J1269" s="58" t="str">
        <f>I1269-E1269</f>
      </c>
    </row>
    <row r="1270">
      <c r="A1270" t="s">
        <v>220</v>
      </c>
      <c r="B1270" t="s">
        <v>222</v>
      </c>
      <c r="C1270" s="52" t="n">
        <v>2050</v>
      </c>
      <c r="D1270" t="s">
        <v>230</v>
      </c>
      <c r="E1270" s="53" t="n">
        <v>1297995.54530496</v>
      </c>
      <c r="F1270" s="54" t="n">
        <v>328760.27952144</v>
      </c>
      <c r="G1270" s="55" t="n">
        <v>328734.061465412</v>
      </c>
      <c r="H1270" s="56" t="str">
        <f>G1270-F1270</f>
      </c>
      <c r="I1270" s="57" t="n">
        <v>1297798.19122542</v>
      </c>
      <c r="J1270" s="58" t="str">
        <f>I1270-E1270</f>
      </c>
    </row>
    <row r="1271">
      <c r="A1271" t="s">
        <v>220</v>
      </c>
      <c r="B1271" t="s">
        <v>222</v>
      </c>
      <c r="C1271" s="52" t="n">
        <v>2050</v>
      </c>
      <c r="D1271" t="s">
        <v>166</v>
      </c>
      <c r="E1271" s="53" t="n">
        <v>149600.917983693</v>
      </c>
      <c r="F1271" s="54" t="n">
        <v>95649.921214179</v>
      </c>
      <c r="G1271" s="55" t="n">
        <v>95625.9439694284</v>
      </c>
      <c r="H1271" s="56" t="str">
        <f>G1271-F1271</f>
      </c>
      <c r="I1271" s="57" t="n">
        <v>149549.878981469</v>
      </c>
      <c r="J1271" s="58" t="str">
        <f>I1271-E1271</f>
      </c>
    </row>
    <row r="1272">
      <c r="A1272" t="s">
        <v>220</v>
      </c>
      <c r="B1272" t="s">
        <v>222</v>
      </c>
      <c r="C1272" s="52" t="n">
        <v>2050</v>
      </c>
      <c r="D1272" t="s">
        <v>176</v>
      </c>
      <c r="E1272" s="53" t="n">
        <v>266097.369164249</v>
      </c>
      <c r="F1272" s="54" t="n">
        <v>251932.556257855</v>
      </c>
      <c r="G1272" s="55" t="n">
        <v>252158.933158969</v>
      </c>
      <c r="H1272" s="56" t="str">
        <f>G1272-F1272</f>
      </c>
      <c r="I1272" s="57" t="n">
        <v>266031.496410964</v>
      </c>
      <c r="J1272" s="58" t="str">
        <f>I1272-E1272</f>
      </c>
    </row>
    <row r="1273">
      <c r="A1273" t="s">
        <v>220</v>
      </c>
      <c r="B1273" t="s">
        <v>222</v>
      </c>
      <c r="C1273" s="52" t="n">
        <v>2050</v>
      </c>
      <c r="D1273" t="s">
        <v>180</v>
      </c>
      <c r="E1273" s="53" t="n">
        <v>809235.618639224</v>
      </c>
      <c r="F1273" s="54" t="n">
        <v>504181.434396427</v>
      </c>
      <c r="G1273" s="55" t="n">
        <v>504089.426791864</v>
      </c>
      <c r="H1273" s="56" t="str">
        <f>G1273-F1273</f>
      </c>
      <c r="I1273" s="57" t="n">
        <v>809018.722538968</v>
      </c>
      <c r="J1273" s="58" t="str">
        <f>I1273-E1273</f>
      </c>
    </row>
    <row r="1274">
      <c r="A1274" t="s">
        <v>220</v>
      </c>
      <c r="B1274" t="s">
        <v>222</v>
      </c>
      <c r="C1274" s="52" t="n">
        <v>2050</v>
      </c>
      <c r="D1274" t="s">
        <v>184</v>
      </c>
      <c r="E1274" s="53" t="n">
        <v>398581.939983067</v>
      </c>
      <c r="F1274" s="54" t="n">
        <v>213479.437215438</v>
      </c>
      <c r="G1274" s="55" t="n">
        <v>215570.737440482</v>
      </c>
      <c r="H1274" s="56" t="str">
        <f>G1274-F1274</f>
      </c>
      <c r="I1274" s="57" t="n">
        <v>398560.037918605</v>
      </c>
      <c r="J1274" s="58" t="str">
        <f>I1274-E1274</f>
      </c>
    </row>
    <row r="1275">
      <c r="A1275" t="s">
        <v>220</v>
      </c>
      <c r="B1275" t="s">
        <v>222</v>
      </c>
      <c r="C1275" s="52" t="n">
        <v>2050</v>
      </c>
      <c r="D1275" t="s">
        <v>212</v>
      </c>
      <c r="E1275" s="53" t="n">
        <v>33926.4806340056</v>
      </c>
      <c r="F1275" s="54" t="n">
        <v>1888.51502928611</v>
      </c>
      <c r="G1275" s="55" t="n">
        <v>1888.51500986557</v>
      </c>
      <c r="H1275" s="56" t="str">
        <f>G1275-F1275</f>
      </c>
      <c r="I1275" s="57" t="n">
        <v>33926.4790426967</v>
      </c>
      <c r="J1275" s="58" t="str">
        <f>I1275-E1275</f>
      </c>
    </row>
    <row r="1276">
      <c r="A1276" t="s">
        <v>226</v>
      </c>
      <c r="B1276" t="s">
        <v>228</v>
      </c>
      <c r="C1276" s="52" t="n">
        <v>2025</v>
      </c>
      <c r="D1276" t="s">
        <v>190</v>
      </c>
      <c r="E1276" s="53" t="n">
        <v>12176.1707137429</v>
      </c>
      <c r="F1276" s="54" t="n">
        <v>8959.2701472679</v>
      </c>
      <c r="G1276" s="55" t="n">
        <v>8959.2701472679</v>
      </c>
      <c r="H1276" s="56" t="str">
        <f>G1276-F1276</f>
      </c>
      <c r="I1276" s="57" t="n">
        <v>12176.1707137429</v>
      </c>
      <c r="J1276" s="58" t="str">
        <f>I1276-E1276</f>
      </c>
    </row>
    <row r="1277">
      <c r="A1277" t="s">
        <v>226</v>
      </c>
      <c r="B1277" t="s">
        <v>228</v>
      </c>
      <c r="C1277" s="52" t="n">
        <v>2025</v>
      </c>
      <c r="D1277" t="s">
        <v>230</v>
      </c>
      <c r="E1277" s="53" t="n">
        <v>1026758.5711338</v>
      </c>
      <c r="F1277" s="54" t="n">
        <v>128635.682119625</v>
      </c>
      <c r="G1277" s="55" t="n">
        <v>129383.323210315</v>
      </c>
      <c r="H1277" s="56" t="str">
        <f>G1277-F1277</f>
      </c>
      <c r="I1277" s="57" t="n">
        <v>1026758.5711338</v>
      </c>
      <c r="J1277" s="58" t="str">
        <f>I1277-E1277</f>
      </c>
    </row>
    <row r="1278">
      <c r="A1278" t="s">
        <v>226</v>
      </c>
      <c r="B1278" t="s">
        <v>228</v>
      </c>
      <c r="C1278" s="52" t="n">
        <v>2025</v>
      </c>
      <c r="D1278" t="s">
        <v>166</v>
      </c>
      <c r="E1278" s="53" t="n">
        <v>115291.159865467</v>
      </c>
      <c r="F1278" s="54" t="n">
        <v>67656.5589894958</v>
      </c>
      <c r="G1278" s="55" t="n">
        <v>67656.5589894958</v>
      </c>
      <c r="H1278" s="56" t="str">
        <f>G1278-F1278</f>
      </c>
      <c r="I1278" s="57" t="n">
        <v>115291.159865467</v>
      </c>
      <c r="J1278" s="58" t="str">
        <f>I1278-E1278</f>
      </c>
    </row>
    <row r="1279">
      <c r="A1279" t="s">
        <v>226</v>
      </c>
      <c r="B1279" t="s">
        <v>228</v>
      </c>
      <c r="C1279" s="52" t="n">
        <v>2025</v>
      </c>
      <c r="D1279" t="s">
        <v>176</v>
      </c>
      <c r="E1279" s="53" t="n">
        <v>281662.55341658</v>
      </c>
      <c r="F1279" s="54" t="n">
        <v>263295.70058044</v>
      </c>
      <c r="G1279" s="55" t="n">
        <v>263295.70058044</v>
      </c>
      <c r="H1279" s="56" t="str">
        <f>G1279-F1279</f>
      </c>
      <c r="I1279" s="57" t="n">
        <v>281662.55341658</v>
      </c>
      <c r="J1279" s="58" t="str">
        <f>I1279-E1279</f>
      </c>
    </row>
    <row r="1280">
      <c r="A1280" t="s">
        <v>226</v>
      </c>
      <c r="B1280" t="s">
        <v>228</v>
      </c>
      <c r="C1280" s="52" t="n">
        <v>2025</v>
      </c>
      <c r="D1280" t="s">
        <v>180</v>
      </c>
      <c r="E1280" s="53" t="n">
        <v>612171.634776233</v>
      </c>
      <c r="F1280" s="54" t="n">
        <v>335575.566954451</v>
      </c>
      <c r="G1280" s="55" t="n">
        <v>335724.869793767</v>
      </c>
      <c r="H1280" s="56" t="str">
        <f>G1280-F1280</f>
      </c>
      <c r="I1280" s="57" t="n">
        <v>612171.634776233</v>
      </c>
      <c r="J1280" s="58" t="str">
        <f>I1280-E1280</f>
      </c>
    </row>
    <row r="1281">
      <c r="A1281" t="s">
        <v>226</v>
      </c>
      <c r="B1281" t="s">
        <v>228</v>
      </c>
      <c r="C1281" s="52" t="n">
        <v>2025</v>
      </c>
      <c r="D1281" t="s">
        <v>184</v>
      </c>
      <c r="E1281" s="53" t="n">
        <v>339642.130126733</v>
      </c>
      <c r="F1281" s="54" t="n">
        <v>190841.880003208</v>
      </c>
      <c r="G1281" s="55" t="n">
        <v>190841.880003208</v>
      </c>
      <c r="H1281" s="56" t="str">
        <f>G1281-F1281</f>
      </c>
      <c r="I1281" s="57" t="n">
        <v>339642.130126733</v>
      </c>
      <c r="J1281" s="58" t="str">
        <f>I1281-E1281</f>
      </c>
    </row>
    <row r="1282">
      <c r="A1282" t="s">
        <v>226</v>
      </c>
      <c r="B1282" t="s">
        <v>228</v>
      </c>
      <c r="C1282" s="52" t="n">
        <v>2025</v>
      </c>
      <c r="D1282" t="s">
        <v>212</v>
      </c>
      <c r="E1282" s="53" t="n">
        <v>39660.8365474078</v>
      </c>
      <c r="F1282" s="54" t="n">
        <v>5303.42230174402</v>
      </c>
      <c r="G1282" s="55" t="n">
        <v>5303.42230174402</v>
      </c>
      <c r="H1282" s="56" t="str">
        <f>G1282-F1282</f>
      </c>
      <c r="I1282" s="57" t="n">
        <v>39660.8365474078</v>
      </c>
      <c r="J1282" s="58" t="str">
        <f>I1282-E1282</f>
      </c>
    </row>
    <row r="1283">
      <c r="A1283" t="s">
        <v>226</v>
      </c>
      <c r="B1283" t="s">
        <v>228</v>
      </c>
      <c r="C1283" s="52" t="n">
        <v>2026</v>
      </c>
      <c r="D1283" t="s">
        <v>190</v>
      </c>
      <c r="E1283" s="53" t="n">
        <v>12569.195708464</v>
      </c>
      <c r="F1283" s="54" t="n">
        <v>9271.1333627081</v>
      </c>
      <c r="G1283" s="55" t="n">
        <v>9271.1333627081</v>
      </c>
      <c r="H1283" s="56" t="str">
        <f>G1283-F1283</f>
      </c>
      <c r="I1283" s="57" t="n">
        <v>12568.9386470114</v>
      </c>
      <c r="J1283" s="58" t="str">
        <f>I1283-E1283</f>
      </c>
    </row>
    <row r="1284">
      <c r="A1284" t="s">
        <v>226</v>
      </c>
      <c r="B1284" t="s">
        <v>228</v>
      </c>
      <c r="C1284" s="52" t="n">
        <v>2026</v>
      </c>
      <c r="D1284" t="s">
        <v>230</v>
      </c>
      <c r="E1284" s="53" t="n">
        <v>1042136.33794738</v>
      </c>
      <c r="F1284" s="54" t="n">
        <v>135573.739862255</v>
      </c>
      <c r="G1284" s="55" t="n">
        <v>137145.828958788</v>
      </c>
      <c r="H1284" s="56" t="str">
        <f>G1284-F1284</f>
      </c>
      <c r="I1284" s="57" t="n">
        <v>1042135.18581351</v>
      </c>
      <c r="J1284" s="58" t="str">
        <f>I1284-E1284</f>
      </c>
    </row>
    <row r="1285">
      <c r="A1285" t="s">
        <v>226</v>
      </c>
      <c r="B1285" t="s">
        <v>228</v>
      </c>
      <c r="C1285" s="52" t="n">
        <v>2026</v>
      </c>
      <c r="D1285" t="s">
        <v>166</v>
      </c>
      <c r="E1285" s="53" t="n">
        <v>114710.639962515</v>
      </c>
      <c r="F1285" s="54" t="n">
        <v>70326.6034535198</v>
      </c>
      <c r="G1285" s="55" t="n">
        <v>70326.6034535198</v>
      </c>
      <c r="H1285" s="56" t="str">
        <f>G1285-F1285</f>
      </c>
      <c r="I1285" s="57" t="n">
        <v>114707.986926294</v>
      </c>
      <c r="J1285" s="58" t="str">
        <f>I1285-E1285</f>
      </c>
    </row>
    <row r="1286">
      <c r="A1286" t="s">
        <v>226</v>
      </c>
      <c r="B1286" t="s">
        <v>228</v>
      </c>
      <c r="C1286" s="52" t="n">
        <v>2026</v>
      </c>
      <c r="D1286" t="s">
        <v>176</v>
      </c>
      <c r="E1286" s="53" t="n">
        <v>282727.194539741</v>
      </c>
      <c r="F1286" s="54" t="n">
        <v>259504.468011332</v>
      </c>
      <c r="G1286" s="55" t="n">
        <v>259504.468011332</v>
      </c>
      <c r="H1286" s="56" t="str">
        <f>G1286-F1286</f>
      </c>
      <c r="I1286" s="57" t="n">
        <v>282722.537860884</v>
      </c>
      <c r="J1286" s="58" t="str">
        <f>I1286-E1286</f>
      </c>
    </row>
    <row r="1287">
      <c r="A1287" t="s">
        <v>226</v>
      </c>
      <c r="B1287" t="s">
        <v>228</v>
      </c>
      <c r="C1287" s="52" t="n">
        <v>2026</v>
      </c>
      <c r="D1287" t="s">
        <v>180</v>
      </c>
      <c r="E1287" s="53" t="n">
        <v>616798.73040025</v>
      </c>
      <c r="F1287" s="54" t="n">
        <v>342669.66719328</v>
      </c>
      <c r="G1287" s="55" t="n">
        <v>342960.135281865</v>
      </c>
      <c r="H1287" s="56" t="str">
        <f>G1287-F1287</f>
      </c>
      <c r="I1287" s="57" t="n">
        <v>616790.029155755</v>
      </c>
      <c r="J1287" s="58" t="str">
        <f>I1287-E1287</f>
      </c>
    </row>
    <row r="1288">
      <c r="A1288" t="s">
        <v>226</v>
      </c>
      <c r="B1288" t="s">
        <v>228</v>
      </c>
      <c r="C1288" s="52" t="n">
        <v>2026</v>
      </c>
      <c r="D1288" t="s">
        <v>184</v>
      </c>
      <c r="E1288" s="53" t="n">
        <v>338506.156146039</v>
      </c>
      <c r="F1288" s="54" t="n">
        <v>190574.613818848</v>
      </c>
      <c r="G1288" s="55" t="n">
        <v>190574.613818848</v>
      </c>
      <c r="H1288" s="56" t="str">
        <f>G1288-F1288</f>
      </c>
      <c r="I1288" s="57" t="n">
        <v>338499.069421602</v>
      </c>
      <c r="J1288" s="58" t="str">
        <f>I1288-E1288</f>
      </c>
    </row>
    <row r="1289">
      <c r="A1289" t="s">
        <v>226</v>
      </c>
      <c r="B1289" t="s">
        <v>228</v>
      </c>
      <c r="C1289" s="52" t="n">
        <v>2026</v>
      </c>
      <c r="D1289" t="s">
        <v>212</v>
      </c>
      <c r="E1289" s="53" t="n">
        <v>39250.6850662129</v>
      </c>
      <c r="F1289" s="54" t="n">
        <v>5105.60955478559</v>
      </c>
      <c r="G1289" s="55" t="n">
        <v>5105.60955478559</v>
      </c>
      <c r="H1289" s="56" t="str">
        <f>G1289-F1289</f>
      </c>
      <c r="I1289" s="57" t="n">
        <v>39250.6670180049</v>
      </c>
      <c r="J1289" s="58" t="str">
        <f>I1289-E1289</f>
      </c>
    </row>
    <row r="1290">
      <c r="A1290" t="s">
        <v>226</v>
      </c>
      <c r="B1290" t="s">
        <v>228</v>
      </c>
      <c r="C1290" s="52" t="n">
        <v>2027</v>
      </c>
      <c r="D1290" t="s">
        <v>190</v>
      </c>
      <c r="E1290" s="53" t="n">
        <v>12976.9090302769</v>
      </c>
      <c r="F1290" s="54" t="n">
        <v>9577.57478852884</v>
      </c>
      <c r="G1290" s="55" t="n">
        <v>9577.52965486433</v>
      </c>
      <c r="H1290" s="56" t="str">
        <f>G1290-F1290</f>
      </c>
      <c r="I1290" s="57" t="n">
        <v>12976.1031133633</v>
      </c>
      <c r="J1290" s="58" t="str">
        <f>I1290-E1290</f>
      </c>
    </row>
    <row r="1291">
      <c r="A1291" t="s">
        <v>226</v>
      </c>
      <c r="B1291" t="s">
        <v>228</v>
      </c>
      <c r="C1291" s="52" t="n">
        <v>2027</v>
      </c>
      <c r="D1291" t="s">
        <v>230</v>
      </c>
      <c r="E1291" s="53" t="n">
        <v>1057151.76268188</v>
      </c>
      <c r="F1291" s="54" t="n">
        <v>142535.603333969</v>
      </c>
      <c r="G1291" s="55" t="n">
        <v>145009.441994705</v>
      </c>
      <c r="H1291" s="56" t="str">
        <f>G1291-F1291</f>
      </c>
      <c r="I1291" s="57" t="n">
        <v>1057148.31873483</v>
      </c>
      <c r="J1291" s="58" t="str">
        <f>I1291-E1291</f>
      </c>
    </row>
    <row r="1292">
      <c r="A1292" t="s">
        <v>226</v>
      </c>
      <c r="B1292" t="s">
        <v>228</v>
      </c>
      <c r="C1292" s="52" t="n">
        <v>2027</v>
      </c>
      <c r="D1292" t="s">
        <v>166</v>
      </c>
      <c r="E1292" s="53" t="n">
        <v>114160.668841122</v>
      </c>
      <c r="F1292" s="54" t="n">
        <v>72290.6451938597</v>
      </c>
      <c r="G1292" s="55" t="n">
        <v>72290.1699912091</v>
      </c>
      <c r="H1292" s="56" t="str">
        <f>G1292-F1292</f>
      </c>
      <c r="I1292" s="57" t="n">
        <v>114152.944165875</v>
      </c>
      <c r="J1292" s="58" t="str">
        <f>I1292-E1292</f>
      </c>
    </row>
    <row r="1293">
      <c r="A1293" t="s">
        <v>226</v>
      </c>
      <c r="B1293" t="s">
        <v>228</v>
      </c>
      <c r="C1293" s="52" t="n">
        <v>2027</v>
      </c>
      <c r="D1293" t="s">
        <v>176</v>
      </c>
      <c r="E1293" s="53" t="n">
        <v>277890.56530419</v>
      </c>
      <c r="F1293" s="54" t="n">
        <v>260333.490318115</v>
      </c>
      <c r="G1293" s="55" t="n">
        <v>260330.421136777</v>
      </c>
      <c r="H1293" s="56" t="str">
        <f>G1293-F1293</f>
      </c>
      <c r="I1293" s="57" t="n">
        <v>277877.509454571</v>
      </c>
      <c r="J1293" s="58" t="str">
        <f>I1293-E1293</f>
      </c>
    </row>
    <row r="1294">
      <c r="A1294" t="s">
        <v>226</v>
      </c>
      <c r="B1294" t="s">
        <v>228</v>
      </c>
      <c r="C1294" s="52" t="n">
        <v>2027</v>
      </c>
      <c r="D1294" t="s">
        <v>180</v>
      </c>
      <c r="E1294" s="53" t="n">
        <v>621456.970741737</v>
      </c>
      <c r="F1294" s="54" t="n">
        <v>348981.467136043</v>
      </c>
      <c r="G1294" s="55" t="n">
        <v>349405.300730343</v>
      </c>
      <c r="H1294" s="56" t="str">
        <f>G1294-F1294</f>
      </c>
      <c r="I1294" s="57" t="n">
        <v>621430.902801161</v>
      </c>
      <c r="J1294" s="58" t="str">
        <f>I1294-E1294</f>
      </c>
    </row>
    <row r="1295">
      <c r="A1295" t="s">
        <v>226</v>
      </c>
      <c r="B1295" t="s">
        <v>228</v>
      </c>
      <c r="C1295" s="52" t="n">
        <v>2027</v>
      </c>
      <c r="D1295" t="s">
        <v>184</v>
      </c>
      <c r="E1295" s="53" t="n">
        <v>337419.471364803</v>
      </c>
      <c r="F1295" s="54" t="n">
        <v>189032.486245661</v>
      </c>
      <c r="G1295" s="55" t="n">
        <v>189031.100445512</v>
      </c>
      <c r="H1295" s="56" t="str">
        <f>G1295-F1295</f>
      </c>
      <c r="I1295" s="57" t="n">
        <v>337398.949071723</v>
      </c>
      <c r="J1295" s="58" t="str">
        <f>I1295-E1295</f>
      </c>
    </row>
    <row r="1296">
      <c r="A1296" t="s">
        <v>226</v>
      </c>
      <c r="B1296" t="s">
        <v>228</v>
      </c>
      <c r="C1296" s="52" t="n">
        <v>2027</v>
      </c>
      <c r="D1296" t="s">
        <v>212</v>
      </c>
      <c r="E1296" s="53" t="n">
        <v>38773.6624766712</v>
      </c>
      <c r="F1296" s="54" t="n">
        <v>4921.49775608102</v>
      </c>
      <c r="G1296" s="55" t="n">
        <v>4921.4971535539</v>
      </c>
      <c r="H1296" s="56" t="str">
        <f>G1296-F1296</f>
      </c>
      <c r="I1296" s="57" t="n">
        <v>38773.6271863431</v>
      </c>
      <c r="J1296" s="58" t="str">
        <f>I1296-E1296</f>
      </c>
    </row>
    <row r="1297">
      <c r="A1297" t="s">
        <v>226</v>
      </c>
      <c r="B1297" t="s">
        <v>228</v>
      </c>
      <c r="C1297" s="52" t="n">
        <v>2028</v>
      </c>
      <c r="D1297" t="s">
        <v>190</v>
      </c>
      <c r="E1297" s="53" t="n">
        <v>13396.351246308</v>
      </c>
      <c r="F1297" s="54" t="n">
        <v>9882.09609853783</v>
      </c>
      <c r="G1297" s="55" t="n">
        <v>9881.92201892528</v>
      </c>
      <c r="H1297" s="56" t="str">
        <f>G1297-F1297</f>
      </c>
      <c r="I1297" s="57" t="n">
        <v>13394.6739315754</v>
      </c>
      <c r="J1297" s="58" t="str">
        <f>I1297-E1297</f>
      </c>
    </row>
    <row r="1298">
      <c r="A1298" t="s">
        <v>226</v>
      </c>
      <c r="B1298" t="s">
        <v>228</v>
      </c>
      <c r="C1298" s="52" t="n">
        <v>2028</v>
      </c>
      <c r="D1298" t="s">
        <v>230</v>
      </c>
      <c r="E1298" s="53" t="n">
        <v>1071832.9600701</v>
      </c>
      <c r="F1298" s="54" t="n">
        <v>149518.295556369</v>
      </c>
      <c r="G1298" s="55" t="n">
        <v>152971.729388998</v>
      </c>
      <c r="H1298" s="56" t="str">
        <f>G1298-F1298</f>
      </c>
      <c r="I1298" s="57" t="n">
        <v>1071826.12505593</v>
      </c>
      <c r="J1298" s="58" t="str">
        <f>I1298-E1298</f>
      </c>
    </row>
    <row r="1299">
      <c r="A1299" t="s">
        <v>226</v>
      </c>
      <c r="B1299" t="s">
        <v>228</v>
      </c>
      <c r="C1299" s="52" t="n">
        <v>2028</v>
      </c>
      <c r="D1299" t="s">
        <v>166</v>
      </c>
      <c r="E1299" s="53" t="n">
        <v>114154.116001595</v>
      </c>
      <c r="F1299" s="54" t="n">
        <v>73848.5559704</v>
      </c>
      <c r="G1299" s="55" t="n">
        <v>73846.8742094397</v>
      </c>
      <c r="H1299" s="56" t="str">
        <f>G1299-F1299</f>
      </c>
      <c r="I1299" s="57" t="n">
        <v>114139.122924862</v>
      </c>
      <c r="J1299" s="58" t="str">
        <f>I1299-E1299</f>
      </c>
    </row>
    <row r="1300">
      <c r="A1300" t="s">
        <v>226</v>
      </c>
      <c r="B1300" t="s">
        <v>228</v>
      </c>
      <c r="C1300" s="52" t="n">
        <v>2028</v>
      </c>
      <c r="D1300" t="s">
        <v>176</v>
      </c>
      <c r="E1300" s="53" t="n">
        <v>277761.777194742</v>
      </c>
      <c r="F1300" s="54" t="n">
        <v>257774.416519875</v>
      </c>
      <c r="G1300" s="55" t="n">
        <v>257765.323271705</v>
      </c>
      <c r="H1300" s="56" t="str">
        <f>G1300-F1300</f>
      </c>
      <c r="I1300" s="57" t="n">
        <v>277735.696141204</v>
      </c>
      <c r="J1300" s="58" t="str">
        <f>I1300-E1300</f>
      </c>
    </row>
    <row r="1301">
      <c r="A1301" t="s">
        <v>226</v>
      </c>
      <c r="B1301" t="s">
        <v>228</v>
      </c>
      <c r="C1301" s="52" t="n">
        <v>2028</v>
      </c>
      <c r="D1301" t="s">
        <v>180</v>
      </c>
      <c r="E1301" s="53" t="n">
        <v>627775.784260658</v>
      </c>
      <c r="F1301" s="54" t="n">
        <v>355607.814266141</v>
      </c>
      <c r="G1301" s="55" t="n">
        <v>356159.252906041</v>
      </c>
      <c r="H1301" s="56" t="str">
        <f>G1301-F1301</f>
      </c>
      <c r="I1301" s="57" t="n">
        <v>627723.844155296</v>
      </c>
      <c r="J1301" s="58" t="str">
        <f>I1301-E1301</f>
      </c>
    </row>
    <row r="1302">
      <c r="A1302" t="s">
        <v>226</v>
      </c>
      <c r="B1302" t="s">
        <v>228</v>
      </c>
      <c r="C1302" s="52" t="n">
        <v>2028</v>
      </c>
      <c r="D1302" t="s">
        <v>184</v>
      </c>
      <c r="E1302" s="53" t="n">
        <v>337554.343796312</v>
      </c>
      <c r="F1302" s="54" t="n">
        <v>187121.237727199</v>
      </c>
      <c r="G1302" s="55" t="n">
        <v>187116.639879467</v>
      </c>
      <c r="H1302" s="56" t="str">
        <f>G1302-F1302</f>
      </c>
      <c r="I1302" s="57" t="n">
        <v>337514.695524676</v>
      </c>
      <c r="J1302" s="58" t="str">
        <f>I1302-E1302</f>
      </c>
    </row>
    <row r="1303">
      <c r="A1303" t="s">
        <v>226</v>
      </c>
      <c r="B1303" t="s">
        <v>228</v>
      </c>
      <c r="C1303" s="52" t="n">
        <v>2028</v>
      </c>
      <c r="D1303" t="s">
        <v>212</v>
      </c>
      <c r="E1303" s="53" t="n">
        <v>38149.3281406277</v>
      </c>
      <c r="F1303" s="54" t="n">
        <v>4742.08734109659</v>
      </c>
      <c r="G1303" s="55" t="n">
        <v>4742.08557297834</v>
      </c>
      <c r="H1303" s="56" t="str">
        <f>G1303-F1303</f>
      </c>
      <c r="I1303" s="57" t="n">
        <v>38149.2915792319</v>
      </c>
      <c r="J1303" s="58" t="str">
        <f>I1303-E1303</f>
      </c>
    </row>
    <row r="1304">
      <c r="A1304" t="s">
        <v>226</v>
      </c>
      <c r="B1304" t="s">
        <v>228</v>
      </c>
      <c r="C1304" s="52" t="n">
        <v>2029</v>
      </c>
      <c r="D1304" t="s">
        <v>190</v>
      </c>
      <c r="E1304" s="53" t="n">
        <v>13832.9515397416</v>
      </c>
      <c r="F1304" s="54" t="n">
        <v>10188.8154970917</v>
      </c>
      <c r="G1304" s="55" t="n">
        <v>10188.394886281</v>
      </c>
      <c r="H1304" s="56" t="str">
        <f>G1304-F1304</f>
      </c>
      <c r="I1304" s="57" t="n">
        <v>13830.0485982781</v>
      </c>
      <c r="J1304" s="58" t="str">
        <f>I1304-E1304</f>
      </c>
    </row>
    <row r="1305">
      <c r="A1305" t="s">
        <v>226</v>
      </c>
      <c r="B1305" t="s">
        <v>228</v>
      </c>
      <c r="C1305" s="52" t="n">
        <v>2029</v>
      </c>
      <c r="D1305" t="s">
        <v>230</v>
      </c>
      <c r="E1305" s="53" t="n">
        <v>1086211.8299851</v>
      </c>
      <c r="F1305" s="54" t="n">
        <v>156526.5676854</v>
      </c>
      <c r="G1305" s="55" t="n">
        <v>161038.227687319</v>
      </c>
      <c r="H1305" s="56" t="str">
        <f>G1305-F1305</f>
      </c>
      <c r="I1305" s="57" t="n">
        <v>1086200.50099061</v>
      </c>
      <c r="J1305" s="58" t="str">
        <f>I1305-E1305</f>
      </c>
    </row>
    <row r="1306">
      <c r="A1306" t="s">
        <v>226</v>
      </c>
      <c r="B1306" t="s">
        <v>228</v>
      </c>
      <c r="C1306" s="52" t="n">
        <v>2029</v>
      </c>
      <c r="D1306" t="s">
        <v>166</v>
      </c>
      <c r="E1306" s="53" t="n">
        <v>114072.661554886</v>
      </c>
      <c r="F1306" s="54" t="n">
        <v>75455.9733986571</v>
      </c>
      <c r="G1306" s="55" t="n">
        <v>75452.2225775915</v>
      </c>
      <c r="H1306" s="56" t="str">
        <f>G1306-F1306</f>
      </c>
      <c r="I1306" s="57" t="n">
        <v>114048.155335882</v>
      </c>
      <c r="J1306" s="58" t="str">
        <f>I1306-E1306</f>
      </c>
    </row>
    <row r="1307">
      <c r="A1307" t="s">
        <v>226</v>
      </c>
      <c r="B1307" t="s">
        <v>228</v>
      </c>
      <c r="C1307" s="52" t="n">
        <v>2029</v>
      </c>
      <c r="D1307" t="s">
        <v>176</v>
      </c>
      <c r="E1307" s="53" t="n">
        <v>275862.731537122</v>
      </c>
      <c r="F1307" s="54" t="n">
        <v>258353.164985358</v>
      </c>
      <c r="G1307" s="55" t="n">
        <v>258334.317394862</v>
      </c>
      <c r="H1307" s="56" t="str">
        <f>G1307-F1307</f>
      </c>
      <c r="I1307" s="57" t="n">
        <v>275821.082992428</v>
      </c>
      <c r="J1307" s="58" t="str">
        <f>I1307-E1307</f>
      </c>
    </row>
    <row r="1308">
      <c r="A1308" t="s">
        <v>226</v>
      </c>
      <c r="B1308" t="s">
        <v>228</v>
      </c>
      <c r="C1308" s="52" t="n">
        <v>2029</v>
      </c>
      <c r="D1308" t="s">
        <v>180</v>
      </c>
      <c r="E1308" s="53" t="n">
        <v>630865.543879513</v>
      </c>
      <c r="F1308" s="54" t="n">
        <v>363216.477687225</v>
      </c>
      <c r="G1308" s="55" t="n">
        <v>363892.268279926</v>
      </c>
      <c r="H1308" s="56" t="str">
        <f>G1308-F1308</f>
      </c>
      <c r="I1308" s="57" t="n">
        <v>630779.369985079</v>
      </c>
      <c r="J1308" s="58" t="str">
        <f>I1308-E1308</f>
      </c>
    </row>
    <row r="1309">
      <c r="A1309" t="s">
        <v>226</v>
      </c>
      <c r="B1309" t="s">
        <v>228</v>
      </c>
      <c r="C1309" s="52" t="n">
        <v>2029</v>
      </c>
      <c r="D1309" t="s">
        <v>184</v>
      </c>
      <c r="E1309" s="53" t="n">
        <v>335985.828799614</v>
      </c>
      <c r="F1309" s="54" t="n">
        <v>186831.311094254</v>
      </c>
      <c r="G1309" s="55" t="n">
        <v>186821.560087492</v>
      </c>
      <c r="H1309" s="56" t="str">
        <f>G1309-F1309</f>
      </c>
      <c r="I1309" s="57" t="n">
        <v>335921.292831796</v>
      </c>
      <c r="J1309" s="58" t="str">
        <f>I1309-E1309</f>
      </c>
    </row>
    <row r="1310">
      <c r="A1310" t="s">
        <v>226</v>
      </c>
      <c r="B1310" t="s">
        <v>228</v>
      </c>
      <c r="C1310" s="52" t="n">
        <v>2029</v>
      </c>
      <c r="D1310" t="s">
        <v>212</v>
      </c>
      <c r="E1310" s="53" t="n">
        <v>37777.5243901374</v>
      </c>
      <c r="F1310" s="54" t="n">
        <v>4604.07141452501</v>
      </c>
      <c r="G1310" s="55" t="n">
        <v>4604.06814831639</v>
      </c>
      <c r="H1310" s="56" t="str">
        <f>G1310-F1310</f>
      </c>
      <c r="I1310" s="57" t="n">
        <v>37777.4672189776</v>
      </c>
      <c r="J1310" s="58" t="str">
        <f>I1310-E1310</f>
      </c>
    </row>
    <row r="1311">
      <c r="A1311" t="s">
        <v>226</v>
      </c>
      <c r="B1311" t="s">
        <v>228</v>
      </c>
      <c r="C1311" s="52" t="n">
        <v>2030</v>
      </c>
      <c r="D1311" t="s">
        <v>190</v>
      </c>
      <c r="E1311" s="53" t="n">
        <v>14286.473593241</v>
      </c>
      <c r="F1311" s="54" t="n">
        <v>10501.1022547039</v>
      </c>
      <c r="G1311" s="55" t="n">
        <v>10500.2867221377</v>
      </c>
      <c r="H1311" s="56" t="str">
        <f>G1311-F1311</f>
      </c>
      <c r="I1311" s="57" t="n">
        <v>14281.9590395355</v>
      </c>
      <c r="J1311" s="58" t="str">
        <f>I1311-E1311</f>
      </c>
    </row>
    <row r="1312">
      <c r="A1312" t="s">
        <v>226</v>
      </c>
      <c r="B1312" t="s">
        <v>228</v>
      </c>
      <c r="C1312" s="52" t="n">
        <v>2030</v>
      </c>
      <c r="D1312" t="s">
        <v>230</v>
      </c>
      <c r="E1312" s="53" t="n">
        <v>1100208.72711097</v>
      </c>
      <c r="F1312" s="54" t="n">
        <v>163547.492789858</v>
      </c>
      <c r="G1312" s="55" t="n">
        <v>169196.385350075</v>
      </c>
      <c r="H1312" s="56" t="str">
        <f>G1312-F1312</f>
      </c>
      <c r="I1312" s="57" t="n">
        <v>1100191.78654723</v>
      </c>
      <c r="J1312" s="58" t="str">
        <f>I1312-E1312</f>
      </c>
    </row>
    <row r="1313">
      <c r="A1313" t="s">
        <v>226</v>
      </c>
      <c r="B1313" t="s">
        <v>228</v>
      </c>
      <c r="C1313" s="52" t="n">
        <v>2030</v>
      </c>
      <c r="D1313" t="s">
        <v>166</v>
      </c>
      <c r="E1313" s="53" t="n">
        <v>114817.945767841</v>
      </c>
      <c r="F1313" s="54" t="n">
        <v>76011.1465460358</v>
      </c>
      <c r="G1313" s="55" t="n">
        <v>76004.3747737111</v>
      </c>
      <c r="H1313" s="56" t="str">
        <f>G1313-F1313</f>
      </c>
      <c r="I1313" s="57" t="n">
        <v>114781.951575614</v>
      </c>
      <c r="J1313" s="58" t="str">
        <f>I1313-E1313</f>
      </c>
    </row>
    <row r="1314">
      <c r="A1314" t="s">
        <v>226</v>
      </c>
      <c r="B1314" t="s">
        <v>228</v>
      </c>
      <c r="C1314" s="52" t="n">
        <v>2030</v>
      </c>
      <c r="D1314" t="s">
        <v>176</v>
      </c>
      <c r="E1314" s="53" t="n">
        <v>275812.710118362</v>
      </c>
      <c r="F1314" s="54" t="n">
        <v>257442.244076461</v>
      </c>
      <c r="G1314" s="55" t="n">
        <v>257411.197787159</v>
      </c>
      <c r="H1314" s="56" t="str">
        <f>G1314-F1314</f>
      </c>
      <c r="I1314" s="57" t="n">
        <v>275750.816549508</v>
      </c>
      <c r="J1314" s="58" t="str">
        <f>I1314-E1314</f>
      </c>
    </row>
    <row r="1315">
      <c r="A1315" t="s">
        <v>226</v>
      </c>
      <c r="B1315" t="s">
        <v>228</v>
      </c>
      <c r="C1315" s="52" t="n">
        <v>2030</v>
      </c>
      <c r="D1315" t="s">
        <v>180</v>
      </c>
      <c r="E1315" s="53" t="n">
        <v>638328.129030046</v>
      </c>
      <c r="F1315" s="54" t="n">
        <v>368130.747896571</v>
      </c>
      <c r="G1315" s="55" t="n">
        <v>368920.443479077</v>
      </c>
      <c r="H1315" s="56" t="str">
        <f>G1315-F1315</f>
      </c>
      <c r="I1315" s="57" t="n">
        <v>638199.367226914</v>
      </c>
      <c r="J1315" s="58" t="str">
        <f>I1315-E1315</f>
      </c>
    </row>
    <row r="1316">
      <c r="A1316" t="s">
        <v>226</v>
      </c>
      <c r="B1316" t="s">
        <v>228</v>
      </c>
      <c r="C1316" s="52" t="n">
        <v>2030</v>
      </c>
      <c r="D1316" t="s">
        <v>184</v>
      </c>
      <c r="E1316" s="53" t="n">
        <v>337469.186290951</v>
      </c>
      <c r="F1316" s="54" t="n">
        <v>185459.37442362</v>
      </c>
      <c r="G1316" s="55" t="n">
        <v>185442.493190957</v>
      </c>
      <c r="H1316" s="56" t="str">
        <f>G1316-F1316</f>
      </c>
      <c r="I1316" s="57" t="n">
        <v>337374.946866334</v>
      </c>
      <c r="J1316" s="58" t="str">
        <f>I1316-E1316</f>
      </c>
    </row>
    <row r="1317">
      <c r="A1317" t="s">
        <v>226</v>
      </c>
      <c r="B1317" t="s">
        <v>228</v>
      </c>
      <c r="C1317" s="52" t="n">
        <v>2030</v>
      </c>
      <c r="D1317" t="s">
        <v>212</v>
      </c>
      <c r="E1317" s="53" t="n">
        <v>38012.7502971243</v>
      </c>
      <c r="F1317" s="54" t="n">
        <v>4432.12194635733</v>
      </c>
      <c r="G1317" s="55" t="n">
        <v>4432.1168533299</v>
      </c>
      <c r="H1317" s="56" t="str">
        <f>G1317-F1317</f>
      </c>
      <c r="I1317" s="57" t="n">
        <v>38012.6736377562</v>
      </c>
      <c r="J1317" s="58" t="str">
        <f>I1317-E1317</f>
      </c>
    </row>
    <row r="1318">
      <c r="A1318" t="s">
        <v>226</v>
      </c>
      <c r="B1318" t="s">
        <v>228</v>
      </c>
      <c r="C1318" s="52" t="n">
        <v>2031</v>
      </c>
      <c r="D1318" t="s">
        <v>190</v>
      </c>
      <c r="E1318" s="53" t="n">
        <v>14760.9729446068</v>
      </c>
      <c r="F1318" s="54" t="n">
        <v>10816.3054858088</v>
      </c>
      <c r="G1318" s="55" t="n">
        <v>10814.9178976517</v>
      </c>
      <c r="H1318" s="56" t="str">
        <f>G1318-F1318</f>
      </c>
      <c r="I1318" s="57" t="n">
        <v>14754.4294987798</v>
      </c>
      <c r="J1318" s="58" t="str">
        <f>I1318-E1318</f>
      </c>
    </row>
    <row r="1319">
      <c r="A1319" t="s">
        <v>226</v>
      </c>
      <c r="B1319" t="s">
        <v>228</v>
      </c>
      <c r="C1319" s="52" t="n">
        <v>2031</v>
      </c>
      <c r="D1319" t="s">
        <v>230</v>
      </c>
      <c r="E1319" s="53" t="n">
        <v>1113748.8971115</v>
      </c>
      <c r="F1319" s="54" t="n">
        <v>170555.45297858</v>
      </c>
      <c r="G1319" s="55" t="n">
        <v>177420.195676039</v>
      </c>
      <c r="H1319" s="56" t="str">
        <f>G1319-F1319</f>
      </c>
      <c r="I1319" s="57" t="n">
        <v>1113725.22635968</v>
      </c>
      <c r="J1319" s="58" t="str">
        <f>I1319-E1319</f>
      </c>
    </row>
    <row r="1320">
      <c r="A1320" t="s">
        <v>226</v>
      </c>
      <c r="B1320" t="s">
        <v>228</v>
      </c>
      <c r="C1320" s="52" t="n">
        <v>2031</v>
      </c>
      <c r="D1320" t="s">
        <v>166</v>
      </c>
      <c r="E1320" s="53" t="n">
        <v>115806.486514294</v>
      </c>
      <c r="F1320" s="54" t="n">
        <v>76567.3991612381</v>
      </c>
      <c r="G1320" s="55" t="n">
        <v>76556.6280135149</v>
      </c>
      <c r="H1320" s="56" t="str">
        <f>G1320-F1320</f>
      </c>
      <c r="I1320" s="57" t="n">
        <v>115757.018858842</v>
      </c>
      <c r="J1320" s="58" t="str">
        <f>I1320-E1320</f>
      </c>
    </row>
    <row r="1321">
      <c r="A1321" t="s">
        <v>226</v>
      </c>
      <c r="B1321" t="s">
        <v>228</v>
      </c>
      <c r="C1321" s="52" t="n">
        <v>2031</v>
      </c>
      <c r="D1321" t="s">
        <v>176</v>
      </c>
      <c r="E1321" s="53" t="n">
        <v>274803.821795857</v>
      </c>
      <c r="F1321" s="54" t="n">
        <v>257292.040141067</v>
      </c>
      <c r="G1321" s="55" t="n">
        <v>257245.005480193</v>
      </c>
      <c r="H1321" s="56" t="str">
        <f>G1321-F1321</f>
      </c>
      <c r="I1321" s="57" t="n">
        <v>274719.77758767</v>
      </c>
      <c r="J1321" s="58" t="str">
        <f>I1321-E1321</f>
      </c>
    </row>
    <row r="1322">
      <c r="A1322" t="s">
        <v>226</v>
      </c>
      <c r="B1322" t="s">
        <v>228</v>
      </c>
      <c r="C1322" s="52" t="n">
        <v>2031</v>
      </c>
      <c r="D1322" t="s">
        <v>180</v>
      </c>
      <c r="E1322" s="53" t="n">
        <v>646290.405721324</v>
      </c>
      <c r="F1322" s="54" t="n">
        <v>373308.531670433</v>
      </c>
      <c r="G1322" s="55" t="n">
        <v>374207.729078974</v>
      </c>
      <c r="H1322" s="56" t="str">
        <f>G1322-F1322</f>
      </c>
      <c r="I1322" s="57" t="n">
        <v>646110.864169859</v>
      </c>
      <c r="J1322" s="58" t="str">
        <f>I1322-E1322</f>
      </c>
    </row>
    <row r="1323">
      <c r="A1323" t="s">
        <v>226</v>
      </c>
      <c r="B1323" t="s">
        <v>228</v>
      </c>
      <c r="C1323" s="52" t="n">
        <v>2031</v>
      </c>
      <c r="D1323" t="s">
        <v>184</v>
      </c>
      <c r="E1323" s="53" t="n">
        <v>339333.190002742</v>
      </c>
      <c r="F1323" s="54" t="n">
        <v>184341.526866421</v>
      </c>
      <c r="G1323" s="55" t="n">
        <v>184315.562373235</v>
      </c>
      <c r="H1323" s="56" t="str">
        <f>G1323-F1323</f>
      </c>
      <c r="I1323" s="57" t="n">
        <v>339204.419150594</v>
      </c>
      <c r="J1323" s="58" t="str">
        <f>I1323-E1323</f>
      </c>
    </row>
    <row r="1324">
      <c r="A1324" t="s">
        <v>226</v>
      </c>
      <c r="B1324" t="s">
        <v>228</v>
      </c>
      <c r="C1324" s="52" t="n">
        <v>2031</v>
      </c>
      <c r="D1324" t="s">
        <v>212</v>
      </c>
      <c r="E1324" s="53" t="n">
        <v>38191.720178683</v>
      </c>
      <c r="F1324" s="54" t="n">
        <v>4274.73436532513</v>
      </c>
      <c r="G1324" s="55" t="n">
        <v>4274.72729327381</v>
      </c>
      <c r="H1324" s="56" t="str">
        <f>G1324-F1324</f>
      </c>
      <c r="I1324" s="57" t="n">
        <v>38191.6231000681</v>
      </c>
      <c r="J1324" s="58" t="str">
        <f>I1324-E1324</f>
      </c>
    </row>
    <row r="1325">
      <c r="A1325" t="s">
        <v>226</v>
      </c>
      <c r="B1325" t="s">
        <v>228</v>
      </c>
      <c r="C1325" s="52" t="n">
        <v>2032</v>
      </c>
      <c r="D1325" t="s">
        <v>190</v>
      </c>
      <c r="E1325" s="53" t="n">
        <v>15256.7888714003</v>
      </c>
      <c r="F1325" s="54" t="n">
        <v>11134.3415431293</v>
      </c>
      <c r="G1325" s="55" t="n">
        <v>11132.1787355836</v>
      </c>
      <c r="H1325" s="56" t="str">
        <f>G1325-F1325</f>
      </c>
      <c r="I1325" s="57" t="n">
        <v>15247.769190462</v>
      </c>
      <c r="J1325" s="58" t="str">
        <f>I1325-E1325</f>
      </c>
    </row>
    <row r="1326">
      <c r="A1326" t="s">
        <v>226</v>
      </c>
      <c r="B1326" t="s">
        <v>228</v>
      </c>
      <c r="C1326" s="52" t="n">
        <v>2032</v>
      </c>
      <c r="D1326" t="s">
        <v>230</v>
      </c>
      <c r="E1326" s="53" t="n">
        <v>1126814.86983572</v>
      </c>
      <c r="F1326" s="54" t="n">
        <v>177532.742637</v>
      </c>
      <c r="G1326" s="55" t="n">
        <v>185691.45221249</v>
      </c>
      <c r="H1326" s="56" t="str">
        <f>G1326-F1326</f>
      </c>
      <c r="I1326" s="57" t="n">
        <v>1126783.31749171</v>
      </c>
      <c r="J1326" s="58" t="str">
        <f>I1326-E1326</f>
      </c>
    </row>
    <row r="1327">
      <c r="A1327" t="s">
        <v>226</v>
      </c>
      <c r="B1327" t="s">
        <v>228</v>
      </c>
      <c r="C1327" s="52" t="n">
        <v>2032</v>
      </c>
      <c r="D1327" t="s">
        <v>166</v>
      </c>
      <c r="E1327" s="53" t="n">
        <v>116957.793031061</v>
      </c>
      <c r="F1327" s="54" t="n">
        <v>77214.1655316164</v>
      </c>
      <c r="G1327" s="55" t="n">
        <v>77198.3893074221</v>
      </c>
      <c r="H1327" s="56" t="str">
        <f>G1327-F1327</f>
      </c>
      <c r="I1327" s="57" t="n">
        <v>116892.91249656</v>
      </c>
      <c r="J1327" s="58" t="str">
        <f>I1327-E1327</f>
      </c>
    </row>
    <row r="1328">
      <c r="A1328" t="s">
        <v>226</v>
      </c>
      <c r="B1328" t="s">
        <v>228</v>
      </c>
      <c r="C1328" s="52" t="n">
        <v>2032</v>
      </c>
      <c r="D1328" t="s">
        <v>176</v>
      </c>
      <c r="E1328" s="53" t="n">
        <v>274522.937799039</v>
      </c>
      <c r="F1328" s="54" t="n">
        <v>256810.80550914</v>
      </c>
      <c r="G1328" s="55" t="n">
        <v>256745.676365841</v>
      </c>
      <c r="H1328" s="56" t="str">
        <f>G1328-F1328</f>
      </c>
      <c r="I1328" s="57" t="n">
        <v>274412.393429799</v>
      </c>
      <c r="J1328" s="58" t="str">
        <f>I1328-E1328</f>
      </c>
    </row>
    <row r="1329">
      <c r="A1329" t="s">
        <v>226</v>
      </c>
      <c r="B1329" t="s">
        <v>228</v>
      </c>
      <c r="C1329" s="52" t="n">
        <v>2032</v>
      </c>
      <c r="D1329" t="s">
        <v>180</v>
      </c>
      <c r="E1329" s="53" t="n">
        <v>654758.295515816</v>
      </c>
      <c r="F1329" s="54" t="n">
        <v>379121.696534982</v>
      </c>
      <c r="G1329" s="55" t="n">
        <v>380127.647848666</v>
      </c>
      <c r="H1329" s="56" t="str">
        <f>G1329-F1329</f>
      </c>
      <c r="I1329" s="57" t="n">
        <v>654519.811420389</v>
      </c>
      <c r="J1329" s="58" t="str">
        <f>I1329-E1329</f>
      </c>
    </row>
    <row r="1330">
      <c r="A1330" t="s">
        <v>226</v>
      </c>
      <c r="B1330" t="s">
        <v>228</v>
      </c>
      <c r="C1330" s="52" t="n">
        <v>2032</v>
      </c>
      <c r="D1330" t="s">
        <v>184</v>
      </c>
      <c r="E1330" s="53" t="n">
        <v>341749.592620263</v>
      </c>
      <c r="F1330" s="54" t="n">
        <v>183767.091860722</v>
      </c>
      <c r="G1330" s="55" t="n">
        <v>183730.084212538</v>
      </c>
      <c r="H1330" s="56" t="str">
        <f>G1330-F1330</f>
      </c>
      <c r="I1330" s="57" t="n">
        <v>341581.65326776</v>
      </c>
      <c r="J1330" s="58" t="str">
        <f>I1330-E1330</f>
      </c>
    </row>
    <row r="1331">
      <c r="A1331" t="s">
        <v>226</v>
      </c>
      <c r="B1331" t="s">
        <v>228</v>
      </c>
      <c r="C1331" s="52" t="n">
        <v>2032</v>
      </c>
      <c r="D1331" t="s">
        <v>212</v>
      </c>
      <c r="E1331" s="53" t="n">
        <v>38037.6694721551</v>
      </c>
      <c r="F1331" s="54" t="n">
        <v>4125.73158191433</v>
      </c>
      <c r="G1331" s="55" t="n">
        <v>4125.72247917104</v>
      </c>
      <c r="H1331" s="56" t="str">
        <f>G1331-F1331</f>
      </c>
      <c r="I1331" s="57" t="n">
        <v>38037.5517920999</v>
      </c>
      <c r="J1331" s="58" t="str">
        <f>I1331-E1331</f>
      </c>
    </row>
    <row r="1332">
      <c r="A1332" t="s">
        <v>226</v>
      </c>
      <c r="B1332" t="s">
        <v>228</v>
      </c>
      <c r="C1332" s="52" t="n">
        <v>2033</v>
      </c>
      <c r="D1332" t="s">
        <v>190</v>
      </c>
      <c r="E1332" s="53" t="n">
        <v>15771.4920519881</v>
      </c>
      <c r="F1332" s="54" t="n">
        <v>11455.3712968237</v>
      </c>
      <c r="G1332" s="55" t="n">
        <v>11452.2049974033</v>
      </c>
      <c r="H1332" s="56" t="str">
        <f>G1332-F1332</f>
      </c>
      <c r="I1332" s="57" t="n">
        <v>15759.5151167894</v>
      </c>
      <c r="J1332" s="58" t="str">
        <f>I1332-E1332</f>
      </c>
    </row>
    <row r="1333">
      <c r="A1333" t="s">
        <v>226</v>
      </c>
      <c r="B1333" t="s">
        <v>228</v>
      </c>
      <c r="C1333" s="52" t="n">
        <v>2033</v>
      </c>
      <c r="D1333" t="s">
        <v>230</v>
      </c>
      <c r="E1333" s="53" t="n">
        <v>1139313.41225391</v>
      </c>
      <c r="F1333" s="54" t="n">
        <v>184474.967890004</v>
      </c>
      <c r="G1333" s="55" t="n">
        <v>194005.600566516</v>
      </c>
      <c r="H1333" s="56" t="str">
        <f>G1333-F1333</f>
      </c>
      <c r="I1333" s="57" t="n">
        <v>1139272.75378683</v>
      </c>
      <c r="J1333" s="58" t="str">
        <f>I1333-E1333</f>
      </c>
    </row>
    <row r="1334">
      <c r="A1334" t="s">
        <v>226</v>
      </c>
      <c r="B1334" t="s">
        <v>228</v>
      </c>
      <c r="C1334" s="52" t="n">
        <v>2033</v>
      </c>
      <c r="D1334" t="s">
        <v>166</v>
      </c>
      <c r="E1334" s="53" t="n">
        <v>118364.088277783</v>
      </c>
      <c r="F1334" s="54" t="n">
        <v>77938.9673990249</v>
      </c>
      <c r="G1334" s="55" t="n">
        <v>77917.1620906902</v>
      </c>
      <c r="H1334" s="56" t="str">
        <f>G1334-F1334</f>
      </c>
      <c r="I1334" s="57" t="n">
        <v>118281.828559023</v>
      </c>
      <c r="J1334" s="58" t="str">
        <f>I1334-E1334</f>
      </c>
    </row>
    <row r="1335">
      <c r="A1335" t="s">
        <v>226</v>
      </c>
      <c r="B1335" t="s">
        <v>228</v>
      </c>
      <c r="C1335" s="52" t="n">
        <v>2033</v>
      </c>
      <c r="D1335" t="s">
        <v>176</v>
      </c>
      <c r="E1335" s="53" t="n">
        <v>274032.555946896</v>
      </c>
      <c r="F1335" s="54" t="n">
        <v>256742.428889428</v>
      </c>
      <c r="G1335" s="55" t="n">
        <v>256655.559026211</v>
      </c>
      <c r="H1335" s="56" t="str">
        <f>G1335-F1335</f>
      </c>
      <c r="I1335" s="57" t="n">
        <v>273893.528221021</v>
      </c>
      <c r="J1335" s="58" t="str">
        <f>I1335-E1335</f>
      </c>
    </row>
    <row r="1336">
      <c r="A1336" t="s">
        <v>226</v>
      </c>
      <c r="B1336" t="s">
        <v>228</v>
      </c>
      <c r="C1336" s="52" t="n">
        <v>2033</v>
      </c>
      <c r="D1336" t="s">
        <v>180</v>
      </c>
      <c r="E1336" s="53" t="n">
        <v>664315.016113098</v>
      </c>
      <c r="F1336" s="54" t="n">
        <v>385472.96683365</v>
      </c>
      <c r="G1336" s="55" t="n">
        <v>386583.230936034</v>
      </c>
      <c r="H1336" s="56" t="str">
        <f>G1336-F1336</f>
      </c>
      <c r="I1336" s="57" t="n">
        <v>664009.138744924</v>
      </c>
      <c r="J1336" s="58" t="str">
        <f>I1336-E1336</f>
      </c>
    </row>
    <row r="1337">
      <c r="A1337" t="s">
        <v>226</v>
      </c>
      <c r="B1337" t="s">
        <v>228</v>
      </c>
      <c r="C1337" s="52" t="n">
        <v>2033</v>
      </c>
      <c r="D1337" t="s">
        <v>184</v>
      </c>
      <c r="E1337" s="53" t="n">
        <v>345207.08340795</v>
      </c>
      <c r="F1337" s="54" t="n">
        <v>183633.063855479</v>
      </c>
      <c r="G1337" s="55" t="n">
        <v>183583.042202715</v>
      </c>
      <c r="H1337" s="56" t="str">
        <f>G1337-F1337</f>
      </c>
      <c r="I1337" s="57" t="n">
        <v>344995.264629881</v>
      </c>
      <c r="J1337" s="58" t="str">
        <f>I1337-E1337</f>
      </c>
    </row>
    <row r="1338">
      <c r="A1338" t="s">
        <v>226</v>
      </c>
      <c r="B1338" t="s">
        <v>228</v>
      </c>
      <c r="C1338" s="52" t="n">
        <v>2033</v>
      </c>
      <c r="D1338" t="s">
        <v>212</v>
      </c>
      <c r="E1338" s="53" t="n">
        <v>37788.5283060514</v>
      </c>
      <c r="F1338" s="54" t="n">
        <v>3977.72548138452</v>
      </c>
      <c r="G1338" s="55" t="n">
        <v>3977.71437573526</v>
      </c>
      <c r="H1338" s="56" t="str">
        <f>G1338-F1338</f>
      </c>
      <c r="I1338" s="57" t="n">
        <v>37788.395913351</v>
      </c>
      <c r="J1338" s="58" t="str">
        <f>I1338-E1338</f>
      </c>
    </row>
    <row r="1339">
      <c r="A1339" t="s">
        <v>226</v>
      </c>
      <c r="B1339" t="s">
        <v>228</v>
      </c>
      <c r="C1339" s="52" t="n">
        <v>2034</v>
      </c>
      <c r="D1339" t="s">
        <v>190</v>
      </c>
      <c r="E1339" s="53" t="n">
        <v>16301.2169213047</v>
      </c>
      <c r="F1339" s="54" t="n">
        <v>11783.8369664749</v>
      </c>
      <c r="G1339" s="55" t="n">
        <v>11779.4141755774</v>
      </c>
      <c r="H1339" s="56" t="str">
        <f>G1339-F1339</f>
      </c>
      <c r="I1339" s="57" t="n">
        <v>16285.7640376227</v>
      </c>
      <c r="J1339" s="58" t="str">
        <f>I1339-E1339</f>
      </c>
    </row>
    <row r="1340">
      <c r="A1340" t="s">
        <v>226</v>
      </c>
      <c r="B1340" t="s">
        <v>228</v>
      </c>
      <c r="C1340" s="52" t="n">
        <v>2034</v>
      </c>
      <c r="D1340" t="s">
        <v>230</v>
      </c>
      <c r="E1340" s="53" t="n">
        <v>1151283.64990005</v>
      </c>
      <c r="F1340" s="54" t="n">
        <v>191342.248766027</v>
      </c>
      <c r="G1340" s="55" t="n">
        <v>202320.636121151</v>
      </c>
      <c r="H1340" s="56" t="str">
        <f>G1340-F1340</f>
      </c>
      <c r="I1340" s="57" t="n">
        <v>1151232.62464015</v>
      </c>
      <c r="J1340" s="58" t="str">
        <f>I1340-E1340</f>
      </c>
    </row>
    <row r="1341">
      <c r="A1341" t="s">
        <v>226</v>
      </c>
      <c r="B1341" t="s">
        <v>228</v>
      </c>
      <c r="C1341" s="52" t="n">
        <v>2034</v>
      </c>
      <c r="D1341" t="s">
        <v>166</v>
      </c>
      <c r="E1341" s="53" t="n">
        <v>119275.872370617</v>
      </c>
      <c r="F1341" s="54" t="n">
        <v>78810.5845280061</v>
      </c>
      <c r="G1341" s="55" t="n">
        <v>78781.7232358728</v>
      </c>
      <c r="H1341" s="56" t="str">
        <f>G1341-F1341</f>
      </c>
      <c r="I1341" s="57" t="n">
        <v>119173.805374547</v>
      </c>
      <c r="J1341" s="58" t="str">
        <f>I1341-E1341</f>
      </c>
    </row>
    <row r="1342">
      <c r="A1342" t="s">
        <v>226</v>
      </c>
      <c r="B1342" t="s">
        <v>228</v>
      </c>
      <c r="C1342" s="52" t="n">
        <v>2034</v>
      </c>
      <c r="D1342" t="s">
        <v>176</v>
      </c>
      <c r="E1342" s="53" t="n">
        <v>273841.029445595</v>
      </c>
      <c r="F1342" s="54" t="n">
        <v>256863.762824507</v>
      </c>
      <c r="G1342" s="55" t="n">
        <v>256753.127116244</v>
      </c>
      <c r="H1342" s="56" t="str">
        <f>G1342-F1342</f>
      </c>
      <c r="I1342" s="57" t="n">
        <v>273669.650202867</v>
      </c>
      <c r="J1342" s="58" t="str">
        <f>I1342-E1342</f>
      </c>
    </row>
    <row r="1343">
      <c r="A1343" t="s">
        <v>226</v>
      </c>
      <c r="B1343" t="s">
        <v>228</v>
      </c>
      <c r="C1343" s="52" t="n">
        <v>2034</v>
      </c>
      <c r="D1343" t="s">
        <v>180</v>
      </c>
      <c r="E1343" s="53" t="n">
        <v>669946.637239206</v>
      </c>
      <c r="F1343" s="54" t="n">
        <v>392593.09188025</v>
      </c>
      <c r="G1343" s="55" t="n">
        <v>393806.920121914</v>
      </c>
      <c r="H1343" s="56" t="str">
        <f>G1343-F1343</f>
      </c>
      <c r="I1343" s="57" t="n">
        <v>669565.091865969</v>
      </c>
      <c r="J1343" s="58" t="str">
        <f>I1343-E1343</f>
      </c>
    </row>
    <row r="1344">
      <c r="A1344" t="s">
        <v>226</v>
      </c>
      <c r="B1344" t="s">
        <v>228</v>
      </c>
      <c r="C1344" s="52" t="n">
        <v>2034</v>
      </c>
      <c r="D1344" t="s">
        <v>184</v>
      </c>
      <c r="E1344" s="53" t="n">
        <v>346188.1931738</v>
      </c>
      <c r="F1344" s="54" t="n">
        <v>184865.860882601</v>
      </c>
      <c r="G1344" s="55" t="n">
        <v>184800.885019324</v>
      </c>
      <c r="H1344" s="56" t="str">
        <f>G1344-F1344</f>
      </c>
      <c r="I1344" s="57" t="n">
        <v>345926.396497523</v>
      </c>
      <c r="J1344" s="58" t="str">
        <f>I1344-E1344</f>
      </c>
    </row>
    <row r="1345">
      <c r="A1345" t="s">
        <v>226</v>
      </c>
      <c r="B1345" t="s">
        <v>228</v>
      </c>
      <c r="C1345" s="52" t="n">
        <v>2034</v>
      </c>
      <c r="D1345" t="s">
        <v>212</v>
      </c>
      <c r="E1345" s="53" t="n">
        <v>37391.2757356491</v>
      </c>
      <c r="F1345" s="54" t="n">
        <v>3849.44928234765</v>
      </c>
      <c r="G1345" s="55" t="n">
        <v>3849.43642407178</v>
      </c>
      <c r="H1345" s="56" t="str">
        <f>G1345-F1345</f>
      </c>
      <c r="I1345" s="57" t="n">
        <v>37391.1189795399</v>
      </c>
      <c r="J1345" s="58" t="str">
        <f>I1345-E1345</f>
      </c>
    </row>
    <row r="1346">
      <c r="A1346" t="s">
        <v>226</v>
      </c>
      <c r="B1346" t="s">
        <v>228</v>
      </c>
      <c r="C1346" s="52" t="n">
        <v>2035</v>
      </c>
      <c r="D1346" t="s">
        <v>190</v>
      </c>
      <c r="E1346" s="53" t="n">
        <v>16850.1282947312</v>
      </c>
      <c r="F1346" s="54" t="n">
        <v>12118.7706655955</v>
      </c>
      <c r="G1346" s="55" t="n">
        <v>12112.814364394</v>
      </c>
      <c r="H1346" s="56" t="str">
        <f>G1346-F1346</f>
      </c>
      <c r="I1346" s="57" t="n">
        <v>16830.6420972909</v>
      </c>
      <c r="J1346" s="58" t="str">
        <f>I1346-E1346</f>
      </c>
    </row>
    <row r="1347">
      <c r="A1347" t="s">
        <v>226</v>
      </c>
      <c r="B1347" t="s">
        <v>228</v>
      </c>
      <c r="C1347" s="52" t="n">
        <v>2035</v>
      </c>
      <c r="D1347" t="s">
        <v>230</v>
      </c>
      <c r="E1347" s="53" t="n">
        <v>1162839.99899323</v>
      </c>
      <c r="F1347" s="54" t="n">
        <v>198126.444504578</v>
      </c>
      <c r="G1347" s="55" t="n">
        <v>210627.422792314</v>
      </c>
      <c r="H1347" s="56" t="str">
        <f>G1347-F1347</f>
      </c>
      <c r="I1347" s="57" t="n">
        <v>1162777.28327874</v>
      </c>
      <c r="J1347" s="58" t="str">
        <f>I1347-E1347</f>
      </c>
    </row>
    <row r="1348">
      <c r="A1348" t="s">
        <v>226</v>
      </c>
      <c r="B1348" t="s">
        <v>228</v>
      </c>
      <c r="C1348" s="52" t="n">
        <v>2035</v>
      </c>
      <c r="D1348" t="s">
        <v>166</v>
      </c>
      <c r="E1348" s="53" t="n">
        <v>120922.816125232</v>
      </c>
      <c r="F1348" s="54" t="n">
        <v>79493.6341612758</v>
      </c>
      <c r="G1348" s="55" t="n">
        <v>79456.6324211876</v>
      </c>
      <c r="H1348" s="56" t="str">
        <f>G1348-F1348</f>
      </c>
      <c r="I1348" s="57" t="n">
        <v>120799.065903184</v>
      </c>
      <c r="J1348" s="58" t="str">
        <f>I1348-E1348</f>
      </c>
    </row>
    <row r="1349">
      <c r="A1349" t="s">
        <v>226</v>
      </c>
      <c r="B1349" t="s">
        <v>228</v>
      </c>
      <c r="C1349" s="52" t="n">
        <v>2035</v>
      </c>
      <c r="D1349" t="s">
        <v>176</v>
      </c>
      <c r="E1349" s="53" t="n">
        <v>273551.185866146</v>
      </c>
      <c r="F1349" s="54" t="n">
        <v>256945.255842535</v>
      </c>
      <c r="G1349" s="55" t="n">
        <v>256807.532230081</v>
      </c>
      <c r="H1349" s="56" t="str">
        <f>G1349-F1349</f>
      </c>
      <c r="I1349" s="57" t="n">
        <v>273345.360062938</v>
      </c>
      <c r="J1349" s="58" t="str">
        <f>I1349-E1349</f>
      </c>
    </row>
    <row r="1350">
      <c r="A1350" t="s">
        <v>226</v>
      </c>
      <c r="B1350" t="s">
        <v>228</v>
      </c>
      <c r="C1350" s="52" t="n">
        <v>2035</v>
      </c>
      <c r="D1350" t="s">
        <v>180</v>
      </c>
      <c r="E1350" s="53" t="n">
        <v>679104.487464581</v>
      </c>
      <c r="F1350" s="54" t="n">
        <v>398184.740279297</v>
      </c>
      <c r="G1350" s="55" t="n">
        <v>399492.950532998</v>
      </c>
      <c r="H1350" s="56" t="str">
        <f>G1350-F1350</f>
      </c>
      <c r="I1350" s="57" t="n">
        <v>678638.434521443</v>
      </c>
      <c r="J1350" s="58" t="str">
        <f>I1350-E1350</f>
      </c>
    </row>
    <row r="1351">
      <c r="A1351" t="s">
        <v>226</v>
      </c>
      <c r="B1351" t="s">
        <v>228</v>
      </c>
      <c r="C1351" s="52" t="n">
        <v>2035</v>
      </c>
      <c r="D1351" t="s">
        <v>184</v>
      </c>
      <c r="E1351" s="53" t="n">
        <v>349461.423254073</v>
      </c>
      <c r="F1351" s="54" t="n">
        <v>185447.76175117</v>
      </c>
      <c r="G1351" s="55" t="n">
        <v>185365.761103579</v>
      </c>
      <c r="H1351" s="56" t="str">
        <f>G1351-F1351</f>
      </c>
      <c r="I1351" s="57" t="n">
        <v>349146.062455764</v>
      </c>
      <c r="J1351" s="58" t="str">
        <f>I1351-E1351</f>
      </c>
    </row>
    <row r="1352">
      <c r="A1352" t="s">
        <v>226</v>
      </c>
      <c r="B1352" t="s">
        <v>228</v>
      </c>
      <c r="C1352" s="52" t="n">
        <v>2035</v>
      </c>
      <c r="D1352" t="s">
        <v>212</v>
      </c>
      <c r="E1352" s="53" t="n">
        <v>37274.5750822635</v>
      </c>
      <c r="F1352" s="54" t="n">
        <v>3710.44629298178</v>
      </c>
      <c r="G1352" s="55" t="n">
        <v>3710.43177455469</v>
      </c>
      <c r="H1352" s="56" t="str">
        <f>G1352-F1352</f>
      </c>
      <c r="I1352" s="57" t="n">
        <v>37274.3979018446</v>
      </c>
      <c r="J1352" s="58" t="str">
        <f>I1352-E1352</f>
      </c>
    </row>
    <row r="1353">
      <c r="A1353" t="s">
        <v>226</v>
      </c>
      <c r="B1353" t="s">
        <v>228</v>
      </c>
      <c r="C1353" s="52" t="n">
        <v>2036</v>
      </c>
      <c r="D1353" t="s">
        <v>190</v>
      </c>
      <c r="E1353" s="53" t="n">
        <v>17416.7284201195</v>
      </c>
      <c r="F1353" s="54" t="n">
        <v>12460.6518142519</v>
      </c>
      <c r="G1353" s="55" t="n">
        <v>12452.8640137516</v>
      </c>
      <c r="H1353" s="56" t="str">
        <f>G1353-F1353</f>
      </c>
      <c r="I1353" s="57" t="n">
        <v>17392.6099040701</v>
      </c>
      <c r="J1353" s="58" t="str">
        <f>I1353-E1353</f>
      </c>
    </row>
    <row r="1354">
      <c r="A1354" t="s">
        <v>226</v>
      </c>
      <c r="B1354" t="s">
        <v>228</v>
      </c>
      <c r="C1354" s="52" t="n">
        <v>2036</v>
      </c>
      <c r="D1354" t="s">
        <v>230</v>
      </c>
      <c r="E1354" s="53" t="n">
        <v>1174161.27576379</v>
      </c>
      <c r="F1354" s="54" t="n">
        <v>204809.99975342</v>
      </c>
      <c r="G1354" s="55" t="n">
        <v>218906.623444501</v>
      </c>
      <c r="H1354" s="56" t="str">
        <f>G1354-F1354</f>
      </c>
      <c r="I1354" s="57" t="n">
        <v>1174085.51289072</v>
      </c>
      <c r="J1354" s="58" t="str">
        <f>I1354-E1354</f>
      </c>
    </row>
    <row r="1355">
      <c r="A1355" t="s">
        <v>226</v>
      </c>
      <c r="B1355" t="s">
        <v>228</v>
      </c>
      <c r="C1355" s="52" t="n">
        <v>2036</v>
      </c>
      <c r="D1355" t="s">
        <v>166</v>
      </c>
      <c r="E1355" s="53" t="n">
        <v>122766.069515042</v>
      </c>
      <c r="F1355" s="54" t="n">
        <v>80349.1094985035</v>
      </c>
      <c r="G1355" s="55" t="n">
        <v>80302.8429955226</v>
      </c>
      <c r="H1355" s="56" t="str">
        <f>G1355-F1355</f>
      </c>
      <c r="I1355" s="57" t="n">
        <v>122618.320312187</v>
      </c>
      <c r="J1355" s="58" t="str">
        <f>I1355-E1355</f>
      </c>
    </row>
    <row r="1356">
      <c r="A1356" t="s">
        <v>226</v>
      </c>
      <c r="B1356" t="s">
        <v>228</v>
      </c>
      <c r="C1356" s="52" t="n">
        <v>2036</v>
      </c>
      <c r="D1356" t="s">
        <v>176</v>
      </c>
      <c r="E1356" s="53" t="n">
        <v>273541.460670338</v>
      </c>
      <c r="F1356" s="54" t="n">
        <v>257100.487368227</v>
      </c>
      <c r="G1356" s="55" t="n">
        <v>256933.398229342</v>
      </c>
      <c r="H1356" s="56" t="str">
        <f>G1356-F1356</f>
      </c>
      <c r="I1356" s="57" t="n">
        <v>273297.569822228</v>
      </c>
      <c r="J1356" s="58" t="str">
        <f>I1356-E1356</f>
      </c>
    </row>
    <row r="1357">
      <c r="A1357" t="s">
        <v>226</v>
      </c>
      <c r="B1357" t="s">
        <v>228</v>
      </c>
      <c r="C1357" s="52" t="n">
        <v>2036</v>
      </c>
      <c r="D1357" t="s">
        <v>180</v>
      </c>
      <c r="E1357" s="53" t="n">
        <v>688754.311105474</v>
      </c>
      <c r="F1357" s="54" t="n">
        <v>404590.75071223</v>
      </c>
      <c r="G1357" s="55" t="n">
        <v>405992.653493878</v>
      </c>
      <c r="H1357" s="56" t="str">
        <f>G1357-F1357</f>
      </c>
      <c r="I1357" s="57" t="n">
        <v>688194.684475592</v>
      </c>
      <c r="J1357" s="58" t="str">
        <f>I1357-E1357</f>
      </c>
    </row>
    <row r="1358">
      <c r="A1358" t="s">
        <v>226</v>
      </c>
      <c r="B1358" t="s">
        <v>228</v>
      </c>
      <c r="C1358" s="52" t="n">
        <v>2036</v>
      </c>
      <c r="D1358" t="s">
        <v>184</v>
      </c>
      <c r="E1358" s="53" t="n">
        <v>352976.737098125</v>
      </c>
      <c r="F1358" s="54" t="n">
        <v>186519.099984543</v>
      </c>
      <c r="G1358" s="55" t="n">
        <v>186417.92722248</v>
      </c>
      <c r="H1358" s="56" t="str">
        <f>G1358-F1358</f>
      </c>
      <c r="I1358" s="57" t="n">
        <v>352603.071714204</v>
      </c>
      <c r="J1358" s="58" t="str">
        <f>I1358-E1358</f>
      </c>
    </row>
    <row r="1359">
      <c r="A1359" t="s">
        <v>226</v>
      </c>
      <c r="B1359" t="s">
        <v>228</v>
      </c>
      <c r="C1359" s="52" t="n">
        <v>2036</v>
      </c>
      <c r="D1359" t="s">
        <v>212</v>
      </c>
      <c r="E1359" s="53" t="n">
        <v>37283.2221131959</v>
      </c>
      <c r="F1359" s="54" t="n">
        <v>3578.6761273698</v>
      </c>
      <c r="G1359" s="55" t="n">
        <v>3578.66006488627</v>
      </c>
      <c r="H1359" s="56" t="str">
        <f>G1359-F1359</f>
      </c>
      <c r="I1359" s="57" t="n">
        <v>37283.0276293956</v>
      </c>
      <c r="J1359" s="58" t="str">
        <f>I1359-E1359</f>
      </c>
    </row>
    <row r="1360">
      <c r="A1360" t="s">
        <v>226</v>
      </c>
      <c r="B1360" t="s">
        <v>228</v>
      </c>
      <c r="C1360" s="52" t="n">
        <v>2037</v>
      </c>
      <c r="D1360" t="s">
        <v>190</v>
      </c>
      <c r="E1360" s="53" t="n">
        <v>18000.8795417366</v>
      </c>
      <c r="F1360" s="54" t="n">
        <v>12809.4142767951</v>
      </c>
      <c r="G1360" s="55" t="n">
        <v>12799.4794545616</v>
      </c>
      <c r="H1360" s="56" t="str">
        <f>G1360-F1360</f>
      </c>
      <c r="I1360" s="57" t="n">
        <v>17971.4828640642</v>
      </c>
      <c r="J1360" s="58" t="str">
        <f>I1360-E1360</f>
      </c>
    </row>
    <row r="1361">
      <c r="A1361" t="s">
        <v>226</v>
      </c>
      <c r="B1361" t="s">
        <v>228</v>
      </c>
      <c r="C1361" s="52" t="n">
        <v>2037</v>
      </c>
      <c r="D1361" t="s">
        <v>230</v>
      </c>
      <c r="E1361" s="53" t="n">
        <v>1185355.01815697</v>
      </c>
      <c r="F1361" s="54" t="n">
        <v>211382.067537722</v>
      </c>
      <c r="G1361" s="55" t="n">
        <v>227145.85064844</v>
      </c>
      <c r="H1361" s="56" t="str">
        <f>G1361-F1361</f>
      </c>
      <c r="I1361" s="57" t="n">
        <v>1185264.74384977</v>
      </c>
      <c r="J1361" s="58" t="str">
        <f>I1361-E1361</f>
      </c>
    </row>
    <row r="1362">
      <c r="A1362" t="s">
        <v>226</v>
      </c>
      <c r="B1362" t="s">
        <v>228</v>
      </c>
      <c r="C1362" s="52" t="n">
        <v>2037</v>
      </c>
      <c r="D1362" t="s">
        <v>166</v>
      </c>
      <c r="E1362" s="53" t="n">
        <v>124663.376308559</v>
      </c>
      <c r="F1362" s="54" t="n">
        <v>81301.3947658335</v>
      </c>
      <c r="G1362" s="55" t="n">
        <v>81244.6913895843</v>
      </c>
      <c r="H1362" s="56" t="str">
        <f>G1362-F1362</f>
      </c>
      <c r="I1362" s="57" t="n">
        <v>124489.429760244</v>
      </c>
      <c r="J1362" s="58" t="str">
        <f>I1362-E1362</f>
      </c>
    </row>
    <row r="1363">
      <c r="A1363" t="s">
        <v>226</v>
      </c>
      <c r="B1363" t="s">
        <v>228</v>
      </c>
      <c r="C1363" s="52" t="n">
        <v>2037</v>
      </c>
      <c r="D1363" t="s">
        <v>176</v>
      </c>
      <c r="E1363" s="53" t="n">
        <v>273487.176372865</v>
      </c>
      <c r="F1363" s="54" t="n">
        <v>257270.533517187</v>
      </c>
      <c r="G1363" s="55" t="n">
        <v>257070.973149134</v>
      </c>
      <c r="H1363" s="56" t="str">
        <f>G1363-F1363</f>
      </c>
      <c r="I1363" s="57" t="n">
        <v>273202.802274069</v>
      </c>
      <c r="J1363" s="58" t="str">
        <f>I1363-E1363</f>
      </c>
    </row>
    <row r="1364">
      <c r="A1364" t="s">
        <v>226</v>
      </c>
      <c r="B1364" t="s">
        <v>228</v>
      </c>
      <c r="C1364" s="52" t="n">
        <v>2037</v>
      </c>
      <c r="D1364" t="s">
        <v>180</v>
      </c>
      <c r="E1364" s="53" t="n">
        <v>698722.820303985</v>
      </c>
      <c r="F1364" s="54" t="n">
        <v>411524.467827579</v>
      </c>
      <c r="G1364" s="55" t="n">
        <v>413018.343093551</v>
      </c>
      <c r="H1364" s="56" t="str">
        <f>G1364-F1364</f>
      </c>
      <c r="I1364" s="57" t="n">
        <v>698060.502126947</v>
      </c>
      <c r="J1364" s="58" t="str">
        <f>I1364-E1364</f>
      </c>
    </row>
    <row r="1365">
      <c r="A1365" t="s">
        <v>226</v>
      </c>
      <c r="B1365" t="s">
        <v>228</v>
      </c>
      <c r="C1365" s="52" t="n">
        <v>2037</v>
      </c>
      <c r="D1365" t="s">
        <v>184</v>
      </c>
      <c r="E1365" s="53" t="n">
        <v>356862.462619278</v>
      </c>
      <c r="F1365" s="54" t="n">
        <v>187910.908817265</v>
      </c>
      <c r="G1365" s="55" t="n">
        <v>187788.312528489</v>
      </c>
      <c r="H1365" s="56" t="str">
        <f>G1365-F1365</f>
      </c>
      <c r="I1365" s="57" t="n">
        <v>356425.678918654</v>
      </c>
      <c r="J1365" s="58" t="str">
        <f>I1365-E1365</f>
      </c>
    </row>
    <row r="1366">
      <c r="A1366" t="s">
        <v>226</v>
      </c>
      <c r="B1366" t="s">
        <v>228</v>
      </c>
      <c r="C1366" s="52" t="n">
        <v>2037</v>
      </c>
      <c r="D1366" t="s">
        <v>212</v>
      </c>
      <c r="E1366" s="53" t="n">
        <v>36837.4749705987</v>
      </c>
      <c r="F1366" s="54" t="n">
        <v>3450.21196682073</v>
      </c>
      <c r="G1366" s="55" t="n">
        <v>3450.19465573699</v>
      </c>
      <c r="H1366" s="56" t="str">
        <f>G1366-F1366</f>
      </c>
      <c r="I1366" s="57" t="n">
        <v>36837.2774807632</v>
      </c>
      <c r="J1366" s="58" t="str">
        <f>I1366-E1366</f>
      </c>
    </row>
    <row r="1367">
      <c r="A1367" t="s">
        <v>226</v>
      </c>
      <c r="B1367" t="s">
        <v>228</v>
      </c>
      <c r="C1367" s="52" t="n">
        <v>2038</v>
      </c>
      <c r="D1367" t="s">
        <v>190</v>
      </c>
      <c r="E1367" s="53" t="n">
        <v>18600.1047793491</v>
      </c>
      <c r="F1367" s="54" t="n">
        <v>13168.0223172872</v>
      </c>
      <c r="G1367" s="55" t="n">
        <v>13155.6038503287</v>
      </c>
      <c r="H1367" s="56" t="str">
        <f>G1367-F1367</f>
      </c>
      <c r="I1367" s="57" t="n">
        <v>18564.7325343064</v>
      </c>
      <c r="J1367" s="58" t="str">
        <f>I1367-E1367</f>
      </c>
    </row>
    <row r="1368">
      <c r="A1368" t="s">
        <v>226</v>
      </c>
      <c r="B1368" t="s">
        <v>228</v>
      </c>
      <c r="C1368" s="52" t="n">
        <v>2038</v>
      </c>
      <c r="D1368" t="s">
        <v>230</v>
      </c>
      <c r="E1368" s="53" t="n">
        <v>1196420.86436039</v>
      </c>
      <c r="F1368" s="54" t="n">
        <v>217829.243502254</v>
      </c>
      <c r="G1368" s="55" t="n">
        <v>235329.601498619</v>
      </c>
      <c r="H1368" s="56" t="str">
        <f>G1368-F1368</f>
      </c>
      <c r="I1368" s="57" t="n">
        <v>1196314.54511457</v>
      </c>
      <c r="J1368" s="58" t="str">
        <f>I1368-E1368</f>
      </c>
    </row>
    <row r="1369">
      <c r="A1369" t="s">
        <v>226</v>
      </c>
      <c r="B1369" t="s">
        <v>228</v>
      </c>
      <c r="C1369" s="52" t="n">
        <v>2038</v>
      </c>
      <c r="D1369" t="s">
        <v>166</v>
      </c>
      <c r="E1369" s="53" t="n">
        <v>126758.323075259</v>
      </c>
      <c r="F1369" s="54" t="n">
        <v>82322.2615700917</v>
      </c>
      <c r="G1369" s="55" t="n">
        <v>82253.930841494</v>
      </c>
      <c r="H1369" s="56" t="str">
        <f>G1369-F1369</f>
      </c>
      <c r="I1369" s="57" t="n">
        <v>126555.833855502</v>
      </c>
      <c r="J1369" s="58" t="str">
        <f>I1369-E1369</f>
      </c>
    </row>
    <row r="1370">
      <c r="A1370" t="s">
        <v>226</v>
      </c>
      <c r="B1370" t="s">
        <v>228</v>
      </c>
      <c r="C1370" s="52" t="n">
        <v>2038</v>
      </c>
      <c r="D1370" t="s">
        <v>176</v>
      </c>
      <c r="E1370" s="53" t="n">
        <v>273363.326464493</v>
      </c>
      <c r="F1370" s="54" t="n">
        <v>257365.112436818</v>
      </c>
      <c r="G1370" s="55" t="n">
        <v>257130.676610817</v>
      </c>
      <c r="H1370" s="56" t="str">
        <f>G1370-F1370</f>
      </c>
      <c r="I1370" s="57" t="n">
        <v>273035.370644084</v>
      </c>
      <c r="J1370" s="58" t="str">
        <f>I1370-E1370</f>
      </c>
    </row>
    <row r="1371">
      <c r="A1371" t="s">
        <v>226</v>
      </c>
      <c r="B1371" t="s">
        <v>228</v>
      </c>
      <c r="C1371" s="52" t="n">
        <v>2038</v>
      </c>
      <c r="D1371" t="s">
        <v>180</v>
      </c>
      <c r="E1371" s="53" t="n">
        <v>709449.059382609</v>
      </c>
      <c r="F1371" s="54" t="n">
        <v>418861.573338651</v>
      </c>
      <c r="G1371" s="55" t="n">
        <v>420445.264129068</v>
      </c>
      <c r="H1371" s="56" t="str">
        <f>G1371-F1371</f>
      </c>
      <c r="I1371" s="57" t="n">
        <v>708674.574961299</v>
      </c>
      <c r="J1371" s="58" t="str">
        <f>I1371-E1371</f>
      </c>
    </row>
    <row r="1372">
      <c r="A1372" t="s">
        <v>226</v>
      </c>
      <c r="B1372" t="s">
        <v>228</v>
      </c>
      <c r="C1372" s="52" t="n">
        <v>2038</v>
      </c>
      <c r="D1372" t="s">
        <v>184</v>
      </c>
      <c r="E1372" s="53" t="n">
        <v>361405.838218071</v>
      </c>
      <c r="F1372" s="54" t="n">
        <v>189493.781276597</v>
      </c>
      <c r="G1372" s="55" t="n">
        <v>189347.422266605</v>
      </c>
      <c r="H1372" s="56" t="str">
        <f>G1372-F1372</f>
      </c>
      <c r="I1372" s="57" t="n">
        <v>360900.93527345</v>
      </c>
      <c r="J1372" s="58" t="str">
        <f>I1372-E1372</f>
      </c>
    </row>
    <row r="1373">
      <c r="A1373" t="s">
        <v>226</v>
      </c>
      <c r="B1373" t="s">
        <v>228</v>
      </c>
      <c r="C1373" s="52" t="n">
        <v>2038</v>
      </c>
      <c r="D1373" t="s">
        <v>212</v>
      </c>
      <c r="E1373" s="53" t="n">
        <v>36551.6392694739</v>
      </c>
      <c r="F1373" s="54" t="n">
        <v>3322.83938695045</v>
      </c>
      <c r="G1373" s="55" t="n">
        <v>3322.82157442101</v>
      </c>
      <c r="H1373" s="56" t="str">
        <f>G1373-F1373</f>
      </c>
      <c r="I1373" s="57" t="n">
        <v>36551.441257779</v>
      </c>
      <c r="J1373" s="58" t="str">
        <f>I1373-E1373</f>
      </c>
    </row>
    <row r="1374">
      <c r="A1374" t="s">
        <v>226</v>
      </c>
      <c r="B1374" t="s">
        <v>228</v>
      </c>
      <c r="C1374" s="52" t="n">
        <v>2039</v>
      </c>
      <c r="D1374" t="s">
        <v>190</v>
      </c>
      <c r="E1374" s="53" t="n">
        <v>19216.4340727527</v>
      </c>
      <c r="F1374" s="54" t="n">
        <v>13532.0417864166</v>
      </c>
      <c r="G1374" s="55" t="n">
        <v>13516.7785061579</v>
      </c>
      <c r="H1374" s="56" t="str">
        <f>G1374-F1374</f>
      </c>
      <c r="I1374" s="57" t="n">
        <v>19174.3457459029</v>
      </c>
      <c r="J1374" s="58" t="str">
        <f>I1374-E1374</f>
      </c>
    </row>
    <row r="1375">
      <c r="A1375" t="s">
        <v>226</v>
      </c>
      <c r="B1375" t="s">
        <v>228</v>
      </c>
      <c r="C1375" s="52" t="n">
        <v>2039</v>
      </c>
      <c r="D1375" t="s">
        <v>230</v>
      </c>
      <c r="E1375" s="53" t="n">
        <v>1207049.77619801</v>
      </c>
      <c r="F1375" s="54" t="n">
        <v>224176.273193926</v>
      </c>
      <c r="G1375" s="55" t="n">
        <v>243483.364034463</v>
      </c>
      <c r="H1375" s="56" t="str">
        <f>G1375-F1375</f>
      </c>
      <c r="I1375" s="57" t="n">
        <v>1206925.78308321</v>
      </c>
      <c r="J1375" s="58" t="str">
        <f>I1375-E1375</f>
      </c>
    </row>
    <row r="1376">
      <c r="A1376" t="s">
        <v>226</v>
      </c>
      <c r="B1376" t="s">
        <v>228</v>
      </c>
      <c r="C1376" s="52" t="n">
        <v>2039</v>
      </c>
      <c r="D1376" t="s">
        <v>166</v>
      </c>
      <c r="E1376" s="53" t="n">
        <v>128235.475797688</v>
      </c>
      <c r="F1376" s="54" t="n">
        <v>83470.4279558215</v>
      </c>
      <c r="G1376" s="55" t="n">
        <v>83389.1809587923</v>
      </c>
      <c r="H1376" s="56" t="str">
        <f>G1376-F1376</f>
      </c>
      <c r="I1376" s="57" t="n">
        <v>128001.347826374</v>
      </c>
      <c r="J1376" s="58" t="str">
        <f>I1376-E1376</f>
      </c>
    </row>
    <row r="1377">
      <c r="A1377" t="s">
        <v>226</v>
      </c>
      <c r="B1377" t="s">
        <v>228</v>
      </c>
      <c r="C1377" s="52" t="n">
        <v>2039</v>
      </c>
      <c r="D1377" t="s">
        <v>176</v>
      </c>
      <c r="E1377" s="53" t="n">
        <v>273347.624777317</v>
      </c>
      <c r="F1377" s="54" t="n">
        <v>257714.005109062</v>
      </c>
      <c r="G1377" s="55" t="n">
        <v>257441.86914337</v>
      </c>
      <c r="H1377" s="56" t="str">
        <f>G1377-F1377</f>
      </c>
      <c r="I1377" s="57" t="n">
        <v>272973.34550101</v>
      </c>
      <c r="J1377" s="58" t="str">
        <f>I1377-E1377</f>
      </c>
    </row>
    <row r="1378">
      <c r="A1378" t="s">
        <v>226</v>
      </c>
      <c r="B1378" t="s">
        <v>228</v>
      </c>
      <c r="C1378" s="52" t="n">
        <v>2039</v>
      </c>
      <c r="D1378" t="s">
        <v>180</v>
      </c>
      <c r="E1378" s="53" t="n">
        <v>716477.044570034</v>
      </c>
      <c r="F1378" s="54" t="n">
        <v>426772.31178068</v>
      </c>
      <c r="G1378" s="55" t="n">
        <v>428444.568481745</v>
      </c>
      <c r="H1378" s="56" t="str">
        <f>G1378-F1378</f>
      </c>
      <c r="I1378" s="57" t="n">
        <v>715580.887085385</v>
      </c>
      <c r="J1378" s="58" t="str">
        <f>I1378-E1378</f>
      </c>
    </row>
    <row r="1379">
      <c r="A1379" t="s">
        <v>226</v>
      </c>
      <c r="B1379" t="s">
        <v>228</v>
      </c>
      <c r="C1379" s="52" t="n">
        <v>2039</v>
      </c>
      <c r="D1379" t="s">
        <v>184</v>
      </c>
      <c r="E1379" s="53" t="n">
        <v>363549.477928319</v>
      </c>
      <c r="F1379" s="54" t="n">
        <v>192102.333036461</v>
      </c>
      <c r="G1379" s="55" t="n">
        <v>191929.610855123</v>
      </c>
      <c r="H1379" s="56" t="str">
        <f>G1379-F1379</f>
      </c>
      <c r="I1379" s="57" t="n">
        <v>362969.198365508</v>
      </c>
      <c r="J1379" s="58" t="str">
        <f>I1379-E1379</f>
      </c>
    </row>
    <row r="1380">
      <c r="A1380" t="s">
        <v>226</v>
      </c>
      <c r="B1380" t="s">
        <v>228</v>
      </c>
      <c r="C1380" s="52" t="n">
        <v>2039</v>
      </c>
      <c r="D1380" t="s">
        <v>212</v>
      </c>
      <c r="E1380" s="53" t="n">
        <v>36178.4374886216</v>
      </c>
      <c r="F1380" s="54" t="n">
        <v>3198.04038761406</v>
      </c>
      <c r="G1380" s="55" t="n">
        <v>3198.02305383022</v>
      </c>
      <c r="H1380" s="56" t="str">
        <f>G1380-F1380</f>
      </c>
      <c r="I1380" s="57" t="n">
        <v>36178.2238447184</v>
      </c>
      <c r="J1380" s="58" t="str">
        <f>I1380-E1380</f>
      </c>
    </row>
    <row r="1381">
      <c r="A1381" t="s">
        <v>226</v>
      </c>
      <c r="B1381" t="s">
        <v>228</v>
      </c>
      <c r="C1381" s="52" t="n">
        <v>2040</v>
      </c>
      <c r="D1381" t="s">
        <v>190</v>
      </c>
      <c r="E1381" s="53" t="n">
        <v>19855.1106887564</v>
      </c>
      <c r="F1381" s="54" t="n">
        <v>13898.1649772996</v>
      </c>
      <c r="G1381" s="55" t="n">
        <v>13879.6732870407</v>
      </c>
      <c r="H1381" s="56" t="str">
        <f>G1381-F1381</f>
      </c>
      <c r="I1381" s="57" t="n">
        <v>19805.5058057648</v>
      </c>
      <c r="J1381" s="58" t="str">
        <f>I1381-E1381</f>
      </c>
    </row>
    <row r="1382">
      <c r="A1382" t="s">
        <v>226</v>
      </c>
      <c r="B1382" t="s">
        <v>228</v>
      </c>
      <c r="C1382" s="52" t="n">
        <v>2040</v>
      </c>
      <c r="D1382" t="s">
        <v>230</v>
      </c>
      <c r="E1382" s="53" t="n">
        <v>1217172.84789513</v>
      </c>
      <c r="F1382" s="54" t="n">
        <v>230409.947759099</v>
      </c>
      <c r="G1382" s="55" t="n">
        <v>251591.898664867</v>
      </c>
      <c r="H1382" s="56" t="str">
        <f>G1382-F1382</f>
      </c>
      <c r="I1382" s="57" t="n">
        <v>1217029.49333677</v>
      </c>
      <c r="J1382" s="58" t="str">
        <f>I1382-E1382</f>
      </c>
    </row>
    <row r="1383">
      <c r="A1383" t="s">
        <v>226</v>
      </c>
      <c r="B1383" t="s">
        <v>228</v>
      </c>
      <c r="C1383" s="52" t="n">
        <v>2040</v>
      </c>
      <c r="D1383" t="s">
        <v>166</v>
      </c>
      <c r="E1383" s="53" t="n">
        <v>130346.973438236</v>
      </c>
      <c r="F1383" s="54" t="n">
        <v>84527.3587133798</v>
      </c>
      <c r="G1383" s="55" t="n">
        <v>84431.8911758369</v>
      </c>
      <c r="H1383" s="56" t="str">
        <f>G1383-F1383</f>
      </c>
      <c r="I1383" s="57" t="n">
        <v>130079.117811465</v>
      </c>
      <c r="J1383" s="58" t="str">
        <f>I1383-E1383</f>
      </c>
    </row>
    <row r="1384">
      <c r="A1384" t="s">
        <v>226</v>
      </c>
      <c r="B1384" t="s">
        <v>228</v>
      </c>
      <c r="C1384" s="52" t="n">
        <v>2040</v>
      </c>
      <c r="D1384" t="s">
        <v>176</v>
      </c>
      <c r="E1384" s="53" t="n">
        <v>273195.843829909</v>
      </c>
      <c r="F1384" s="54" t="n">
        <v>257764.065811203</v>
      </c>
      <c r="G1384" s="55" t="n">
        <v>257451.80463236</v>
      </c>
      <c r="H1384" s="56" t="str">
        <f>G1384-F1384</f>
      </c>
      <c r="I1384" s="57" t="n">
        <v>272772.692977532</v>
      </c>
      <c r="J1384" s="58" t="str">
        <f>I1384-E1384</f>
      </c>
    </row>
    <row r="1385">
      <c r="A1385" t="s">
        <v>226</v>
      </c>
      <c r="B1385" t="s">
        <v>228</v>
      </c>
      <c r="C1385" s="52" t="n">
        <v>2040</v>
      </c>
      <c r="D1385" t="s">
        <v>180</v>
      </c>
      <c r="E1385" s="53" t="n">
        <v>726085.495428058</v>
      </c>
      <c r="F1385" s="54" t="n">
        <v>433457.964670858</v>
      </c>
      <c r="G1385" s="55" t="n">
        <v>435208.840989962</v>
      </c>
      <c r="H1385" s="56" t="str">
        <f>G1385-F1385</f>
      </c>
      <c r="I1385" s="57" t="n">
        <v>725057.851356544</v>
      </c>
      <c r="J1385" s="58" t="str">
        <f>I1385-E1385</f>
      </c>
    </row>
    <row r="1386">
      <c r="A1386" t="s">
        <v>226</v>
      </c>
      <c r="B1386" t="s">
        <v>228</v>
      </c>
      <c r="C1386" s="52" t="n">
        <v>2040</v>
      </c>
      <c r="D1386" t="s">
        <v>184</v>
      </c>
      <c r="E1386" s="53" t="n">
        <v>367372.763003077</v>
      </c>
      <c r="F1386" s="54" t="n">
        <v>194055.004315439</v>
      </c>
      <c r="G1386" s="55" t="n">
        <v>193853.250747764</v>
      </c>
      <c r="H1386" s="56" t="str">
        <f>G1386-F1386</f>
      </c>
      <c r="I1386" s="57" t="n">
        <v>366714.045807884</v>
      </c>
      <c r="J1386" s="58" t="str">
        <f>I1386-E1386</f>
      </c>
    </row>
    <row r="1387">
      <c r="A1387" t="s">
        <v>226</v>
      </c>
      <c r="B1387" t="s">
        <v>228</v>
      </c>
      <c r="C1387" s="52" t="n">
        <v>2040</v>
      </c>
      <c r="D1387" t="s">
        <v>212</v>
      </c>
      <c r="E1387" s="53" t="n">
        <v>36005.2507124973</v>
      </c>
      <c r="F1387" s="54" t="n">
        <v>3069.26891061205</v>
      </c>
      <c r="G1387" s="55" t="n">
        <v>3069.25189350158</v>
      </c>
      <c r="H1387" s="56" t="str">
        <f>G1387-F1387</f>
      </c>
      <c r="I1387" s="57" t="n">
        <v>36005.0280863419</v>
      </c>
      <c r="J1387" s="58" t="str">
        <f>I1387-E1387</f>
      </c>
    </row>
    <row r="1388">
      <c r="A1388" t="s">
        <v>226</v>
      </c>
      <c r="B1388" t="s">
        <v>228</v>
      </c>
      <c r="C1388" s="52" t="n">
        <v>2041</v>
      </c>
      <c r="D1388" t="s">
        <v>190</v>
      </c>
      <c r="E1388" s="53" t="n">
        <v>20511.5937685414</v>
      </c>
      <c r="F1388" s="54" t="n">
        <v>14271.6692062183</v>
      </c>
      <c r="G1388" s="55" t="n">
        <v>14249.5364552167</v>
      </c>
      <c r="H1388" s="56" t="str">
        <f>G1388-F1388</f>
      </c>
      <c r="I1388" s="57" t="n">
        <v>20453.6267543422</v>
      </c>
      <c r="J1388" s="58" t="str">
        <f>I1388-E1388</f>
      </c>
    </row>
    <row r="1389">
      <c r="A1389" t="s">
        <v>226</v>
      </c>
      <c r="B1389" t="s">
        <v>228</v>
      </c>
      <c r="C1389" s="52" t="n">
        <v>2041</v>
      </c>
      <c r="D1389" t="s">
        <v>230</v>
      </c>
      <c r="E1389" s="53" t="n">
        <v>1226789.27907054</v>
      </c>
      <c r="F1389" s="54" t="n">
        <v>236551.597889158</v>
      </c>
      <c r="G1389" s="55" t="n">
        <v>259677.195752453</v>
      </c>
      <c r="H1389" s="56" t="str">
        <f>G1389-F1389</f>
      </c>
      <c r="I1389" s="57" t="n">
        <v>1226624.81076703</v>
      </c>
      <c r="J1389" s="58" t="str">
        <f>I1389-E1389</f>
      </c>
    </row>
    <row r="1390">
      <c r="A1390" t="s">
        <v>226</v>
      </c>
      <c r="B1390" t="s">
        <v>228</v>
      </c>
      <c r="C1390" s="52" t="n">
        <v>2041</v>
      </c>
      <c r="D1390" t="s">
        <v>166</v>
      </c>
      <c r="E1390" s="53" t="n">
        <v>132533.860155164</v>
      </c>
      <c r="F1390" s="54" t="n">
        <v>85643.3525514583</v>
      </c>
      <c r="G1390" s="55" t="n">
        <v>85532.3195906077</v>
      </c>
      <c r="H1390" s="56" t="str">
        <f>G1390-F1390</f>
      </c>
      <c r="I1390" s="57" t="n">
        <v>132229.629710176</v>
      </c>
      <c r="J1390" s="58" t="str">
        <f>I1390-E1390</f>
      </c>
    </row>
    <row r="1391">
      <c r="A1391" t="s">
        <v>226</v>
      </c>
      <c r="B1391" t="s">
        <v>228</v>
      </c>
      <c r="C1391" s="52" t="n">
        <v>2041</v>
      </c>
      <c r="D1391" t="s">
        <v>176</v>
      </c>
      <c r="E1391" s="53" t="n">
        <v>273086.342656877</v>
      </c>
      <c r="F1391" s="54" t="n">
        <v>257744.52588434</v>
      </c>
      <c r="G1391" s="55" t="n">
        <v>257389.631754286</v>
      </c>
      <c r="H1391" s="56" t="str">
        <f>G1391-F1391</f>
      </c>
      <c r="I1391" s="57" t="n">
        <v>272611.753671291</v>
      </c>
      <c r="J1391" s="58" t="str">
        <f>I1391-E1391</f>
      </c>
    </row>
    <row r="1392">
      <c r="A1392" t="s">
        <v>226</v>
      </c>
      <c r="B1392" t="s">
        <v>228</v>
      </c>
      <c r="C1392" s="52" t="n">
        <v>2041</v>
      </c>
      <c r="D1392" t="s">
        <v>180</v>
      </c>
      <c r="E1392" s="53" t="n">
        <v>735796.966983304</v>
      </c>
      <c r="F1392" s="54" t="n">
        <v>440497.455522242</v>
      </c>
      <c r="G1392" s="55" t="n">
        <v>442324.306406792</v>
      </c>
      <c r="H1392" s="56" t="str">
        <f>G1392-F1392</f>
      </c>
      <c r="I1392" s="57" t="n">
        <v>734627.740075405</v>
      </c>
      <c r="J1392" s="58" t="str">
        <f>I1392-E1392</f>
      </c>
    </row>
    <row r="1393">
      <c r="A1393" t="s">
        <v>226</v>
      </c>
      <c r="B1393" t="s">
        <v>228</v>
      </c>
      <c r="C1393" s="52" t="n">
        <v>2041</v>
      </c>
      <c r="D1393" t="s">
        <v>184</v>
      </c>
      <c r="E1393" s="53" t="n">
        <v>371179.023310956</v>
      </c>
      <c r="F1393" s="54" t="n">
        <v>196160.330358788</v>
      </c>
      <c r="G1393" s="55" t="n">
        <v>195926.907201396</v>
      </c>
      <c r="H1393" s="56" t="str">
        <f>G1393-F1393</f>
      </c>
      <c r="I1393" s="57" t="n">
        <v>370436.975606793</v>
      </c>
      <c r="J1393" s="58" t="str">
        <f>I1393-E1393</f>
      </c>
    </row>
    <row r="1394">
      <c r="A1394" t="s">
        <v>226</v>
      </c>
      <c r="B1394" t="s">
        <v>228</v>
      </c>
      <c r="C1394" s="52" t="n">
        <v>2041</v>
      </c>
      <c r="D1394" t="s">
        <v>212</v>
      </c>
      <c r="E1394" s="53" t="n">
        <v>35900.9949776937</v>
      </c>
      <c r="F1394" s="54" t="n">
        <v>2944.03223843909</v>
      </c>
      <c r="G1394" s="55" t="n">
        <v>2944.01552271229</v>
      </c>
      <c r="H1394" s="56" t="str">
        <f>G1394-F1394</f>
      </c>
      <c r="I1394" s="57" t="n">
        <v>35900.7650540721</v>
      </c>
      <c r="J1394" s="58" t="str">
        <f>I1394-E1394</f>
      </c>
    </row>
    <row r="1395">
      <c r="A1395" t="s">
        <v>226</v>
      </c>
      <c r="B1395" t="s">
        <v>228</v>
      </c>
      <c r="C1395" s="52" t="n">
        <v>2042</v>
      </c>
      <c r="D1395" t="s">
        <v>190</v>
      </c>
      <c r="E1395" s="53" t="n">
        <v>21182.7954720001</v>
      </c>
      <c r="F1395" s="54" t="n">
        <v>14652.5351479424</v>
      </c>
      <c r="G1395" s="55" t="n">
        <v>14626.3190066004</v>
      </c>
      <c r="H1395" s="56" t="str">
        <f>G1395-F1395</f>
      </c>
      <c r="I1395" s="57" t="n">
        <v>21115.5817026885</v>
      </c>
      <c r="J1395" s="58" t="str">
        <f>I1395-E1395</f>
      </c>
    </row>
    <row r="1396">
      <c r="A1396" t="s">
        <v>226</v>
      </c>
      <c r="B1396" t="s">
        <v>228</v>
      </c>
      <c r="C1396" s="52" t="n">
        <v>2042</v>
      </c>
      <c r="D1396" t="s">
        <v>230</v>
      </c>
      <c r="E1396" s="53" t="n">
        <v>1235891.17949111</v>
      </c>
      <c r="F1396" s="54" t="n">
        <v>242638.471450645</v>
      </c>
      <c r="G1396" s="55" t="n">
        <v>267778.732534162</v>
      </c>
      <c r="H1396" s="56" t="str">
        <f>G1396-F1396</f>
      </c>
      <c r="I1396" s="57" t="n">
        <v>1235703.75022274</v>
      </c>
      <c r="J1396" s="58" t="str">
        <f>I1396-E1396</f>
      </c>
    </row>
    <row r="1397">
      <c r="A1397" t="s">
        <v>226</v>
      </c>
      <c r="B1397" t="s">
        <v>228</v>
      </c>
      <c r="C1397" s="52" t="n">
        <v>2042</v>
      </c>
      <c r="D1397" t="s">
        <v>166</v>
      </c>
      <c r="E1397" s="53" t="n">
        <v>134694.73127049</v>
      </c>
      <c r="F1397" s="54" t="n">
        <v>86785.3031517436</v>
      </c>
      <c r="G1397" s="55" t="n">
        <v>86657.3132213297</v>
      </c>
      <c r="H1397" s="56" t="str">
        <f>G1397-F1397</f>
      </c>
      <c r="I1397" s="57" t="n">
        <v>134351.626048708</v>
      </c>
      <c r="J1397" s="58" t="str">
        <f>I1397-E1397</f>
      </c>
    </row>
    <row r="1398">
      <c r="A1398" t="s">
        <v>226</v>
      </c>
      <c r="B1398" t="s">
        <v>228</v>
      </c>
      <c r="C1398" s="52" t="n">
        <v>2042</v>
      </c>
      <c r="D1398" t="s">
        <v>176</v>
      </c>
      <c r="E1398" s="53" t="n">
        <v>272809.194817282</v>
      </c>
      <c r="F1398" s="54" t="n">
        <v>257598.172991329</v>
      </c>
      <c r="G1398" s="55" t="n">
        <v>257198.349756019</v>
      </c>
      <c r="H1398" s="56" t="str">
        <f>G1398-F1398</f>
      </c>
      <c r="I1398" s="57" t="n">
        <v>272280.658720601</v>
      </c>
      <c r="J1398" s="58" t="str">
        <f>I1398-E1398</f>
      </c>
    </row>
    <row r="1399">
      <c r="A1399" t="s">
        <v>226</v>
      </c>
      <c r="B1399" t="s">
        <v>228</v>
      </c>
      <c r="C1399" s="52" t="n">
        <v>2042</v>
      </c>
      <c r="D1399" t="s">
        <v>180</v>
      </c>
      <c r="E1399" s="53" t="n">
        <v>745634.352054972</v>
      </c>
      <c r="F1399" s="54" t="n">
        <v>447702.378464129</v>
      </c>
      <c r="G1399" s="55" t="n">
        <v>449601.261227495</v>
      </c>
      <c r="H1399" s="56" t="str">
        <f>G1399-F1399</f>
      </c>
      <c r="I1399" s="57" t="n">
        <v>744313.272667757</v>
      </c>
      <c r="J1399" s="58" t="str">
        <f>I1399-E1399</f>
      </c>
    </row>
    <row r="1400">
      <c r="A1400" t="s">
        <v>226</v>
      </c>
      <c r="B1400" t="s">
        <v>228</v>
      </c>
      <c r="C1400" s="52" t="n">
        <v>2042</v>
      </c>
      <c r="D1400" t="s">
        <v>184</v>
      </c>
      <c r="E1400" s="53" t="n">
        <v>375249.619059392</v>
      </c>
      <c r="F1400" s="54" t="n">
        <v>198350.648549841</v>
      </c>
      <c r="G1400" s="55" t="n">
        <v>198082.814103714</v>
      </c>
      <c r="H1400" s="56" t="str">
        <f>G1400-F1400</f>
      </c>
      <c r="I1400" s="57" t="n">
        <v>374419.262045636</v>
      </c>
      <c r="J1400" s="58" t="str">
        <f>I1400-E1400</f>
      </c>
    </row>
    <row r="1401">
      <c r="A1401" t="s">
        <v>226</v>
      </c>
      <c r="B1401" t="s">
        <v>228</v>
      </c>
      <c r="C1401" s="52" t="n">
        <v>2042</v>
      </c>
      <c r="D1401" t="s">
        <v>212</v>
      </c>
      <c r="E1401" s="53" t="n">
        <v>35517.0745383101</v>
      </c>
      <c r="F1401" s="54" t="n">
        <v>2820.5285380734</v>
      </c>
      <c r="G1401" s="55" t="n">
        <v>2820.51221264468</v>
      </c>
      <c r="H1401" s="56" t="str">
        <f>G1401-F1401</f>
      </c>
      <c r="I1401" s="57" t="n">
        <v>35516.8405935332</v>
      </c>
      <c r="J1401" s="58" t="str">
        <f>I1401-E1401</f>
      </c>
    </row>
    <row r="1402">
      <c r="A1402" t="s">
        <v>226</v>
      </c>
      <c r="B1402" t="s">
        <v>228</v>
      </c>
      <c r="C1402" s="52" t="n">
        <v>2043</v>
      </c>
      <c r="D1402" t="s">
        <v>190</v>
      </c>
      <c r="E1402" s="53" t="n">
        <v>21866.5356158791</v>
      </c>
      <c r="F1402" s="54" t="n">
        <v>15034.8566715714</v>
      </c>
      <c r="G1402" s="55" t="n">
        <v>15004.0861158129</v>
      </c>
      <c r="H1402" s="56" t="str">
        <f>G1402-F1402</f>
      </c>
      <c r="I1402" s="57" t="n">
        <v>21789.1256560335</v>
      </c>
      <c r="J1402" s="58" t="str">
        <f>I1402-E1402</f>
      </c>
    </row>
    <row r="1403">
      <c r="A1403" t="s">
        <v>226</v>
      </c>
      <c r="B1403" t="s">
        <v>228</v>
      </c>
      <c r="C1403" s="52" t="n">
        <v>2043</v>
      </c>
      <c r="D1403" t="s">
        <v>230</v>
      </c>
      <c r="E1403" s="53" t="n">
        <v>1244458.85399391</v>
      </c>
      <c r="F1403" s="54" t="n">
        <v>248654.010476332</v>
      </c>
      <c r="G1403" s="55" t="n">
        <v>275876.995486318</v>
      </c>
      <c r="H1403" s="56" t="str">
        <f>G1403-F1403</f>
      </c>
      <c r="I1403" s="57" t="n">
        <v>1244246.51153606</v>
      </c>
      <c r="J1403" s="58" t="str">
        <f>I1403-E1403</f>
      </c>
    </row>
    <row r="1404">
      <c r="A1404" t="s">
        <v>226</v>
      </c>
      <c r="B1404" t="s">
        <v>228</v>
      </c>
      <c r="C1404" s="52" t="n">
        <v>2043</v>
      </c>
      <c r="D1404" t="s">
        <v>166</v>
      </c>
      <c r="E1404" s="53" t="n">
        <v>136986.691310403</v>
      </c>
      <c r="F1404" s="54" t="n">
        <v>87925.3642402653</v>
      </c>
      <c r="G1404" s="55" t="n">
        <v>87779.034425801</v>
      </c>
      <c r="H1404" s="56" t="str">
        <f>G1404-F1404</f>
      </c>
      <c r="I1404" s="57" t="n">
        <v>136601.974960575</v>
      </c>
      <c r="J1404" s="58" t="str">
        <f>I1404-E1404</f>
      </c>
    </row>
    <row r="1405">
      <c r="A1405" t="s">
        <v>226</v>
      </c>
      <c r="B1405" t="s">
        <v>228</v>
      </c>
      <c r="C1405" s="52" t="n">
        <v>2043</v>
      </c>
      <c r="D1405" t="s">
        <v>176</v>
      </c>
      <c r="E1405" s="53" t="n">
        <v>272274.487999417</v>
      </c>
      <c r="F1405" s="54" t="n">
        <v>257224.451335801</v>
      </c>
      <c r="G1405" s="55" t="n">
        <v>256777.587157068</v>
      </c>
      <c r="H1405" s="56" t="str">
        <f>G1405-F1405</f>
      </c>
      <c r="I1405" s="57" t="n">
        <v>271689.794226751</v>
      </c>
      <c r="J1405" s="58" t="str">
        <f>I1405-E1405</f>
      </c>
    </row>
    <row r="1406">
      <c r="A1406" t="s">
        <v>226</v>
      </c>
      <c r="B1406" t="s">
        <v>228</v>
      </c>
      <c r="C1406" s="52" t="n">
        <v>2043</v>
      </c>
      <c r="D1406" t="s">
        <v>180</v>
      </c>
      <c r="E1406" s="53" t="n">
        <v>755854.73021655</v>
      </c>
      <c r="F1406" s="54" t="n">
        <v>454949.543242646</v>
      </c>
      <c r="G1406" s="55" t="n">
        <v>456915.722046172</v>
      </c>
      <c r="H1406" s="56" t="str">
        <f>G1406-F1406</f>
      </c>
      <c r="I1406" s="57" t="n">
        <v>754370.892413502</v>
      </c>
      <c r="J1406" s="58" t="str">
        <f>I1406-E1406</f>
      </c>
    </row>
    <row r="1407">
      <c r="A1407" t="s">
        <v>226</v>
      </c>
      <c r="B1407" t="s">
        <v>228</v>
      </c>
      <c r="C1407" s="52" t="n">
        <v>2043</v>
      </c>
      <c r="D1407" t="s">
        <v>184</v>
      </c>
      <c r="E1407" s="53" t="n">
        <v>379690.483946633</v>
      </c>
      <c r="F1407" s="54" t="n">
        <v>200509.229272427</v>
      </c>
      <c r="G1407" s="55" t="n">
        <v>200204.274251736</v>
      </c>
      <c r="H1407" s="56" t="str">
        <f>G1407-F1407</f>
      </c>
      <c r="I1407" s="57" t="n">
        <v>378766.534515357</v>
      </c>
      <c r="J1407" s="58" t="str">
        <f>I1407-E1407</f>
      </c>
    </row>
    <row r="1408">
      <c r="A1408" t="s">
        <v>226</v>
      </c>
      <c r="B1408" t="s">
        <v>228</v>
      </c>
      <c r="C1408" s="52" t="n">
        <v>2043</v>
      </c>
      <c r="D1408" t="s">
        <v>212</v>
      </c>
      <c r="E1408" s="53" t="n">
        <v>35329.0008974406</v>
      </c>
      <c r="F1408" s="54" t="n">
        <v>2698.34672325996</v>
      </c>
      <c r="G1408" s="55" t="n">
        <v>2698.33092960504</v>
      </c>
      <c r="H1408" s="56" t="str">
        <f>G1408-F1408</f>
      </c>
      <c r="I1408" s="57" t="n">
        <v>35328.7732033082</v>
      </c>
      <c r="J1408" s="58" t="str">
        <f>I1408-E1408</f>
      </c>
    </row>
    <row r="1409">
      <c r="A1409" t="s">
        <v>226</v>
      </c>
      <c r="B1409" t="s">
        <v>228</v>
      </c>
      <c r="C1409" s="52" t="n">
        <v>2044</v>
      </c>
      <c r="D1409" t="s">
        <v>190</v>
      </c>
      <c r="E1409" s="53" t="n">
        <v>22561.0433993878</v>
      </c>
      <c r="F1409" s="54" t="n">
        <v>15424.4612865229</v>
      </c>
      <c r="G1409" s="55" t="n">
        <v>15388.6382618872</v>
      </c>
      <c r="H1409" s="56" t="str">
        <f>G1409-F1409</f>
      </c>
      <c r="I1409" s="57" t="n">
        <v>22472.4057787798</v>
      </c>
      <c r="J1409" s="58" t="str">
        <f>I1409-E1409</f>
      </c>
    </row>
    <row r="1410">
      <c r="A1410" t="s">
        <v>226</v>
      </c>
      <c r="B1410" t="s">
        <v>228</v>
      </c>
      <c r="C1410" s="52" t="n">
        <v>2044</v>
      </c>
      <c r="D1410" t="s">
        <v>230</v>
      </c>
      <c r="E1410" s="53" t="n">
        <v>1252759.07626725</v>
      </c>
      <c r="F1410" s="54" t="n">
        <v>254536.442818225</v>
      </c>
      <c r="G1410" s="55" t="n">
        <v>283902.050416871</v>
      </c>
      <c r="H1410" s="56" t="str">
        <f>G1410-F1410</f>
      </c>
      <c r="I1410" s="57" t="n">
        <v>1252519.7576167</v>
      </c>
      <c r="J1410" s="58" t="str">
        <f>I1410-E1410</f>
      </c>
    </row>
    <row r="1411">
      <c r="A1411" t="s">
        <v>226</v>
      </c>
      <c r="B1411" t="s">
        <v>228</v>
      </c>
      <c r="C1411" s="52" t="n">
        <v>2044</v>
      </c>
      <c r="D1411" t="s">
        <v>166</v>
      </c>
      <c r="E1411" s="53" t="n">
        <v>138557.1811543</v>
      </c>
      <c r="F1411" s="54" t="n">
        <v>89078.5345296684</v>
      </c>
      <c r="G1411" s="55" t="n">
        <v>88912.4462868978</v>
      </c>
      <c r="H1411" s="56" t="str">
        <f>G1411-F1411</f>
      </c>
      <c r="I1411" s="57" t="n">
        <v>138127.807492249</v>
      </c>
      <c r="J1411" s="58" t="str">
        <f>I1411-E1411</f>
      </c>
    </row>
    <row r="1412">
      <c r="A1412" t="s">
        <v>226</v>
      </c>
      <c r="B1412" t="s">
        <v>228</v>
      </c>
      <c r="C1412" s="52" t="n">
        <v>2044</v>
      </c>
      <c r="D1412" t="s">
        <v>176</v>
      </c>
      <c r="E1412" s="53" t="n">
        <v>271623.998820739</v>
      </c>
      <c r="F1412" s="54" t="n">
        <v>256932.383668456</v>
      </c>
      <c r="G1412" s="55" t="n">
        <v>256436.399818879</v>
      </c>
      <c r="H1412" s="56" t="str">
        <f>G1412-F1412</f>
      </c>
      <c r="I1412" s="57" t="n">
        <v>270981.060601887</v>
      </c>
      <c r="J1412" s="58" t="str">
        <f>I1412-E1412</f>
      </c>
    </row>
    <row r="1413">
      <c r="A1413" t="s">
        <v>226</v>
      </c>
      <c r="B1413" t="s">
        <v>228</v>
      </c>
      <c r="C1413" s="52" t="n">
        <v>2044</v>
      </c>
      <c r="D1413" t="s">
        <v>180</v>
      </c>
      <c r="E1413" s="53" t="n">
        <v>762407.053126428</v>
      </c>
      <c r="F1413" s="54" t="n">
        <v>462207.603765207</v>
      </c>
      <c r="G1413" s="55" t="n">
        <v>464236.623828497</v>
      </c>
      <c r="H1413" s="56" t="str">
        <f>G1413-F1413</f>
      </c>
      <c r="I1413" s="57" t="n">
        <v>760751.529161819</v>
      </c>
      <c r="J1413" s="58" t="str">
        <f>I1413-E1413</f>
      </c>
    </row>
    <row r="1414">
      <c r="A1414" t="s">
        <v>226</v>
      </c>
      <c r="B1414" t="s">
        <v>228</v>
      </c>
      <c r="C1414" s="52" t="n">
        <v>2044</v>
      </c>
      <c r="D1414" t="s">
        <v>184</v>
      </c>
      <c r="E1414" s="53" t="n">
        <v>381778.389794986</v>
      </c>
      <c r="F1414" s="54" t="n">
        <v>203107.31930568</v>
      </c>
      <c r="G1414" s="55" t="n">
        <v>202762.435405402</v>
      </c>
      <c r="H1414" s="56" t="str">
        <f>G1414-F1414</f>
      </c>
      <c r="I1414" s="57" t="n">
        <v>380754.514374576</v>
      </c>
      <c r="J1414" s="58" t="str">
        <f>I1414-E1414</f>
      </c>
    </row>
    <row r="1415">
      <c r="A1415" t="s">
        <v>226</v>
      </c>
      <c r="B1415" t="s">
        <v>228</v>
      </c>
      <c r="C1415" s="52" t="n">
        <v>2044</v>
      </c>
      <c r="D1415" t="s">
        <v>212</v>
      </c>
      <c r="E1415" s="53" t="n">
        <v>35046.8782577987</v>
      </c>
      <c r="F1415" s="54" t="n">
        <v>2573.80645088647</v>
      </c>
      <c r="G1415" s="55" t="n">
        <v>2573.79262430521</v>
      </c>
      <c r="H1415" s="56" t="str">
        <f>G1415-F1415</f>
      </c>
      <c r="I1415" s="57" t="n">
        <v>35046.7052079593</v>
      </c>
      <c r="J1415" s="58" t="str">
        <f>I1415-E1415</f>
      </c>
    </row>
    <row r="1416">
      <c r="A1416" t="s">
        <v>226</v>
      </c>
      <c r="B1416" t="s">
        <v>228</v>
      </c>
      <c r="C1416" s="52" t="n">
        <v>2045</v>
      </c>
      <c r="D1416" t="s">
        <v>190</v>
      </c>
      <c r="E1416" s="53" t="n">
        <v>23267.8879330773</v>
      </c>
      <c r="F1416" s="54" t="n">
        <v>15813.1191209919</v>
      </c>
      <c r="G1416" s="55" t="n">
        <v>15771.7189092791</v>
      </c>
      <c r="H1416" s="56" t="str">
        <f>G1416-F1416</f>
      </c>
      <c r="I1416" s="57" t="n">
        <v>23166.9456880515</v>
      </c>
      <c r="J1416" s="58" t="str">
        <f>I1416-E1416</f>
      </c>
    </row>
    <row r="1417">
      <c r="A1417" t="s">
        <v>226</v>
      </c>
      <c r="B1417" t="s">
        <v>228</v>
      </c>
      <c r="C1417" s="52" t="n">
        <v>2045</v>
      </c>
      <c r="D1417" t="s">
        <v>230</v>
      </c>
      <c r="E1417" s="53" t="n">
        <v>1260861.37444358</v>
      </c>
      <c r="F1417" s="54" t="n">
        <v>260259.2511229</v>
      </c>
      <c r="G1417" s="55" t="n">
        <v>291822.027540257</v>
      </c>
      <c r="H1417" s="56" t="str">
        <f>G1417-F1417</f>
      </c>
      <c r="I1417" s="57" t="n">
        <v>1260592.98702146</v>
      </c>
      <c r="J1417" s="58" t="str">
        <f>I1417-E1417</f>
      </c>
    </row>
    <row r="1418">
      <c r="A1418" t="s">
        <v>226</v>
      </c>
      <c r="B1418" t="s">
        <v>228</v>
      </c>
      <c r="C1418" s="52" t="n">
        <v>2045</v>
      </c>
      <c r="D1418" t="s">
        <v>166</v>
      </c>
      <c r="E1418" s="53" t="n">
        <v>140649.178792342</v>
      </c>
      <c r="F1418" s="54" t="n">
        <v>90228.9449867847</v>
      </c>
      <c r="G1418" s="55" t="n">
        <v>90041.6045905888</v>
      </c>
      <c r="H1418" s="56" t="str">
        <f>G1418-F1418</f>
      </c>
      <c r="I1418" s="57" t="n">
        <v>140172.774815525</v>
      </c>
      <c r="J1418" s="58" t="str">
        <f>I1418-E1418</f>
      </c>
    </row>
    <row r="1419">
      <c r="A1419" t="s">
        <v>226</v>
      </c>
      <c r="B1419" t="s">
        <v>228</v>
      </c>
      <c r="C1419" s="52" t="n">
        <v>2045</v>
      </c>
      <c r="D1419" t="s">
        <v>176</v>
      </c>
      <c r="E1419" s="53" t="n">
        <v>271142.198742216</v>
      </c>
      <c r="F1419" s="54" t="n">
        <v>256524.106846057</v>
      </c>
      <c r="G1419" s="55" t="n">
        <v>255976.908113305</v>
      </c>
      <c r="H1419" s="56" t="str">
        <f>G1419-F1419</f>
      </c>
      <c r="I1419" s="57" t="n">
        <v>270438.603152282</v>
      </c>
      <c r="J1419" s="58" t="str">
        <f>I1419-E1419</f>
      </c>
    </row>
    <row r="1420">
      <c r="A1420" t="s">
        <v>226</v>
      </c>
      <c r="B1420" t="s">
        <v>228</v>
      </c>
      <c r="C1420" s="52" t="n">
        <v>2045</v>
      </c>
      <c r="D1420" t="s">
        <v>180</v>
      </c>
      <c r="E1420" s="53" t="n">
        <v>771151.684234358</v>
      </c>
      <c r="F1420" s="54" t="n">
        <v>468836.767016333</v>
      </c>
      <c r="G1420" s="55" t="n">
        <v>470920.29436777</v>
      </c>
      <c r="H1420" s="56" t="str">
        <f>G1420-F1420</f>
      </c>
      <c r="I1420" s="57" t="n">
        <v>769313.803212411</v>
      </c>
      <c r="J1420" s="58" t="str">
        <f>I1420-E1420</f>
      </c>
    </row>
    <row r="1421">
      <c r="A1421" t="s">
        <v>226</v>
      </c>
      <c r="B1421" t="s">
        <v>228</v>
      </c>
      <c r="C1421" s="52" t="n">
        <v>2045</v>
      </c>
      <c r="D1421" t="s">
        <v>184</v>
      </c>
      <c r="E1421" s="53" t="n">
        <v>385062.420363972</v>
      </c>
      <c r="F1421" s="54" t="n">
        <v>205256.993628967</v>
      </c>
      <c r="G1421" s="55" t="n">
        <v>204869.328897989</v>
      </c>
      <c r="H1421" s="56" t="str">
        <f>G1421-F1421</f>
      </c>
      <c r="I1421" s="57" t="n">
        <v>383936.192524615</v>
      </c>
      <c r="J1421" s="58" t="str">
        <f>I1421-E1421</f>
      </c>
    </row>
    <row r="1422">
      <c r="A1422" t="s">
        <v>226</v>
      </c>
      <c r="B1422" t="s">
        <v>228</v>
      </c>
      <c r="C1422" s="52" t="n">
        <v>2045</v>
      </c>
      <c r="D1422" t="s">
        <v>212</v>
      </c>
      <c r="E1422" s="53" t="n">
        <v>34846.8932177547</v>
      </c>
      <c r="F1422" s="54" t="n">
        <v>2452.75767510987</v>
      </c>
      <c r="G1422" s="55" t="n">
        <v>2452.74707379338</v>
      </c>
      <c r="H1422" s="56" t="str">
        <f>G1422-F1422</f>
      </c>
      <c r="I1422" s="57" t="n">
        <v>34846.7151562227</v>
      </c>
      <c r="J1422" s="58" t="str">
        <f>I1422-E1422</f>
      </c>
    </row>
    <row r="1423">
      <c r="A1423" t="s">
        <v>226</v>
      </c>
      <c r="B1423" t="s">
        <v>228</v>
      </c>
      <c r="C1423" s="52" t="n">
        <v>2046</v>
      </c>
      <c r="D1423" t="s">
        <v>190</v>
      </c>
      <c r="E1423" s="53" t="n">
        <v>23982.5895210789</v>
      </c>
      <c r="F1423" s="54" t="n">
        <v>16212.8611636189</v>
      </c>
      <c r="G1423" s="55" t="n">
        <v>16165.2905403234</v>
      </c>
      <c r="H1423" s="56" t="str">
        <f>G1423-F1423</f>
      </c>
      <c r="I1423" s="57" t="n">
        <v>23868.2179440388</v>
      </c>
      <c r="J1423" s="58" t="str">
        <f>I1423-E1423</f>
      </c>
    </row>
    <row r="1424">
      <c r="A1424" t="s">
        <v>226</v>
      </c>
      <c r="B1424" t="s">
        <v>228</v>
      </c>
      <c r="C1424" s="52" t="n">
        <v>2046</v>
      </c>
      <c r="D1424" t="s">
        <v>230</v>
      </c>
      <c r="E1424" s="53" t="n">
        <v>1268775.61800923</v>
      </c>
      <c r="F1424" s="54" t="n">
        <v>265789.59668746</v>
      </c>
      <c r="G1424" s="55" t="n">
        <v>299596.928666138</v>
      </c>
      <c r="H1424" s="56" t="str">
        <f>G1424-F1424</f>
      </c>
      <c r="I1424" s="57" t="n">
        <v>1268475.95633212</v>
      </c>
      <c r="J1424" s="58" t="str">
        <f>I1424-E1424</f>
      </c>
    </row>
    <row r="1425">
      <c r="A1425" t="s">
        <v>226</v>
      </c>
      <c r="B1425" t="s">
        <v>228</v>
      </c>
      <c r="C1425" s="52" t="n">
        <v>2046</v>
      </c>
      <c r="D1425" t="s">
        <v>166</v>
      </c>
      <c r="E1425" s="53" t="n">
        <v>142720.533533574</v>
      </c>
      <c r="F1425" s="54" t="n">
        <v>91409.095203385</v>
      </c>
      <c r="G1425" s="55" t="n">
        <v>91198.8909425984</v>
      </c>
      <c r="H1425" s="56" t="str">
        <f>G1425-F1425</f>
      </c>
      <c r="I1425" s="57" t="n">
        <v>142194.053650607</v>
      </c>
      <c r="J1425" s="58" t="str">
        <f>I1425-E1425</f>
      </c>
    </row>
    <row r="1426">
      <c r="A1426" t="s">
        <v>226</v>
      </c>
      <c r="B1426" t="s">
        <v>228</v>
      </c>
      <c r="C1426" s="52" t="n">
        <v>2046</v>
      </c>
      <c r="D1426" t="s">
        <v>176</v>
      </c>
      <c r="E1426" s="53" t="n">
        <v>270689.551693105</v>
      </c>
      <c r="F1426" s="54" t="n">
        <v>256031.487367718</v>
      </c>
      <c r="G1426" s="55" t="n">
        <v>255431.161412817</v>
      </c>
      <c r="H1426" s="56" t="str">
        <f>G1426-F1426</f>
      </c>
      <c r="I1426" s="57" t="n">
        <v>269923.251682947</v>
      </c>
      <c r="J1426" s="58" t="str">
        <f>I1426-E1426</f>
      </c>
    </row>
    <row r="1427">
      <c r="A1427" t="s">
        <v>226</v>
      </c>
      <c r="B1427" t="s">
        <v>228</v>
      </c>
      <c r="C1427" s="52" t="n">
        <v>2046</v>
      </c>
      <c r="D1427" t="s">
        <v>180</v>
      </c>
      <c r="E1427" s="53" t="n">
        <v>780127.688076511</v>
      </c>
      <c r="F1427" s="54" t="n">
        <v>475695.285178901</v>
      </c>
      <c r="G1427" s="55" t="n">
        <v>477828.931731945</v>
      </c>
      <c r="H1427" s="56" t="str">
        <f>G1427-F1427</f>
      </c>
      <c r="I1427" s="57" t="n">
        <v>778095.842672562</v>
      </c>
      <c r="J1427" s="58" t="str">
        <f>I1427-E1427</f>
      </c>
    </row>
    <row r="1428">
      <c r="A1428" t="s">
        <v>226</v>
      </c>
      <c r="B1428" t="s">
        <v>228</v>
      </c>
      <c r="C1428" s="52" t="n">
        <v>2046</v>
      </c>
      <c r="D1428" t="s">
        <v>184</v>
      </c>
      <c r="E1428" s="53" t="n">
        <v>388385.439629901</v>
      </c>
      <c r="F1428" s="54" t="n">
        <v>207482.442104162</v>
      </c>
      <c r="G1428" s="55" t="n">
        <v>207048.945254603</v>
      </c>
      <c r="H1428" s="56" t="str">
        <f>G1428-F1428</f>
      </c>
      <c r="I1428" s="57" t="n">
        <v>387151.427044792</v>
      </c>
      <c r="J1428" s="58" t="str">
        <f>I1428-E1428</f>
      </c>
    </row>
    <row r="1429">
      <c r="A1429" t="s">
        <v>226</v>
      </c>
      <c r="B1429" t="s">
        <v>228</v>
      </c>
      <c r="C1429" s="52" t="n">
        <v>2046</v>
      </c>
      <c r="D1429" t="s">
        <v>212</v>
      </c>
      <c r="E1429" s="53" t="n">
        <v>34688.477967647</v>
      </c>
      <c r="F1429" s="54" t="n">
        <v>2335.68122838654</v>
      </c>
      <c r="G1429" s="55" t="n">
        <v>2335.67260927364</v>
      </c>
      <c r="H1429" s="56" t="str">
        <f>G1429-F1429</f>
      </c>
      <c r="I1429" s="57" t="n">
        <v>34688.296767041</v>
      </c>
      <c r="J1429" s="58" t="str">
        <f>I1429-E1429</f>
      </c>
    </row>
    <row r="1430">
      <c r="A1430" t="s">
        <v>226</v>
      </c>
      <c r="B1430" t="s">
        <v>228</v>
      </c>
      <c r="C1430" s="52" t="n">
        <v>2047</v>
      </c>
      <c r="D1430" t="s">
        <v>190</v>
      </c>
      <c r="E1430" s="53" t="n">
        <v>24704.6697924294</v>
      </c>
      <c r="F1430" s="54" t="n">
        <v>16622.9596803347</v>
      </c>
      <c r="G1430" s="55" t="n">
        <v>16568.5748299244</v>
      </c>
      <c r="H1430" s="56" t="str">
        <f>G1430-F1430</f>
      </c>
      <c r="I1430" s="57" t="n">
        <v>24575.6851293632</v>
      </c>
      <c r="J1430" s="58" t="str">
        <f>I1430-E1430</f>
      </c>
    </row>
    <row r="1431">
      <c r="A1431" t="s">
        <v>226</v>
      </c>
      <c r="B1431" t="s">
        <v>228</v>
      </c>
      <c r="C1431" s="52" t="n">
        <v>2047</v>
      </c>
      <c r="D1431" t="s">
        <v>230</v>
      </c>
      <c r="E1431" s="53" t="n">
        <v>1276406.7112237</v>
      </c>
      <c r="F1431" s="54" t="n">
        <v>271085.5104956</v>
      </c>
      <c r="G1431" s="55" t="n">
        <v>307176.008738621</v>
      </c>
      <c r="H1431" s="56" t="str">
        <f>G1431-F1431</f>
      </c>
      <c r="I1431" s="57" t="n">
        <v>1276073.48469778</v>
      </c>
      <c r="J1431" s="58" t="str">
        <f>I1431-E1431</f>
      </c>
    </row>
    <row r="1432">
      <c r="A1432" t="s">
        <v>226</v>
      </c>
      <c r="B1432" t="s">
        <v>228</v>
      </c>
      <c r="C1432" s="52" t="n">
        <v>2047</v>
      </c>
      <c r="D1432" t="s">
        <v>166</v>
      </c>
      <c r="E1432" s="53" t="n">
        <v>144825.199850434</v>
      </c>
      <c r="F1432" s="54" t="n">
        <v>92568.4424152479</v>
      </c>
      <c r="G1432" s="55" t="n">
        <v>92333.8882911569</v>
      </c>
      <c r="H1432" s="56" t="str">
        <f>G1432-F1432</f>
      </c>
      <c r="I1432" s="57" t="n">
        <v>144246.070856709</v>
      </c>
      <c r="J1432" s="58" t="str">
        <f>I1432-E1432</f>
      </c>
    </row>
    <row r="1433">
      <c r="A1433" t="s">
        <v>226</v>
      </c>
      <c r="B1433" t="s">
        <v>228</v>
      </c>
      <c r="C1433" s="52" t="n">
        <v>2047</v>
      </c>
      <c r="D1433" t="s">
        <v>176</v>
      </c>
      <c r="E1433" s="53" t="n">
        <v>269976.180096258</v>
      </c>
      <c r="F1433" s="54" t="n">
        <v>255415.851512453</v>
      </c>
      <c r="G1433" s="55" t="n">
        <v>254760.803670819</v>
      </c>
      <c r="H1433" s="56" t="str">
        <f>G1433-F1433</f>
      </c>
      <c r="I1433" s="57" t="n">
        <v>269145.730668352</v>
      </c>
      <c r="J1433" s="58" t="str">
        <f>I1433-E1433</f>
      </c>
    </row>
    <row r="1434">
      <c r="A1434" t="s">
        <v>226</v>
      </c>
      <c r="B1434" t="s">
        <v>228</v>
      </c>
      <c r="C1434" s="52" t="n">
        <v>2047</v>
      </c>
      <c r="D1434" t="s">
        <v>180</v>
      </c>
      <c r="E1434" s="53" t="n">
        <v>789103.630701894</v>
      </c>
      <c r="F1434" s="54" t="n">
        <v>482489.058586744</v>
      </c>
      <c r="G1434" s="55" t="n">
        <v>484667.16956347</v>
      </c>
      <c r="H1434" s="56" t="str">
        <f>G1434-F1434</f>
      </c>
      <c r="I1434" s="57" t="n">
        <v>786867.366017657</v>
      </c>
      <c r="J1434" s="58" t="str">
        <f>I1434-E1434</f>
      </c>
    </row>
    <row r="1435">
      <c r="A1435" t="s">
        <v>226</v>
      </c>
      <c r="B1435" t="s">
        <v>228</v>
      </c>
      <c r="C1435" s="52" t="n">
        <v>2047</v>
      </c>
      <c r="D1435" t="s">
        <v>184</v>
      </c>
      <c r="E1435" s="53" t="n">
        <v>391943.931186334</v>
      </c>
      <c r="F1435" s="54" t="n">
        <v>209642.872260857</v>
      </c>
      <c r="G1435" s="55" t="n">
        <v>209160.858915749</v>
      </c>
      <c r="H1435" s="56" t="str">
        <f>G1435-F1435</f>
      </c>
      <c r="I1435" s="57" t="n">
        <v>390597.57749153</v>
      </c>
      <c r="J1435" s="58" t="str">
        <f>I1435-E1435</f>
      </c>
    </row>
    <row r="1436">
      <c r="A1436" t="s">
        <v>226</v>
      </c>
      <c r="B1436" t="s">
        <v>228</v>
      </c>
      <c r="C1436" s="52" t="n">
        <v>2047</v>
      </c>
      <c r="D1436" t="s">
        <v>212</v>
      </c>
      <c r="E1436" s="53" t="n">
        <v>34402.6364495488</v>
      </c>
      <c r="F1436" s="54" t="n">
        <v>2222.25903887668</v>
      </c>
      <c r="G1436" s="55" t="n">
        <v>2222.25178382332</v>
      </c>
      <c r="H1436" s="56" t="str">
        <f>G1436-F1436</f>
      </c>
      <c r="I1436" s="57" t="n">
        <v>34402.454286142</v>
      </c>
      <c r="J1436" s="58" t="str">
        <f>I1436-E1436</f>
      </c>
    </row>
    <row r="1437">
      <c r="A1437" t="s">
        <v>226</v>
      </c>
      <c r="B1437" t="s">
        <v>228</v>
      </c>
      <c r="C1437" s="52" t="n">
        <v>2048</v>
      </c>
      <c r="D1437" t="s">
        <v>190</v>
      </c>
      <c r="E1437" s="53" t="n">
        <v>25427.6763667073</v>
      </c>
      <c r="F1437" s="54" t="n">
        <v>17044.8235947173</v>
      </c>
      <c r="G1437" s="55" t="n">
        <v>16982.9671313776</v>
      </c>
      <c r="H1437" s="56" t="str">
        <f>G1437-F1437</f>
      </c>
      <c r="I1437" s="57" t="n">
        <v>25282.866550534</v>
      </c>
      <c r="J1437" s="58" t="str">
        <f>I1437-E1437</f>
      </c>
    </row>
    <row r="1438">
      <c r="A1438" t="s">
        <v>226</v>
      </c>
      <c r="B1438" t="s">
        <v>228</v>
      </c>
      <c r="C1438" s="52" t="n">
        <v>2048</v>
      </c>
      <c r="D1438" t="s">
        <v>230</v>
      </c>
      <c r="E1438" s="53" t="n">
        <v>1283836.93471685</v>
      </c>
      <c r="F1438" s="54" t="n">
        <v>276141.378091606</v>
      </c>
      <c r="G1438" s="55" t="n">
        <v>314549.83162808</v>
      </c>
      <c r="H1438" s="56" t="str">
        <f>G1438-F1438</f>
      </c>
      <c r="I1438" s="57" t="n">
        <v>1283467.75295342</v>
      </c>
      <c r="J1438" s="58" t="str">
        <f>I1438-E1438</f>
      </c>
    </row>
    <row r="1439">
      <c r="A1439" t="s">
        <v>226</v>
      </c>
      <c r="B1439" t="s">
        <v>228</v>
      </c>
      <c r="C1439" s="52" t="n">
        <v>2048</v>
      </c>
      <c r="D1439" t="s">
        <v>166</v>
      </c>
      <c r="E1439" s="53" t="n">
        <v>147048.420088926</v>
      </c>
      <c r="F1439" s="54" t="n">
        <v>93687.8675283673</v>
      </c>
      <c r="G1439" s="55" t="n">
        <v>93427.507277049</v>
      </c>
      <c r="H1439" s="56" t="str">
        <f>G1439-F1439</f>
      </c>
      <c r="I1439" s="57" t="n">
        <v>146413.853149174</v>
      </c>
      <c r="J1439" s="58" t="str">
        <f>I1439-E1439</f>
      </c>
    </row>
    <row r="1440">
      <c r="A1440" t="s">
        <v>226</v>
      </c>
      <c r="B1440" t="s">
        <v>228</v>
      </c>
      <c r="C1440" s="52" t="n">
        <v>2048</v>
      </c>
      <c r="D1440" t="s">
        <v>176</v>
      </c>
      <c r="E1440" s="53" t="n">
        <v>268981.256576967</v>
      </c>
      <c r="F1440" s="54" t="n">
        <v>254583.095310135</v>
      </c>
      <c r="G1440" s="55" t="n">
        <v>253872.047418824</v>
      </c>
      <c r="H1440" s="56" t="str">
        <f>G1440-F1440</f>
      </c>
      <c r="I1440" s="57" t="n">
        <v>268085.447945834</v>
      </c>
      <c r="J1440" s="58" t="str">
        <f>I1440-E1440</f>
      </c>
    </row>
    <row r="1441">
      <c r="A1441" t="s">
        <v>226</v>
      </c>
      <c r="B1441" t="s">
        <v>228</v>
      </c>
      <c r="C1441" s="52" t="n">
        <v>2048</v>
      </c>
      <c r="D1441" t="s">
        <v>180</v>
      </c>
      <c r="E1441" s="53" t="n">
        <v>798248.915101678</v>
      </c>
      <c r="F1441" s="54" t="n">
        <v>489091.835471878</v>
      </c>
      <c r="G1441" s="55" t="n">
        <v>491307.709328566</v>
      </c>
      <c r="H1441" s="56" t="str">
        <f>G1441-F1441</f>
      </c>
      <c r="I1441" s="57" t="n">
        <v>795796.819401734</v>
      </c>
      <c r="J1441" s="58" t="str">
        <f>I1441-E1441</f>
      </c>
    </row>
    <row r="1442">
      <c r="A1442" t="s">
        <v>226</v>
      </c>
      <c r="B1442" t="s">
        <v>228</v>
      </c>
      <c r="C1442" s="52" t="n">
        <v>2048</v>
      </c>
      <c r="D1442" t="s">
        <v>184</v>
      </c>
      <c r="E1442" s="53" t="n">
        <v>395770.137336094</v>
      </c>
      <c r="F1442" s="54" t="n">
        <v>211722.386494621</v>
      </c>
      <c r="G1442" s="55" t="n">
        <v>211189.299415093</v>
      </c>
      <c r="H1442" s="56" t="str">
        <f>G1442-F1442</f>
      </c>
      <c r="I1442" s="57" t="n">
        <v>394306.234009074</v>
      </c>
      <c r="J1442" s="58" t="str">
        <f>I1442-E1442</f>
      </c>
    </row>
    <row r="1443">
      <c r="A1443" t="s">
        <v>226</v>
      </c>
      <c r="B1443" t="s">
        <v>228</v>
      </c>
      <c r="C1443" s="52" t="n">
        <v>2048</v>
      </c>
      <c r="D1443" t="s">
        <v>212</v>
      </c>
      <c r="E1443" s="53" t="n">
        <v>34279.0504413783</v>
      </c>
      <c r="F1443" s="54" t="n">
        <v>2112.66801724225</v>
      </c>
      <c r="G1443" s="55" t="n">
        <v>2112.66174533725</v>
      </c>
      <c r="H1443" s="56" t="str">
        <f>G1443-F1443</f>
      </c>
      <c r="I1443" s="57" t="n">
        <v>34278.8634968121</v>
      </c>
      <c r="J1443" s="58" t="str">
        <f>I1443-E1443</f>
      </c>
    </row>
    <row r="1444">
      <c r="A1444" t="s">
        <v>226</v>
      </c>
      <c r="B1444" t="s">
        <v>228</v>
      </c>
      <c r="C1444" s="52" t="n">
        <v>2049</v>
      </c>
      <c r="D1444" t="s">
        <v>190</v>
      </c>
      <c r="E1444" s="53" t="n">
        <v>26148.3678218795</v>
      </c>
      <c r="F1444" s="54" t="n">
        <v>17476.6872016758</v>
      </c>
      <c r="G1444" s="55" t="n">
        <v>17406.6591140935</v>
      </c>
      <c r="H1444" s="56" t="str">
        <f>G1444-F1444</f>
      </c>
      <c r="I1444" s="57" t="n">
        <v>25986.5373789525</v>
      </c>
      <c r="J1444" s="58" t="str">
        <f>I1444-E1444</f>
      </c>
    </row>
    <row r="1445">
      <c r="A1445" t="s">
        <v>226</v>
      </c>
      <c r="B1445" t="s">
        <v>228</v>
      </c>
      <c r="C1445" s="52" t="n">
        <v>2049</v>
      </c>
      <c r="D1445" t="s">
        <v>230</v>
      </c>
      <c r="E1445" s="53" t="n">
        <v>1291095.16650433</v>
      </c>
      <c r="F1445" s="54" t="n">
        <v>280979.061295412</v>
      </c>
      <c r="G1445" s="55" t="n">
        <v>321740.501148806</v>
      </c>
      <c r="H1445" s="56" t="str">
        <f>G1445-F1445</f>
      </c>
      <c r="I1445" s="57" t="n">
        <v>1290687.53512959</v>
      </c>
      <c r="J1445" s="58" t="str">
        <f>I1445-E1445</f>
      </c>
    </row>
    <row r="1446">
      <c r="A1446" t="s">
        <v>226</v>
      </c>
      <c r="B1446" t="s">
        <v>228</v>
      </c>
      <c r="C1446" s="52" t="n">
        <v>2049</v>
      </c>
      <c r="D1446" t="s">
        <v>166</v>
      </c>
      <c r="E1446" s="53" t="n">
        <v>148574.743442885</v>
      </c>
      <c r="F1446" s="54" t="n">
        <v>94834.6358644085</v>
      </c>
      <c r="G1446" s="55" t="n">
        <v>94546.8656755522</v>
      </c>
      <c r="H1446" s="56" t="str">
        <f>G1446-F1446</f>
      </c>
      <c r="I1446" s="57" t="n">
        <v>147882.099837348</v>
      </c>
      <c r="J1446" s="58" t="str">
        <f>I1446-E1446</f>
      </c>
    </row>
    <row r="1447">
      <c r="A1447" t="s">
        <v>226</v>
      </c>
      <c r="B1447" t="s">
        <v>228</v>
      </c>
      <c r="C1447" s="52" t="n">
        <v>2049</v>
      </c>
      <c r="D1447" t="s">
        <v>176</v>
      </c>
      <c r="E1447" s="53" t="n">
        <v>267966.400047684</v>
      </c>
      <c r="F1447" s="54" t="n">
        <v>253874.070170143</v>
      </c>
      <c r="G1447" s="55" t="n">
        <v>253105.506935702</v>
      </c>
      <c r="H1447" s="56" t="str">
        <f>G1447-F1447</f>
      </c>
      <c r="I1447" s="57" t="n">
        <v>267003.550155027</v>
      </c>
      <c r="J1447" s="58" t="str">
        <f>I1447-E1447</f>
      </c>
    </row>
    <row r="1448">
      <c r="A1448" t="s">
        <v>226</v>
      </c>
      <c r="B1448" t="s">
        <v>228</v>
      </c>
      <c r="C1448" s="52" t="n">
        <v>2049</v>
      </c>
      <c r="D1448" t="s">
        <v>180</v>
      </c>
      <c r="E1448" s="53" t="n">
        <v>804272.486022266</v>
      </c>
      <c r="F1448" s="54" t="n">
        <v>495761.639446425</v>
      </c>
      <c r="G1448" s="55" t="n">
        <v>498010.651524044</v>
      </c>
      <c r="H1448" s="56" t="str">
        <f>G1448-F1448</f>
      </c>
      <c r="I1448" s="57" t="n">
        <v>801596.853664258</v>
      </c>
      <c r="J1448" s="58" t="str">
        <f>I1448-E1448</f>
      </c>
    </row>
    <row r="1449">
      <c r="A1449" t="s">
        <v>226</v>
      </c>
      <c r="B1449" t="s">
        <v>228</v>
      </c>
      <c r="C1449" s="52" t="n">
        <v>2049</v>
      </c>
      <c r="D1449" t="s">
        <v>184</v>
      </c>
      <c r="E1449" s="53" t="n">
        <v>397644.801490884</v>
      </c>
      <c r="F1449" s="54" t="n">
        <v>214167.194303326</v>
      </c>
      <c r="G1449" s="55" t="n">
        <v>213580.236200068</v>
      </c>
      <c r="H1449" s="56" t="str">
        <f>G1449-F1449</f>
      </c>
      <c r="I1449" s="57" t="n">
        <v>396058.615955627</v>
      </c>
      <c r="J1449" s="58" t="str">
        <f>I1449-E1449</f>
      </c>
    </row>
    <row r="1450">
      <c r="A1450" t="s">
        <v>226</v>
      </c>
      <c r="B1450" t="s">
        <v>228</v>
      </c>
      <c r="C1450" s="52" t="n">
        <v>2049</v>
      </c>
      <c r="D1450" t="s">
        <v>212</v>
      </c>
      <c r="E1450" s="53" t="n">
        <v>34087.9317936581</v>
      </c>
      <c r="F1450" s="54" t="n">
        <v>1998.59739971997</v>
      </c>
      <c r="G1450" s="55" t="n">
        <v>1998.59223363335</v>
      </c>
      <c r="H1450" s="56" t="str">
        <f>G1450-F1450</f>
      </c>
      <c r="I1450" s="57" t="n">
        <v>34087.7627067011</v>
      </c>
      <c r="J1450" s="58" t="str">
        <f>I1450-E1450</f>
      </c>
    </row>
    <row r="1451">
      <c r="A1451" t="s">
        <v>226</v>
      </c>
      <c r="B1451" t="s">
        <v>228</v>
      </c>
      <c r="C1451" s="52" t="n">
        <v>2050</v>
      </c>
      <c r="D1451" t="s">
        <v>190</v>
      </c>
      <c r="E1451" s="53" t="n">
        <v>26870.1699671484</v>
      </c>
      <c r="F1451" s="54" t="n">
        <v>17907.5304465444</v>
      </c>
      <c r="G1451" s="55" t="n">
        <v>17828.637482456</v>
      </c>
      <c r="H1451" s="56" t="str">
        <f>G1451-F1451</f>
      </c>
      <c r="I1451" s="57" t="n">
        <v>26690.1101954068</v>
      </c>
      <c r="J1451" s="58" t="str">
        <f>I1451-E1451</f>
      </c>
    </row>
    <row r="1452">
      <c r="A1452" t="s">
        <v>226</v>
      </c>
      <c r="B1452" t="s">
        <v>228</v>
      </c>
      <c r="C1452" s="52" t="n">
        <v>2050</v>
      </c>
      <c r="D1452" t="s">
        <v>230</v>
      </c>
      <c r="E1452" s="53" t="n">
        <v>1298246.84078538</v>
      </c>
      <c r="F1452" s="54" t="n">
        <v>285588.362799173</v>
      </c>
      <c r="G1452" s="55" t="n">
        <v>328734.061465412</v>
      </c>
      <c r="H1452" s="56" t="str">
        <f>G1452-F1452</f>
      </c>
      <c r="I1452" s="57" t="n">
        <v>1297798.19122542</v>
      </c>
      <c r="J1452" s="58" t="str">
        <f>I1452-E1452</f>
      </c>
    </row>
    <row r="1453">
      <c r="A1453" t="s">
        <v>226</v>
      </c>
      <c r="B1453" t="s">
        <v>228</v>
      </c>
      <c r="C1453" s="52" t="n">
        <v>2050</v>
      </c>
      <c r="D1453" t="s">
        <v>166</v>
      </c>
      <c r="E1453" s="53" t="n">
        <v>150302.225253064</v>
      </c>
      <c r="F1453" s="54" t="n">
        <v>95942.5683765915</v>
      </c>
      <c r="G1453" s="55" t="n">
        <v>95625.9439694284</v>
      </c>
      <c r="H1453" s="56" t="str">
        <f>G1453-F1453</f>
      </c>
      <c r="I1453" s="57" t="n">
        <v>149549.878981469</v>
      </c>
      <c r="J1453" s="58" t="str">
        <f>I1453-E1453</f>
      </c>
    </row>
    <row r="1454">
      <c r="A1454" t="s">
        <v>226</v>
      </c>
      <c r="B1454" t="s">
        <v>228</v>
      </c>
      <c r="C1454" s="52" t="n">
        <v>2050</v>
      </c>
      <c r="D1454" t="s">
        <v>176</v>
      </c>
      <c r="E1454" s="53" t="n">
        <v>267062.501216666</v>
      </c>
      <c r="F1454" s="54" t="n">
        <v>252986.029369644</v>
      </c>
      <c r="G1454" s="55" t="n">
        <v>252158.933158969</v>
      </c>
      <c r="H1454" s="56" t="str">
        <f>G1454-F1454</f>
      </c>
      <c r="I1454" s="57" t="n">
        <v>266031.496410964</v>
      </c>
      <c r="J1454" s="58" t="str">
        <f>I1454-E1454</f>
      </c>
    </row>
    <row r="1455">
      <c r="A1455" t="s">
        <v>226</v>
      </c>
      <c r="B1455" t="s">
        <v>228</v>
      </c>
      <c r="C1455" s="52" t="n">
        <v>2050</v>
      </c>
      <c r="D1455" t="s">
        <v>180</v>
      </c>
      <c r="E1455" s="53" t="n">
        <v>811926.450451223</v>
      </c>
      <c r="F1455" s="54" t="n">
        <v>501816.083745344</v>
      </c>
      <c r="G1455" s="55" t="n">
        <v>504089.426791864</v>
      </c>
      <c r="H1455" s="56" t="str">
        <f>G1455-F1455</f>
      </c>
      <c r="I1455" s="57" t="n">
        <v>809018.722538968</v>
      </c>
      <c r="J1455" s="58" t="str">
        <f>I1455-E1455</f>
      </c>
    </row>
    <row r="1456">
      <c r="A1456" t="s">
        <v>226</v>
      </c>
      <c r="B1456" t="s">
        <v>228</v>
      </c>
      <c r="C1456" s="52" t="n">
        <v>2050</v>
      </c>
      <c r="D1456" t="s">
        <v>184</v>
      </c>
      <c r="E1456" s="53" t="n">
        <v>400268.632643595</v>
      </c>
      <c r="F1456" s="54" t="n">
        <v>216214.015697326</v>
      </c>
      <c r="G1456" s="55" t="n">
        <v>215570.737440482</v>
      </c>
      <c r="H1456" s="56" t="str">
        <f>G1456-F1456</f>
      </c>
      <c r="I1456" s="57" t="n">
        <v>398560.037918605</v>
      </c>
      <c r="J1456" s="58" t="str">
        <f>I1456-E1456</f>
      </c>
    </row>
    <row r="1457">
      <c r="A1457" t="s">
        <v>226</v>
      </c>
      <c r="B1457" t="s">
        <v>228</v>
      </c>
      <c r="C1457" s="52" t="n">
        <v>2050</v>
      </c>
      <c r="D1457" t="s">
        <v>212</v>
      </c>
      <c r="E1457" s="53" t="n">
        <v>33926.6557891123</v>
      </c>
      <c r="F1457" s="54" t="n">
        <v>1888.51857179833</v>
      </c>
      <c r="G1457" s="55" t="n">
        <v>1888.51500986557</v>
      </c>
      <c r="H1457" s="56" t="str">
        <f>G1457-F1457</f>
      </c>
      <c r="I1457" s="57" t="n">
        <v>33926.4790426967</v>
      </c>
      <c r="J1457" s="58" t="str">
        <f>I1457-E1457</f>
      </c>
    </row>
    <row r="1458">
      <c r="A1458" t="s">
        <v>75</v>
      </c>
      <c r="B1458" t="s">
        <v>334</v>
      </c>
      <c r="C1458" s="52" t="n">
        <v>2025</v>
      </c>
      <c r="D1458" t="s">
        <v>190</v>
      </c>
      <c r="E1458" s="53" t="n">
        <v>12176.1707137429</v>
      </c>
      <c r="F1458" s="54" t="n">
        <v>8873.72242171565</v>
      </c>
      <c r="G1458" s="55" t="n">
        <v>8959.2701472679</v>
      </c>
      <c r="H1458" s="56" t="str">
        <f>G1458-F1458</f>
      </c>
      <c r="I1458" s="57" t="n">
        <v>12176.1707137429</v>
      </c>
      <c r="J1458" s="58" t="str">
        <f>I1458-E1458</f>
      </c>
    </row>
    <row r="1459">
      <c r="A1459" t="s">
        <v>75</v>
      </c>
      <c r="B1459" t="s">
        <v>334</v>
      </c>
      <c r="C1459" s="52" t="n">
        <v>2025</v>
      </c>
      <c r="D1459" t="s">
        <v>230</v>
      </c>
      <c r="E1459" s="53" t="n">
        <v>1026758.5711338</v>
      </c>
      <c r="F1459" s="54" t="n">
        <v>128635.682119625</v>
      </c>
      <c r="G1459" s="55" t="n">
        <v>129383.323210315</v>
      </c>
      <c r="H1459" s="56" t="str">
        <f>G1459-F1459</f>
      </c>
      <c r="I1459" s="57" t="n">
        <v>1026758.5711338</v>
      </c>
      <c r="J1459" s="58" t="str">
        <f>I1459-E1459</f>
      </c>
    </row>
    <row r="1460">
      <c r="A1460" t="s">
        <v>75</v>
      </c>
      <c r="B1460" t="s">
        <v>334</v>
      </c>
      <c r="C1460" s="52" t="n">
        <v>2025</v>
      </c>
      <c r="D1460" t="s">
        <v>166</v>
      </c>
      <c r="E1460" s="53" t="n">
        <v>114347.210486515</v>
      </c>
      <c r="F1460" s="54" t="n">
        <v>67175.9109758457</v>
      </c>
      <c r="G1460" s="55" t="n">
        <v>67656.5589894958</v>
      </c>
      <c r="H1460" s="56" t="str">
        <f>G1460-F1460</f>
      </c>
      <c r="I1460" s="57" t="n">
        <v>115291.159865467</v>
      </c>
      <c r="J1460" s="58" t="str">
        <f>I1460-E1460</f>
      </c>
    </row>
    <row r="1461">
      <c r="A1461" t="s">
        <v>75</v>
      </c>
      <c r="B1461" t="s">
        <v>334</v>
      </c>
      <c r="C1461" s="52" t="n">
        <v>2025</v>
      </c>
      <c r="D1461" t="s">
        <v>176</v>
      </c>
      <c r="E1461" s="53" t="n">
        <v>279608.742410368</v>
      </c>
      <c r="F1461" s="54" t="n">
        <v>263226.365583439</v>
      </c>
      <c r="G1461" s="55" t="n">
        <v>263295.70058044</v>
      </c>
      <c r="H1461" s="56" t="str">
        <f>G1461-F1461</f>
      </c>
      <c r="I1461" s="57" t="n">
        <v>281662.55341658</v>
      </c>
      <c r="J1461" s="58" t="str">
        <f>I1461-E1461</f>
      </c>
    </row>
    <row r="1462">
      <c r="A1462" t="s">
        <v>75</v>
      </c>
      <c r="B1462" t="s">
        <v>334</v>
      </c>
      <c r="C1462" s="52" t="n">
        <v>2025</v>
      </c>
      <c r="D1462" t="s">
        <v>180</v>
      </c>
      <c r="E1462" s="53" t="n">
        <v>606792.129929831</v>
      </c>
      <c r="F1462" s="54" t="n">
        <v>334721.282245656</v>
      </c>
      <c r="G1462" s="55" t="n">
        <v>335724.869793767</v>
      </c>
      <c r="H1462" s="56" t="str">
        <f>G1462-F1462</f>
      </c>
      <c r="I1462" s="57" t="n">
        <v>612171.634776233</v>
      </c>
      <c r="J1462" s="58" t="str">
        <f>I1462-E1462</f>
      </c>
    </row>
    <row r="1463">
      <c r="A1463" t="s">
        <v>75</v>
      </c>
      <c r="B1463" t="s">
        <v>334</v>
      </c>
      <c r="C1463" s="52" t="n">
        <v>2025</v>
      </c>
      <c r="D1463" t="s">
        <v>184</v>
      </c>
      <c r="E1463" s="53" t="n">
        <v>337040.928069389</v>
      </c>
      <c r="F1463" s="54" t="n">
        <v>190725.824837693</v>
      </c>
      <c r="G1463" s="55" t="n">
        <v>190841.880003208</v>
      </c>
      <c r="H1463" s="56" t="str">
        <f>G1463-F1463</f>
      </c>
      <c r="I1463" s="57" t="n">
        <v>339642.130126733</v>
      </c>
      <c r="J1463" s="58" t="str">
        <f>I1463-E1463</f>
      </c>
    </row>
    <row r="1464">
      <c r="A1464" t="s">
        <v>75</v>
      </c>
      <c r="B1464" t="s">
        <v>334</v>
      </c>
      <c r="C1464" s="52" t="n">
        <v>2025</v>
      </c>
      <c r="D1464" t="s">
        <v>212</v>
      </c>
      <c r="E1464" s="53" t="n">
        <v>39660.8365474078</v>
      </c>
      <c r="F1464" s="54" t="n">
        <v>5273.03882423515</v>
      </c>
      <c r="G1464" s="55" t="n">
        <v>5303.42230174402</v>
      </c>
      <c r="H1464" s="56" t="str">
        <f>G1464-F1464</f>
      </c>
      <c r="I1464" s="57" t="n">
        <v>39660.8365474078</v>
      </c>
      <c r="J1464" s="58" t="str">
        <f>I1464-E1464</f>
      </c>
    </row>
    <row r="1465">
      <c r="A1465" t="s">
        <v>75</v>
      </c>
      <c r="B1465" t="s">
        <v>334</v>
      </c>
      <c r="C1465" s="52" t="n">
        <v>2026</v>
      </c>
      <c r="D1465" t="s">
        <v>190</v>
      </c>
      <c r="E1465" s="53" t="n">
        <v>12569.5247598576</v>
      </c>
      <c r="F1465" s="54" t="n">
        <v>9110.92637239686</v>
      </c>
      <c r="G1465" s="55" t="n">
        <v>9271.1333627081</v>
      </c>
      <c r="H1465" s="56" t="str">
        <f>G1465-F1465</f>
      </c>
      <c r="I1465" s="57" t="n">
        <v>12568.9386470114</v>
      </c>
      <c r="J1465" s="58" t="str">
        <f>I1465-E1465</f>
      </c>
    </row>
    <row r="1466">
      <c r="A1466" t="s">
        <v>75</v>
      </c>
      <c r="B1466" t="s">
        <v>334</v>
      </c>
      <c r="C1466" s="52" t="n">
        <v>2026</v>
      </c>
      <c r="D1466" t="s">
        <v>230</v>
      </c>
      <c r="E1466" s="53" t="n">
        <v>1042149.05427347</v>
      </c>
      <c r="F1466" s="54" t="n">
        <v>135573.739862255</v>
      </c>
      <c r="G1466" s="55" t="n">
        <v>137145.828958788</v>
      </c>
      <c r="H1466" s="56" t="str">
        <f>G1466-F1466</f>
      </c>
      <c r="I1466" s="57" t="n">
        <v>1042135.18581351</v>
      </c>
      <c r="J1466" s="58" t="str">
        <f>I1466-E1466</f>
      </c>
    </row>
    <row r="1467">
      <c r="A1467" t="s">
        <v>75</v>
      </c>
      <c r="B1467" t="s">
        <v>334</v>
      </c>
      <c r="C1467" s="52" t="n">
        <v>2026</v>
      </c>
      <c r="D1467" t="s">
        <v>166</v>
      </c>
      <c r="E1467" s="53" t="n">
        <v>112801.614850694</v>
      </c>
      <c r="F1467" s="54" t="n">
        <v>69283.1302903487</v>
      </c>
      <c r="G1467" s="55" t="n">
        <v>70326.6034535198</v>
      </c>
      <c r="H1467" s="56" t="str">
        <f>G1467-F1467</f>
      </c>
      <c r="I1467" s="57" t="n">
        <v>114707.986926294</v>
      </c>
      <c r="J1467" s="58" t="str">
        <f>I1467-E1467</f>
      </c>
    </row>
    <row r="1468">
      <c r="A1468" t="s">
        <v>75</v>
      </c>
      <c r="B1468" t="s">
        <v>334</v>
      </c>
      <c r="C1468" s="52" t="n">
        <v>2026</v>
      </c>
      <c r="D1468" t="s">
        <v>176</v>
      </c>
      <c r="E1468" s="53" t="n">
        <v>278621.090964178</v>
      </c>
      <c r="F1468" s="54" t="n">
        <v>258551.456776964</v>
      </c>
      <c r="G1468" s="55" t="n">
        <v>259504.468011332</v>
      </c>
      <c r="H1468" s="56" t="str">
        <f>G1468-F1468</f>
      </c>
      <c r="I1468" s="57" t="n">
        <v>282722.537860884</v>
      </c>
      <c r="J1468" s="58" t="str">
        <f>I1468-E1468</f>
      </c>
    </row>
    <row r="1469">
      <c r="A1469" t="s">
        <v>75</v>
      </c>
      <c r="B1469" t="s">
        <v>334</v>
      </c>
      <c r="C1469" s="52" t="n">
        <v>2026</v>
      </c>
      <c r="D1469" t="s">
        <v>180</v>
      </c>
      <c r="E1469" s="53" t="n">
        <v>605887.966885531</v>
      </c>
      <c r="F1469" s="54" t="n">
        <v>340666.580347021</v>
      </c>
      <c r="G1469" s="55" t="n">
        <v>342960.135281865</v>
      </c>
      <c r="H1469" s="56" t="str">
        <f>G1469-F1469</f>
      </c>
      <c r="I1469" s="57" t="n">
        <v>616790.029155755</v>
      </c>
      <c r="J1469" s="58" t="str">
        <f>I1469-E1469</f>
      </c>
    </row>
    <row r="1470">
      <c r="A1470" t="s">
        <v>75</v>
      </c>
      <c r="B1470" t="s">
        <v>334</v>
      </c>
      <c r="C1470" s="52" t="n">
        <v>2026</v>
      </c>
      <c r="D1470" t="s">
        <v>184</v>
      </c>
      <c r="E1470" s="53" t="n">
        <v>333260.862266036</v>
      </c>
      <c r="F1470" s="54" t="n">
        <v>190217.41038408</v>
      </c>
      <c r="G1470" s="55" t="n">
        <v>190574.613818848</v>
      </c>
      <c r="H1470" s="56" t="str">
        <f>G1470-F1470</f>
      </c>
      <c r="I1470" s="57" t="n">
        <v>338499.069421602</v>
      </c>
      <c r="J1470" s="58" t="str">
        <f>I1470-E1470</f>
      </c>
    </row>
    <row r="1471">
      <c r="A1471" t="s">
        <v>75</v>
      </c>
      <c r="B1471" t="s">
        <v>334</v>
      </c>
      <c r="C1471" s="52" t="n">
        <v>2026</v>
      </c>
      <c r="D1471" t="s">
        <v>212</v>
      </c>
      <c r="E1471" s="53" t="n">
        <v>39250.7056700232</v>
      </c>
      <c r="F1471" s="54" t="n">
        <v>5048.03093790237</v>
      </c>
      <c r="G1471" s="55" t="n">
        <v>5105.60955478559</v>
      </c>
      <c r="H1471" s="56" t="str">
        <f>G1471-F1471</f>
      </c>
      <c r="I1471" s="57" t="n">
        <v>39250.6670180049</v>
      </c>
      <c r="J1471" s="58" t="str">
        <f>I1471-E1471</f>
      </c>
    </row>
    <row r="1472">
      <c r="A1472" t="s">
        <v>75</v>
      </c>
      <c r="B1472" t="s">
        <v>334</v>
      </c>
      <c r="C1472" s="52" t="n">
        <v>2027</v>
      </c>
      <c r="D1472" t="s">
        <v>190</v>
      </c>
      <c r="E1472" s="53" t="n">
        <v>12978.2192590281</v>
      </c>
      <c r="F1472" s="54" t="n">
        <v>9350.12306888731</v>
      </c>
      <c r="G1472" s="55" t="n">
        <v>9577.52965486433</v>
      </c>
      <c r="H1472" s="56" t="str">
        <f>G1472-F1472</f>
      </c>
      <c r="I1472" s="57" t="n">
        <v>12976.1031133633</v>
      </c>
      <c r="J1472" s="58" t="str">
        <f>I1472-E1472</f>
      </c>
    </row>
    <row r="1473">
      <c r="A1473" t="s">
        <v>75</v>
      </c>
      <c r="B1473" t="s">
        <v>334</v>
      </c>
      <c r="C1473" s="52" t="n">
        <v>2027</v>
      </c>
      <c r="D1473" t="s">
        <v>230</v>
      </c>
      <c r="E1473" s="53" t="n">
        <v>1057199.56033392</v>
      </c>
      <c r="F1473" s="54" t="n">
        <v>142535.790520008</v>
      </c>
      <c r="G1473" s="55" t="n">
        <v>145009.441994705</v>
      </c>
      <c r="H1473" s="56" t="str">
        <f>G1473-F1473</f>
      </c>
      <c r="I1473" s="57" t="n">
        <v>1057148.31873483</v>
      </c>
      <c r="J1473" s="58" t="str">
        <f>I1473-E1473</f>
      </c>
    </row>
    <row r="1474">
      <c r="A1474" t="s">
        <v>75</v>
      </c>
      <c r="B1474" t="s">
        <v>334</v>
      </c>
      <c r="C1474" s="52" t="n">
        <v>2027</v>
      </c>
      <c r="D1474" t="s">
        <v>166</v>
      </c>
      <c r="E1474" s="53" t="n">
        <v>111277.441917276</v>
      </c>
      <c r="F1474" s="54" t="n">
        <v>70616.2157985526</v>
      </c>
      <c r="G1474" s="55" t="n">
        <v>72290.1699912091</v>
      </c>
      <c r="H1474" s="56" t="str">
        <f>G1474-F1474</f>
      </c>
      <c r="I1474" s="57" t="n">
        <v>114152.944165875</v>
      </c>
      <c r="J1474" s="58" t="str">
        <f>I1474-E1474</f>
      </c>
    </row>
    <row r="1475">
      <c r="A1475" t="s">
        <v>75</v>
      </c>
      <c r="B1475" t="s">
        <v>334</v>
      </c>
      <c r="C1475" s="52" t="n">
        <v>2027</v>
      </c>
      <c r="D1475" t="s">
        <v>176</v>
      </c>
      <c r="E1475" s="53" t="n">
        <v>271769.23636358</v>
      </c>
      <c r="F1475" s="54" t="n">
        <v>258180.352531254</v>
      </c>
      <c r="G1475" s="55" t="n">
        <v>260330.421136777</v>
      </c>
      <c r="H1475" s="56" t="str">
        <f>G1475-F1475</f>
      </c>
      <c r="I1475" s="57" t="n">
        <v>277877.509454571</v>
      </c>
      <c r="J1475" s="58" t="str">
        <f>I1475-E1475</f>
      </c>
    </row>
    <row r="1476">
      <c r="A1476" t="s">
        <v>75</v>
      </c>
      <c r="B1476" t="s">
        <v>334</v>
      </c>
      <c r="C1476" s="52" t="n">
        <v>2027</v>
      </c>
      <c r="D1476" t="s">
        <v>180</v>
      </c>
      <c r="E1476" s="53" t="n">
        <v>604900.182185749</v>
      </c>
      <c r="F1476" s="54" t="n">
        <v>345536.979206114</v>
      </c>
      <c r="G1476" s="55" t="n">
        <v>349405.300730343</v>
      </c>
      <c r="H1476" s="56" t="str">
        <f>G1476-F1476</f>
      </c>
      <c r="I1476" s="57" t="n">
        <v>621430.902801161</v>
      </c>
      <c r="J1476" s="58" t="str">
        <f>I1476-E1476</f>
      </c>
    </row>
    <row r="1477">
      <c r="A1477" t="s">
        <v>75</v>
      </c>
      <c r="B1477" t="s">
        <v>334</v>
      </c>
      <c r="C1477" s="52" t="n">
        <v>2027</v>
      </c>
      <c r="D1477" t="s">
        <v>184</v>
      </c>
      <c r="E1477" s="53" t="n">
        <v>329508.615424957</v>
      </c>
      <c r="F1477" s="54" t="n">
        <v>188320.152176648</v>
      </c>
      <c r="G1477" s="55" t="n">
        <v>189031.100445512</v>
      </c>
      <c r="H1477" s="56" t="str">
        <f>G1477-F1477</f>
      </c>
      <c r="I1477" s="57" t="n">
        <v>337398.949071723</v>
      </c>
      <c r="J1477" s="58" t="str">
        <f>I1477-E1477</f>
      </c>
    </row>
    <row r="1478">
      <c r="A1478" t="s">
        <v>75</v>
      </c>
      <c r="B1478" t="s">
        <v>334</v>
      </c>
      <c r="C1478" s="52" t="n">
        <v>2027</v>
      </c>
      <c r="D1478" t="s">
        <v>212</v>
      </c>
      <c r="E1478" s="53" t="n">
        <v>38773.7019368475</v>
      </c>
      <c r="F1478" s="54" t="n">
        <v>4839.3322651802</v>
      </c>
      <c r="G1478" s="55" t="n">
        <v>4921.4971535539</v>
      </c>
      <c r="H1478" s="56" t="str">
        <f>G1478-F1478</f>
      </c>
      <c r="I1478" s="57" t="n">
        <v>38773.6271863431</v>
      </c>
      <c r="J1478" s="58" t="str">
        <f>I1478-E1478</f>
      </c>
    </row>
    <row r="1479">
      <c r="A1479" t="s">
        <v>75</v>
      </c>
      <c r="B1479" t="s">
        <v>334</v>
      </c>
      <c r="C1479" s="52" t="n">
        <v>2028</v>
      </c>
      <c r="D1479" t="s">
        <v>190</v>
      </c>
      <c r="E1479" s="53" t="n">
        <v>13399.4857540601</v>
      </c>
      <c r="F1479" s="54" t="n">
        <v>9592.48654036897</v>
      </c>
      <c r="G1479" s="55" t="n">
        <v>9881.92201892528</v>
      </c>
      <c r="H1479" s="56" t="str">
        <f>G1479-F1479</f>
      </c>
      <c r="I1479" s="57" t="n">
        <v>13394.6739315754</v>
      </c>
      <c r="J1479" s="58" t="str">
        <f>I1479-E1479</f>
      </c>
    </row>
    <row r="1480">
      <c r="A1480" t="s">
        <v>75</v>
      </c>
      <c r="B1480" t="s">
        <v>334</v>
      </c>
      <c r="C1480" s="52" t="n">
        <v>2028</v>
      </c>
      <c r="D1480" t="s">
        <v>230</v>
      </c>
      <c r="E1480" s="53" t="n">
        <v>1071943.64101307</v>
      </c>
      <c r="F1480" s="54" t="n">
        <v>149519.189302723</v>
      </c>
      <c r="G1480" s="55" t="n">
        <v>152971.729388998</v>
      </c>
      <c r="H1480" s="56" t="str">
        <f>G1480-F1480</f>
      </c>
      <c r="I1480" s="57" t="n">
        <v>1071826.12505593</v>
      </c>
      <c r="J1480" s="58" t="str">
        <f>I1480-E1480</f>
      </c>
    </row>
    <row r="1481">
      <c r="A1481" t="s">
        <v>75</v>
      </c>
      <c r="B1481" t="s">
        <v>334</v>
      </c>
      <c r="C1481" s="52" t="n">
        <v>2028</v>
      </c>
      <c r="D1481" t="s">
        <v>166</v>
      </c>
      <c r="E1481" s="53" t="n">
        <v>110273.539706659</v>
      </c>
      <c r="F1481" s="54" t="n">
        <v>71486.6305166398</v>
      </c>
      <c r="G1481" s="55" t="n">
        <v>73846.8742094397</v>
      </c>
      <c r="H1481" s="56" t="str">
        <f>G1481-F1481</f>
      </c>
      <c r="I1481" s="57" t="n">
        <v>114139.122924862</v>
      </c>
      <c r="J1481" s="58" t="str">
        <f>I1481-E1481</f>
      </c>
    </row>
    <row r="1482">
      <c r="A1482" t="s">
        <v>75</v>
      </c>
      <c r="B1482" t="s">
        <v>334</v>
      </c>
      <c r="C1482" s="52" t="n">
        <v>2028</v>
      </c>
      <c r="D1482" t="s">
        <v>176</v>
      </c>
      <c r="E1482" s="53" t="n">
        <v>269605.374822268</v>
      </c>
      <c r="F1482" s="54" t="n">
        <v>254260.73306998</v>
      </c>
      <c r="G1482" s="55" t="n">
        <v>257765.323271705</v>
      </c>
      <c r="H1482" s="56" t="str">
        <f>G1482-F1482</f>
      </c>
      <c r="I1482" s="57" t="n">
        <v>277735.696141204</v>
      </c>
      <c r="J1482" s="58" t="str">
        <f>I1482-E1482</f>
      </c>
    </row>
    <row r="1483">
      <c r="A1483" t="s">
        <v>75</v>
      </c>
      <c r="B1483" t="s">
        <v>334</v>
      </c>
      <c r="C1483" s="52" t="n">
        <v>2028</v>
      </c>
      <c r="D1483" t="s">
        <v>180</v>
      </c>
      <c r="E1483" s="53" t="n">
        <v>605389.039854843</v>
      </c>
      <c r="F1483" s="54" t="n">
        <v>350431.436393593</v>
      </c>
      <c r="G1483" s="55" t="n">
        <v>356159.252906041</v>
      </c>
      <c r="H1483" s="56" t="str">
        <f>G1483-F1483</f>
      </c>
      <c r="I1483" s="57" t="n">
        <v>627723.844155296</v>
      </c>
      <c r="J1483" s="58" t="str">
        <f>I1483-E1483</f>
      </c>
    </row>
    <row r="1484">
      <c r="A1484" t="s">
        <v>75</v>
      </c>
      <c r="B1484" t="s">
        <v>334</v>
      </c>
      <c r="C1484" s="52" t="n">
        <v>2028</v>
      </c>
      <c r="D1484" t="s">
        <v>184</v>
      </c>
      <c r="E1484" s="53" t="n">
        <v>326915.710292432</v>
      </c>
      <c r="F1484" s="54" t="n">
        <v>185952.404776114</v>
      </c>
      <c r="G1484" s="55" t="n">
        <v>187116.639879467</v>
      </c>
      <c r="H1484" s="56" t="str">
        <f>G1484-F1484</f>
      </c>
      <c r="I1484" s="57" t="n">
        <v>337514.695524676</v>
      </c>
      <c r="J1484" s="58" t="str">
        <f>I1484-E1484</f>
      </c>
    </row>
    <row r="1485">
      <c r="A1485" t="s">
        <v>75</v>
      </c>
      <c r="B1485" t="s">
        <v>334</v>
      </c>
      <c r="C1485" s="52" t="n">
        <v>2028</v>
      </c>
      <c r="D1485" t="s">
        <v>212</v>
      </c>
      <c r="E1485" s="53" t="n">
        <v>38149.3437415326</v>
      </c>
      <c r="F1485" s="54" t="n">
        <v>4637.21250203299</v>
      </c>
      <c r="G1485" s="55" t="n">
        <v>4742.08557297834</v>
      </c>
      <c r="H1485" s="56" t="str">
        <f>G1485-F1485</f>
      </c>
      <c r="I1485" s="57" t="n">
        <v>38149.2915792319</v>
      </c>
      <c r="J1485" s="58" t="str">
        <f>I1485-E1485</f>
      </c>
    </row>
    <row r="1486">
      <c r="A1486" t="s">
        <v>75</v>
      </c>
      <c r="B1486" t="s">
        <v>334</v>
      </c>
      <c r="C1486" s="52" t="n">
        <v>2029</v>
      </c>
      <c r="D1486" t="s">
        <v>190</v>
      </c>
      <c r="E1486" s="53" t="n">
        <v>13838.9204777682</v>
      </c>
      <c r="F1486" s="54" t="n">
        <v>9840.53268110985</v>
      </c>
      <c r="G1486" s="55" t="n">
        <v>10188.394886281</v>
      </c>
      <c r="H1486" s="56" t="str">
        <f>G1486-F1486</f>
      </c>
      <c r="I1486" s="57" t="n">
        <v>13830.0485982781</v>
      </c>
      <c r="J1486" s="58" t="str">
        <f>I1486-E1486</f>
      </c>
    </row>
    <row r="1487">
      <c r="A1487" t="s">
        <v>75</v>
      </c>
      <c r="B1487" t="s">
        <v>334</v>
      </c>
      <c r="C1487" s="52" t="n">
        <v>2029</v>
      </c>
      <c r="D1487" t="s">
        <v>230</v>
      </c>
      <c r="E1487" s="53" t="n">
        <v>1086417.16524098</v>
      </c>
      <c r="F1487" s="54" t="n">
        <v>156529.090001777</v>
      </c>
      <c r="G1487" s="55" t="n">
        <v>161038.227687319</v>
      </c>
      <c r="H1487" s="56" t="str">
        <f>G1487-F1487</f>
      </c>
      <c r="I1487" s="57" t="n">
        <v>1086200.50099061</v>
      </c>
      <c r="J1487" s="58" t="str">
        <f>I1487-E1487</f>
      </c>
    </row>
    <row r="1488">
      <c r="A1488" t="s">
        <v>75</v>
      </c>
      <c r="B1488" t="s">
        <v>334</v>
      </c>
      <c r="C1488" s="52" t="n">
        <v>2029</v>
      </c>
      <c r="D1488" t="s">
        <v>166</v>
      </c>
      <c r="E1488" s="53" t="n">
        <v>109189.62427056</v>
      </c>
      <c r="F1488" s="54" t="n">
        <v>72349.7489332605</v>
      </c>
      <c r="G1488" s="55" t="n">
        <v>75452.2225775915</v>
      </c>
      <c r="H1488" s="56" t="str">
        <f>G1488-F1488</f>
      </c>
      <c r="I1488" s="57" t="n">
        <v>114048.155335882</v>
      </c>
      <c r="J1488" s="58" t="str">
        <f>I1488-E1488</f>
      </c>
    </row>
    <row r="1489">
      <c r="A1489" t="s">
        <v>75</v>
      </c>
      <c r="B1489" t="s">
        <v>334</v>
      </c>
      <c r="C1489" s="52" t="n">
        <v>2029</v>
      </c>
      <c r="D1489" t="s">
        <v>176</v>
      </c>
      <c r="E1489" s="53" t="n">
        <v>265673.428719332</v>
      </c>
      <c r="F1489" s="54" t="n">
        <v>253346.646556157</v>
      </c>
      <c r="G1489" s="55" t="n">
        <v>258334.317394862</v>
      </c>
      <c r="H1489" s="56" t="str">
        <f>G1489-F1489</f>
      </c>
      <c r="I1489" s="57" t="n">
        <v>275821.082992428</v>
      </c>
      <c r="J1489" s="58" t="str">
        <f>I1489-E1489</f>
      </c>
    </row>
    <row r="1490">
      <c r="A1490" t="s">
        <v>75</v>
      </c>
      <c r="B1490" t="s">
        <v>334</v>
      </c>
      <c r="C1490" s="52" t="n">
        <v>2029</v>
      </c>
      <c r="D1490" t="s">
        <v>180</v>
      </c>
      <c r="E1490" s="53" t="n">
        <v>602683.652965254</v>
      </c>
      <c r="F1490" s="54" t="n">
        <v>356013.314521554</v>
      </c>
      <c r="G1490" s="55" t="n">
        <v>363892.268279926</v>
      </c>
      <c r="H1490" s="56" t="str">
        <f>G1490-F1490</f>
      </c>
      <c r="I1490" s="57" t="n">
        <v>630779.369985079</v>
      </c>
      <c r="J1490" s="58" t="str">
        <f>I1490-E1490</f>
      </c>
    </row>
    <row r="1491">
      <c r="A1491" t="s">
        <v>75</v>
      </c>
      <c r="B1491" t="s">
        <v>334</v>
      </c>
      <c r="C1491" s="52" t="n">
        <v>2029</v>
      </c>
      <c r="D1491" t="s">
        <v>184</v>
      </c>
      <c r="E1491" s="53" t="n">
        <v>322692.621455173</v>
      </c>
      <c r="F1491" s="54" t="n">
        <v>185107.940997836</v>
      </c>
      <c r="G1491" s="55" t="n">
        <v>186821.560087492</v>
      </c>
      <c r="H1491" s="56" t="str">
        <f>G1491-F1491</f>
      </c>
      <c r="I1491" s="57" t="n">
        <v>335921.292831796</v>
      </c>
      <c r="J1491" s="58" t="str">
        <f>I1491-E1491</f>
      </c>
    </row>
    <row r="1492">
      <c r="A1492" t="s">
        <v>75</v>
      </c>
      <c r="B1492" t="s">
        <v>334</v>
      </c>
      <c r="C1492" s="52" t="n">
        <v>2029</v>
      </c>
      <c r="D1492" t="s">
        <v>212</v>
      </c>
      <c r="E1492" s="53" t="n">
        <v>37777.5459404256</v>
      </c>
      <c r="F1492" s="54" t="n">
        <v>4477.29685839688</v>
      </c>
      <c r="G1492" s="55" t="n">
        <v>4604.06814831639</v>
      </c>
      <c r="H1492" s="56" t="str">
        <f>G1492-F1492</f>
      </c>
      <c r="I1492" s="57" t="n">
        <v>37777.4672189776</v>
      </c>
      <c r="J1492" s="58" t="str">
        <f>I1492-E1492</f>
      </c>
    </row>
    <row r="1493">
      <c r="A1493" t="s">
        <v>75</v>
      </c>
      <c r="B1493" t="s">
        <v>334</v>
      </c>
      <c r="C1493" s="52" t="n">
        <v>2030</v>
      </c>
      <c r="D1493" t="s">
        <v>190</v>
      </c>
      <c r="E1493" s="53" t="n">
        <v>14296.465699754</v>
      </c>
      <c r="F1493" s="54" t="n">
        <v>10096.386940228</v>
      </c>
      <c r="G1493" s="55" t="n">
        <v>10500.2867221377</v>
      </c>
      <c r="H1493" s="56" t="str">
        <f>G1493-F1493</f>
      </c>
      <c r="I1493" s="57" t="n">
        <v>14281.9590395355</v>
      </c>
      <c r="J1493" s="58" t="str">
        <f>I1493-E1493</f>
      </c>
    </row>
    <row r="1494">
      <c r="A1494" t="s">
        <v>75</v>
      </c>
      <c r="B1494" t="s">
        <v>334</v>
      </c>
      <c r="C1494" s="52" t="n">
        <v>2030</v>
      </c>
      <c r="D1494" t="s">
        <v>230</v>
      </c>
      <c r="E1494" s="53" t="n">
        <v>1100544.0714189</v>
      </c>
      <c r="F1494" s="54" t="n">
        <v>163553.002939342</v>
      </c>
      <c r="G1494" s="55" t="n">
        <v>169196.385350075</v>
      </c>
      <c r="H1494" s="56" t="str">
        <f>G1494-F1494</f>
      </c>
      <c r="I1494" s="57" t="n">
        <v>1100191.78654723</v>
      </c>
      <c r="J1494" s="58" t="str">
        <f>I1494-E1494</f>
      </c>
    </row>
    <row r="1495">
      <c r="A1495" t="s">
        <v>75</v>
      </c>
      <c r="B1495" t="s">
        <v>334</v>
      </c>
      <c r="C1495" s="52" t="n">
        <v>2030</v>
      </c>
      <c r="D1495" t="s">
        <v>166</v>
      </c>
      <c r="E1495" s="53" t="n">
        <v>108887.684073236</v>
      </c>
      <c r="F1495" s="54" t="n">
        <v>72141.2360030949</v>
      </c>
      <c r="G1495" s="55" t="n">
        <v>76004.3747737111</v>
      </c>
      <c r="H1495" s="56" t="str">
        <f>G1495-F1495</f>
      </c>
      <c r="I1495" s="57" t="n">
        <v>114781.951575614</v>
      </c>
      <c r="J1495" s="58" t="str">
        <f>I1495-E1495</f>
      </c>
    </row>
    <row r="1496">
      <c r="A1496" t="s">
        <v>75</v>
      </c>
      <c r="B1496" t="s">
        <v>334</v>
      </c>
      <c r="C1496" s="52" t="n">
        <v>2030</v>
      </c>
      <c r="D1496" t="s">
        <v>176</v>
      </c>
      <c r="E1496" s="53" t="n">
        <v>263586.050209077</v>
      </c>
      <c r="F1496" s="54" t="n">
        <v>250849.78407816</v>
      </c>
      <c r="G1496" s="55" t="n">
        <v>257411.197787159</v>
      </c>
      <c r="H1496" s="56" t="str">
        <f>G1496-F1496</f>
      </c>
      <c r="I1496" s="57" t="n">
        <v>275750.816549508</v>
      </c>
      <c r="J1496" s="58" t="str">
        <f>I1496-E1496</f>
      </c>
    </row>
    <row r="1497">
      <c r="A1497" t="s">
        <v>75</v>
      </c>
      <c r="B1497" t="s">
        <v>334</v>
      </c>
      <c r="C1497" s="52" t="n">
        <v>2030</v>
      </c>
      <c r="D1497" t="s">
        <v>180</v>
      </c>
      <c r="E1497" s="53" t="n">
        <v>604079.357560998</v>
      </c>
      <c r="F1497" s="54" t="n">
        <v>358670.234745763</v>
      </c>
      <c r="G1497" s="55" t="n">
        <v>368920.443479077</v>
      </c>
      <c r="H1497" s="56" t="str">
        <f>G1497-F1497</f>
      </c>
      <c r="I1497" s="57" t="n">
        <v>638199.367226914</v>
      </c>
      <c r="J1497" s="58" t="str">
        <f>I1497-E1497</f>
      </c>
    </row>
    <row r="1498">
      <c r="A1498" t="s">
        <v>75</v>
      </c>
      <c r="B1498" t="s">
        <v>334</v>
      </c>
      <c r="C1498" s="52" t="n">
        <v>2030</v>
      </c>
      <c r="D1498" t="s">
        <v>184</v>
      </c>
      <c r="E1498" s="53" t="n">
        <v>321394.589169237</v>
      </c>
      <c r="F1498" s="54" t="n">
        <v>183090.263251007</v>
      </c>
      <c r="G1498" s="55" t="n">
        <v>185442.493190957</v>
      </c>
      <c r="H1498" s="56" t="str">
        <f>G1498-F1498</f>
      </c>
      <c r="I1498" s="57" t="n">
        <v>337374.946866334</v>
      </c>
      <c r="J1498" s="58" t="str">
        <f>I1498-E1498</f>
      </c>
    </row>
    <row r="1499">
      <c r="A1499" t="s">
        <v>75</v>
      </c>
      <c r="B1499" t="s">
        <v>334</v>
      </c>
      <c r="C1499" s="52" t="n">
        <v>2030</v>
      </c>
      <c r="D1499" t="s">
        <v>212</v>
      </c>
      <c r="E1499" s="53" t="n">
        <v>38012.777238065</v>
      </c>
      <c r="F1499" s="54" t="n">
        <v>4287.69007585435</v>
      </c>
      <c r="G1499" s="55" t="n">
        <v>4432.1168533299</v>
      </c>
      <c r="H1499" s="56" t="str">
        <f>G1499-F1499</f>
      </c>
      <c r="I1499" s="57" t="n">
        <v>38012.6736377562</v>
      </c>
      <c r="J1499" s="58" t="str">
        <f>I1499-E1499</f>
      </c>
    </row>
    <row r="1500">
      <c r="A1500" t="s">
        <v>75</v>
      </c>
      <c r="B1500" t="s">
        <v>334</v>
      </c>
      <c r="C1500" s="52" t="n">
        <v>2031</v>
      </c>
      <c r="D1500" t="s">
        <v>190</v>
      </c>
      <c r="E1500" s="53" t="n">
        <v>14776.3619950985</v>
      </c>
      <c r="F1500" s="54" t="n">
        <v>10356.499491777</v>
      </c>
      <c r="G1500" s="55" t="n">
        <v>10814.9178976517</v>
      </c>
      <c r="H1500" s="56" t="str">
        <f>G1500-F1500</f>
      </c>
      <c r="I1500" s="57" t="n">
        <v>14754.4294987798</v>
      </c>
      <c r="J1500" s="58" t="str">
        <f>I1500-E1500</f>
      </c>
    </row>
    <row r="1501">
      <c r="A1501" t="s">
        <v>75</v>
      </c>
      <c r="B1501" t="s">
        <v>334</v>
      </c>
      <c r="C1501" s="52" t="n">
        <v>2031</v>
      </c>
      <c r="D1501" t="s">
        <v>230</v>
      </c>
      <c r="E1501" s="53" t="n">
        <v>1114251.72337473</v>
      </c>
      <c r="F1501" s="54" t="n">
        <v>170565.776968953</v>
      </c>
      <c r="G1501" s="55" t="n">
        <v>177420.195676039</v>
      </c>
      <c r="H1501" s="56" t="str">
        <f>G1501-F1501</f>
      </c>
      <c r="I1501" s="57" t="n">
        <v>1113725.22635968</v>
      </c>
      <c r="J1501" s="58" t="str">
        <f>I1501-E1501</f>
      </c>
    </row>
    <row r="1502">
      <c r="A1502" t="s">
        <v>75</v>
      </c>
      <c r="B1502" t="s">
        <v>334</v>
      </c>
      <c r="C1502" s="52" t="n">
        <v>2031</v>
      </c>
      <c r="D1502" t="s">
        <v>166</v>
      </c>
      <c r="E1502" s="53" t="n">
        <v>108793.783116047</v>
      </c>
      <c r="F1502" s="54" t="n">
        <v>71905.0236086308</v>
      </c>
      <c r="G1502" s="55" t="n">
        <v>76556.6280135149</v>
      </c>
      <c r="H1502" s="56" t="str">
        <f>G1502-F1502</f>
      </c>
      <c r="I1502" s="57" t="n">
        <v>115757.018858842</v>
      </c>
      <c r="J1502" s="58" t="str">
        <f>I1502-E1502</f>
      </c>
    </row>
    <row r="1503">
      <c r="A1503" t="s">
        <v>75</v>
      </c>
      <c r="B1503" t="s">
        <v>334</v>
      </c>
      <c r="C1503" s="52" t="n">
        <v>2031</v>
      </c>
      <c r="D1503" t="s">
        <v>176</v>
      </c>
      <c r="E1503" s="53" t="n">
        <v>260554.261299998</v>
      </c>
      <c r="F1503" s="54" t="n">
        <v>249058.148343288</v>
      </c>
      <c r="G1503" s="55" t="n">
        <v>257245.005480193</v>
      </c>
      <c r="H1503" s="56" t="str">
        <f>G1503-F1503</f>
      </c>
      <c r="I1503" s="57" t="n">
        <v>274719.77758767</v>
      </c>
      <c r="J1503" s="58" t="str">
        <f>I1503-E1503</f>
      </c>
    </row>
    <row r="1504">
      <c r="A1504" t="s">
        <v>75</v>
      </c>
      <c r="B1504" t="s">
        <v>334</v>
      </c>
      <c r="C1504" s="52" t="n">
        <v>2031</v>
      </c>
      <c r="D1504" t="s">
        <v>180</v>
      </c>
      <c r="E1504" s="53" t="n">
        <v>605803.494542212</v>
      </c>
      <c r="F1504" s="54" t="n">
        <v>361374.811230185</v>
      </c>
      <c r="G1504" s="55" t="n">
        <v>374207.729078974</v>
      </c>
      <c r="H1504" s="56" t="str">
        <f>G1504-F1504</f>
      </c>
      <c r="I1504" s="57" t="n">
        <v>646110.864169859</v>
      </c>
      <c r="J1504" s="58" t="str">
        <f>I1504-E1504</f>
      </c>
    </row>
    <row r="1505">
      <c r="A1505" t="s">
        <v>75</v>
      </c>
      <c r="B1505" t="s">
        <v>334</v>
      </c>
      <c r="C1505" s="52" t="n">
        <v>2031</v>
      </c>
      <c r="D1505" t="s">
        <v>184</v>
      </c>
      <c r="E1505" s="53" t="n">
        <v>320403.781455038</v>
      </c>
      <c r="F1505" s="54" t="n">
        <v>181254.407223972</v>
      </c>
      <c r="G1505" s="55" t="n">
        <v>184315.562373235</v>
      </c>
      <c r="H1505" s="56" t="str">
        <f>G1505-F1505</f>
      </c>
      <c r="I1505" s="57" t="n">
        <v>339204.419150594</v>
      </c>
      <c r="J1505" s="58" t="str">
        <f>I1505-E1505</f>
      </c>
    </row>
    <row r="1506">
      <c r="A1506" t="s">
        <v>75</v>
      </c>
      <c r="B1506" t="s">
        <v>334</v>
      </c>
      <c r="C1506" s="52" t="n">
        <v>2031</v>
      </c>
      <c r="D1506" t="s">
        <v>212</v>
      </c>
      <c r="E1506" s="53" t="n">
        <v>38191.7514488223</v>
      </c>
      <c r="F1506" s="54" t="n">
        <v>4113.0829566257</v>
      </c>
      <c r="G1506" s="55" t="n">
        <v>4274.72729327381</v>
      </c>
      <c r="H1506" s="56" t="str">
        <f>G1506-F1506</f>
      </c>
      <c r="I1506" s="57" t="n">
        <v>38191.6231000681</v>
      </c>
      <c r="J1506" s="58" t="str">
        <f>I1506-E1506</f>
      </c>
    </row>
    <row r="1507">
      <c r="A1507" t="s">
        <v>75</v>
      </c>
      <c r="B1507" t="s">
        <v>334</v>
      </c>
      <c r="C1507" s="52" t="n">
        <v>2032</v>
      </c>
      <c r="D1507" t="s">
        <v>190</v>
      </c>
      <c r="E1507" s="53" t="n">
        <v>15279.1197625885</v>
      </c>
      <c r="F1507" s="54" t="n">
        <v>10620.7062552137</v>
      </c>
      <c r="G1507" s="55" t="n">
        <v>11132.1787355836</v>
      </c>
      <c r="H1507" s="56" t="str">
        <f>G1507-F1507</f>
      </c>
      <c r="I1507" s="57" t="n">
        <v>15247.769190462</v>
      </c>
      <c r="J1507" s="58" t="str">
        <f>I1507-E1507</f>
      </c>
    </row>
    <row r="1508">
      <c r="A1508" t="s">
        <v>75</v>
      </c>
      <c r="B1508" t="s">
        <v>334</v>
      </c>
      <c r="C1508" s="52" t="n">
        <v>2032</v>
      </c>
      <c r="D1508" t="s">
        <v>230</v>
      </c>
      <c r="E1508" s="53" t="n">
        <v>1127524.40825285</v>
      </c>
      <c r="F1508" s="54" t="n">
        <v>177550.205402448</v>
      </c>
      <c r="G1508" s="55" t="n">
        <v>185691.45221249</v>
      </c>
      <c r="H1508" s="56" t="str">
        <f>G1508-F1508</f>
      </c>
      <c r="I1508" s="57" t="n">
        <v>1126783.31749171</v>
      </c>
      <c r="J1508" s="58" t="str">
        <f>I1508-E1508</f>
      </c>
    </row>
    <row r="1509">
      <c r="A1509" t="s">
        <v>75</v>
      </c>
      <c r="B1509" t="s">
        <v>334</v>
      </c>
      <c r="C1509" s="52" t="n">
        <v>2032</v>
      </c>
      <c r="D1509" t="s">
        <v>166</v>
      </c>
      <c r="E1509" s="53" t="n">
        <v>108834.364487793</v>
      </c>
      <c r="F1509" s="54" t="n">
        <v>71723.8997747211</v>
      </c>
      <c r="G1509" s="55" t="n">
        <v>77198.3893074221</v>
      </c>
      <c r="H1509" s="56" t="str">
        <f>G1509-F1509</f>
      </c>
      <c r="I1509" s="57" t="n">
        <v>116892.91249656</v>
      </c>
      <c r="J1509" s="58" t="str">
        <f>I1509-E1509</f>
      </c>
    </row>
    <row r="1510">
      <c r="A1510" t="s">
        <v>75</v>
      </c>
      <c r="B1510" t="s">
        <v>334</v>
      </c>
      <c r="C1510" s="52" t="n">
        <v>2032</v>
      </c>
      <c r="D1510" t="s">
        <v>176</v>
      </c>
      <c r="E1510" s="53" t="n">
        <v>258254.043138102</v>
      </c>
      <c r="F1510" s="54" t="n">
        <v>246883.182939342</v>
      </c>
      <c r="G1510" s="55" t="n">
        <v>256745.676365841</v>
      </c>
      <c r="H1510" s="56" t="str">
        <f>G1510-F1510</f>
      </c>
      <c r="I1510" s="57" t="n">
        <v>274412.393429799</v>
      </c>
      <c r="J1510" s="58" t="str">
        <f>I1510-E1510</f>
      </c>
    </row>
    <row r="1511">
      <c r="A1511" t="s">
        <v>75</v>
      </c>
      <c r="B1511" t="s">
        <v>334</v>
      </c>
      <c r="C1511" s="52" t="n">
        <v>2032</v>
      </c>
      <c r="D1511" t="s">
        <v>180</v>
      </c>
      <c r="E1511" s="53" t="n">
        <v>607852.041143684</v>
      </c>
      <c r="F1511" s="54" t="n">
        <v>364484.487820989</v>
      </c>
      <c r="G1511" s="55" t="n">
        <v>380127.647848666</v>
      </c>
      <c r="H1511" s="56" t="str">
        <f>G1511-F1511</f>
      </c>
      <c r="I1511" s="57" t="n">
        <v>654519.811420389</v>
      </c>
      <c r="J1511" s="58" t="str">
        <f>I1511-E1511</f>
      </c>
    </row>
    <row r="1512">
      <c r="A1512" t="s">
        <v>75</v>
      </c>
      <c r="B1512" t="s">
        <v>334</v>
      </c>
      <c r="C1512" s="52" t="n">
        <v>2032</v>
      </c>
      <c r="D1512" t="s">
        <v>184</v>
      </c>
      <c r="E1512" s="53" t="n">
        <v>319893.941141316</v>
      </c>
      <c r="F1512" s="54" t="n">
        <v>179882.502987814</v>
      </c>
      <c r="G1512" s="55" t="n">
        <v>183730.084212538</v>
      </c>
      <c r="H1512" s="56" t="str">
        <f>G1512-F1512</f>
      </c>
      <c r="I1512" s="57" t="n">
        <v>341581.65326776</v>
      </c>
      <c r="J1512" s="58" t="str">
        <f>I1512-E1512</f>
      </c>
    </row>
    <row r="1513">
      <c r="A1513" t="s">
        <v>75</v>
      </c>
      <c r="B1513" t="s">
        <v>334</v>
      </c>
      <c r="C1513" s="52" t="n">
        <v>2032</v>
      </c>
      <c r="D1513" t="s">
        <v>212</v>
      </c>
      <c r="E1513" s="53" t="n">
        <v>38037.7046631121</v>
      </c>
      <c r="F1513" s="54" t="n">
        <v>3947.22402833025</v>
      </c>
      <c r="G1513" s="55" t="n">
        <v>4125.72247917104</v>
      </c>
      <c r="H1513" s="56" t="str">
        <f>G1513-F1513</f>
      </c>
      <c r="I1513" s="57" t="n">
        <v>38037.5517920999</v>
      </c>
      <c r="J1513" s="58" t="str">
        <f>I1513-E1513</f>
      </c>
    </row>
    <row r="1514">
      <c r="A1514" t="s">
        <v>75</v>
      </c>
      <c r="B1514" t="s">
        <v>334</v>
      </c>
      <c r="C1514" s="52" t="n">
        <v>2033</v>
      </c>
      <c r="D1514" t="s">
        <v>190</v>
      </c>
      <c r="E1514" s="53" t="n">
        <v>15802.5425013988</v>
      </c>
      <c r="F1514" s="54" t="n">
        <v>10888.9759282446</v>
      </c>
      <c r="G1514" s="55" t="n">
        <v>11452.2049974033</v>
      </c>
      <c r="H1514" s="56" t="str">
        <f>G1514-F1514</f>
      </c>
      <c r="I1514" s="57" t="n">
        <v>15759.5151167894</v>
      </c>
      <c r="J1514" s="58" t="str">
        <f>I1514-E1514</f>
      </c>
    </row>
    <row r="1515">
      <c r="A1515" t="s">
        <v>75</v>
      </c>
      <c r="B1515" t="s">
        <v>334</v>
      </c>
      <c r="C1515" s="52" t="n">
        <v>2033</v>
      </c>
      <c r="D1515" t="s">
        <v>230</v>
      </c>
      <c r="E1515" s="53" t="n">
        <v>1140270.6127493</v>
      </c>
      <c r="F1515" s="54" t="n">
        <v>184502.417212978</v>
      </c>
      <c r="G1515" s="55" t="n">
        <v>194005.600566516</v>
      </c>
      <c r="H1515" s="56" t="str">
        <f>G1515-F1515</f>
      </c>
      <c r="I1515" s="57" t="n">
        <v>1139272.75378683</v>
      </c>
      <c r="J1515" s="58" t="str">
        <f>I1515-E1515</f>
      </c>
    </row>
    <row r="1516">
      <c r="A1516" t="s">
        <v>75</v>
      </c>
      <c r="B1516" t="s">
        <v>334</v>
      </c>
      <c r="C1516" s="52" t="n">
        <v>2033</v>
      </c>
      <c r="D1516" t="s">
        <v>166</v>
      </c>
      <c r="E1516" s="53" t="n">
        <v>109098.589643931</v>
      </c>
      <c r="F1516" s="54" t="n">
        <v>71591.5040229503</v>
      </c>
      <c r="G1516" s="55" t="n">
        <v>77917.1620906902</v>
      </c>
      <c r="H1516" s="56" t="str">
        <f>G1516-F1516</f>
      </c>
      <c r="I1516" s="57" t="n">
        <v>118281.828559023</v>
      </c>
      <c r="J1516" s="58" t="str">
        <f>I1516-E1516</f>
      </c>
    </row>
    <row r="1517">
      <c r="A1517" t="s">
        <v>75</v>
      </c>
      <c r="B1517" t="s">
        <v>334</v>
      </c>
      <c r="C1517" s="52" t="n">
        <v>2033</v>
      </c>
      <c r="D1517" t="s">
        <v>176</v>
      </c>
      <c r="E1517" s="53" t="n">
        <v>255764.113017628</v>
      </c>
      <c r="F1517" s="54" t="n">
        <v>245088.486743687</v>
      </c>
      <c r="G1517" s="55" t="n">
        <v>256655.559026211</v>
      </c>
      <c r="H1517" s="56" t="str">
        <f>G1517-F1517</f>
      </c>
      <c r="I1517" s="57" t="n">
        <v>273893.528221021</v>
      </c>
      <c r="J1517" s="58" t="str">
        <f>I1517-E1517</f>
      </c>
    </row>
    <row r="1518">
      <c r="A1518" t="s">
        <v>75</v>
      </c>
      <c r="B1518" t="s">
        <v>334</v>
      </c>
      <c r="C1518" s="52" t="n">
        <v>2033</v>
      </c>
      <c r="D1518" t="s">
        <v>180</v>
      </c>
      <c r="E1518" s="53" t="n">
        <v>610771.557971397</v>
      </c>
      <c r="F1518" s="54" t="n">
        <v>367918.979114085</v>
      </c>
      <c r="G1518" s="55" t="n">
        <v>386583.230936034</v>
      </c>
      <c r="H1518" s="56" t="str">
        <f>G1518-F1518</f>
      </c>
      <c r="I1518" s="57" t="n">
        <v>664009.138744924</v>
      </c>
      <c r="J1518" s="58" t="str">
        <f>I1518-E1518</f>
      </c>
    </row>
    <row r="1519">
      <c r="A1519" t="s">
        <v>75</v>
      </c>
      <c r="B1519" t="s">
        <v>334</v>
      </c>
      <c r="C1519" s="52" t="n">
        <v>2033</v>
      </c>
      <c r="D1519" t="s">
        <v>184</v>
      </c>
      <c r="E1519" s="53" t="n">
        <v>320317.151658689</v>
      </c>
      <c r="F1519" s="54" t="n">
        <v>178877.352494951</v>
      </c>
      <c r="G1519" s="55" t="n">
        <v>183583.042202715</v>
      </c>
      <c r="H1519" s="56" t="str">
        <f>G1519-F1519</f>
      </c>
      <c r="I1519" s="57" t="n">
        <v>344995.264629881</v>
      </c>
      <c r="J1519" s="58" t="str">
        <f>I1519-E1519</f>
      </c>
    </row>
    <row r="1520">
      <c r="A1520" t="s">
        <v>75</v>
      </c>
      <c r="B1520" t="s">
        <v>334</v>
      </c>
      <c r="C1520" s="52" t="n">
        <v>2033</v>
      </c>
      <c r="D1520" t="s">
        <v>212</v>
      </c>
      <c r="E1520" s="53" t="n">
        <v>37788.5653927298</v>
      </c>
      <c r="F1520" s="54" t="n">
        <v>3782.93026776707</v>
      </c>
      <c r="G1520" s="55" t="n">
        <v>3977.71437573526</v>
      </c>
      <c r="H1520" s="56" t="str">
        <f>G1520-F1520</f>
      </c>
      <c r="I1520" s="57" t="n">
        <v>37788.395913351</v>
      </c>
      <c r="J1520" s="58" t="str">
        <f>I1520-E1520</f>
      </c>
    </row>
    <row r="1521">
      <c r="A1521" t="s">
        <v>75</v>
      </c>
      <c r="B1521" t="s">
        <v>334</v>
      </c>
      <c r="C1521" s="52" t="n">
        <v>2034</v>
      </c>
      <c r="D1521" t="s">
        <v>190</v>
      </c>
      <c r="E1521" s="53" t="n">
        <v>16343.0033990139</v>
      </c>
      <c r="F1521" s="54" t="n">
        <v>11165.2336669193</v>
      </c>
      <c r="G1521" s="55" t="n">
        <v>11779.4141755774</v>
      </c>
      <c r="H1521" s="56" t="str">
        <f>G1521-F1521</f>
      </c>
      <c r="I1521" s="57" t="n">
        <v>16285.7640376227</v>
      </c>
      <c r="J1521" s="58" t="str">
        <f>I1521-E1521</f>
      </c>
    </row>
    <row r="1522">
      <c r="A1522" t="s">
        <v>75</v>
      </c>
      <c r="B1522" t="s">
        <v>334</v>
      </c>
      <c r="C1522" s="52" t="n">
        <v>2034</v>
      </c>
      <c r="D1522" t="s">
        <v>230</v>
      </c>
      <c r="E1522" s="53" t="n">
        <v>1152530.71015161</v>
      </c>
      <c r="F1522" s="54" t="n">
        <v>191383.104042355</v>
      </c>
      <c r="G1522" s="55" t="n">
        <v>202320.636121151</v>
      </c>
      <c r="H1522" s="56" t="str">
        <f>G1522-F1522</f>
      </c>
      <c r="I1522" s="57" t="n">
        <v>1151232.62464015</v>
      </c>
      <c r="J1522" s="58" t="str">
        <f>I1522-E1522</f>
      </c>
    </row>
    <row r="1523">
      <c r="A1523" t="s">
        <v>75</v>
      </c>
      <c r="B1523" t="s">
        <v>334</v>
      </c>
      <c r="C1523" s="52" t="n">
        <v>2034</v>
      </c>
      <c r="D1523" t="s">
        <v>166</v>
      </c>
      <c r="E1523" s="53" t="n">
        <v>108897.750178032</v>
      </c>
      <c r="F1523" s="54" t="n">
        <v>71577.2581479371</v>
      </c>
      <c r="G1523" s="55" t="n">
        <v>78781.7232358728</v>
      </c>
      <c r="H1523" s="56" t="str">
        <f>G1523-F1523</f>
      </c>
      <c r="I1523" s="57" t="n">
        <v>119173.805374547</v>
      </c>
      <c r="J1523" s="58" t="str">
        <f>I1523-E1523</f>
      </c>
    </row>
    <row r="1524">
      <c r="A1524" t="s">
        <v>75</v>
      </c>
      <c r="B1524" t="s">
        <v>334</v>
      </c>
      <c r="C1524" s="52" t="n">
        <v>2034</v>
      </c>
      <c r="D1524" t="s">
        <v>176</v>
      </c>
      <c r="E1524" s="53" t="n">
        <v>253589.277992186</v>
      </c>
      <c r="F1524" s="54" t="n">
        <v>243463.071315909</v>
      </c>
      <c r="G1524" s="55" t="n">
        <v>256753.127116244</v>
      </c>
      <c r="H1524" s="56" t="str">
        <f>G1524-F1524</f>
      </c>
      <c r="I1524" s="57" t="n">
        <v>273669.650202867</v>
      </c>
      <c r="J1524" s="58" t="str">
        <f>I1524-E1524</f>
      </c>
    </row>
    <row r="1525">
      <c r="A1525" t="s">
        <v>75</v>
      </c>
      <c r="B1525" t="s">
        <v>334</v>
      </c>
      <c r="C1525" s="52" t="n">
        <v>2034</v>
      </c>
      <c r="D1525" t="s">
        <v>180</v>
      </c>
      <c r="E1525" s="53" t="n">
        <v>610041.016127782</v>
      </c>
      <c r="F1525" s="54" t="n">
        <v>371900.159883519</v>
      </c>
      <c r="G1525" s="55" t="n">
        <v>393806.920121914</v>
      </c>
      <c r="H1525" s="56" t="str">
        <f>G1525-F1525</f>
      </c>
      <c r="I1525" s="57" t="n">
        <v>669565.091865969</v>
      </c>
      <c r="J1525" s="58" t="str">
        <f>I1525-E1525</f>
      </c>
    </row>
    <row r="1526">
      <c r="A1526" t="s">
        <v>75</v>
      </c>
      <c r="B1526" t="s">
        <v>334</v>
      </c>
      <c r="C1526" s="52" t="n">
        <v>2034</v>
      </c>
      <c r="D1526" t="s">
        <v>184</v>
      </c>
      <c r="E1526" s="53" t="n">
        <v>318498.404404856</v>
      </c>
      <c r="F1526" s="54" t="n">
        <v>179165.28504038</v>
      </c>
      <c r="G1526" s="55" t="n">
        <v>184800.885019324</v>
      </c>
      <c r="H1526" s="56" t="str">
        <f>G1526-F1526</f>
      </c>
      <c r="I1526" s="57" t="n">
        <v>345926.396497523</v>
      </c>
      <c r="J1526" s="58" t="str">
        <f>I1526-E1526</f>
      </c>
    </row>
    <row r="1527">
      <c r="A1527" t="s">
        <v>75</v>
      </c>
      <c r="B1527" t="s">
        <v>334</v>
      </c>
      <c r="C1527" s="52" t="n">
        <v>2034</v>
      </c>
      <c r="D1527" t="s">
        <v>212</v>
      </c>
      <c r="E1527" s="53" t="n">
        <v>37391.3163967042</v>
      </c>
      <c r="F1527" s="54" t="n">
        <v>3638.94348672112</v>
      </c>
      <c r="G1527" s="55" t="n">
        <v>3849.43642407178</v>
      </c>
      <c r="H1527" s="56" t="str">
        <f>G1527-F1527</f>
      </c>
      <c r="I1527" s="57" t="n">
        <v>37391.1189795399</v>
      </c>
      <c r="J1527" s="58" t="str">
        <f>I1527-E1527</f>
      </c>
    </row>
    <row r="1528">
      <c r="A1528" t="s">
        <v>75</v>
      </c>
      <c r="B1528" t="s">
        <v>334</v>
      </c>
      <c r="C1528" s="52" t="n">
        <v>2035</v>
      </c>
      <c r="D1528" t="s">
        <v>190</v>
      </c>
      <c r="E1528" s="53" t="n">
        <v>16904.8806131367</v>
      </c>
      <c r="F1528" s="54" t="n">
        <v>11448.4324292198</v>
      </c>
      <c r="G1528" s="55" t="n">
        <v>12112.814364394</v>
      </c>
      <c r="H1528" s="56" t="str">
        <f>G1528-F1528</f>
      </c>
      <c r="I1528" s="57" t="n">
        <v>16830.6420972909</v>
      </c>
      <c r="J1528" s="58" t="str">
        <f>I1528-E1528</f>
      </c>
    </row>
    <row r="1529">
      <c r="A1529" t="s">
        <v>75</v>
      </c>
      <c r="B1529" t="s">
        <v>334</v>
      </c>
      <c r="C1529" s="52" t="n">
        <v>2035</v>
      </c>
      <c r="D1529" t="s">
        <v>230</v>
      </c>
      <c r="E1529" s="53" t="n">
        <v>1164420.0223079</v>
      </c>
      <c r="F1529" s="54" t="n">
        <v>198184.675487264</v>
      </c>
      <c r="G1529" s="55" t="n">
        <v>210627.422792314</v>
      </c>
      <c r="H1529" s="56" t="str">
        <f>G1529-F1529</f>
      </c>
      <c r="I1529" s="57" t="n">
        <v>1162777.28327874</v>
      </c>
      <c r="J1529" s="58" t="str">
        <f>I1529-E1529</f>
      </c>
    </row>
    <row r="1530">
      <c r="A1530" t="s">
        <v>75</v>
      </c>
      <c r="B1530" t="s">
        <v>334</v>
      </c>
      <c r="C1530" s="52" t="n">
        <v>2035</v>
      </c>
      <c r="D1530" t="s">
        <v>166</v>
      </c>
      <c r="E1530" s="53" t="n">
        <v>109369.225609506</v>
      </c>
      <c r="F1530" s="54" t="n">
        <v>71361.441341896</v>
      </c>
      <c r="G1530" s="55" t="n">
        <v>79456.6324211876</v>
      </c>
      <c r="H1530" s="56" t="str">
        <f>G1530-F1530</f>
      </c>
      <c r="I1530" s="57" t="n">
        <v>120799.065903184</v>
      </c>
      <c r="J1530" s="58" t="str">
        <f>I1530-E1530</f>
      </c>
    </row>
    <row r="1531">
      <c r="A1531" t="s">
        <v>75</v>
      </c>
      <c r="B1531" t="s">
        <v>334</v>
      </c>
      <c r="C1531" s="52" t="n">
        <v>2035</v>
      </c>
      <c r="D1531" t="s">
        <v>176</v>
      </c>
      <c r="E1531" s="53" t="n">
        <v>251356.27838045</v>
      </c>
      <c r="F1531" s="54" t="n">
        <v>241788.495987493</v>
      </c>
      <c r="G1531" s="55" t="n">
        <v>256807.532230081</v>
      </c>
      <c r="H1531" s="56" t="str">
        <f>G1531-F1531</f>
      </c>
      <c r="I1531" s="57" t="n">
        <v>273345.360062938</v>
      </c>
      <c r="J1531" s="58" t="str">
        <f>I1531-E1531</f>
      </c>
    </row>
    <row r="1532">
      <c r="A1532" t="s">
        <v>75</v>
      </c>
      <c r="B1532" t="s">
        <v>334</v>
      </c>
      <c r="C1532" s="52" t="n">
        <v>2035</v>
      </c>
      <c r="D1532" t="s">
        <v>180</v>
      </c>
      <c r="E1532" s="53" t="n">
        <v>612497.12265071</v>
      </c>
      <c r="F1532" s="54" t="n">
        <v>374206.615060237</v>
      </c>
      <c r="G1532" s="55" t="n">
        <v>399492.950532998</v>
      </c>
      <c r="H1532" s="56" t="str">
        <f>G1532-F1532</f>
      </c>
      <c r="I1532" s="57" t="n">
        <v>678638.434521443</v>
      </c>
      <c r="J1532" s="58" t="str">
        <f>I1532-E1532</f>
      </c>
    </row>
    <row r="1533">
      <c r="A1533" t="s">
        <v>75</v>
      </c>
      <c r="B1533" t="s">
        <v>334</v>
      </c>
      <c r="C1533" s="52" t="n">
        <v>2035</v>
      </c>
      <c r="D1533" t="s">
        <v>184</v>
      </c>
      <c r="E1533" s="53" t="n">
        <v>318769.064959814</v>
      </c>
      <c r="F1533" s="54" t="n">
        <v>178748.302164546</v>
      </c>
      <c r="G1533" s="55" t="n">
        <v>185365.761103579</v>
      </c>
      <c r="H1533" s="56" t="str">
        <f>G1533-F1533</f>
      </c>
      <c r="I1533" s="57" t="n">
        <v>349146.062455764</v>
      </c>
      <c r="J1533" s="58" t="str">
        <f>I1533-E1533</f>
      </c>
    </row>
    <row r="1534">
      <c r="A1534" t="s">
        <v>75</v>
      </c>
      <c r="B1534" t="s">
        <v>334</v>
      </c>
      <c r="C1534" s="52" t="n">
        <v>2035</v>
      </c>
      <c r="D1534" t="s">
        <v>212</v>
      </c>
      <c r="E1534" s="53" t="n">
        <v>37274.6180962479</v>
      </c>
      <c r="F1534" s="54" t="n">
        <v>3487.37426999404</v>
      </c>
      <c r="G1534" s="55" t="n">
        <v>3710.43177455469</v>
      </c>
      <c r="H1534" s="56" t="str">
        <f>G1534-F1534</f>
      </c>
      <c r="I1534" s="57" t="n">
        <v>37274.3979018446</v>
      </c>
      <c r="J1534" s="58" t="str">
        <f>I1534-E1534</f>
      </c>
    </row>
    <row r="1535">
      <c r="A1535" t="s">
        <v>75</v>
      </c>
      <c r="B1535" t="s">
        <v>334</v>
      </c>
      <c r="C1535" s="52" t="n">
        <v>2036</v>
      </c>
      <c r="D1535" t="s">
        <v>190</v>
      </c>
      <c r="E1535" s="53" t="n">
        <v>17486.8677846682</v>
      </c>
      <c r="F1535" s="54" t="n">
        <v>11738.04300046</v>
      </c>
      <c r="G1535" s="55" t="n">
        <v>12452.8640137516</v>
      </c>
      <c r="H1535" s="56" t="str">
        <f>G1535-F1535</f>
      </c>
      <c r="I1535" s="57" t="n">
        <v>17392.6099040701</v>
      </c>
      <c r="J1535" s="58" t="str">
        <f>I1535-E1535</f>
      </c>
    </row>
    <row r="1536">
      <c r="A1536" t="s">
        <v>75</v>
      </c>
      <c r="B1536" t="s">
        <v>334</v>
      </c>
      <c r="C1536" s="52" t="n">
        <v>2036</v>
      </c>
      <c r="D1536" t="s">
        <v>230</v>
      </c>
      <c r="E1536" s="53" t="n">
        <v>1176117.79585069</v>
      </c>
      <c r="F1536" s="54" t="n">
        <v>204890.151345102</v>
      </c>
      <c r="G1536" s="55" t="n">
        <v>218906.623444501</v>
      </c>
      <c r="H1536" s="56" t="str">
        <f>G1536-F1536</f>
      </c>
      <c r="I1536" s="57" t="n">
        <v>1174085.51289072</v>
      </c>
      <c r="J1536" s="58" t="str">
        <f>I1536-E1536</f>
      </c>
    </row>
    <row r="1537">
      <c r="A1537" t="s">
        <v>75</v>
      </c>
      <c r="B1537" t="s">
        <v>334</v>
      </c>
      <c r="C1537" s="52" t="n">
        <v>2036</v>
      </c>
      <c r="D1537" t="s">
        <v>166</v>
      </c>
      <c r="E1537" s="53" t="n">
        <v>110005.873759617</v>
      </c>
      <c r="F1537" s="54" t="n">
        <v>71295.2346846676</v>
      </c>
      <c r="G1537" s="55" t="n">
        <v>80302.8429955226</v>
      </c>
      <c r="H1537" s="56" t="str">
        <f>G1537-F1537</f>
      </c>
      <c r="I1537" s="57" t="n">
        <v>122618.320312187</v>
      </c>
      <c r="J1537" s="58" t="str">
        <f>I1537-E1537</f>
      </c>
    </row>
    <row r="1538">
      <c r="A1538" t="s">
        <v>75</v>
      </c>
      <c r="B1538" t="s">
        <v>334</v>
      </c>
      <c r="C1538" s="52" t="n">
        <v>2036</v>
      </c>
      <c r="D1538" t="s">
        <v>176</v>
      </c>
      <c r="E1538" s="53" t="n">
        <v>249408.72874997</v>
      </c>
      <c r="F1538" s="54" t="n">
        <v>240181.24407984</v>
      </c>
      <c r="G1538" s="55" t="n">
        <v>256933.398229342</v>
      </c>
      <c r="H1538" s="56" t="str">
        <f>G1538-F1538</f>
      </c>
      <c r="I1538" s="57" t="n">
        <v>273297.569822228</v>
      </c>
      <c r="J1538" s="58" t="str">
        <f>I1538-E1538</f>
      </c>
    </row>
    <row r="1539">
      <c r="A1539" t="s">
        <v>75</v>
      </c>
      <c r="B1539" t="s">
        <v>334</v>
      </c>
      <c r="C1539" s="52" t="n">
        <v>2036</v>
      </c>
      <c r="D1539" t="s">
        <v>180</v>
      </c>
      <c r="E1539" s="53" t="n">
        <v>615291.804565168</v>
      </c>
      <c r="F1539" s="54" t="n">
        <v>377147.47880318</v>
      </c>
      <c r="G1539" s="55" t="n">
        <v>405992.653493878</v>
      </c>
      <c r="H1539" s="56" t="str">
        <f>G1539-F1539</f>
      </c>
      <c r="I1539" s="57" t="n">
        <v>688194.684475592</v>
      </c>
      <c r="J1539" s="58" t="str">
        <f>I1539-E1539</f>
      </c>
    </row>
    <row r="1540">
      <c r="A1540" t="s">
        <v>75</v>
      </c>
      <c r="B1540" t="s">
        <v>334</v>
      </c>
      <c r="C1540" s="52" t="n">
        <v>2036</v>
      </c>
      <c r="D1540" t="s">
        <v>184</v>
      </c>
      <c r="E1540" s="53" t="n">
        <v>319218.23042799</v>
      </c>
      <c r="F1540" s="54" t="n">
        <v>178763.682022391</v>
      </c>
      <c r="G1540" s="55" t="n">
        <v>186417.92722248</v>
      </c>
      <c r="H1540" s="56" t="str">
        <f>G1540-F1540</f>
      </c>
      <c r="I1540" s="57" t="n">
        <v>352603.071714204</v>
      </c>
      <c r="J1540" s="58" t="str">
        <f>I1540-E1540</f>
      </c>
    </row>
    <row r="1541">
      <c r="A1541" t="s">
        <v>75</v>
      </c>
      <c r="B1541" t="s">
        <v>334</v>
      </c>
      <c r="C1541" s="52" t="n">
        <v>2036</v>
      </c>
      <c r="D1541" t="s">
        <v>212</v>
      </c>
      <c r="E1541" s="53" t="n">
        <v>37283.2667450281</v>
      </c>
      <c r="F1541" s="54" t="n">
        <v>3343.44705178689</v>
      </c>
      <c r="G1541" s="55" t="n">
        <v>3578.66006488627</v>
      </c>
      <c r="H1541" s="56" t="str">
        <f>G1541-F1541</f>
      </c>
      <c r="I1541" s="57" t="n">
        <v>37283.0276293956</v>
      </c>
      <c r="J1541" s="58" t="str">
        <f>I1541-E1541</f>
      </c>
    </row>
    <row r="1542">
      <c r="A1542" t="s">
        <v>75</v>
      </c>
      <c r="B1542" t="s">
        <v>334</v>
      </c>
      <c r="C1542" s="52" t="n">
        <v>2037</v>
      </c>
      <c r="D1542" t="s">
        <v>190</v>
      </c>
      <c r="E1542" s="53" t="n">
        <v>18089.0442657762</v>
      </c>
      <c r="F1542" s="54" t="n">
        <v>12033.9618016094</v>
      </c>
      <c r="G1542" s="55" t="n">
        <v>12799.4794545616</v>
      </c>
      <c r="H1542" s="56" t="str">
        <f>G1542-F1542</f>
      </c>
      <c r="I1542" s="57" t="n">
        <v>17971.4828640642</v>
      </c>
      <c r="J1542" s="58" t="str">
        <f>I1542-E1542</f>
      </c>
    </row>
    <row r="1543">
      <c r="A1543" t="s">
        <v>75</v>
      </c>
      <c r="B1543" t="s">
        <v>334</v>
      </c>
      <c r="C1543" s="52" t="n">
        <v>2037</v>
      </c>
      <c r="D1543" t="s">
        <v>230</v>
      </c>
      <c r="E1543" s="53" t="n">
        <v>1187732.43100546</v>
      </c>
      <c r="F1543" s="54" t="n">
        <v>211489.284007626</v>
      </c>
      <c r="G1543" s="55" t="n">
        <v>227145.85064844</v>
      </c>
      <c r="H1543" s="56" t="str">
        <f>G1543-F1543</f>
      </c>
      <c r="I1543" s="57" t="n">
        <v>1185264.74384977</v>
      </c>
      <c r="J1543" s="58" t="str">
        <f>I1543-E1543</f>
      </c>
    </row>
    <row r="1544">
      <c r="A1544" t="s">
        <v>75</v>
      </c>
      <c r="B1544" t="s">
        <v>334</v>
      </c>
      <c r="C1544" s="52" t="n">
        <v>2037</v>
      </c>
      <c r="D1544" t="s">
        <v>166</v>
      </c>
      <c r="E1544" s="53" t="n">
        <v>110676.435912497</v>
      </c>
      <c r="F1544" s="54" t="n">
        <v>71303.9200695308</v>
      </c>
      <c r="G1544" s="55" t="n">
        <v>81244.6913895843</v>
      </c>
      <c r="H1544" s="56" t="str">
        <f>G1544-F1544</f>
      </c>
      <c r="I1544" s="57" t="n">
        <v>124489.429760244</v>
      </c>
      <c r="J1544" s="58" t="str">
        <f>I1544-E1544</f>
      </c>
    </row>
    <row r="1545">
      <c r="A1545" t="s">
        <v>75</v>
      </c>
      <c r="B1545" t="s">
        <v>334</v>
      </c>
      <c r="C1545" s="52" t="n">
        <v>2037</v>
      </c>
      <c r="D1545" t="s">
        <v>176</v>
      </c>
      <c r="E1545" s="53" t="n">
        <v>247438.083969324</v>
      </c>
      <c r="F1545" s="54" t="n">
        <v>238587.518294432</v>
      </c>
      <c r="G1545" s="55" t="n">
        <v>257070.973149134</v>
      </c>
      <c r="H1545" s="56" t="str">
        <f>G1545-F1545</f>
      </c>
      <c r="I1545" s="57" t="n">
        <v>273202.802274069</v>
      </c>
      <c r="J1545" s="58" t="str">
        <f>I1545-E1545</f>
      </c>
    </row>
    <row r="1546">
      <c r="A1546" t="s">
        <v>75</v>
      </c>
      <c r="B1546" t="s">
        <v>334</v>
      </c>
      <c r="C1546" s="52" t="n">
        <v>2037</v>
      </c>
      <c r="D1546" t="s">
        <v>180</v>
      </c>
      <c r="E1546" s="53" t="n">
        <v>618225.227654902</v>
      </c>
      <c r="F1546" s="54" t="n">
        <v>380440.782067769</v>
      </c>
      <c r="G1546" s="55" t="n">
        <v>413018.343093551</v>
      </c>
      <c r="H1546" s="56" t="str">
        <f>G1546-F1546</f>
      </c>
      <c r="I1546" s="57" t="n">
        <v>698060.502126947</v>
      </c>
      <c r="J1546" s="58" t="str">
        <f>I1546-E1546</f>
      </c>
    </row>
    <row r="1547">
      <c r="A1547" t="s">
        <v>75</v>
      </c>
      <c r="B1547" t="s">
        <v>334</v>
      </c>
      <c r="C1547" s="52" t="n">
        <v>2037</v>
      </c>
      <c r="D1547" t="s">
        <v>184</v>
      </c>
      <c r="E1547" s="53" t="n">
        <v>319963.987000849</v>
      </c>
      <c r="F1547" s="54" t="n">
        <v>179040.878193754</v>
      </c>
      <c r="G1547" s="55" t="n">
        <v>187788.312528489</v>
      </c>
      <c r="H1547" s="56" t="str">
        <f>G1547-F1547</f>
      </c>
      <c r="I1547" s="57" t="n">
        <v>356425.678918654</v>
      </c>
      <c r="J1547" s="58" t="str">
        <f>I1547-E1547</f>
      </c>
    </row>
    <row r="1548">
      <c r="A1548" t="s">
        <v>75</v>
      </c>
      <c r="B1548" t="s">
        <v>334</v>
      </c>
      <c r="C1548" s="52" t="n">
        <v>2037</v>
      </c>
      <c r="D1548" t="s">
        <v>212</v>
      </c>
      <c r="E1548" s="53" t="n">
        <v>36837.5181896964</v>
      </c>
      <c r="F1548" s="54" t="n">
        <v>3203.11796987486</v>
      </c>
      <c r="G1548" s="55" t="n">
        <v>3450.19465573699</v>
      </c>
      <c r="H1548" s="56" t="str">
        <f>G1548-F1548</f>
      </c>
      <c r="I1548" s="57" t="n">
        <v>36837.2774807632</v>
      </c>
      <c r="J1548" s="58" t="str">
        <f>I1548-E1548</f>
      </c>
    </row>
    <row r="1549">
      <c r="A1549" t="s">
        <v>75</v>
      </c>
      <c r="B1549" t="s">
        <v>334</v>
      </c>
      <c r="C1549" s="52" t="n">
        <v>2038</v>
      </c>
      <c r="D1549" t="s">
        <v>190</v>
      </c>
      <c r="E1549" s="53" t="n">
        <v>18709.1717409026</v>
      </c>
      <c r="F1549" s="54" t="n">
        <v>12339.2015712388</v>
      </c>
      <c r="G1549" s="55" t="n">
        <v>13155.6038503287</v>
      </c>
      <c r="H1549" s="56" t="str">
        <f>G1549-F1549</f>
      </c>
      <c r="I1549" s="57" t="n">
        <v>18564.7325343064</v>
      </c>
      <c r="J1549" s="58" t="str">
        <f>I1549-E1549</f>
      </c>
    </row>
    <row r="1550">
      <c r="A1550" t="s">
        <v>75</v>
      </c>
      <c r="B1550" t="s">
        <v>334</v>
      </c>
      <c r="C1550" s="52" t="n">
        <v>2038</v>
      </c>
      <c r="D1550" t="s">
        <v>230</v>
      </c>
      <c r="E1550" s="53" t="n">
        <v>1199263.76627437</v>
      </c>
      <c r="F1550" s="54" t="n">
        <v>217969.265734175</v>
      </c>
      <c r="G1550" s="55" t="n">
        <v>235329.601498619</v>
      </c>
      <c r="H1550" s="56" t="str">
        <f>G1550-F1550</f>
      </c>
      <c r="I1550" s="57" t="n">
        <v>1196314.54511457</v>
      </c>
      <c r="J1550" s="58" t="str">
        <f>I1550-E1550</f>
      </c>
    </row>
    <row r="1551">
      <c r="A1551" t="s">
        <v>75</v>
      </c>
      <c r="B1551" t="s">
        <v>334</v>
      </c>
      <c r="C1551" s="52" t="n">
        <v>2038</v>
      </c>
      <c r="D1551" t="s">
        <v>166</v>
      </c>
      <c r="E1551" s="53" t="n">
        <v>111508.124721801</v>
      </c>
      <c r="F1551" s="54" t="n">
        <v>71362.7531954398</v>
      </c>
      <c r="G1551" s="55" t="n">
        <v>82253.930841494</v>
      </c>
      <c r="H1551" s="56" t="str">
        <f>G1551-F1551</f>
      </c>
      <c r="I1551" s="57" t="n">
        <v>126555.833855502</v>
      </c>
      <c r="J1551" s="58" t="str">
        <f>I1551-E1551</f>
      </c>
    </row>
    <row r="1552">
      <c r="A1552" t="s">
        <v>75</v>
      </c>
      <c r="B1552" t="s">
        <v>334</v>
      </c>
      <c r="C1552" s="52" t="n">
        <v>2038</v>
      </c>
      <c r="D1552" t="s">
        <v>176</v>
      </c>
      <c r="E1552" s="53" t="n">
        <v>245434.700171806</v>
      </c>
      <c r="F1552" s="54" t="n">
        <v>236930.230051167</v>
      </c>
      <c r="G1552" s="55" t="n">
        <v>257130.676610817</v>
      </c>
      <c r="H1552" s="56" t="str">
        <f>G1552-F1552</f>
      </c>
      <c r="I1552" s="57" t="n">
        <v>273035.370644084</v>
      </c>
      <c r="J1552" s="58" t="str">
        <f>I1552-E1552</f>
      </c>
    </row>
    <row r="1553">
      <c r="A1553" t="s">
        <v>75</v>
      </c>
      <c r="B1553" t="s">
        <v>334</v>
      </c>
      <c r="C1553" s="52" t="n">
        <v>2038</v>
      </c>
      <c r="D1553" t="s">
        <v>180</v>
      </c>
      <c r="E1553" s="53" t="n">
        <v>621698.506148951</v>
      </c>
      <c r="F1553" s="54" t="n">
        <v>383976.222220657</v>
      </c>
      <c r="G1553" s="55" t="n">
        <v>420445.264129068</v>
      </c>
      <c r="H1553" s="56" t="str">
        <f>G1553-F1553</f>
      </c>
      <c r="I1553" s="57" t="n">
        <v>708674.574961299</v>
      </c>
      <c r="J1553" s="58" t="str">
        <f>I1553-E1553</f>
      </c>
    </row>
    <row r="1554">
      <c r="A1554" t="s">
        <v>75</v>
      </c>
      <c r="B1554" t="s">
        <v>334</v>
      </c>
      <c r="C1554" s="52" t="n">
        <v>2038</v>
      </c>
      <c r="D1554" t="s">
        <v>184</v>
      </c>
      <c r="E1554" s="53" t="n">
        <v>321245.710215761</v>
      </c>
      <c r="F1554" s="54" t="n">
        <v>179453.937750527</v>
      </c>
      <c r="G1554" s="55" t="n">
        <v>189347.422266605</v>
      </c>
      <c r="H1554" s="56" t="str">
        <f>G1554-F1554</f>
      </c>
      <c r="I1554" s="57" t="n">
        <v>360900.93527345</v>
      </c>
      <c r="J1554" s="58" t="str">
        <f>I1554-E1554</f>
      </c>
    </row>
    <row r="1555">
      <c r="A1555" t="s">
        <v>75</v>
      </c>
      <c r="B1555" t="s">
        <v>334</v>
      </c>
      <c r="C1555" s="52" t="n">
        <v>2038</v>
      </c>
      <c r="D1555" t="s">
        <v>212</v>
      </c>
      <c r="E1555" s="53" t="n">
        <v>36551.6824410945</v>
      </c>
      <c r="F1555" s="54" t="n">
        <v>3064.14203101328</v>
      </c>
      <c r="G1555" s="55" t="n">
        <v>3322.82157442101</v>
      </c>
      <c r="H1555" s="56" t="str">
        <f>G1555-F1555</f>
      </c>
      <c r="I1555" s="57" t="n">
        <v>36551.441257779</v>
      </c>
      <c r="J1555" s="58" t="str">
        <f>I1555-E1555</f>
      </c>
    </row>
    <row r="1556">
      <c r="A1556" t="s">
        <v>75</v>
      </c>
      <c r="B1556" t="s">
        <v>334</v>
      </c>
      <c r="C1556" s="52" t="n">
        <v>2039</v>
      </c>
      <c r="D1556" t="s">
        <v>190</v>
      </c>
      <c r="E1556" s="53" t="n">
        <v>19349.5399757399</v>
      </c>
      <c r="F1556" s="54" t="n">
        <v>12649.4347912619</v>
      </c>
      <c r="G1556" s="55" t="n">
        <v>13516.7785061579</v>
      </c>
      <c r="H1556" s="56" t="str">
        <f>G1556-F1556</f>
      </c>
      <c r="I1556" s="57" t="n">
        <v>19174.3457459029</v>
      </c>
      <c r="J1556" s="58" t="str">
        <f>I1556-E1556</f>
      </c>
    </row>
    <row r="1557">
      <c r="A1557" t="s">
        <v>75</v>
      </c>
      <c r="B1557" t="s">
        <v>334</v>
      </c>
      <c r="C1557" s="52" t="n">
        <v>2039</v>
      </c>
      <c r="D1557" t="s">
        <v>230</v>
      </c>
      <c r="E1557" s="53" t="n">
        <v>1210402.80921235</v>
      </c>
      <c r="F1557" s="54" t="n">
        <v>224355.420301629</v>
      </c>
      <c r="G1557" s="55" t="n">
        <v>243483.364034463</v>
      </c>
      <c r="H1557" s="56" t="str">
        <f>G1557-F1557</f>
      </c>
      <c r="I1557" s="57" t="n">
        <v>1206925.78308321</v>
      </c>
      <c r="J1557" s="58" t="str">
        <f>I1557-E1557</f>
      </c>
    </row>
    <row r="1558">
      <c r="A1558" t="s">
        <v>75</v>
      </c>
      <c r="B1558" t="s">
        <v>334</v>
      </c>
      <c r="C1558" s="52" t="n">
        <v>2039</v>
      </c>
      <c r="D1558" t="s">
        <v>166</v>
      </c>
      <c r="E1558" s="53" t="n">
        <v>111792.838499078</v>
      </c>
      <c r="F1558" s="54" t="n">
        <v>71524.825898348</v>
      </c>
      <c r="G1558" s="55" t="n">
        <v>83389.1809587923</v>
      </c>
      <c r="H1558" s="56" t="str">
        <f>G1558-F1558</f>
      </c>
      <c r="I1558" s="57" t="n">
        <v>128001.347826374</v>
      </c>
      <c r="J1558" s="58" t="str">
        <f>I1558-E1558</f>
      </c>
    </row>
    <row r="1559">
      <c r="A1559" t="s">
        <v>75</v>
      </c>
      <c r="B1559" t="s">
        <v>334</v>
      </c>
      <c r="C1559" s="52" t="n">
        <v>2039</v>
      </c>
      <c r="D1559" t="s">
        <v>176</v>
      </c>
      <c r="E1559" s="53" t="n">
        <v>243552.798467014</v>
      </c>
      <c r="F1559" s="54" t="n">
        <v>235524.885320898</v>
      </c>
      <c r="G1559" s="55" t="n">
        <v>257441.86914337</v>
      </c>
      <c r="H1559" s="56" t="str">
        <f>G1559-F1559</f>
      </c>
      <c r="I1559" s="57" t="n">
        <v>272973.34550101</v>
      </c>
      <c r="J1559" s="58" t="str">
        <f>I1559-E1559</f>
      </c>
    </row>
    <row r="1560">
      <c r="A1560" t="s">
        <v>75</v>
      </c>
      <c r="B1560" t="s">
        <v>334</v>
      </c>
      <c r="C1560" s="52" t="n">
        <v>2039</v>
      </c>
      <c r="D1560" t="s">
        <v>180</v>
      </c>
      <c r="E1560" s="53" t="n">
        <v>621909.317687512</v>
      </c>
      <c r="F1560" s="54" t="n">
        <v>387902.95104207</v>
      </c>
      <c r="G1560" s="55" t="n">
        <v>428444.568481745</v>
      </c>
      <c r="H1560" s="56" t="str">
        <f>G1560-F1560</f>
      </c>
      <c r="I1560" s="57" t="n">
        <v>715580.887085385</v>
      </c>
      <c r="J1560" s="58" t="str">
        <f>I1560-E1560</f>
      </c>
    </row>
    <row r="1561">
      <c r="A1561" t="s">
        <v>75</v>
      </c>
      <c r="B1561" t="s">
        <v>334</v>
      </c>
      <c r="C1561" s="52" t="n">
        <v>2039</v>
      </c>
      <c r="D1561" t="s">
        <v>184</v>
      </c>
      <c r="E1561" s="53" t="n">
        <v>320475.305791081</v>
      </c>
      <c r="F1561" s="54" t="n">
        <v>180829.931009642</v>
      </c>
      <c r="G1561" s="55" t="n">
        <v>191929.610855123</v>
      </c>
      <c r="H1561" s="56" t="str">
        <f>G1561-F1561</f>
      </c>
      <c r="I1561" s="57" t="n">
        <v>362969.198365508</v>
      </c>
      <c r="J1561" s="58" t="str">
        <f>I1561-E1561</f>
      </c>
    </row>
    <row r="1562">
      <c r="A1562" t="s">
        <v>75</v>
      </c>
      <c r="B1562" t="s">
        <v>334</v>
      </c>
      <c r="C1562" s="52" t="n">
        <v>2039</v>
      </c>
      <c r="D1562" t="s">
        <v>212</v>
      </c>
      <c r="E1562" s="53" t="n">
        <v>36178.4854330084</v>
      </c>
      <c r="F1562" s="54" t="n">
        <v>2929.61431738718</v>
      </c>
      <c r="G1562" s="55" t="n">
        <v>3198.02305383022</v>
      </c>
      <c r="H1562" s="56" t="str">
        <f>G1562-F1562</f>
      </c>
      <c r="I1562" s="57" t="n">
        <v>36178.2238447184</v>
      </c>
      <c r="J1562" s="58" t="str">
        <f>I1562-E1562</f>
      </c>
    </row>
    <row r="1563">
      <c r="A1563" t="s">
        <v>75</v>
      </c>
      <c r="B1563" t="s">
        <v>334</v>
      </c>
      <c r="C1563" s="52" t="n">
        <v>2040</v>
      </c>
      <c r="D1563" t="s">
        <v>190</v>
      </c>
      <c r="E1563" s="53" t="n">
        <v>20015.7010291118</v>
      </c>
      <c r="F1563" s="54" t="n">
        <v>12962.0474915575</v>
      </c>
      <c r="G1563" s="55" t="n">
        <v>13879.6732870407</v>
      </c>
      <c r="H1563" s="56" t="str">
        <f>G1563-F1563</f>
      </c>
      <c r="I1563" s="57" t="n">
        <v>19805.5058057648</v>
      </c>
      <c r="J1563" s="58" t="str">
        <f>I1563-E1563</f>
      </c>
    </row>
    <row r="1564">
      <c r="A1564" t="s">
        <v>75</v>
      </c>
      <c r="B1564" t="s">
        <v>334</v>
      </c>
      <c r="C1564" s="52" t="n">
        <v>2040</v>
      </c>
      <c r="D1564" t="s">
        <v>230</v>
      </c>
      <c r="E1564" s="53" t="n">
        <v>1221081.06929057</v>
      </c>
      <c r="F1564" s="54" t="n">
        <v>230634.983285987</v>
      </c>
      <c r="G1564" s="55" t="n">
        <v>251591.898664867</v>
      </c>
      <c r="H1564" s="56" t="str">
        <f>G1564-F1564</f>
      </c>
      <c r="I1564" s="57" t="n">
        <v>1217029.49333677</v>
      </c>
      <c r="J1564" s="58" t="str">
        <f>I1564-E1564</f>
      </c>
    </row>
    <row r="1565">
      <c r="A1565" t="s">
        <v>75</v>
      </c>
      <c r="B1565" t="s">
        <v>334</v>
      </c>
      <c r="C1565" s="52" t="n">
        <v>2040</v>
      </c>
      <c r="D1565" t="s">
        <v>166</v>
      </c>
      <c r="E1565" s="53" t="n">
        <v>112629.819598453</v>
      </c>
      <c r="F1565" s="54" t="n">
        <v>71590.2975958064</v>
      </c>
      <c r="G1565" s="55" t="n">
        <v>84431.8911758369</v>
      </c>
      <c r="H1565" s="56" t="str">
        <f>G1565-F1565</f>
      </c>
      <c r="I1565" s="57" t="n">
        <v>130079.117811465</v>
      </c>
      <c r="J1565" s="58" t="str">
        <f>I1565-E1565</f>
      </c>
    </row>
    <row r="1566">
      <c r="A1566" t="s">
        <v>75</v>
      </c>
      <c r="B1566" t="s">
        <v>334</v>
      </c>
      <c r="C1566" s="52" t="n">
        <v>2040</v>
      </c>
      <c r="D1566" t="s">
        <v>176</v>
      </c>
      <c r="E1566" s="53" t="n">
        <v>241592.645186559</v>
      </c>
      <c r="F1566" s="54" t="n">
        <v>233848.13438914</v>
      </c>
      <c r="G1566" s="55" t="n">
        <v>257451.80463236</v>
      </c>
      <c r="H1566" s="56" t="str">
        <f>G1566-F1566</f>
      </c>
      <c r="I1566" s="57" t="n">
        <v>272772.692977532</v>
      </c>
      <c r="J1566" s="58" t="str">
        <f>I1566-E1566</f>
      </c>
    </row>
    <row r="1567">
      <c r="A1567" t="s">
        <v>75</v>
      </c>
      <c r="B1567" t="s">
        <v>334</v>
      </c>
      <c r="C1567" s="52" t="n">
        <v>2040</v>
      </c>
      <c r="D1567" t="s">
        <v>180</v>
      </c>
      <c r="E1567" s="53" t="n">
        <v>624338.402534534</v>
      </c>
      <c r="F1567" s="54" t="n">
        <v>390538.269476591</v>
      </c>
      <c r="G1567" s="55" t="n">
        <v>435208.840989962</v>
      </c>
      <c r="H1567" s="56" t="str">
        <f>G1567-F1567</f>
      </c>
      <c r="I1567" s="57" t="n">
        <v>725057.851356544</v>
      </c>
      <c r="J1567" s="58" t="str">
        <f>I1567-E1567</f>
      </c>
    </row>
    <row r="1568">
      <c r="A1568" t="s">
        <v>75</v>
      </c>
      <c r="B1568" t="s">
        <v>334</v>
      </c>
      <c r="C1568" s="52" t="n">
        <v>2040</v>
      </c>
      <c r="D1568" t="s">
        <v>184</v>
      </c>
      <c r="E1568" s="53" t="n">
        <v>321148.811441702</v>
      </c>
      <c r="F1568" s="54" t="n">
        <v>181516.365607535</v>
      </c>
      <c r="G1568" s="55" t="n">
        <v>193853.250747764</v>
      </c>
      <c r="H1568" s="56" t="str">
        <f>G1568-F1568</f>
      </c>
      <c r="I1568" s="57" t="n">
        <v>366714.045807884</v>
      </c>
      <c r="J1568" s="58" t="str">
        <f>I1568-E1568</f>
      </c>
    </row>
    <row r="1569">
      <c r="A1569" t="s">
        <v>75</v>
      </c>
      <c r="B1569" t="s">
        <v>334</v>
      </c>
      <c r="C1569" s="52" t="n">
        <v>2040</v>
      </c>
      <c r="D1569" t="s">
        <v>212</v>
      </c>
      <c r="E1569" s="53" t="n">
        <v>36005.3032538121</v>
      </c>
      <c r="F1569" s="54" t="n">
        <v>2794.06513664842</v>
      </c>
      <c r="G1569" s="55" t="n">
        <v>3069.25189350158</v>
      </c>
      <c r="H1569" s="56" t="str">
        <f>G1569-F1569</f>
      </c>
      <c r="I1569" s="57" t="n">
        <v>36005.0280863419</v>
      </c>
      <c r="J1569" s="58" t="str">
        <f>I1569-E1569</f>
      </c>
    </row>
    <row r="1570">
      <c r="A1570" t="s">
        <v>75</v>
      </c>
      <c r="B1570" t="s">
        <v>334</v>
      </c>
      <c r="C1570" s="52" t="n">
        <v>2041</v>
      </c>
      <c r="D1570" t="s">
        <v>190</v>
      </c>
      <c r="E1570" s="53" t="n">
        <v>20703.2628290653</v>
      </c>
      <c r="F1570" s="54" t="n">
        <v>13280.6561400861</v>
      </c>
      <c r="G1570" s="55" t="n">
        <v>14249.5364552167</v>
      </c>
      <c r="H1570" s="56" t="str">
        <f>G1570-F1570</f>
      </c>
      <c r="I1570" s="57" t="n">
        <v>20453.6267543422</v>
      </c>
      <c r="J1570" s="58" t="str">
        <f>I1570-E1570</f>
      </c>
    </row>
    <row r="1571">
      <c r="A1571" t="s">
        <v>75</v>
      </c>
      <c r="B1571" t="s">
        <v>334</v>
      </c>
      <c r="C1571" s="52" t="n">
        <v>2041</v>
      </c>
      <c r="D1571" t="s">
        <v>230</v>
      </c>
      <c r="E1571" s="53" t="n">
        <v>1231296.3133376</v>
      </c>
      <c r="F1571" s="54" t="n">
        <v>236829.865784952</v>
      </c>
      <c r="G1571" s="55" t="n">
        <v>259677.195752453</v>
      </c>
      <c r="H1571" s="56" t="str">
        <f>G1571-F1571</f>
      </c>
      <c r="I1571" s="57" t="n">
        <v>1226624.81076703</v>
      </c>
      <c r="J1571" s="58" t="str">
        <f>I1571-E1571</f>
      </c>
    </row>
    <row r="1572">
      <c r="A1572" t="s">
        <v>75</v>
      </c>
      <c r="B1572" t="s">
        <v>334</v>
      </c>
      <c r="C1572" s="52" t="n">
        <v>2041</v>
      </c>
      <c r="D1572" t="s">
        <v>166</v>
      </c>
      <c r="E1572" s="53" t="n">
        <v>113510.940585775</v>
      </c>
      <c r="F1572" s="54" t="n">
        <v>71704.6730729532</v>
      </c>
      <c r="G1572" s="55" t="n">
        <v>85532.3195906077</v>
      </c>
      <c r="H1572" s="56" t="str">
        <f>G1572-F1572</f>
      </c>
      <c r="I1572" s="57" t="n">
        <v>132229.629710176</v>
      </c>
      <c r="J1572" s="58" t="str">
        <f>I1572-E1572</f>
      </c>
    </row>
    <row r="1573">
      <c r="A1573" t="s">
        <v>75</v>
      </c>
      <c r="B1573" t="s">
        <v>334</v>
      </c>
      <c r="C1573" s="52" t="n">
        <v>2041</v>
      </c>
      <c r="D1573" t="s">
        <v>176</v>
      </c>
      <c r="E1573" s="53" t="n">
        <v>239690.884155534</v>
      </c>
      <c r="F1573" s="54" t="n">
        <v>232129.665618005</v>
      </c>
      <c r="G1573" s="55" t="n">
        <v>257389.631754286</v>
      </c>
      <c r="H1573" s="56" t="str">
        <f>G1573-F1573</f>
      </c>
      <c r="I1573" s="57" t="n">
        <v>272611.753671291</v>
      </c>
      <c r="J1573" s="58" t="str">
        <f>I1573-E1573</f>
      </c>
    </row>
    <row r="1574">
      <c r="A1574" t="s">
        <v>75</v>
      </c>
      <c r="B1574" t="s">
        <v>334</v>
      </c>
      <c r="C1574" s="52" t="n">
        <v>2041</v>
      </c>
      <c r="D1574" t="s">
        <v>180</v>
      </c>
      <c r="E1574" s="53" t="n">
        <v>626757.057060426</v>
      </c>
      <c r="F1574" s="54" t="n">
        <v>393421.254136998</v>
      </c>
      <c r="G1574" s="55" t="n">
        <v>442324.306406792</v>
      </c>
      <c r="H1574" s="56" t="str">
        <f>G1574-F1574</f>
      </c>
      <c r="I1574" s="57" t="n">
        <v>734627.740075405</v>
      </c>
      <c r="J1574" s="58" t="str">
        <f>I1574-E1574</f>
      </c>
    </row>
    <row r="1575">
      <c r="A1575" t="s">
        <v>75</v>
      </c>
      <c r="B1575" t="s">
        <v>334</v>
      </c>
      <c r="C1575" s="52" t="n">
        <v>2041</v>
      </c>
      <c r="D1575" t="s">
        <v>184</v>
      </c>
      <c r="E1575" s="53" t="n">
        <v>321763.039461918</v>
      </c>
      <c r="F1575" s="54" t="n">
        <v>182316.165760955</v>
      </c>
      <c r="G1575" s="55" t="n">
        <v>195926.907201396</v>
      </c>
      <c r="H1575" s="56" t="str">
        <f>G1575-F1575</f>
      </c>
      <c r="I1575" s="57" t="n">
        <v>370436.975606793</v>
      </c>
      <c r="J1575" s="58" t="str">
        <f>I1575-E1575</f>
      </c>
    </row>
    <row r="1576">
      <c r="A1576" t="s">
        <v>75</v>
      </c>
      <c r="B1576" t="s">
        <v>334</v>
      </c>
      <c r="C1576" s="52" t="n">
        <v>2041</v>
      </c>
      <c r="D1576" t="s">
        <v>212</v>
      </c>
      <c r="E1576" s="53" t="n">
        <v>35901.052529743</v>
      </c>
      <c r="F1576" s="54" t="n">
        <v>2662.42670844791</v>
      </c>
      <c r="G1576" s="55" t="n">
        <v>2944.01552271229</v>
      </c>
      <c r="H1576" s="56" t="str">
        <f>G1576-F1576</f>
      </c>
      <c r="I1576" s="57" t="n">
        <v>35900.7650540721</v>
      </c>
      <c r="J1576" s="58" t="str">
        <f>I1576-E1576</f>
      </c>
    </row>
    <row r="1577">
      <c r="A1577" t="s">
        <v>75</v>
      </c>
      <c r="B1577" t="s">
        <v>334</v>
      </c>
      <c r="C1577" s="52" t="n">
        <v>2042</v>
      </c>
      <c r="D1577" t="s">
        <v>190</v>
      </c>
      <c r="E1577" s="53" t="n">
        <v>21409.2831960531</v>
      </c>
      <c r="F1577" s="54" t="n">
        <v>13605.8871432249</v>
      </c>
      <c r="G1577" s="55" t="n">
        <v>14626.3190066004</v>
      </c>
      <c r="H1577" s="56" t="str">
        <f>G1577-F1577</f>
      </c>
      <c r="I1577" s="57" t="n">
        <v>21115.5817026885</v>
      </c>
      <c r="J1577" s="58" t="str">
        <f>I1577-E1577</f>
      </c>
    </row>
    <row r="1578">
      <c r="A1578" t="s">
        <v>75</v>
      </c>
      <c r="B1578" t="s">
        <v>334</v>
      </c>
      <c r="C1578" s="52" t="n">
        <v>2042</v>
      </c>
      <c r="D1578" t="s">
        <v>230</v>
      </c>
      <c r="E1578" s="53" t="n">
        <v>1241039.70946221</v>
      </c>
      <c r="F1578" s="54" t="n">
        <v>242977.835664821</v>
      </c>
      <c r="G1578" s="55" t="n">
        <v>267778.732534162</v>
      </c>
      <c r="H1578" s="56" t="str">
        <f>G1578-F1578</f>
      </c>
      <c r="I1578" s="57" t="n">
        <v>1235703.75022274</v>
      </c>
      <c r="J1578" s="58" t="str">
        <f>I1578-E1578</f>
      </c>
    </row>
    <row r="1579">
      <c r="A1579" t="s">
        <v>75</v>
      </c>
      <c r="B1579" t="s">
        <v>334</v>
      </c>
      <c r="C1579" s="52" t="n">
        <v>2042</v>
      </c>
      <c r="D1579" t="s">
        <v>166</v>
      </c>
      <c r="E1579" s="53" t="n">
        <v>114360.025005228</v>
      </c>
      <c r="F1579" s="54" t="n">
        <v>71834.7785177403</v>
      </c>
      <c r="G1579" s="55" t="n">
        <v>86657.3132213297</v>
      </c>
      <c r="H1579" s="56" t="str">
        <f>G1579-F1579</f>
      </c>
      <c r="I1579" s="57" t="n">
        <v>134351.626048708</v>
      </c>
      <c r="J1579" s="58" t="str">
        <f>I1579-E1579</f>
      </c>
    </row>
    <row r="1580">
      <c r="A1580" t="s">
        <v>75</v>
      </c>
      <c r="B1580" t="s">
        <v>334</v>
      </c>
      <c r="C1580" s="52" t="n">
        <v>2042</v>
      </c>
      <c r="D1580" t="s">
        <v>176</v>
      </c>
      <c r="E1580" s="53" t="n">
        <v>237663.937257841</v>
      </c>
      <c r="F1580" s="54" t="n">
        <v>230307.837598095</v>
      </c>
      <c r="G1580" s="55" t="n">
        <v>257198.349756019</v>
      </c>
      <c r="H1580" s="56" t="str">
        <f>G1580-F1580</f>
      </c>
      <c r="I1580" s="57" t="n">
        <v>272280.658720601</v>
      </c>
      <c r="J1580" s="58" t="str">
        <f>I1580-E1580</f>
      </c>
    </row>
    <row r="1581">
      <c r="A1581" t="s">
        <v>75</v>
      </c>
      <c r="B1581" t="s">
        <v>334</v>
      </c>
      <c r="C1581" s="52" t="n">
        <v>2042</v>
      </c>
      <c r="D1581" t="s">
        <v>180</v>
      </c>
      <c r="E1581" s="53" t="n">
        <v>629128.791466739</v>
      </c>
      <c r="F1581" s="54" t="n">
        <v>396367.578989187</v>
      </c>
      <c r="G1581" s="55" t="n">
        <v>449601.261227495</v>
      </c>
      <c r="H1581" s="56" t="str">
        <f>G1581-F1581</f>
      </c>
      <c r="I1581" s="57" t="n">
        <v>744313.272667757</v>
      </c>
      <c r="J1581" s="58" t="str">
        <f>I1581-E1581</f>
      </c>
    </row>
    <row r="1582">
      <c r="A1582" t="s">
        <v>75</v>
      </c>
      <c r="B1582" t="s">
        <v>334</v>
      </c>
      <c r="C1582" s="52" t="n">
        <v>2042</v>
      </c>
      <c r="D1582" t="s">
        <v>184</v>
      </c>
      <c r="E1582" s="53" t="n">
        <v>322559.092312127</v>
      </c>
      <c r="F1582" s="54" t="n">
        <v>183158.456167158</v>
      </c>
      <c r="G1582" s="55" t="n">
        <v>198082.814103714</v>
      </c>
      <c r="H1582" s="56" t="str">
        <f>G1582-F1582</f>
      </c>
      <c r="I1582" s="57" t="n">
        <v>374419.262045636</v>
      </c>
      <c r="J1582" s="58" t="str">
        <f>I1582-E1582</f>
      </c>
    </row>
    <row r="1583">
      <c r="A1583" t="s">
        <v>75</v>
      </c>
      <c r="B1583" t="s">
        <v>334</v>
      </c>
      <c r="C1583" s="52" t="n">
        <v>2042</v>
      </c>
      <c r="D1583" t="s">
        <v>212</v>
      </c>
      <c r="E1583" s="53" t="n">
        <v>35517.1371648694</v>
      </c>
      <c r="F1583" s="54" t="n">
        <v>2532.94562297243</v>
      </c>
      <c r="G1583" s="55" t="n">
        <v>2820.51221264468</v>
      </c>
      <c r="H1583" s="56" t="str">
        <f>G1583-F1583</f>
      </c>
      <c r="I1583" s="57" t="n">
        <v>35516.8405935332</v>
      </c>
      <c r="J1583" s="58" t="str">
        <f>I1583-E1583</f>
      </c>
    </row>
    <row r="1584">
      <c r="A1584" t="s">
        <v>75</v>
      </c>
      <c r="B1584" t="s">
        <v>334</v>
      </c>
      <c r="C1584" s="52" t="n">
        <v>2043</v>
      </c>
      <c r="D1584" t="s">
        <v>190</v>
      </c>
      <c r="E1584" s="53" t="n">
        <v>22131.7807860524</v>
      </c>
      <c r="F1584" s="54" t="n">
        <v>13931.8129892473</v>
      </c>
      <c r="G1584" s="55" t="n">
        <v>15004.0861158129</v>
      </c>
      <c r="H1584" s="56" t="str">
        <f>G1584-F1584</f>
      </c>
      <c r="I1584" s="57" t="n">
        <v>21789.1256560335</v>
      </c>
      <c r="J1584" s="58" t="str">
        <f>I1584-E1584</f>
      </c>
    </row>
    <row r="1585">
      <c r="A1585" t="s">
        <v>75</v>
      </c>
      <c r="B1585" t="s">
        <v>334</v>
      </c>
      <c r="C1585" s="52" t="n">
        <v>2043</v>
      </c>
      <c r="D1585" t="s">
        <v>230</v>
      </c>
      <c r="E1585" s="53" t="n">
        <v>1250290.95158299</v>
      </c>
      <c r="F1585" s="54" t="n">
        <v>249062.771256182</v>
      </c>
      <c r="G1585" s="55" t="n">
        <v>275876.995486318</v>
      </c>
      <c r="H1585" s="56" t="str">
        <f>G1585-F1585</f>
      </c>
      <c r="I1585" s="57" t="n">
        <v>1244246.51153606</v>
      </c>
      <c r="J1585" s="58" t="str">
        <f>I1585-E1585</f>
      </c>
    </row>
    <row r="1586">
      <c r="A1586" t="s">
        <v>75</v>
      </c>
      <c r="B1586" t="s">
        <v>334</v>
      </c>
      <c r="C1586" s="52" t="n">
        <v>2043</v>
      </c>
      <c r="D1586" t="s">
        <v>166</v>
      </c>
      <c r="E1586" s="53" t="n">
        <v>115311.190871414</v>
      </c>
      <c r="F1586" s="54" t="n">
        <v>71958.0936334774</v>
      </c>
      <c r="G1586" s="55" t="n">
        <v>87779.034425801</v>
      </c>
      <c r="H1586" s="56" t="str">
        <f>G1586-F1586</f>
      </c>
      <c r="I1586" s="57" t="n">
        <v>136601.974960575</v>
      </c>
      <c r="J1586" s="58" t="str">
        <f>I1586-E1586</f>
      </c>
    </row>
    <row r="1587">
      <c r="A1587" t="s">
        <v>75</v>
      </c>
      <c r="B1587" t="s">
        <v>334</v>
      </c>
      <c r="C1587" s="52" t="n">
        <v>2043</v>
      </c>
      <c r="D1587" t="s">
        <v>176</v>
      </c>
      <c r="E1587" s="53" t="n">
        <v>235452.528270219</v>
      </c>
      <c r="F1587" s="54" t="n">
        <v>228308.619338558</v>
      </c>
      <c r="G1587" s="55" t="n">
        <v>256777.587157068</v>
      </c>
      <c r="H1587" s="56" t="str">
        <f>G1587-F1587</f>
      </c>
      <c r="I1587" s="57" t="n">
        <v>271689.794226751</v>
      </c>
      <c r="J1587" s="58" t="str">
        <f>I1587-E1587</f>
      </c>
    </row>
    <row r="1588">
      <c r="A1588" t="s">
        <v>75</v>
      </c>
      <c r="B1588" t="s">
        <v>334</v>
      </c>
      <c r="C1588" s="52" t="n">
        <v>2043</v>
      </c>
      <c r="D1588" t="s">
        <v>180</v>
      </c>
      <c r="E1588" s="53" t="n">
        <v>631743.776129772</v>
      </c>
      <c r="F1588" s="54" t="n">
        <v>399274.007059669</v>
      </c>
      <c r="G1588" s="55" t="n">
        <v>456915.722046172</v>
      </c>
      <c r="H1588" s="56" t="str">
        <f>G1588-F1588</f>
      </c>
      <c r="I1588" s="57" t="n">
        <v>754370.892413502</v>
      </c>
      <c r="J1588" s="58" t="str">
        <f>I1588-E1588</f>
      </c>
    </row>
    <row r="1589">
      <c r="A1589" t="s">
        <v>75</v>
      </c>
      <c r="B1589" t="s">
        <v>334</v>
      </c>
      <c r="C1589" s="52" t="n">
        <v>2043</v>
      </c>
      <c r="D1589" t="s">
        <v>184</v>
      </c>
      <c r="E1589" s="53" t="n">
        <v>323622.81208007</v>
      </c>
      <c r="F1589" s="54" t="n">
        <v>183933.231544026</v>
      </c>
      <c r="G1589" s="55" t="n">
        <v>200204.274251736</v>
      </c>
      <c r="H1589" s="56" t="str">
        <f>G1589-F1589</f>
      </c>
      <c r="I1589" s="57" t="n">
        <v>378766.534515357</v>
      </c>
      <c r="J1589" s="58" t="str">
        <f>I1589-E1589</f>
      </c>
    </row>
    <row r="1590">
      <c r="A1590" t="s">
        <v>75</v>
      </c>
      <c r="B1590" t="s">
        <v>334</v>
      </c>
      <c r="C1590" s="52" t="n">
        <v>2043</v>
      </c>
      <c r="D1590" t="s">
        <v>212</v>
      </c>
      <c r="E1590" s="53" t="n">
        <v>35329.0625453202</v>
      </c>
      <c r="F1590" s="54" t="n">
        <v>2404.91586142632</v>
      </c>
      <c r="G1590" s="55" t="n">
        <v>2698.33092960504</v>
      </c>
      <c r="H1590" s="56" t="str">
        <f>G1590-F1590</f>
      </c>
      <c r="I1590" s="57" t="n">
        <v>35328.7732033082</v>
      </c>
      <c r="J1590" s="58" t="str">
        <f>I1590-E1590</f>
      </c>
    </row>
    <row r="1591">
      <c r="A1591" t="s">
        <v>75</v>
      </c>
      <c r="B1591" t="s">
        <v>334</v>
      </c>
      <c r="C1591" s="52" t="n">
        <v>2044</v>
      </c>
      <c r="D1591" t="s">
        <v>190</v>
      </c>
      <c r="E1591" s="53" t="n">
        <v>22869.1631475761</v>
      </c>
      <c r="F1591" s="54" t="n">
        <v>14264.9932317638</v>
      </c>
      <c r="G1591" s="55" t="n">
        <v>15388.6382618872</v>
      </c>
      <c r="H1591" s="56" t="str">
        <f>G1591-F1591</f>
      </c>
      <c r="I1591" s="57" t="n">
        <v>22472.4057787798</v>
      </c>
      <c r="J1591" s="58" t="str">
        <f>I1591-E1591</f>
      </c>
    </row>
    <row r="1592">
      <c r="A1592" t="s">
        <v>75</v>
      </c>
      <c r="B1592" t="s">
        <v>334</v>
      </c>
      <c r="C1592" s="52" t="n">
        <v>2044</v>
      </c>
      <c r="D1592" t="s">
        <v>230</v>
      </c>
      <c r="E1592" s="53" t="n">
        <v>1259316.07680019</v>
      </c>
      <c r="F1592" s="54" t="n">
        <v>255023.322796942</v>
      </c>
      <c r="G1592" s="55" t="n">
        <v>283902.050416871</v>
      </c>
      <c r="H1592" s="56" t="str">
        <f>G1592-F1592</f>
      </c>
      <c r="I1592" s="57" t="n">
        <v>1252519.7576167</v>
      </c>
      <c r="J1592" s="58" t="str">
        <f>I1592-E1592</f>
      </c>
    </row>
    <row r="1593">
      <c r="A1593" t="s">
        <v>75</v>
      </c>
      <c r="B1593" t="s">
        <v>334</v>
      </c>
      <c r="C1593" s="52" t="n">
        <v>2044</v>
      </c>
      <c r="D1593" t="s">
        <v>166</v>
      </c>
      <c r="E1593" s="53" t="n">
        <v>115654.895855911</v>
      </c>
      <c r="F1593" s="54" t="n">
        <v>72087.5321221406</v>
      </c>
      <c r="G1593" s="55" t="n">
        <v>88912.4462868978</v>
      </c>
      <c r="H1593" s="56" t="str">
        <f>G1593-F1593</f>
      </c>
      <c r="I1593" s="57" t="n">
        <v>138127.807492249</v>
      </c>
      <c r="J1593" s="58" t="str">
        <f>I1593-E1593</f>
      </c>
    </row>
    <row r="1594">
      <c r="A1594" t="s">
        <v>75</v>
      </c>
      <c r="B1594" t="s">
        <v>334</v>
      </c>
      <c r="C1594" s="52" t="n">
        <v>2044</v>
      </c>
      <c r="D1594" t="s">
        <v>176</v>
      </c>
      <c r="E1594" s="53" t="n">
        <v>233172.06597566</v>
      </c>
      <c r="F1594" s="54" t="n">
        <v>226416.254148671</v>
      </c>
      <c r="G1594" s="55" t="n">
        <v>256436.399818879</v>
      </c>
      <c r="H1594" s="56" t="str">
        <f>G1594-F1594</f>
      </c>
      <c r="I1594" s="57" t="n">
        <v>270981.060601887</v>
      </c>
      <c r="J1594" s="58" t="str">
        <f>I1594-E1594</f>
      </c>
    </row>
    <row r="1595">
      <c r="A1595" t="s">
        <v>75</v>
      </c>
      <c r="B1595" t="s">
        <v>334</v>
      </c>
      <c r="C1595" s="52" t="n">
        <v>2044</v>
      </c>
      <c r="D1595" t="s">
        <v>180</v>
      </c>
      <c r="E1595" s="53" t="n">
        <v>631301.947792099</v>
      </c>
      <c r="F1595" s="54" t="n">
        <v>402098.742479847</v>
      </c>
      <c r="G1595" s="55" t="n">
        <v>464236.623828497</v>
      </c>
      <c r="H1595" s="56" t="str">
        <f>G1595-F1595</f>
      </c>
      <c r="I1595" s="57" t="n">
        <v>760751.529161819</v>
      </c>
      <c r="J1595" s="58" t="str">
        <f>I1595-E1595</f>
      </c>
    </row>
    <row r="1596">
      <c r="A1596" t="s">
        <v>75</v>
      </c>
      <c r="B1596" t="s">
        <v>334</v>
      </c>
      <c r="C1596" s="52" t="n">
        <v>2044</v>
      </c>
      <c r="D1596" t="s">
        <v>184</v>
      </c>
      <c r="E1596" s="53" t="n">
        <v>322784.868537061</v>
      </c>
      <c r="F1596" s="54" t="n">
        <v>185113.077422185</v>
      </c>
      <c r="G1596" s="55" t="n">
        <v>202762.435405402</v>
      </c>
      <c r="H1596" s="56" t="str">
        <f>G1596-F1596</f>
      </c>
      <c r="I1596" s="57" t="n">
        <v>380754.514374576</v>
      </c>
      <c r="J1596" s="58" t="str">
        <f>I1596-E1596</f>
      </c>
    </row>
    <row r="1597">
      <c r="A1597" t="s">
        <v>75</v>
      </c>
      <c r="B1597" t="s">
        <v>334</v>
      </c>
      <c r="C1597" s="52" t="n">
        <v>2044</v>
      </c>
      <c r="D1597" t="s">
        <v>212</v>
      </c>
      <c r="E1597" s="53" t="n">
        <v>35046.9260336277</v>
      </c>
      <c r="F1597" s="54" t="n">
        <v>2276.09627982166</v>
      </c>
      <c r="G1597" s="55" t="n">
        <v>2573.79262430521</v>
      </c>
      <c r="H1597" s="56" t="str">
        <f>G1597-F1597</f>
      </c>
      <c r="I1597" s="57" t="n">
        <v>35046.7052079593</v>
      </c>
      <c r="J1597" s="58" t="str">
        <f>I1597-E1597</f>
      </c>
    </row>
    <row r="1598">
      <c r="A1598" t="s">
        <v>75</v>
      </c>
      <c r="B1598" t="s">
        <v>334</v>
      </c>
      <c r="C1598" s="52" t="n">
        <v>2045</v>
      </c>
      <c r="D1598" t="s">
        <v>190</v>
      </c>
      <c r="E1598" s="53" t="n">
        <v>23623.1783212079</v>
      </c>
      <c r="F1598" s="54" t="n">
        <v>14598.38683773</v>
      </c>
      <c r="G1598" s="55" t="n">
        <v>15771.7189092791</v>
      </c>
      <c r="H1598" s="56" t="str">
        <f>G1598-F1598</f>
      </c>
      <c r="I1598" s="57" t="n">
        <v>23166.9456880515</v>
      </c>
      <c r="J1598" s="58" t="str">
        <f>I1598-E1598</f>
      </c>
    </row>
    <row r="1599">
      <c r="A1599" t="s">
        <v>75</v>
      </c>
      <c r="B1599" t="s">
        <v>334</v>
      </c>
      <c r="C1599" s="52" t="n">
        <v>2045</v>
      </c>
      <c r="D1599" t="s">
        <v>230</v>
      </c>
      <c r="E1599" s="53" t="n">
        <v>1268183.15475998</v>
      </c>
      <c r="F1599" s="54" t="n">
        <v>260833.148154537</v>
      </c>
      <c r="G1599" s="55" t="n">
        <v>291822.027540257</v>
      </c>
      <c r="H1599" s="56" t="str">
        <f>G1599-F1599</f>
      </c>
      <c r="I1599" s="57" t="n">
        <v>1260592.98702146</v>
      </c>
      <c r="J1599" s="58" t="str">
        <f>I1599-E1599</f>
      </c>
    </row>
    <row r="1600">
      <c r="A1600" t="s">
        <v>75</v>
      </c>
      <c r="B1600" t="s">
        <v>334</v>
      </c>
      <c r="C1600" s="52" t="n">
        <v>2045</v>
      </c>
      <c r="D1600" t="s">
        <v>166</v>
      </c>
      <c r="E1600" s="53" t="n">
        <v>116440.399022993</v>
      </c>
      <c r="F1600" s="54" t="n">
        <v>72207.0632812824</v>
      </c>
      <c r="G1600" s="55" t="n">
        <v>90041.6045905888</v>
      </c>
      <c r="H1600" s="56" t="str">
        <f>G1600-F1600</f>
      </c>
      <c r="I1600" s="57" t="n">
        <v>140172.774815525</v>
      </c>
      <c r="J1600" s="58" t="str">
        <f>I1600-E1600</f>
      </c>
    </row>
    <row r="1601">
      <c r="A1601" t="s">
        <v>75</v>
      </c>
      <c r="B1601" t="s">
        <v>334</v>
      </c>
      <c r="C1601" s="52" t="n">
        <v>2045</v>
      </c>
      <c r="D1601" t="s">
        <v>176</v>
      </c>
      <c r="E1601" s="53" t="n">
        <v>231075.781758663</v>
      </c>
      <c r="F1601" s="54" t="n">
        <v>224439.55144305</v>
      </c>
      <c r="G1601" s="55" t="n">
        <v>255976.908113305</v>
      </c>
      <c r="H1601" s="56" t="str">
        <f>G1601-F1601</f>
      </c>
      <c r="I1601" s="57" t="n">
        <v>270438.603152282</v>
      </c>
      <c r="J1601" s="58" t="str">
        <f>I1601-E1601</f>
      </c>
    </row>
    <row r="1602">
      <c r="A1602" t="s">
        <v>75</v>
      </c>
      <c r="B1602" t="s">
        <v>334</v>
      </c>
      <c r="C1602" s="52" t="n">
        <v>2045</v>
      </c>
      <c r="D1602" t="s">
        <v>180</v>
      </c>
      <c r="E1602" s="53" t="n">
        <v>632657.631253702</v>
      </c>
      <c r="F1602" s="54" t="n">
        <v>404236.780936093</v>
      </c>
      <c r="G1602" s="55" t="n">
        <v>470920.29436777</v>
      </c>
      <c r="H1602" s="56" t="str">
        <f>G1602-F1602</f>
      </c>
      <c r="I1602" s="57" t="n">
        <v>769313.803212411</v>
      </c>
      <c r="J1602" s="58" t="str">
        <f>I1602-E1602</f>
      </c>
    </row>
    <row r="1603">
      <c r="A1603" t="s">
        <v>75</v>
      </c>
      <c r="B1603" t="s">
        <v>334</v>
      </c>
      <c r="C1603" s="52" t="n">
        <v>2045</v>
      </c>
      <c r="D1603" t="s">
        <v>184</v>
      </c>
      <c r="E1603" s="53" t="n">
        <v>322903.281437495</v>
      </c>
      <c r="F1603" s="54" t="n">
        <v>185821.836459322</v>
      </c>
      <c r="G1603" s="55" t="n">
        <v>204869.328897989</v>
      </c>
      <c r="H1603" s="56" t="str">
        <f>G1603-F1603</f>
      </c>
      <c r="I1603" s="57" t="n">
        <v>383936.192524615</v>
      </c>
      <c r="J1603" s="58" t="str">
        <f>I1603-E1603</f>
      </c>
    </row>
    <row r="1604">
      <c r="A1604" t="s">
        <v>75</v>
      </c>
      <c r="B1604" t="s">
        <v>334</v>
      </c>
      <c r="C1604" s="52" t="n">
        <v>2045</v>
      </c>
      <c r="D1604" t="s">
        <v>212</v>
      </c>
      <c r="E1604" s="53" t="n">
        <v>34846.9441065749</v>
      </c>
      <c r="F1604" s="54" t="n">
        <v>2153.49946323736</v>
      </c>
      <c r="G1604" s="55" t="n">
        <v>2452.74707379338</v>
      </c>
      <c r="H1604" s="56" t="str">
        <f>G1604-F1604</f>
      </c>
      <c r="I1604" s="57" t="n">
        <v>34846.7151562227</v>
      </c>
      <c r="J1604" s="58" t="str">
        <f>I1604-E1604</f>
      </c>
    </row>
    <row r="1605">
      <c r="A1605" t="s">
        <v>75</v>
      </c>
      <c r="B1605" t="s">
        <v>334</v>
      </c>
      <c r="C1605" s="52" t="n">
        <v>2046</v>
      </c>
      <c r="D1605" t="s">
        <v>190</v>
      </c>
      <c r="E1605" s="53" t="n">
        <v>24389.4342508152</v>
      </c>
      <c r="F1605" s="54" t="n">
        <v>14942.2524156318</v>
      </c>
      <c r="G1605" s="55" t="n">
        <v>16165.2905403234</v>
      </c>
      <c r="H1605" s="56" t="str">
        <f>G1605-F1605</f>
      </c>
      <c r="I1605" s="57" t="n">
        <v>23868.2179440388</v>
      </c>
      <c r="J1605" s="58" t="str">
        <f>I1605-E1605</f>
      </c>
    </row>
    <row r="1606">
      <c r="A1606" t="s">
        <v>75</v>
      </c>
      <c r="B1606" t="s">
        <v>334</v>
      </c>
      <c r="C1606" s="52" t="n">
        <v>2046</v>
      </c>
      <c r="D1606" t="s">
        <v>230</v>
      </c>
      <c r="E1606" s="53" t="n">
        <v>1276900.53360412</v>
      </c>
      <c r="F1606" s="54" t="n">
        <v>266459.786449647</v>
      </c>
      <c r="G1606" s="55" t="n">
        <v>299596.928666138</v>
      </c>
      <c r="H1606" s="56" t="str">
        <f>G1606-F1606</f>
      </c>
      <c r="I1606" s="57" t="n">
        <v>1268475.95633212</v>
      </c>
      <c r="J1606" s="58" t="str">
        <f>I1606-E1606</f>
      </c>
    </row>
    <row r="1607">
      <c r="A1607" t="s">
        <v>75</v>
      </c>
      <c r="B1607" t="s">
        <v>334</v>
      </c>
      <c r="C1607" s="52" t="n">
        <v>2046</v>
      </c>
      <c r="D1607" t="s">
        <v>166</v>
      </c>
      <c r="E1607" s="53" t="n">
        <v>117192.418565332</v>
      </c>
      <c r="F1607" s="54" t="n">
        <v>72349.0920732308</v>
      </c>
      <c r="G1607" s="55" t="n">
        <v>91198.8909425984</v>
      </c>
      <c r="H1607" s="56" t="str">
        <f>G1607-F1607</f>
      </c>
      <c r="I1607" s="57" t="n">
        <v>142194.053650607</v>
      </c>
      <c r="J1607" s="58" t="str">
        <f>I1607-E1607</f>
      </c>
    </row>
    <row r="1608">
      <c r="A1608" t="s">
        <v>75</v>
      </c>
      <c r="B1608" t="s">
        <v>334</v>
      </c>
      <c r="C1608" s="52" t="n">
        <v>2046</v>
      </c>
      <c r="D1608" t="s">
        <v>176</v>
      </c>
      <c r="E1608" s="53" t="n">
        <v>229019.783527377</v>
      </c>
      <c r="F1608" s="54" t="n">
        <v>222419.097235503</v>
      </c>
      <c r="G1608" s="55" t="n">
        <v>255431.161412817</v>
      </c>
      <c r="H1608" s="56" t="str">
        <f>G1608-F1608</f>
      </c>
      <c r="I1608" s="57" t="n">
        <v>269923.251682947</v>
      </c>
      <c r="J1608" s="58" t="str">
        <f>I1608-E1608</f>
      </c>
    </row>
    <row r="1609">
      <c r="A1609" t="s">
        <v>75</v>
      </c>
      <c r="B1609" t="s">
        <v>334</v>
      </c>
      <c r="C1609" s="52" t="n">
        <v>2046</v>
      </c>
      <c r="D1609" t="s">
        <v>180</v>
      </c>
      <c r="E1609" s="53" t="n">
        <v>634094.472138487</v>
      </c>
      <c r="F1609" s="54" t="n">
        <v>406536.05603021</v>
      </c>
      <c r="G1609" s="55" t="n">
        <v>477828.931731945</v>
      </c>
      <c r="H1609" s="56" t="str">
        <f>G1609-F1609</f>
      </c>
      <c r="I1609" s="57" t="n">
        <v>778095.842672562</v>
      </c>
      <c r="J1609" s="58" t="str">
        <f>I1609-E1609</f>
      </c>
    </row>
    <row r="1610">
      <c r="A1610" t="s">
        <v>75</v>
      </c>
      <c r="B1610" t="s">
        <v>334</v>
      </c>
      <c r="C1610" s="52" t="n">
        <v>2046</v>
      </c>
      <c r="D1610" t="s">
        <v>184</v>
      </c>
      <c r="E1610" s="53" t="n">
        <v>323007.239061227</v>
      </c>
      <c r="F1610" s="54" t="n">
        <v>186581.481505759</v>
      </c>
      <c r="G1610" s="55" t="n">
        <v>207048.945254603</v>
      </c>
      <c r="H1610" s="56" t="str">
        <f>G1610-F1610</f>
      </c>
      <c r="I1610" s="57" t="n">
        <v>387151.427044792</v>
      </c>
      <c r="J1610" s="58" t="str">
        <f>I1610-E1610</f>
      </c>
    </row>
    <row r="1611">
      <c r="A1611" t="s">
        <v>75</v>
      </c>
      <c r="B1611" t="s">
        <v>334</v>
      </c>
      <c r="C1611" s="52" t="n">
        <v>2046</v>
      </c>
      <c r="D1611" t="s">
        <v>212</v>
      </c>
      <c r="E1611" s="53" t="n">
        <v>34688.5312873468</v>
      </c>
      <c r="F1611" s="54" t="n">
        <v>2035.46694097074</v>
      </c>
      <c r="G1611" s="55" t="n">
        <v>2335.67260927364</v>
      </c>
      <c r="H1611" s="56" t="str">
        <f>G1611-F1611</f>
      </c>
      <c r="I1611" s="57" t="n">
        <v>34688.296767041</v>
      </c>
      <c r="J1611" s="58" t="str">
        <f>I1611-E1611</f>
      </c>
    </row>
    <row r="1612">
      <c r="A1612" t="s">
        <v>75</v>
      </c>
      <c r="B1612" t="s">
        <v>334</v>
      </c>
      <c r="C1612" s="52" t="n">
        <v>2047</v>
      </c>
      <c r="D1612" t="s">
        <v>190</v>
      </c>
      <c r="E1612" s="53" t="n">
        <v>25167.613359366</v>
      </c>
      <c r="F1612" s="54" t="n">
        <v>15297.9034664098</v>
      </c>
      <c r="G1612" s="55" t="n">
        <v>16568.5748299244</v>
      </c>
      <c r="H1612" s="56" t="str">
        <f>G1612-F1612</f>
      </c>
      <c r="I1612" s="57" t="n">
        <v>24575.6851293632</v>
      </c>
      <c r="J1612" s="58" t="str">
        <f>I1612-E1612</f>
      </c>
    </row>
    <row r="1613">
      <c r="A1613" t="s">
        <v>75</v>
      </c>
      <c r="B1613" t="s">
        <v>334</v>
      </c>
      <c r="C1613" s="52" t="n">
        <v>2047</v>
      </c>
      <c r="D1613" t="s">
        <v>230</v>
      </c>
      <c r="E1613" s="53" t="n">
        <v>1285371.82694319</v>
      </c>
      <c r="F1613" s="54" t="n">
        <v>271861.395776034</v>
      </c>
      <c r="G1613" s="55" t="n">
        <v>307176.008738621</v>
      </c>
      <c r="H1613" s="56" t="str">
        <f>G1613-F1613</f>
      </c>
      <c r="I1613" s="57" t="n">
        <v>1276073.48469778</v>
      </c>
      <c r="J1613" s="58" t="str">
        <f>I1613-E1613</f>
      </c>
    </row>
    <row r="1614">
      <c r="A1614" t="s">
        <v>75</v>
      </c>
      <c r="B1614" t="s">
        <v>334</v>
      </c>
      <c r="C1614" s="52" t="n">
        <v>2047</v>
      </c>
      <c r="D1614" t="s">
        <v>166</v>
      </c>
      <c r="E1614" s="53" t="n">
        <v>117959.79732188</v>
      </c>
      <c r="F1614" s="54" t="n">
        <v>72473.0167015034</v>
      </c>
      <c r="G1614" s="55" t="n">
        <v>92333.8882911569</v>
      </c>
      <c r="H1614" s="56" t="str">
        <f>G1614-F1614</f>
      </c>
      <c r="I1614" s="57" t="n">
        <v>144246.070856709</v>
      </c>
      <c r="J1614" s="58" t="str">
        <f>I1614-E1614</f>
      </c>
    </row>
    <row r="1615">
      <c r="A1615" t="s">
        <v>75</v>
      </c>
      <c r="B1615" t="s">
        <v>334</v>
      </c>
      <c r="C1615" s="52" t="n">
        <v>2047</v>
      </c>
      <c r="D1615" t="s">
        <v>176</v>
      </c>
      <c r="E1615" s="53" t="n">
        <v>226759.963255487</v>
      </c>
      <c r="F1615" s="54" t="n">
        <v>220306.570724266</v>
      </c>
      <c r="G1615" s="55" t="n">
        <v>254760.803670819</v>
      </c>
      <c r="H1615" s="56" t="str">
        <f>G1615-F1615</f>
      </c>
      <c r="I1615" s="57" t="n">
        <v>269145.730668352</v>
      </c>
      <c r="J1615" s="58" t="str">
        <f>I1615-E1615</f>
      </c>
    </row>
    <row r="1616">
      <c r="A1616" t="s">
        <v>75</v>
      </c>
      <c r="B1616" t="s">
        <v>334</v>
      </c>
      <c r="C1616" s="52" t="n">
        <v>2047</v>
      </c>
      <c r="D1616" t="s">
        <v>180</v>
      </c>
      <c r="E1616" s="53" t="n">
        <v>635359.202343003</v>
      </c>
      <c r="F1616" s="54" t="n">
        <v>408717.490967368</v>
      </c>
      <c r="G1616" s="55" t="n">
        <v>484667.16956347</v>
      </c>
      <c r="H1616" s="56" t="str">
        <f>G1616-F1616</f>
      </c>
      <c r="I1616" s="57" t="n">
        <v>786867.366017657</v>
      </c>
      <c r="J1616" s="58" t="str">
        <f>I1616-E1616</f>
      </c>
    </row>
    <row r="1617">
      <c r="A1617" t="s">
        <v>75</v>
      </c>
      <c r="B1617" t="s">
        <v>334</v>
      </c>
      <c r="C1617" s="52" t="n">
        <v>2047</v>
      </c>
      <c r="D1617" t="s">
        <v>184</v>
      </c>
      <c r="E1617" s="53" t="n">
        <v>323240.248121376</v>
      </c>
      <c r="F1617" s="54" t="n">
        <v>187252.074502428</v>
      </c>
      <c r="G1617" s="55" t="n">
        <v>209160.858915749</v>
      </c>
      <c r="H1617" s="56" t="str">
        <f>G1617-F1617</f>
      </c>
      <c r="I1617" s="57" t="n">
        <v>390597.57749153</v>
      </c>
      <c r="J1617" s="58" t="str">
        <f>I1617-E1617</f>
      </c>
    </row>
    <row r="1618">
      <c r="A1618" t="s">
        <v>75</v>
      </c>
      <c r="B1618" t="s">
        <v>334</v>
      </c>
      <c r="C1618" s="52" t="n">
        <v>2047</v>
      </c>
      <c r="D1618" t="s">
        <v>212</v>
      </c>
      <c r="E1618" s="53" t="n">
        <v>34402.6917448352</v>
      </c>
      <c r="F1618" s="54" t="n">
        <v>1921.23593170101</v>
      </c>
      <c r="G1618" s="55" t="n">
        <v>2222.25178382332</v>
      </c>
      <c r="H1618" s="56" t="str">
        <f>G1618-F1618</f>
      </c>
      <c r="I1618" s="57" t="n">
        <v>34402.454286142</v>
      </c>
      <c r="J1618" s="58" t="str">
        <f>I1618-E1618</f>
      </c>
    </row>
    <row r="1619">
      <c r="A1619" t="s">
        <v>75</v>
      </c>
      <c r="B1619" t="s">
        <v>334</v>
      </c>
      <c r="C1619" s="52" t="n">
        <v>2048</v>
      </c>
      <c r="D1619" t="s">
        <v>190</v>
      </c>
      <c r="E1619" s="53" t="n">
        <v>25951.3366099051</v>
      </c>
      <c r="F1619" s="54" t="n">
        <v>15669.3626091145</v>
      </c>
      <c r="G1619" s="55" t="n">
        <v>16982.9671313776</v>
      </c>
      <c r="H1619" s="56" t="str">
        <f>G1619-F1619</f>
      </c>
      <c r="I1619" s="57" t="n">
        <v>25282.866550534</v>
      </c>
      <c r="J1619" s="58" t="str">
        <f>I1619-E1619</f>
      </c>
    </row>
    <row r="1620">
      <c r="A1620" t="s">
        <v>75</v>
      </c>
      <c r="B1620" t="s">
        <v>334</v>
      </c>
      <c r="C1620" s="52" t="n">
        <v>2048</v>
      </c>
      <c r="D1620" t="s">
        <v>230</v>
      </c>
      <c r="E1620" s="53" t="n">
        <v>1293677.7032785</v>
      </c>
      <c r="F1620" s="54" t="n">
        <v>277032.501128826</v>
      </c>
      <c r="G1620" s="55" t="n">
        <v>314549.83162808</v>
      </c>
      <c r="H1620" s="56" t="str">
        <f>G1620-F1620</f>
      </c>
      <c r="I1620" s="57" t="n">
        <v>1283467.75295342</v>
      </c>
      <c r="J1620" s="58" t="str">
        <f>I1620-E1620</f>
      </c>
    </row>
    <row r="1621">
      <c r="A1621" t="s">
        <v>75</v>
      </c>
      <c r="B1621" t="s">
        <v>334</v>
      </c>
      <c r="C1621" s="52" t="n">
        <v>2048</v>
      </c>
      <c r="D1621" t="s">
        <v>166</v>
      </c>
      <c r="E1621" s="53" t="n">
        <v>118820.546336761</v>
      </c>
      <c r="F1621" s="54" t="n">
        <v>72566.6199525727</v>
      </c>
      <c r="G1621" s="55" t="n">
        <v>93427.507277049</v>
      </c>
      <c r="H1621" s="56" t="str">
        <f>G1621-F1621</f>
      </c>
      <c r="I1621" s="57" t="n">
        <v>146413.853149174</v>
      </c>
      <c r="J1621" s="58" t="str">
        <f>I1621-E1621</f>
      </c>
    </row>
    <row r="1622">
      <c r="A1622" t="s">
        <v>75</v>
      </c>
      <c r="B1622" t="s">
        <v>334</v>
      </c>
      <c r="C1622" s="52" t="n">
        <v>2048</v>
      </c>
      <c r="D1622" t="s">
        <v>176</v>
      </c>
      <c r="E1622" s="53" t="n">
        <v>224335.897373189</v>
      </c>
      <c r="F1622" s="54" t="n">
        <v>218036.957378566</v>
      </c>
      <c r="G1622" s="55" t="n">
        <v>253872.047418824</v>
      </c>
      <c r="H1622" s="56" t="str">
        <f>G1622-F1622</f>
      </c>
      <c r="I1622" s="57" t="n">
        <v>268085.447945834</v>
      </c>
      <c r="J1622" s="58" t="str">
        <f>I1622-E1622</f>
      </c>
    </row>
    <row r="1623">
      <c r="A1623" t="s">
        <v>75</v>
      </c>
      <c r="B1623" t="s">
        <v>334</v>
      </c>
      <c r="C1623" s="52" t="n">
        <v>2048</v>
      </c>
      <c r="D1623" t="s">
        <v>180</v>
      </c>
      <c r="E1623" s="53" t="n">
        <v>636848.547129051</v>
      </c>
      <c r="F1623" s="54" t="n">
        <v>410695.975526241</v>
      </c>
      <c r="G1623" s="55" t="n">
        <v>491307.709328566</v>
      </c>
      <c r="H1623" s="56" t="str">
        <f>G1623-F1623</f>
      </c>
      <c r="I1623" s="57" t="n">
        <v>795796.819401734</v>
      </c>
      <c r="J1623" s="58" t="str">
        <f>I1623-E1623</f>
      </c>
    </row>
    <row r="1624">
      <c r="A1624" t="s">
        <v>75</v>
      </c>
      <c r="B1624" t="s">
        <v>334</v>
      </c>
      <c r="C1624" s="52" t="n">
        <v>2048</v>
      </c>
      <c r="D1624" t="s">
        <v>184</v>
      </c>
      <c r="E1624" s="53" t="n">
        <v>323692.111199368</v>
      </c>
      <c r="F1624" s="54" t="n">
        <v>187826.273333953</v>
      </c>
      <c r="G1624" s="55" t="n">
        <v>211189.299415093</v>
      </c>
      <c r="H1624" s="56" t="str">
        <f>G1624-F1624</f>
      </c>
      <c r="I1624" s="57" t="n">
        <v>394306.234009074</v>
      </c>
      <c r="J1624" s="58" t="str">
        <f>I1624-E1624</f>
      </c>
    </row>
    <row r="1625">
      <c r="A1625" t="s">
        <v>75</v>
      </c>
      <c r="B1625" t="s">
        <v>334</v>
      </c>
      <c r="C1625" s="52" t="n">
        <v>2048</v>
      </c>
      <c r="D1625" t="s">
        <v>212</v>
      </c>
      <c r="E1625" s="53" t="n">
        <v>34279.1074936794</v>
      </c>
      <c r="F1625" s="54" t="n">
        <v>1810.61900292633</v>
      </c>
      <c r="G1625" s="55" t="n">
        <v>2112.66174533725</v>
      </c>
      <c r="H1625" s="56" t="str">
        <f>G1625-F1625</f>
      </c>
      <c r="I1625" s="57" t="n">
        <v>34278.8634968121</v>
      </c>
      <c r="J1625" s="58" t="str">
        <f>I1625-E1625</f>
      </c>
    </row>
    <row r="1626">
      <c r="A1626" t="s">
        <v>75</v>
      </c>
      <c r="B1626" t="s">
        <v>334</v>
      </c>
      <c r="C1626" s="52" t="n">
        <v>2049</v>
      </c>
      <c r="D1626" t="s">
        <v>190</v>
      </c>
      <c r="E1626" s="53" t="n">
        <v>26737.3645311536</v>
      </c>
      <c r="F1626" s="54" t="n">
        <v>16051.2010189755</v>
      </c>
      <c r="G1626" s="55" t="n">
        <v>17406.6591140935</v>
      </c>
      <c r="H1626" s="56" t="str">
        <f>G1626-F1626</f>
      </c>
      <c r="I1626" s="57" t="n">
        <v>25986.5373789525</v>
      </c>
      <c r="J1626" s="58" t="str">
        <f>I1626-E1626</f>
      </c>
    </row>
    <row r="1627">
      <c r="A1627" t="s">
        <v>75</v>
      </c>
      <c r="B1627" t="s">
        <v>334</v>
      </c>
      <c r="C1627" s="52" t="n">
        <v>2049</v>
      </c>
      <c r="D1627" t="s">
        <v>230</v>
      </c>
      <c r="E1627" s="53" t="n">
        <v>1301845.9273922</v>
      </c>
      <c r="F1627" s="54" t="n">
        <v>281995.083690046</v>
      </c>
      <c r="G1627" s="55" t="n">
        <v>321740.501148806</v>
      </c>
      <c r="H1627" s="56" t="str">
        <f>G1627-F1627</f>
      </c>
      <c r="I1627" s="57" t="n">
        <v>1290687.53512959</v>
      </c>
      <c r="J1627" s="58" t="str">
        <f>I1627-E1627</f>
      </c>
    </row>
    <row r="1628">
      <c r="A1628" t="s">
        <v>75</v>
      </c>
      <c r="B1628" t="s">
        <v>334</v>
      </c>
      <c r="C1628" s="52" t="n">
        <v>2049</v>
      </c>
      <c r="D1628" t="s">
        <v>166</v>
      </c>
      <c r="E1628" s="53" t="n">
        <v>119130.036714648</v>
      </c>
      <c r="F1628" s="54" t="n">
        <v>72679.7680424368</v>
      </c>
      <c r="G1628" s="55" t="n">
        <v>94546.8656755522</v>
      </c>
      <c r="H1628" s="56" t="str">
        <f>G1628-F1628</f>
      </c>
      <c r="I1628" s="57" t="n">
        <v>147882.099837348</v>
      </c>
      <c r="J1628" s="58" t="str">
        <f>I1628-E1628</f>
      </c>
    </row>
    <row r="1629">
      <c r="A1629" t="s">
        <v>75</v>
      </c>
      <c r="B1629" t="s">
        <v>334</v>
      </c>
      <c r="C1629" s="52" t="n">
        <v>2049</v>
      </c>
      <c r="D1629" t="s">
        <v>176</v>
      </c>
      <c r="E1629" s="53" t="n">
        <v>221935.83753933</v>
      </c>
      <c r="F1629" s="54" t="n">
        <v>215916.257870449</v>
      </c>
      <c r="G1629" s="55" t="n">
        <v>253105.506935702</v>
      </c>
      <c r="H1629" s="56" t="str">
        <f>G1629-F1629</f>
      </c>
      <c r="I1629" s="57" t="n">
        <v>267003.550155027</v>
      </c>
      <c r="J1629" s="58" t="str">
        <f>I1629-E1629</f>
      </c>
    </row>
    <row r="1630">
      <c r="A1630" t="s">
        <v>75</v>
      </c>
      <c r="B1630" t="s">
        <v>334</v>
      </c>
      <c r="C1630" s="52" t="n">
        <v>2049</v>
      </c>
      <c r="D1630" t="s">
        <v>180</v>
      </c>
      <c r="E1630" s="53" t="n">
        <v>635928.640735392</v>
      </c>
      <c r="F1630" s="54" t="n">
        <v>412664.517370079</v>
      </c>
      <c r="G1630" s="55" t="n">
        <v>498010.651524044</v>
      </c>
      <c r="H1630" s="56" t="str">
        <f>G1630-F1630</f>
      </c>
      <c r="I1630" s="57" t="n">
        <v>801596.853664258</v>
      </c>
      <c r="J1630" s="58" t="str">
        <f>I1630-E1630</f>
      </c>
    </row>
    <row r="1631">
      <c r="A1631" t="s">
        <v>75</v>
      </c>
      <c r="B1631" t="s">
        <v>334</v>
      </c>
      <c r="C1631" s="52" t="n">
        <v>2049</v>
      </c>
      <c r="D1631" t="s">
        <v>184</v>
      </c>
      <c r="E1631" s="53" t="n">
        <v>322691.286219466</v>
      </c>
      <c r="F1631" s="54" t="n">
        <v>188735.39401861</v>
      </c>
      <c r="G1631" s="55" t="n">
        <v>213580.236200068</v>
      </c>
      <c r="H1631" s="56" t="str">
        <f>G1631-F1631</f>
      </c>
      <c r="I1631" s="57" t="n">
        <v>396058.615955627</v>
      </c>
      <c r="J1631" s="58" t="str">
        <f>I1631-E1631</f>
      </c>
    </row>
    <row r="1632">
      <c r="A1632" t="s">
        <v>75</v>
      </c>
      <c r="B1632" t="s">
        <v>334</v>
      </c>
      <c r="C1632" s="52" t="n">
        <v>2049</v>
      </c>
      <c r="D1632" t="s">
        <v>212</v>
      </c>
      <c r="E1632" s="53" t="n">
        <v>34087.9766071626</v>
      </c>
      <c r="F1632" s="54" t="n">
        <v>1696.31674120346</v>
      </c>
      <c r="G1632" s="55" t="n">
        <v>1998.59223363335</v>
      </c>
      <c r="H1632" s="56" t="str">
        <f>G1632-F1632</f>
      </c>
      <c r="I1632" s="57" t="n">
        <v>34087.7627067011</v>
      </c>
      <c r="J1632" s="58" t="str">
        <f>I1632-E1632</f>
      </c>
    </row>
    <row r="1633">
      <c r="A1633" t="s">
        <v>75</v>
      </c>
      <c r="B1633" t="s">
        <v>334</v>
      </c>
      <c r="C1633" s="52" t="n">
        <v>2050</v>
      </c>
      <c r="D1633" t="s">
        <v>190</v>
      </c>
      <c r="E1633" s="53" t="n">
        <v>27529.3066731793</v>
      </c>
      <c r="F1633" s="54" t="n">
        <v>16433.1916168478</v>
      </c>
      <c r="G1633" s="55" t="n">
        <v>17828.637482456</v>
      </c>
      <c r="H1633" s="56" t="str">
        <f>G1633-F1633</f>
      </c>
      <c r="I1633" s="57" t="n">
        <v>26690.1101954068</v>
      </c>
      <c r="J1633" s="58" t="str">
        <f>I1633-E1633</f>
      </c>
    </row>
    <row r="1634">
      <c r="A1634" t="s">
        <v>75</v>
      </c>
      <c r="B1634" t="s">
        <v>334</v>
      </c>
      <c r="C1634" s="52" t="n">
        <v>2050</v>
      </c>
      <c r="D1634" t="s">
        <v>230</v>
      </c>
      <c r="E1634" s="53" t="n">
        <v>1309941.99024118</v>
      </c>
      <c r="F1634" s="54" t="n">
        <v>286738.717416388</v>
      </c>
      <c r="G1634" s="55" t="n">
        <v>328734.061465412</v>
      </c>
      <c r="H1634" s="56" t="str">
        <f>G1634-F1634</f>
      </c>
      <c r="I1634" s="57" t="n">
        <v>1297798.19122542</v>
      </c>
      <c r="J1634" s="58" t="str">
        <f>I1634-E1634</f>
      </c>
    </row>
    <row r="1635">
      <c r="A1635" t="s">
        <v>75</v>
      </c>
      <c r="B1635" t="s">
        <v>334</v>
      </c>
      <c r="C1635" s="52" t="n">
        <v>2050</v>
      </c>
      <c r="D1635" t="s">
        <v>166</v>
      </c>
      <c r="E1635" s="53" t="n">
        <v>119620.965571613</v>
      </c>
      <c r="F1635" s="54" t="n">
        <v>72762.3474347198</v>
      </c>
      <c r="G1635" s="55" t="n">
        <v>95625.9439694284</v>
      </c>
      <c r="H1635" s="56" t="str">
        <f>G1635-F1635</f>
      </c>
      <c r="I1635" s="57" t="n">
        <v>149549.878981469</v>
      </c>
      <c r="J1635" s="58" t="str">
        <f>I1635-E1635</f>
      </c>
    </row>
    <row r="1636">
      <c r="A1636" t="s">
        <v>75</v>
      </c>
      <c r="B1636" t="s">
        <v>334</v>
      </c>
      <c r="C1636" s="52" t="n">
        <v>2050</v>
      </c>
      <c r="D1636" t="s">
        <v>176</v>
      </c>
      <c r="E1636" s="53" t="n">
        <v>219660.044658536</v>
      </c>
      <c r="F1636" s="54" t="n">
        <v>213665.298866796</v>
      </c>
      <c r="G1636" s="55" t="n">
        <v>252158.933158969</v>
      </c>
      <c r="H1636" s="56" t="str">
        <f>G1636-F1636</f>
      </c>
      <c r="I1636" s="57" t="n">
        <v>266031.496410964</v>
      </c>
      <c r="J1636" s="58" t="str">
        <f>I1636-E1636</f>
      </c>
    </row>
    <row r="1637">
      <c r="A1637" t="s">
        <v>75</v>
      </c>
      <c r="B1637" t="s">
        <v>334</v>
      </c>
      <c r="C1637" s="52" t="n">
        <v>2050</v>
      </c>
      <c r="D1637" t="s">
        <v>180</v>
      </c>
      <c r="E1637" s="53" t="n">
        <v>636270.213330889</v>
      </c>
      <c r="F1637" s="54" t="n">
        <v>414022.995441545</v>
      </c>
      <c r="G1637" s="55" t="n">
        <v>504089.426791864</v>
      </c>
      <c r="H1637" s="56" t="str">
        <f>G1637-F1637</f>
      </c>
      <c r="I1637" s="57" t="n">
        <v>809018.722538968</v>
      </c>
      <c r="J1637" s="58" t="str">
        <f>I1637-E1637</f>
      </c>
    </row>
    <row r="1638">
      <c r="A1638" t="s">
        <v>75</v>
      </c>
      <c r="B1638" t="s">
        <v>334</v>
      </c>
      <c r="C1638" s="52" t="n">
        <v>2050</v>
      </c>
      <c r="D1638" t="s">
        <v>184</v>
      </c>
      <c r="E1638" s="53" t="n">
        <v>322213.161364115</v>
      </c>
      <c r="F1638" s="54" t="n">
        <v>189248.590726787</v>
      </c>
      <c r="G1638" s="55" t="n">
        <v>215570.737440482</v>
      </c>
      <c r="H1638" s="56" t="str">
        <f>G1638-F1638</f>
      </c>
      <c r="I1638" s="57" t="n">
        <v>398560.037918605</v>
      </c>
      <c r="J1638" s="58" t="str">
        <f>I1638-E1638</f>
      </c>
    </row>
    <row r="1639">
      <c r="A1639" t="s">
        <v>75</v>
      </c>
      <c r="B1639" t="s">
        <v>334</v>
      </c>
      <c r="C1639" s="52" t="n">
        <v>2050</v>
      </c>
      <c r="D1639" t="s">
        <v>212</v>
      </c>
      <c r="E1639" s="53" t="n">
        <v>33926.7017531768</v>
      </c>
      <c r="F1639" s="54" t="n">
        <v>1587.35839809237</v>
      </c>
      <c r="G1639" s="55" t="n">
        <v>1888.51500986557</v>
      </c>
      <c r="H1639" s="56" t="str">
        <f>G1639-F1639</f>
      </c>
      <c r="I1639" s="57" t="n">
        <v>33926.4790426967</v>
      </c>
      <c r="J1639" s="58" t="str">
        <f>I1639-E1639</f>
      </c>
    </row>
    <row r="1640">
      <c r="A1640" t="s">
        <v>72</v>
      </c>
      <c r="B1640" t="s">
        <v>335</v>
      </c>
      <c r="C1640" s="52" t="n">
        <v>2025</v>
      </c>
      <c r="D1640" t="s">
        <v>190</v>
      </c>
      <c r="E1640" s="53" t="n">
        <v>12176.1707137429</v>
      </c>
      <c r="F1640" s="54" t="n">
        <v>8959.2701472679</v>
      </c>
      <c r="G1640" s="55" t="n">
        <v>8959.2701472679</v>
      </c>
      <c r="H1640" s="56" t="str">
        <f>G1640-F1640</f>
      </c>
      <c r="I1640" s="57" t="n">
        <v>12176.1707137429</v>
      </c>
      <c r="J1640" s="58" t="str">
        <f>I1640-E1640</f>
      </c>
    </row>
    <row r="1641">
      <c r="A1641" t="s">
        <v>72</v>
      </c>
      <c r="B1641" t="s">
        <v>335</v>
      </c>
      <c r="C1641" s="52" t="n">
        <v>2025</v>
      </c>
      <c r="D1641" t="s">
        <v>230</v>
      </c>
      <c r="E1641" s="53" t="n">
        <v>1026758.5711338</v>
      </c>
      <c r="F1641" s="54" t="n">
        <v>129383.323210315</v>
      </c>
      <c r="G1641" s="55" t="n">
        <v>129383.323210315</v>
      </c>
      <c r="H1641" s="56" t="str">
        <f>G1641-F1641</f>
      </c>
      <c r="I1641" s="57" t="n">
        <v>1026758.5711338</v>
      </c>
      <c r="J1641" s="58" t="str">
        <f>I1641-E1641</f>
      </c>
    </row>
    <row r="1642">
      <c r="A1642" t="s">
        <v>72</v>
      </c>
      <c r="B1642" t="s">
        <v>335</v>
      </c>
      <c r="C1642" s="52" t="n">
        <v>2025</v>
      </c>
      <c r="D1642" t="s">
        <v>166</v>
      </c>
      <c r="E1642" s="53" t="n">
        <v>115291.159865467</v>
      </c>
      <c r="F1642" s="54" t="n">
        <v>67656.5589894958</v>
      </c>
      <c r="G1642" s="55" t="n">
        <v>67656.5589894958</v>
      </c>
      <c r="H1642" s="56" t="str">
        <f>G1642-F1642</f>
      </c>
      <c r="I1642" s="57" t="n">
        <v>115291.159865467</v>
      </c>
      <c r="J1642" s="58" t="str">
        <f>I1642-E1642</f>
      </c>
    </row>
    <row r="1643">
      <c r="A1643" t="s">
        <v>72</v>
      </c>
      <c r="B1643" t="s">
        <v>335</v>
      </c>
      <c r="C1643" s="52" t="n">
        <v>2025</v>
      </c>
      <c r="D1643" t="s">
        <v>176</v>
      </c>
      <c r="E1643" s="53" t="n">
        <v>281662.55341658</v>
      </c>
      <c r="F1643" s="54" t="n">
        <v>263295.70058044</v>
      </c>
      <c r="G1643" s="55" t="n">
        <v>263295.70058044</v>
      </c>
      <c r="H1643" s="56" t="str">
        <f>G1643-F1643</f>
      </c>
      <c r="I1643" s="57" t="n">
        <v>281662.55341658</v>
      </c>
      <c r="J1643" s="58" t="str">
        <f>I1643-E1643</f>
      </c>
    </row>
    <row r="1644">
      <c r="A1644" t="s">
        <v>72</v>
      </c>
      <c r="B1644" t="s">
        <v>335</v>
      </c>
      <c r="C1644" s="52" t="n">
        <v>2025</v>
      </c>
      <c r="D1644" t="s">
        <v>180</v>
      </c>
      <c r="E1644" s="53" t="n">
        <v>612171.634776233</v>
      </c>
      <c r="F1644" s="54" t="n">
        <v>335724.869793767</v>
      </c>
      <c r="G1644" s="55" t="n">
        <v>335724.869793767</v>
      </c>
      <c r="H1644" s="56" t="str">
        <f>G1644-F1644</f>
      </c>
      <c r="I1644" s="57" t="n">
        <v>612171.634776233</v>
      </c>
      <c r="J1644" s="58" t="str">
        <f>I1644-E1644</f>
      </c>
    </row>
    <row r="1645">
      <c r="A1645" t="s">
        <v>72</v>
      </c>
      <c r="B1645" t="s">
        <v>335</v>
      </c>
      <c r="C1645" s="52" t="n">
        <v>2025</v>
      </c>
      <c r="D1645" t="s">
        <v>184</v>
      </c>
      <c r="E1645" s="53" t="n">
        <v>339642.130126733</v>
      </c>
      <c r="F1645" s="54" t="n">
        <v>190841.880003208</v>
      </c>
      <c r="G1645" s="55" t="n">
        <v>190841.880003208</v>
      </c>
      <c r="H1645" s="56" t="str">
        <f>G1645-F1645</f>
      </c>
      <c r="I1645" s="57" t="n">
        <v>339642.130126733</v>
      </c>
      <c r="J1645" s="58" t="str">
        <f>I1645-E1645</f>
      </c>
    </row>
    <row r="1646">
      <c r="A1646" t="s">
        <v>72</v>
      </c>
      <c r="B1646" t="s">
        <v>335</v>
      </c>
      <c r="C1646" s="52" t="n">
        <v>2025</v>
      </c>
      <c r="D1646" t="s">
        <v>212</v>
      </c>
      <c r="E1646" s="53" t="n">
        <v>39660.8365474078</v>
      </c>
      <c r="F1646" s="54" t="n">
        <v>5303.42230174402</v>
      </c>
      <c r="G1646" s="55" t="n">
        <v>5303.42230174402</v>
      </c>
      <c r="H1646" s="56" t="str">
        <f>G1646-F1646</f>
      </c>
      <c r="I1646" s="57" t="n">
        <v>39660.8365474078</v>
      </c>
      <c r="J1646" s="58" t="str">
        <f>I1646-E1646</f>
      </c>
    </row>
    <row r="1647">
      <c r="A1647" t="s">
        <v>72</v>
      </c>
      <c r="B1647" t="s">
        <v>335</v>
      </c>
      <c r="C1647" s="52" t="n">
        <v>2026</v>
      </c>
      <c r="D1647" t="s">
        <v>190</v>
      </c>
      <c r="E1647" s="53" t="n">
        <v>12568.9386470114</v>
      </c>
      <c r="F1647" s="54" t="n">
        <v>9271.1333627081</v>
      </c>
      <c r="G1647" s="55" t="n">
        <v>9271.1333627081</v>
      </c>
      <c r="H1647" s="56" t="str">
        <f>G1647-F1647</f>
      </c>
      <c r="I1647" s="57" t="n">
        <v>12568.9386470114</v>
      </c>
      <c r="J1647" s="58" t="str">
        <f>I1647-E1647</f>
      </c>
    </row>
    <row r="1648">
      <c r="A1648" t="s">
        <v>72</v>
      </c>
      <c r="B1648" t="s">
        <v>335</v>
      </c>
      <c r="C1648" s="52" t="n">
        <v>2026</v>
      </c>
      <c r="D1648" t="s">
        <v>230</v>
      </c>
      <c r="E1648" s="53" t="n">
        <v>1042135.18581351</v>
      </c>
      <c r="F1648" s="54" t="n">
        <v>137145.828958788</v>
      </c>
      <c r="G1648" s="55" t="n">
        <v>137145.828958788</v>
      </c>
      <c r="H1648" s="56" t="str">
        <f>G1648-F1648</f>
      </c>
      <c r="I1648" s="57" t="n">
        <v>1042135.18581351</v>
      </c>
      <c r="J1648" s="58" t="str">
        <f>I1648-E1648</f>
      </c>
    </row>
    <row r="1649">
      <c r="A1649" t="s">
        <v>72</v>
      </c>
      <c r="B1649" t="s">
        <v>335</v>
      </c>
      <c r="C1649" s="52" t="n">
        <v>2026</v>
      </c>
      <c r="D1649" t="s">
        <v>166</v>
      </c>
      <c r="E1649" s="53" t="n">
        <v>114707.986926294</v>
      </c>
      <c r="F1649" s="54" t="n">
        <v>70326.6034535198</v>
      </c>
      <c r="G1649" s="55" t="n">
        <v>70326.6034535198</v>
      </c>
      <c r="H1649" s="56" t="str">
        <f>G1649-F1649</f>
      </c>
      <c r="I1649" s="57" t="n">
        <v>114707.986926294</v>
      </c>
      <c r="J1649" s="58" t="str">
        <f>I1649-E1649</f>
      </c>
    </row>
    <row r="1650">
      <c r="A1650" t="s">
        <v>72</v>
      </c>
      <c r="B1650" t="s">
        <v>335</v>
      </c>
      <c r="C1650" s="52" t="n">
        <v>2026</v>
      </c>
      <c r="D1650" t="s">
        <v>176</v>
      </c>
      <c r="E1650" s="53" t="n">
        <v>282722.537860884</v>
      </c>
      <c r="F1650" s="54" t="n">
        <v>259504.468011332</v>
      </c>
      <c r="G1650" s="55" t="n">
        <v>259504.468011332</v>
      </c>
      <c r="H1650" s="56" t="str">
        <f>G1650-F1650</f>
      </c>
      <c r="I1650" s="57" t="n">
        <v>282722.537860884</v>
      </c>
      <c r="J1650" s="58" t="str">
        <f>I1650-E1650</f>
      </c>
    </row>
    <row r="1651">
      <c r="A1651" t="s">
        <v>72</v>
      </c>
      <c r="B1651" t="s">
        <v>335</v>
      </c>
      <c r="C1651" s="52" t="n">
        <v>2026</v>
      </c>
      <c r="D1651" t="s">
        <v>180</v>
      </c>
      <c r="E1651" s="53" t="n">
        <v>616790.029155755</v>
      </c>
      <c r="F1651" s="54" t="n">
        <v>342960.135281865</v>
      </c>
      <c r="G1651" s="55" t="n">
        <v>342960.135281865</v>
      </c>
      <c r="H1651" s="56" t="str">
        <f>G1651-F1651</f>
      </c>
      <c r="I1651" s="57" t="n">
        <v>616790.029155755</v>
      </c>
      <c r="J1651" s="58" t="str">
        <f>I1651-E1651</f>
      </c>
    </row>
    <row r="1652">
      <c r="A1652" t="s">
        <v>72</v>
      </c>
      <c r="B1652" t="s">
        <v>335</v>
      </c>
      <c r="C1652" s="52" t="n">
        <v>2026</v>
      </c>
      <c r="D1652" t="s">
        <v>184</v>
      </c>
      <c r="E1652" s="53" t="n">
        <v>338499.069421602</v>
      </c>
      <c r="F1652" s="54" t="n">
        <v>190574.613818848</v>
      </c>
      <c r="G1652" s="55" t="n">
        <v>190574.613818848</v>
      </c>
      <c r="H1652" s="56" t="str">
        <f>G1652-F1652</f>
      </c>
      <c r="I1652" s="57" t="n">
        <v>338499.069421602</v>
      </c>
      <c r="J1652" s="58" t="str">
        <f>I1652-E1652</f>
      </c>
    </row>
    <row r="1653">
      <c r="A1653" t="s">
        <v>72</v>
      </c>
      <c r="B1653" t="s">
        <v>335</v>
      </c>
      <c r="C1653" s="52" t="n">
        <v>2026</v>
      </c>
      <c r="D1653" t="s">
        <v>212</v>
      </c>
      <c r="E1653" s="53" t="n">
        <v>39250.6670180049</v>
      </c>
      <c r="F1653" s="54" t="n">
        <v>5105.60955478559</v>
      </c>
      <c r="G1653" s="55" t="n">
        <v>5105.60955478559</v>
      </c>
      <c r="H1653" s="56" t="str">
        <f>G1653-F1653</f>
      </c>
      <c r="I1653" s="57" t="n">
        <v>39250.6670180049</v>
      </c>
      <c r="J1653" s="58" t="str">
        <f>I1653-E1653</f>
      </c>
    </row>
    <row r="1654">
      <c r="A1654" t="s">
        <v>72</v>
      </c>
      <c r="B1654" t="s">
        <v>335</v>
      </c>
      <c r="C1654" s="52" t="n">
        <v>2027</v>
      </c>
      <c r="D1654" t="s">
        <v>190</v>
      </c>
      <c r="E1654" s="53" t="n">
        <v>12976.1031133633</v>
      </c>
      <c r="F1654" s="54" t="n">
        <v>9577.52965486433</v>
      </c>
      <c r="G1654" s="55" t="n">
        <v>9577.52965486433</v>
      </c>
      <c r="H1654" s="56" t="str">
        <f>G1654-F1654</f>
      </c>
      <c r="I1654" s="57" t="n">
        <v>12976.1031133633</v>
      </c>
      <c r="J1654" s="58" t="str">
        <f>I1654-E1654</f>
      </c>
    </row>
    <row r="1655">
      <c r="A1655" t="s">
        <v>72</v>
      </c>
      <c r="B1655" t="s">
        <v>335</v>
      </c>
      <c r="C1655" s="52" t="n">
        <v>2027</v>
      </c>
      <c r="D1655" t="s">
        <v>230</v>
      </c>
      <c r="E1655" s="53" t="n">
        <v>1057148.31873483</v>
      </c>
      <c r="F1655" s="54" t="n">
        <v>145009.441994705</v>
      </c>
      <c r="G1655" s="55" t="n">
        <v>145009.441994705</v>
      </c>
      <c r="H1655" s="56" t="str">
        <f>G1655-F1655</f>
      </c>
      <c r="I1655" s="57" t="n">
        <v>1057148.31873483</v>
      </c>
      <c r="J1655" s="58" t="str">
        <f>I1655-E1655</f>
      </c>
    </row>
    <row r="1656">
      <c r="A1656" t="s">
        <v>72</v>
      </c>
      <c r="B1656" t="s">
        <v>335</v>
      </c>
      <c r="C1656" s="52" t="n">
        <v>2027</v>
      </c>
      <c r="D1656" t="s">
        <v>166</v>
      </c>
      <c r="E1656" s="53" t="n">
        <v>114152.944165875</v>
      </c>
      <c r="F1656" s="54" t="n">
        <v>72290.1699912091</v>
      </c>
      <c r="G1656" s="55" t="n">
        <v>72290.1699912091</v>
      </c>
      <c r="H1656" s="56" t="str">
        <f>G1656-F1656</f>
      </c>
      <c r="I1656" s="57" t="n">
        <v>114152.944165875</v>
      </c>
      <c r="J1656" s="58" t="str">
        <f>I1656-E1656</f>
      </c>
    </row>
    <row r="1657">
      <c r="A1657" t="s">
        <v>72</v>
      </c>
      <c r="B1657" t="s">
        <v>335</v>
      </c>
      <c r="C1657" s="52" t="n">
        <v>2027</v>
      </c>
      <c r="D1657" t="s">
        <v>176</v>
      </c>
      <c r="E1657" s="53" t="n">
        <v>277877.509454571</v>
      </c>
      <c r="F1657" s="54" t="n">
        <v>260330.421136777</v>
      </c>
      <c r="G1657" s="55" t="n">
        <v>260330.421136777</v>
      </c>
      <c r="H1657" s="56" t="str">
        <f>G1657-F1657</f>
      </c>
      <c r="I1657" s="57" t="n">
        <v>277877.509454571</v>
      </c>
      <c r="J1657" s="58" t="str">
        <f>I1657-E1657</f>
      </c>
    </row>
    <row r="1658">
      <c r="A1658" t="s">
        <v>72</v>
      </c>
      <c r="B1658" t="s">
        <v>335</v>
      </c>
      <c r="C1658" s="52" t="n">
        <v>2027</v>
      </c>
      <c r="D1658" t="s">
        <v>180</v>
      </c>
      <c r="E1658" s="53" t="n">
        <v>621430.902801161</v>
      </c>
      <c r="F1658" s="54" t="n">
        <v>349405.300730343</v>
      </c>
      <c r="G1658" s="55" t="n">
        <v>349405.300730343</v>
      </c>
      <c r="H1658" s="56" t="str">
        <f>G1658-F1658</f>
      </c>
      <c r="I1658" s="57" t="n">
        <v>621430.902801161</v>
      </c>
      <c r="J1658" s="58" t="str">
        <f>I1658-E1658</f>
      </c>
    </row>
    <row r="1659">
      <c r="A1659" t="s">
        <v>72</v>
      </c>
      <c r="B1659" t="s">
        <v>335</v>
      </c>
      <c r="C1659" s="52" t="n">
        <v>2027</v>
      </c>
      <c r="D1659" t="s">
        <v>184</v>
      </c>
      <c r="E1659" s="53" t="n">
        <v>337398.949071723</v>
      </c>
      <c r="F1659" s="54" t="n">
        <v>189031.100445512</v>
      </c>
      <c r="G1659" s="55" t="n">
        <v>189031.100445512</v>
      </c>
      <c r="H1659" s="56" t="str">
        <f>G1659-F1659</f>
      </c>
      <c r="I1659" s="57" t="n">
        <v>337398.949071723</v>
      </c>
      <c r="J1659" s="58" t="str">
        <f>I1659-E1659</f>
      </c>
    </row>
    <row r="1660">
      <c r="A1660" t="s">
        <v>72</v>
      </c>
      <c r="B1660" t="s">
        <v>335</v>
      </c>
      <c r="C1660" s="52" t="n">
        <v>2027</v>
      </c>
      <c r="D1660" t="s">
        <v>212</v>
      </c>
      <c r="E1660" s="53" t="n">
        <v>38773.6271863431</v>
      </c>
      <c r="F1660" s="54" t="n">
        <v>4921.4971535539</v>
      </c>
      <c r="G1660" s="55" t="n">
        <v>4921.4971535539</v>
      </c>
      <c r="H1660" s="56" t="str">
        <f>G1660-F1660</f>
      </c>
      <c r="I1660" s="57" t="n">
        <v>38773.6271863431</v>
      </c>
      <c r="J1660" s="58" t="str">
        <f>I1660-E1660</f>
      </c>
    </row>
    <row r="1661">
      <c r="A1661" t="s">
        <v>72</v>
      </c>
      <c r="B1661" t="s">
        <v>335</v>
      </c>
      <c r="C1661" s="52" t="n">
        <v>2028</v>
      </c>
      <c r="D1661" t="s">
        <v>190</v>
      </c>
      <c r="E1661" s="53" t="n">
        <v>13394.6739315754</v>
      </c>
      <c r="F1661" s="54" t="n">
        <v>9881.92201892528</v>
      </c>
      <c r="G1661" s="55" t="n">
        <v>9881.92201892528</v>
      </c>
      <c r="H1661" s="56" t="str">
        <f>G1661-F1661</f>
      </c>
      <c r="I1661" s="57" t="n">
        <v>13394.6739315754</v>
      </c>
      <c r="J1661" s="58" t="str">
        <f>I1661-E1661</f>
      </c>
    </row>
    <row r="1662">
      <c r="A1662" t="s">
        <v>72</v>
      </c>
      <c r="B1662" t="s">
        <v>335</v>
      </c>
      <c r="C1662" s="52" t="n">
        <v>2028</v>
      </c>
      <c r="D1662" t="s">
        <v>230</v>
      </c>
      <c r="E1662" s="53" t="n">
        <v>1071826.12505593</v>
      </c>
      <c r="F1662" s="54" t="n">
        <v>152971.729388998</v>
      </c>
      <c r="G1662" s="55" t="n">
        <v>152971.729388998</v>
      </c>
      <c r="H1662" s="56" t="str">
        <f>G1662-F1662</f>
      </c>
      <c r="I1662" s="57" t="n">
        <v>1071826.12505593</v>
      </c>
      <c r="J1662" s="58" t="str">
        <f>I1662-E1662</f>
      </c>
    </row>
    <row r="1663">
      <c r="A1663" t="s">
        <v>72</v>
      </c>
      <c r="B1663" t="s">
        <v>335</v>
      </c>
      <c r="C1663" s="52" t="n">
        <v>2028</v>
      </c>
      <c r="D1663" t="s">
        <v>166</v>
      </c>
      <c r="E1663" s="53" t="n">
        <v>114139.122924862</v>
      </c>
      <c r="F1663" s="54" t="n">
        <v>73846.8742094397</v>
      </c>
      <c r="G1663" s="55" t="n">
        <v>73846.8742094397</v>
      </c>
      <c r="H1663" s="56" t="str">
        <f>G1663-F1663</f>
      </c>
      <c r="I1663" s="57" t="n">
        <v>114139.122924862</v>
      </c>
      <c r="J1663" s="58" t="str">
        <f>I1663-E1663</f>
      </c>
    </row>
    <row r="1664">
      <c r="A1664" t="s">
        <v>72</v>
      </c>
      <c r="B1664" t="s">
        <v>335</v>
      </c>
      <c r="C1664" s="52" t="n">
        <v>2028</v>
      </c>
      <c r="D1664" t="s">
        <v>176</v>
      </c>
      <c r="E1664" s="53" t="n">
        <v>277735.696141204</v>
      </c>
      <c r="F1664" s="54" t="n">
        <v>257765.323271705</v>
      </c>
      <c r="G1664" s="55" t="n">
        <v>257765.323271705</v>
      </c>
      <c r="H1664" s="56" t="str">
        <f>G1664-F1664</f>
      </c>
      <c r="I1664" s="57" t="n">
        <v>277735.696141204</v>
      </c>
      <c r="J1664" s="58" t="str">
        <f>I1664-E1664</f>
      </c>
    </row>
    <row r="1665">
      <c r="A1665" t="s">
        <v>72</v>
      </c>
      <c r="B1665" t="s">
        <v>335</v>
      </c>
      <c r="C1665" s="52" t="n">
        <v>2028</v>
      </c>
      <c r="D1665" t="s">
        <v>180</v>
      </c>
      <c r="E1665" s="53" t="n">
        <v>627723.844155296</v>
      </c>
      <c r="F1665" s="54" t="n">
        <v>356159.252906041</v>
      </c>
      <c r="G1665" s="55" t="n">
        <v>356159.252906041</v>
      </c>
      <c r="H1665" s="56" t="str">
        <f>G1665-F1665</f>
      </c>
      <c r="I1665" s="57" t="n">
        <v>627723.844155296</v>
      </c>
      <c r="J1665" s="58" t="str">
        <f>I1665-E1665</f>
      </c>
    </row>
    <row r="1666">
      <c r="A1666" t="s">
        <v>72</v>
      </c>
      <c r="B1666" t="s">
        <v>335</v>
      </c>
      <c r="C1666" s="52" t="n">
        <v>2028</v>
      </c>
      <c r="D1666" t="s">
        <v>184</v>
      </c>
      <c r="E1666" s="53" t="n">
        <v>337514.695524676</v>
      </c>
      <c r="F1666" s="54" t="n">
        <v>187116.639879467</v>
      </c>
      <c r="G1666" s="55" t="n">
        <v>187116.639879467</v>
      </c>
      <c r="H1666" s="56" t="str">
        <f>G1666-F1666</f>
      </c>
      <c r="I1666" s="57" t="n">
        <v>337514.695524676</v>
      </c>
      <c r="J1666" s="58" t="str">
        <f>I1666-E1666</f>
      </c>
    </row>
    <row r="1667">
      <c r="A1667" t="s">
        <v>72</v>
      </c>
      <c r="B1667" t="s">
        <v>335</v>
      </c>
      <c r="C1667" s="52" t="n">
        <v>2028</v>
      </c>
      <c r="D1667" t="s">
        <v>212</v>
      </c>
      <c r="E1667" s="53" t="n">
        <v>38149.2915792319</v>
      </c>
      <c r="F1667" s="54" t="n">
        <v>4742.08557297834</v>
      </c>
      <c r="G1667" s="55" t="n">
        <v>4742.08557297834</v>
      </c>
      <c r="H1667" s="56" t="str">
        <f>G1667-F1667</f>
      </c>
      <c r="I1667" s="57" t="n">
        <v>38149.2915792319</v>
      </c>
      <c r="J1667" s="58" t="str">
        <f>I1667-E1667</f>
      </c>
    </row>
    <row r="1668">
      <c r="A1668" t="s">
        <v>72</v>
      </c>
      <c r="B1668" t="s">
        <v>335</v>
      </c>
      <c r="C1668" s="52" t="n">
        <v>2029</v>
      </c>
      <c r="D1668" t="s">
        <v>190</v>
      </c>
      <c r="E1668" s="53" t="n">
        <v>13830.0485982781</v>
      </c>
      <c r="F1668" s="54" t="n">
        <v>10188.394886281</v>
      </c>
      <c r="G1668" s="55" t="n">
        <v>10188.394886281</v>
      </c>
      <c r="H1668" s="56" t="str">
        <f>G1668-F1668</f>
      </c>
      <c r="I1668" s="57" t="n">
        <v>13830.0485982781</v>
      </c>
      <c r="J1668" s="58" t="str">
        <f>I1668-E1668</f>
      </c>
    </row>
    <row r="1669">
      <c r="A1669" t="s">
        <v>72</v>
      </c>
      <c r="B1669" t="s">
        <v>335</v>
      </c>
      <c r="C1669" s="52" t="n">
        <v>2029</v>
      </c>
      <c r="D1669" t="s">
        <v>230</v>
      </c>
      <c r="E1669" s="53" t="n">
        <v>1086200.50099061</v>
      </c>
      <c r="F1669" s="54" t="n">
        <v>161038.227687319</v>
      </c>
      <c r="G1669" s="55" t="n">
        <v>161038.227687319</v>
      </c>
      <c r="H1669" s="56" t="str">
        <f>G1669-F1669</f>
      </c>
      <c r="I1669" s="57" t="n">
        <v>1086200.50099061</v>
      </c>
      <c r="J1669" s="58" t="str">
        <f>I1669-E1669</f>
      </c>
    </row>
    <row r="1670">
      <c r="A1670" t="s">
        <v>72</v>
      </c>
      <c r="B1670" t="s">
        <v>335</v>
      </c>
      <c r="C1670" s="52" t="n">
        <v>2029</v>
      </c>
      <c r="D1670" t="s">
        <v>166</v>
      </c>
      <c r="E1670" s="53" t="n">
        <v>114048.155335882</v>
      </c>
      <c r="F1670" s="54" t="n">
        <v>75452.2225775915</v>
      </c>
      <c r="G1670" s="55" t="n">
        <v>75452.2225775915</v>
      </c>
      <c r="H1670" s="56" t="str">
        <f>G1670-F1670</f>
      </c>
      <c r="I1670" s="57" t="n">
        <v>114048.155335882</v>
      </c>
      <c r="J1670" s="58" t="str">
        <f>I1670-E1670</f>
      </c>
    </row>
    <row r="1671">
      <c r="A1671" t="s">
        <v>72</v>
      </c>
      <c r="B1671" t="s">
        <v>335</v>
      </c>
      <c r="C1671" s="52" t="n">
        <v>2029</v>
      </c>
      <c r="D1671" t="s">
        <v>176</v>
      </c>
      <c r="E1671" s="53" t="n">
        <v>275821.082992428</v>
      </c>
      <c r="F1671" s="54" t="n">
        <v>258334.317394862</v>
      </c>
      <c r="G1671" s="55" t="n">
        <v>258334.317394862</v>
      </c>
      <c r="H1671" s="56" t="str">
        <f>G1671-F1671</f>
      </c>
      <c r="I1671" s="57" t="n">
        <v>275821.082992428</v>
      </c>
      <c r="J1671" s="58" t="str">
        <f>I1671-E1671</f>
      </c>
    </row>
    <row r="1672">
      <c r="A1672" t="s">
        <v>72</v>
      </c>
      <c r="B1672" t="s">
        <v>335</v>
      </c>
      <c r="C1672" s="52" t="n">
        <v>2029</v>
      </c>
      <c r="D1672" t="s">
        <v>180</v>
      </c>
      <c r="E1672" s="53" t="n">
        <v>630779.369985079</v>
      </c>
      <c r="F1672" s="54" t="n">
        <v>363892.268279926</v>
      </c>
      <c r="G1672" s="55" t="n">
        <v>363892.268279926</v>
      </c>
      <c r="H1672" s="56" t="str">
        <f>G1672-F1672</f>
      </c>
      <c r="I1672" s="57" t="n">
        <v>630779.369985079</v>
      </c>
      <c r="J1672" s="58" t="str">
        <f>I1672-E1672</f>
      </c>
    </row>
    <row r="1673">
      <c r="A1673" t="s">
        <v>72</v>
      </c>
      <c r="B1673" t="s">
        <v>335</v>
      </c>
      <c r="C1673" s="52" t="n">
        <v>2029</v>
      </c>
      <c r="D1673" t="s">
        <v>184</v>
      </c>
      <c r="E1673" s="53" t="n">
        <v>335921.292831796</v>
      </c>
      <c r="F1673" s="54" t="n">
        <v>186821.560087492</v>
      </c>
      <c r="G1673" s="55" t="n">
        <v>186821.560087492</v>
      </c>
      <c r="H1673" s="56" t="str">
        <f>G1673-F1673</f>
      </c>
      <c r="I1673" s="57" t="n">
        <v>335921.292831796</v>
      </c>
      <c r="J1673" s="58" t="str">
        <f>I1673-E1673</f>
      </c>
    </row>
    <row r="1674">
      <c r="A1674" t="s">
        <v>72</v>
      </c>
      <c r="B1674" t="s">
        <v>335</v>
      </c>
      <c r="C1674" s="52" t="n">
        <v>2029</v>
      </c>
      <c r="D1674" t="s">
        <v>212</v>
      </c>
      <c r="E1674" s="53" t="n">
        <v>37777.4672189776</v>
      </c>
      <c r="F1674" s="54" t="n">
        <v>4604.06814831639</v>
      </c>
      <c r="G1674" s="55" t="n">
        <v>4604.06814831639</v>
      </c>
      <c r="H1674" s="56" t="str">
        <f>G1674-F1674</f>
      </c>
      <c r="I1674" s="57" t="n">
        <v>37777.4672189776</v>
      </c>
      <c r="J1674" s="58" t="str">
        <f>I1674-E1674</f>
      </c>
    </row>
    <row r="1675">
      <c r="A1675" t="s">
        <v>72</v>
      </c>
      <c r="B1675" t="s">
        <v>335</v>
      </c>
      <c r="C1675" s="52" t="n">
        <v>2030</v>
      </c>
      <c r="D1675" t="s">
        <v>190</v>
      </c>
      <c r="E1675" s="53" t="n">
        <v>14281.9590395355</v>
      </c>
      <c r="F1675" s="54" t="n">
        <v>10500.2867221377</v>
      </c>
      <c r="G1675" s="55" t="n">
        <v>10500.2867221377</v>
      </c>
      <c r="H1675" s="56" t="str">
        <f>G1675-F1675</f>
      </c>
      <c r="I1675" s="57" t="n">
        <v>14281.9590395355</v>
      </c>
      <c r="J1675" s="58" t="str">
        <f>I1675-E1675</f>
      </c>
    </row>
    <row r="1676">
      <c r="A1676" t="s">
        <v>72</v>
      </c>
      <c r="B1676" t="s">
        <v>335</v>
      </c>
      <c r="C1676" s="52" t="n">
        <v>2030</v>
      </c>
      <c r="D1676" t="s">
        <v>230</v>
      </c>
      <c r="E1676" s="53" t="n">
        <v>1100191.78654723</v>
      </c>
      <c r="F1676" s="54" t="n">
        <v>169196.385350075</v>
      </c>
      <c r="G1676" s="55" t="n">
        <v>169196.385350075</v>
      </c>
      <c r="H1676" s="56" t="str">
        <f>G1676-F1676</f>
      </c>
      <c r="I1676" s="57" t="n">
        <v>1100191.78654723</v>
      </c>
      <c r="J1676" s="58" t="str">
        <f>I1676-E1676</f>
      </c>
    </row>
    <row r="1677">
      <c r="A1677" t="s">
        <v>72</v>
      </c>
      <c r="B1677" t="s">
        <v>335</v>
      </c>
      <c r="C1677" s="52" t="n">
        <v>2030</v>
      </c>
      <c r="D1677" t="s">
        <v>166</v>
      </c>
      <c r="E1677" s="53" t="n">
        <v>114781.951575614</v>
      </c>
      <c r="F1677" s="54" t="n">
        <v>76004.3747737111</v>
      </c>
      <c r="G1677" s="55" t="n">
        <v>76004.3747737111</v>
      </c>
      <c r="H1677" s="56" t="str">
        <f>G1677-F1677</f>
      </c>
      <c r="I1677" s="57" t="n">
        <v>114781.951575614</v>
      </c>
      <c r="J1677" s="58" t="str">
        <f>I1677-E1677</f>
      </c>
    </row>
    <row r="1678">
      <c r="A1678" t="s">
        <v>72</v>
      </c>
      <c r="B1678" t="s">
        <v>335</v>
      </c>
      <c r="C1678" s="52" t="n">
        <v>2030</v>
      </c>
      <c r="D1678" t="s">
        <v>176</v>
      </c>
      <c r="E1678" s="53" t="n">
        <v>275750.816549508</v>
      </c>
      <c r="F1678" s="54" t="n">
        <v>257411.197787159</v>
      </c>
      <c r="G1678" s="55" t="n">
        <v>257411.197787159</v>
      </c>
      <c r="H1678" s="56" t="str">
        <f>G1678-F1678</f>
      </c>
      <c r="I1678" s="57" t="n">
        <v>275750.816549508</v>
      </c>
      <c r="J1678" s="58" t="str">
        <f>I1678-E1678</f>
      </c>
    </row>
    <row r="1679">
      <c r="A1679" t="s">
        <v>72</v>
      </c>
      <c r="B1679" t="s">
        <v>335</v>
      </c>
      <c r="C1679" s="52" t="n">
        <v>2030</v>
      </c>
      <c r="D1679" t="s">
        <v>180</v>
      </c>
      <c r="E1679" s="53" t="n">
        <v>638199.367226914</v>
      </c>
      <c r="F1679" s="54" t="n">
        <v>368920.443479077</v>
      </c>
      <c r="G1679" s="55" t="n">
        <v>368920.443479077</v>
      </c>
      <c r="H1679" s="56" t="str">
        <f>G1679-F1679</f>
      </c>
      <c r="I1679" s="57" t="n">
        <v>638199.367226914</v>
      </c>
      <c r="J1679" s="58" t="str">
        <f>I1679-E1679</f>
      </c>
    </row>
    <row r="1680">
      <c r="A1680" t="s">
        <v>72</v>
      </c>
      <c r="B1680" t="s">
        <v>335</v>
      </c>
      <c r="C1680" s="52" t="n">
        <v>2030</v>
      </c>
      <c r="D1680" t="s">
        <v>184</v>
      </c>
      <c r="E1680" s="53" t="n">
        <v>337374.946866334</v>
      </c>
      <c r="F1680" s="54" t="n">
        <v>185442.493190957</v>
      </c>
      <c r="G1680" s="55" t="n">
        <v>185442.493190957</v>
      </c>
      <c r="H1680" s="56" t="str">
        <f>G1680-F1680</f>
      </c>
      <c r="I1680" s="57" t="n">
        <v>337374.946866334</v>
      </c>
      <c r="J1680" s="58" t="str">
        <f>I1680-E1680</f>
      </c>
    </row>
    <row r="1681">
      <c r="A1681" t="s">
        <v>72</v>
      </c>
      <c r="B1681" t="s">
        <v>335</v>
      </c>
      <c r="C1681" s="52" t="n">
        <v>2030</v>
      </c>
      <c r="D1681" t="s">
        <v>212</v>
      </c>
      <c r="E1681" s="53" t="n">
        <v>38012.6736377562</v>
      </c>
      <c r="F1681" s="54" t="n">
        <v>4432.1168533299</v>
      </c>
      <c r="G1681" s="55" t="n">
        <v>4432.1168533299</v>
      </c>
      <c r="H1681" s="56" t="str">
        <f>G1681-F1681</f>
      </c>
      <c r="I1681" s="57" t="n">
        <v>38012.6736377562</v>
      </c>
      <c r="J1681" s="58" t="str">
        <f>I1681-E1681</f>
      </c>
    </row>
    <row r="1682">
      <c r="A1682" t="s">
        <v>72</v>
      </c>
      <c r="B1682" t="s">
        <v>335</v>
      </c>
      <c r="C1682" s="52" t="n">
        <v>2031</v>
      </c>
      <c r="D1682" t="s">
        <v>190</v>
      </c>
      <c r="E1682" s="53" t="n">
        <v>14754.4294987798</v>
      </c>
      <c r="F1682" s="54" t="n">
        <v>10814.9178976517</v>
      </c>
      <c r="G1682" s="55" t="n">
        <v>10814.9178976517</v>
      </c>
      <c r="H1682" s="56" t="str">
        <f>G1682-F1682</f>
      </c>
      <c r="I1682" s="57" t="n">
        <v>14754.4294987798</v>
      </c>
      <c r="J1682" s="58" t="str">
        <f>I1682-E1682</f>
      </c>
    </row>
    <row r="1683">
      <c r="A1683" t="s">
        <v>72</v>
      </c>
      <c r="B1683" t="s">
        <v>335</v>
      </c>
      <c r="C1683" s="52" t="n">
        <v>2031</v>
      </c>
      <c r="D1683" t="s">
        <v>230</v>
      </c>
      <c r="E1683" s="53" t="n">
        <v>1113725.22635968</v>
      </c>
      <c r="F1683" s="54" t="n">
        <v>177420.195676039</v>
      </c>
      <c r="G1683" s="55" t="n">
        <v>177420.195676039</v>
      </c>
      <c r="H1683" s="56" t="str">
        <f>G1683-F1683</f>
      </c>
      <c r="I1683" s="57" t="n">
        <v>1113725.22635968</v>
      </c>
      <c r="J1683" s="58" t="str">
        <f>I1683-E1683</f>
      </c>
    </row>
    <row r="1684">
      <c r="A1684" t="s">
        <v>72</v>
      </c>
      <c r="B1684" t="s">
        <v>335</v>
      </c>
      <c r="C1684" s="52" t="n">
        <v>2031</v>
      </c>
      <c r="D1684" t="s">
        <v>166</v>
      </c>
      <c r="E1684" s="53" t="n">
        <v>115757.018858842</v>
      </c>
      <c r="F1684" s="54" t="n">
        <v>76556.6280135149</v>
      </c>
      <c r="G1684" s="55" t="n">
        <v>76556.6280135149</v>
      </c>
      <c r="H1684" s="56" t="str">
        <f>G1684-F1684</f>
      </c>
      <c r="I1684" s="57" t="n">
        <v>115757.018858842</v>
      </c>
      <c r="J1684" s="58" t="str">
        <f>I1684-E1684</f>
      </c>
    </row>
    <row r="1685">
      <c r="A1685" t="s">
        <v>72</v>
      </c>
      <c r="B1685" t="s">
        <v>335</v>
      </c>
      <c r="C1685" s="52" t="n">
        <v>2031</v>
      </c>
      <c r="D1685" t="s">
        <v>176</v>
      </c>
      <c r="E1685" s="53" t="n">
        <v>274719.77758767</v>
      </c>
      <c r="F1685" s="54" t="n">
        <v>257245.005480193</v>
      </c>
      <c r="G1685" s="55" t="n">
        <v>257245.005480193</v>
      </c>
      <c r="H1685" s="56" t="str">
        <f>G1685-F1685</f>
      </c>
      <c r="I1685" s="57" t="n">
        <v>274719.77758767</v>
      </c>
      <c r="J1685" s="58" t="str">
        <f>I1685-E1685</f>
      </c>
    </row>
    <row r="1686">
      <c r="A1686" t="s">
        <v>72</v>
      </c>
      <c r="B1686" t="s">
        <v>335</v>
      </c>
      <c r="C1686" s="52" t="n">
        <v>2031</v>
      </c>
      <c r="D1686" t="s">
        <v>180</v>
      </c>
      <c r="E1686" s="53" t="n">
        <v>646110.864169859</v>
      </c>
      <c r="F1686" s="54" t="n">
        <v>374207.729078974</v>
      </c>
      <c r="G1686" s="55" t="n">
        <v>374207.729078974</v>
      </c>
      <c r="H1686" s="56" t="str">
        <f>G1686-F1686</f>
      </c>
      <c r="I1686" s="57" t="n">
        <v>646110.864169859</v>
      </c>
      <c r="J1686" s="58" t="str">
        <f>I1686-E1686</f>
      </c>
    </row>
    <row r="1687">
      <c r="A1687" t="s">
        <v>72</v>
      </c>
      <c r="B1687" t="s">
        <v>335</v>
      </c>
      <c r="C1687" s="52" t="n">
        <v>2031</v>
      </c>
      <c r="D1687" t="s">
        <v>184</v>
      </c>
      <c r="E1687" s="53" t="n">
        <v>339204.419150594</v>
      </c>
      <c r="F1687" s="54" t="n">
        <v>184315.562373235</v>
      </c>
      <c r="G1687" s="55" t="n">
        <v>184315.562373235</v>
      </c>
      <c r="H1687" s="56" t="str">
        <f>G1687-F1687</f>
      </c>
      <c r="I1687" s="57" t="n">
        <v>339204.419150594</v>
      </c>
      <c r="J1687" s="58" t="str">
        <f>I1687-E1687</f>
      </c>
    </row>
    <row r="1688">
      <c r="A1688" t="s">
        <v>72</v>
      </c>
      <c r="B1688" t="s">
        <v>335</v>
      </c>
      <c r="C1688" s="52" t="n">
        <v>2031</v>
      </c>
      <c r="D1688" t="s">
        <v>212</v>
      </c>
      <c r="E1688" s="53" t="n">
        <v>38191.6231000681</v>
      </c>
      <c r="F1688" s="54" t="n">
        <v>4274.72729327381</v>
      </c>
      <c r="G1688" s="55" t="n">
        <v>4274.72729327381</v>
      </c>
      <c r="H1688" s="56" t="str">
        <f>G1688-F1688</f>
      </c>
      <c r="I1688" s="57" t="n">
        <v>38191.6231000681</v>
      </c>
      <c r="J1688" s="58" t="str">
        <f>I1688-E1688</f>
      </c>
    </row>
    <row r="1689">
      <c r="A1689" t="s">
        <v>72</v>
      </c>
      <c r="B1689" t="s">
        <v>335</v>
      </c>
      <c r="C1689" s="52" t="n">
        <v>2032</v>
      </c>
      <c r="D1689" t="s">
        <v>190</v>
      </c>
      <c r="E1689" s="53" t="n">
        <v>15247.769190462</v>
      </c>
      <c r="F1689" s="54" t="n">
        <v>11132.1787355836</v>
      </c>
      <c r="G1689" s="55" t="n">
        <v>11132.1787355836</v>
      </c>
      <c r="H1689" s="56" t="str">
        <f>G1689-F1689</f>
      </c>
      <c r="I1689" s="57" t="n">
        <v>15247.769190462</v>
      </c>
      <c r="J1689" s="58" t="str">
        <f>I1689-E1689</f>
      </c>
    </row>
    <row r="1690">
      <c r="A1690" t="s">
        <v>72</v>
      </c>
      <c r="B1690" t="s">
        <v>335</v>
      </c>
      <c r="C1690" s="52" t="n">
        <v>2032</v>
      </c>
      <c r="D1690" t="s">
        <v>230</v>
      </c>
      <c r="E1690" s="53" t="n">
        <v>1126783.31749171</v>
      </c>
      <c r="F1690" s="54" t="n">
        <v>185691.45221249</v>
      </c>
      <c r="G1690" s="55" t="n">
        <v>185691.45221249</v>
      </c>
      <c r="H1690" s="56" t="str">
        <f>G1690-F1690</f>
      </c>
      <c r="I1690" s="57" t="n">
        <v>1126783.31749171</v>
      </c>
      <c r="J1690" s="58" t="str">
        <f>I1690-E1690</f>
      </c>
    </row>
    <row r="1691">
      <c r="A1691" t="s">
        <v>72</v>
      </c>
      <c r="B1691" t="s">
        <v>335</v>
      </c>
      <c r="C1691" s="52" t="n">
        <v>2032</v>
      </c>
      <c r="D1691" t="s">
        <v>166</v>
      </c>
      <c r="E1691" s="53" t="n">
        <v>116892.91249656</v>
      </c>
      <c r="F1691" s="54" t="n">
        <v>77198.3893074221</v>
      </c>
      <c r="G1691" s="55" t="n">
        <v>77198.3893074221</v>
      </c>
      <c r="H1691" s="56" t="str">
        <f>G1691-F1691</f>
      </c>
      <c r="I1691" s="57" t="n">
        <v>116892.91249656</v>
      </c>
      <c r="J1691" s="58" t="str">
        <f>I1691-E1691</f>
      </c>
    </row>
    <row r="1692">
      <c r="A1692" t="s">
        <v>72</v>
      </c>
      <c r="B1692" t="s">
        <v>335</v>
      </c>
      <c r="C1692" s="52" t="n">
        <v>2032</v>
      </c>
      <c r="D1692" t="s">
        <v>176</v>
      </c>
      <c r="E1692" s="53" t="n">
        <v>274412.393429799</v>
      </c>
      <c r="F1692" s="54" t="n">
        <v>256745.676365841</v>
      </c>
      <c r="G1692" s="55" t="n">
        <v>256745.676365841</v>
      </c>
      <c r="H1692" s="56" t="str">
        <f>G1692-F1692</f>
      </c>
      <c r="I1692" s="57" t="n">
        <v>274412.393429799</v>
      </c>
      <c r="J1692" s="58" t="str">
        <f>I1692-E1692</f>
      </c>
    </row>
    <row r="1693">
      <c r="A1693" t="s">
        <v>72</v>
      </c>
      <c r="B1693" t="s">
        <v>335</v>
      </c>
      <c r="C1693" s="52" t="n">
        <v>2032</v>
      </c>
      <c r="D1693" t="s">
        <v>180</v>
      </c>
      <c r="E1693" s="53" t="n">
        <v>654519.811420389</v>
      </c>
      <c r="F1693" s="54" t="n">
        <v>380127.647848666</v>
      </c>
      <c r="G1693" s="55" t="n">
        <v>380127.647848666</v>
      </c>
      <c r="H1693" s="56" t="str">
        <f>G1693-F1693</f>
      </c>
      <c r="I1693" s="57" t="n">
        <v>654519.811420389</v>
      </c>
      <c r="J1693" s="58" t="str">
        <f>I1693-E1693</f>
      </c>
    </row>
    <row r="1694">
      <c r="A1694" t="s">
        <v>72</v>
      </c>
      <c r="B1694" t="s">
        <v>335</v>
      </c>
      <c r="C1694" s="52" t="n">
        <v>2032</v>
      </c>
      <c r="D1694" t="s">
        <v>184</v>
      </c>
      <c r="E1694" s="53" t="n">
        <v>341581.65326776</v>
      </c>
      <c r="F1694" s="54" t="n">
        <v>183730.084212538</v>
      </c>
      <c r="G1694" s="55" t="n">
        <v>183730.084212538</v>
      </c>
      <c r="H1694" s="56" t="str">
        <f>G1694-F1694</f>
      </c>
      <c r="I1694" s="57" t="n">
        <v>341581.65326776</v>
      </c>
      <c r="J1694" s="58" t="str">
        <f>I1694-E1694</f>
      </c>
    </row>
    <row r="1695">
      <c r="A1695" t="s">
        <v>72</v>
      </c>
      <c r="B1695" t="s">
        <v>335</v>
      </c>
      <c r="C1695" s="52" t="n">
        <v>2032</v>
      </c>
      <c r="D1695" t="s">
        <v>212</v>
      </c>
      <c r="E1695" s="53" t="n">
        <v>38037.5517920999</v>
      </c>
      <c r="F1695" s="54" t="n">
        <v>4125.72247917104</v>
      </c>
      <c r="G1695" s="55" t="n">
        <v>4125.72247917104</v>
      </c>
      <c r="H1695" s="56" t="str">
        <f>G1695-F1695</f>
      </c>
      <c r="I1695" s="57" t="n">
        <v>38037.5517920999</v>
      </c>
      <c r="J1695" s="58" t="str">
        <f>I1695-E1695</f>
      </c>
    </row>
    <row r="1696">
      <c r="A1696" t="s">
        <v>72</v>
      </c>
      <c r="B1696" t="s">
        <v>335</v>
      </c>
      <c r="C1696" s="52" t="n">
        <v>2033</v>
      </c>
      <c r="D1696" t="s">
        <v>190</v>
      </c>
      <c r="E1696" s="53" t="n">
        <v>15759.5151167894</v>
      </c>
      <c r="F1696" s="54" t="n">
        <v>11452.2049974033</v>
      </c>
      <c r="G1696" s="55" t="n">
        <v>11452.2049974033</v>
      </c>
      <c r="H1696" s="56" t="str">
        <f>G1696-F1696</f>
      </c>
      <c r="I1696" s="57" t="n">
        <v>15759.5151167894</v>
      </c>
      <c r="J1696" s="58" t="str">
        <f>I1696-E1696</f>
      </c>
    </row>
    <row r="1697">
      <c r="A1697" t="s">
        <v>72</v>
      </c>
      <c r="B1697" t="s">
        <v>335</v>
      </c>
      <c r="C1697" s="52" t="n">
        <v>2033</v>
      </c>
      <c r="D1697" t="s">
        <v>230</v>
      </c>
      <c r="E1697" s="53" t="n">
        <v>1139272.75378683</v>
      </c>
      <c r="F1697" s="54" t="n">
        <v>194005.600566516</v>
      </c>
      <c r="G1697" s="55" t="n">
        <v>194005.600566516</v>
      </c>
      <c r="H1697" s="56" t="str">
        <f>G1697-F1697</f>
      </c>
      <c r="I1697" s="57" t="n">
        <v>1139272.75378683</v>
      </c>
      <c r="J1697" s="58" t="str">
        <f>I1697-E1697</f>
      </c>
    </row>
    <row r="1698">
      <c r="A1698" t="s">
        <v>72</v>
      </c>
      <c r="B1698" t="s">
        <v>335</v>
      </c>
      <c r="C1698" s="52" t="n">
        <v>2033</v>
      </c>
      <c r="D1698" t="s">
        <v>166</v>
      </c>
      <c r="E1698" s="53" t="n">
        <v>118281.828559023</v>
      </c>
      <c r="F1698" s="54" t="n">
        <v>77917.1620906902</v>
      </c>
      <c r="G1698" s="55" t="n">
        <v>77917.1620906902</v>
      </c>
      <c r="H1698" s="56" t="str">
        <f>G1698-F1698</f>
      </c>
      <c r="I1698" s="57" t="n">
        <v>118281.828559023</v>
      </c>
      <c r="J1698" s="58" t="str">
        <f>I1698-E1698</f>
      </c>
    </row>
    <row r="1699">
      <c r="A1699" t="s">
        <v>72</v>
      </c>
      <c r="B1699" t="s">
        <v>335</v>
      </c>
      <c r="C1699" s="52" t="n">
        <v>2033</v>
      </c>
      <c r="D1699" t="s">
        <v>176</v>
      </c>
      <c r="E1699" s="53" t="n">
        <v>273893.528221021</v>
      </c>
      <c r="F1699" s="54" t="n">
        <v>256655.559026211</v>
      </c>
      <c r="G1699" s="55" t="n">
        <v>256655.559026211</v>
      </c>
      <c r="H1699" s="56" t="str">
        <f>G1699-F1699</f>
      </c>
      <c r="I1699" s="57" t="n">
        <v>273893.528221021</v>
      </c>
      <c r="J1699" s="58" t="str">
        <f>I1699-E1699</f>
      </c>
    </row>
    <row r="1700">
      <c r="A1700" t="s">
        <v>72</v>
      </c>
      <c r="B1700" t="s">
        <v>335</v>
      </c>
      <c r="C1700" s="52" t="n">
        <v>2033</v>
      </c>
      <c r="D1700" t="s">
        <v>180</v>
      </c>
      <c r="E1700" s="53" t="n">
        <v>664009.138744924</v>
      </c>
      <c r="F1700" s="54" t="n">
        <v>386583.230936034</v>
      </c>
      <c r="G1700" s="55" t="n">
        <v>386583.230936034</v>
      </c>
      <c r="H1700" s="56" t="str">
        <f>G1700-F1700</f>
      </c>
      <c r="I1700" s="57" t="n">
        <v>664009.138744924</v>
      </c>
      <c r="J1700" s="58" t="str">
        <f>I1700-E1700</f>
      </c>
    </row>
    <row r="1701">
      <c r="A1701" t="s">
        <v>72</v>
      </c>
      <c r="B1701" t="s">
        <v>335</v>
      </c>
      <c r="C1701" s="52" t="n">
        <v>2033</v>
      </c>
      <c r="D1701" t="s">
        <v>184</v>
      </c>
      <c r="E1701" s="53" t="n">
        <v>344995.264629881</v>
      </c>
      <c r="F1701" s="54" t="n">
        <v>183583.042202715</v>
      </c>
      <c r="G1701" s="55" t="n">
        <v>183583.042202715</v>
      </c>
      <c r="H1701" s="56" t="str">
        <f>G1701-F1701</f>
      </c>
      <c r="I1701" s="57" t="n">
        <v>344995.264629881</v>
      </c>
      <c r="J1701" s="58" t="str">
        <f>I1701-E1701</f>
      </c>
    </row>
    <row r="1702">
      <c r="A1702" t="s">
        <v>72</v>
      </c>
      <c r="B1702" t="s">
        <v>335</v>
      </c>
      <c r="C1702" s="52" t="n">
        <v>2033</v>
      </c>
      <c r="D1702" t="s">
        <v>212</v>
      </c>
      <c r="E1702" s="53" t="n">
        <v>37788.395913351</v>
      </c>
      <c r="F1702" s="54" t="n">
        <v>3977.71437573526</v>
      </c>
      <c r="G1702" s="55" t="n">
        <v>3977.71437573526</v>
      </c>
      <c r="H1702" s="56" t="str">
        <f>G1702-F1702</f>
      </c>
      <c r="I1702" s="57" t="n">
        <v>37788.395913351</v>
      </c>
      <c r="J1702" s="58" t="str">
        <f>I1702-E1702</f>
      </c>
    </row>
    <row r="1703">
      <c r="A1703" t="s">
        <v>72</v>
      </c>
      <c r="B1703" t="s">
        <v>335</v>
      </c>
      <c r="C1703" s="52" t="n">
        <v>2034</v>
      </c>
      <c r="D1703" t="s">
        <v>190</v>
      </c>
      <c r="E1703" s="53" t="n">
        <v>16285.7640376227</v>
      </c>
      <c r="F1703" s="54" t="n">
        <v>11779.4141755774</v>
      </c>
      <c r="G1703" s="55" t="n">
        <v>11779.4141755774</v>
      </c>
      <c r="H1703" s="56" t="str">
        <f>G1703-F1703</f>
      </c>
      <c r="I1703" s="57" t="n">
        <v>16285.7640376227</v>
      </c>
      <c r="J1703" s="58" t="str">
        <f>I1703-E1703</f>
      </c>
    </row>
    <row r="1704">
      <c r="A1704" t="s">
        <v>72</v>
      </c>
      <c r="B1704" t="s">
        <v>335</v>
      </c>
      <c r="C1704" s="52" t="n">
        <v>2034</v>
      </c>
      <c r="D1704" t="s">
        <v>230</v>
      </c>
      <c r="E1704" s="53" t="n">
        <v>1151232.62464015</v>
      </c>
      <c r="F1704" s="54" t="n">
        <v>202320.636121151</v>
      </c>
      <c r="G1704" s="55" t="n">
        <v>202320.636121151</v>
      </c>
      <c r="H1704" s="56" t="str">
        <f>G1704-F1704</f>
      </c>
      <c r="I1704" s="57" t="n">
        <v>1151232.62464015</v>
      </c>
      <c r="J1704" s="58" t="str">
        <f>I1704-E1704</f>
      </c>
    </row>
    <row r="1705">
      <c r="A1705" t="s">
        <v>72</v>
      </c>
      <c r="B1705" t="s">
        <v>335</v>
      </c>
      <c r="C1705" s="52" t="n">
        <v>2034</v>
      </c>
      <c r="D1705" t="s">
        <v>166</v>
      </c>
      <c r="E1705" s="53" t="n">
        <v>119173.805374547</v>
      </c>
      <c r="F1705" s="54" t="n">
        <v>78781.7232358728</v>
      </c>
      <c r="G1705" s="55" t="n">
        <v>78781.7232358728</v>
      </c>
      <c r="H1705" s="56" t="str">
        <f>G1705-F1705</f>
      </c>
      <c r="I1705" s="57" t="n">
        <v>119173.805374547</v>
      </c>
      <c r="J1705" s="58" t="str">
        <f>I1705-E1705</f>
      </c>
    </row>
    <row r="1706">
      <c r="A1706" t="s">
        <v>72</v>
      </c>
      <c r="B1706" t="s">
        <v>335</v>
      </c>
      <c r="C1706" s="52" t="n">
        <v>2034</v>
      </c>
      <c r="D1706" t="s">
        <v>176</v>
      </c>
      <c r="E1706" s="53" t="n">
        <v>273669.650202867</v>
      </c>
      <c r="F1706" s="54" t="n">
        <v>256753.127116244</v>
      </c>
      <c r="G1706" s="55" t="n">
        <v>256753.127116244</v>
      </c>
      <c r="H1706" s="56" t="str">
        <f>G1706-F1706</f>
      </c>
      <c r="I1706" s="57" t="n">
        <v>273669.650202867</v>
      </c>
      <c r="J1706" s="58" t="str">
        <f>I1706-E1706</f>
      </c>
    </row>
    <row r="1707">
      <c r="A1707" t="s">
        <v>72</v>
      </c>
      <c r="B1707" t="s">
        <v>335</v>
      </c>
      <c r="C1707" s="52" t="n">
        <v>2034</v>
      </c>
      <c r="D1707" t="s">
        <v>180</v>
      </c>
      <c r="E1707" s="53" t="n">
        <v>669565.091865969</v>
      </c>
      <c r="F1707" s="54" t="n">
        <v>393806.920121914</v>
      </c>
      <c r="G1707" s="55" t="n">
        <v>393806.920121914</v>
      </c>
      <c r="H1707" s="56" t="str">
        <f>G1707-F1707</f>
      </c>
      <c r="I1707" s="57" t="n">
        <v>669565.091865969</v>
      </c>
      <c r="J1707" s="58" t="str">
        <f>I1707-E1707</f>
      </c>
    </row>
    <row r="1708">
      <c r="A1708" t="s">
        <v>72</v>
      </c>
      <c r="B1708" t="s">
        <v>335</v>
      </c>
      <c r="C1708" s="52" t="n">
        <v>2034</v>
      </c>
      <c r="D1708" t="s">
        <v>184</v>
      </c>
      <c r="E1708" s="53" t="n">
        <v>345926.396497523</v>
      </c>
      <c r="F1708" s="54" t="n">
        <v>184800.885019324</v>
      </c>
      <c r="G1708" s="55" t="n">
        <v>184800.885019324</v>
      </c>
      <c r="H1708" s="56" t="str">
        <f>G1708-F1708</f>
      </c>
      <c r="I1708" s="57" t="n">
        <v>345926.396497523</v>
      </c>
      <c r="J1708" s="58" t="str">
        <f>I1708-E1708</f>
      </c>
    </row>
    <row r="1709">
      <c r="A1709" t="s">
        <v>72</v>
      </c>
      <c r="B1709" t="s">
        <v>335</v>
      </c>
      <c r="C1709" s="52" t="n">
        <v>2034</v>
      </c>
      <c r="D1709" t="s">
        <v>212</v>
      </c>
      <c r="E1709" s="53" t="n">
        <v>37391.1189795399</v>
      </c>
      <c r="F1709" s="54" t="n">
        <v>3849.43642407178</v>
      </c>
      <c r="G1709" s="55" t="n">
        <v>3849.43642407178</v>
      </c>
      <c r="H1709" s="56" t="str">
        <f>G1709-F1709</f>
      </c>
      <c r="I1709" s="57" t="n">
        <v>37391.1189795399</v>
      </c>
      <c r="J1709" s="58" t="str">
        <f>I1709-E1709</f>
      </c>
    </row>
    <row r="1710">
      <c r="A1710" t="s">
        <v>72</v>
      </c>
      <c r="B1710" t="s">
        <v>335</v>
      </c>
      <c r="C1710" s="52" t="n">
        <v>2035</v>
      </c>
      <c r="D1710" t="s">
        <v>190</v>
      </c>
      <c r="E1710" s="53" t="n">
        <v>16830.6420972909</v>
      </c>
      <c r="F1710" s="54" t="n">
        <v>12112.814364394</v>
      </c>
      <c r="G1710" s="55" t="n">
        <v>12112.814364394</v>
      </c>
      <c r="H1710" s="56" t="str">
        <f>G1710-F1710</f>
      </c>
      <c r="I1710" s="57" t="n">
        <v>16830.6420972909</v>
      </c>
      <c r="J1710" s="58" t="str">
        <f>I1710-E1710</f>
      </c>
    </row>
    <row r="1711">
      <c r="A1711" t="s">
        <v>72</v>
      </c>
      <c r="B1711" t="s">
        <v>335</v>
      </c>
      <c r="C1711" s="52" t="n">
        <v>2035</v>
      </c>
      <c r="D1711" t="s">
        <v>230</v>
      </c>
      <c r="E1711" s="53" t="n">
        <v>1162777.28327874</v>
      </c>
      <c r="F1711" s="54" t="n">
        <v>210627.422792314</v>
      </c>
      <c r="G1711" s="55" t="n">
        <v>210627.422792314</v>
      </c>
      <c r="H1711" s="56" t="str">
        <f>G1711-F1711</f>
      </c>
      <c r="I1711" s="57" t="n">
        <v>1162777.28327874</v>
      </c>
      <c r="J1711" s="58" t="str">
        <f>I1711-E1711</f>
      </c>
    </row>
    <row r="1712">
      <c r="A1712" t="s">
        <v>72</v>
      </c>
      <c r="B1712" t="s">
        <v>335</v>
      </c>
      <c r="C1712" s="52" t="n">
        <v>2035</v>
      </c>
      <c r="D1712" t="s">
        <v>166</v>
      </c>
      <c r="E1712" s="53" t="n">
        <v>120799.065903184</v>
      </c>
      <c r="F1712" s="54" t="n">
        <v>79456.6324211876</v>
      </c>
      <c r="G1712" s="55" t="n">
        <v>79456.6324211876</v>
      </c>
      <c r="H1712" s="56" t="str">
        <f>G1712-F1712</f>
      </c>
      <c r="I1712" s="57" t="n">
        <v>120799.065903184</v>
      </c>
      <c r="J1712" s="58" t="str">
        <f>I1712-E1712</f>
      </c>
    </row>
    <row r="1713">
      <c r="A1713" t="s">
        <v>72</v>
      </c>
      <c r="B1713" t="s">
        <v>335</v>
      </c>
      <c r="C1713" s="52" t="n">
        <v>2035</v>
      </c>
      <c r="D1713" t="s">
        <v>176</v>
      </c>
      <c r="E1713" s="53" t="n">
        <v>273345.360062938</v>
      </c>
      <c r="F1713" s="54" t="n">
        <v>256807.532230081</v>
      </c>
      <c r="G1713" s="55" t="n">
        <v>256807.532230081</v>
      </c>
      <c r="H1713" s="56" t="str">
        <f>G1713-F1713</f>
      </c>
      <c r="I1713" s="57" t="n">
        <v>273345.360062938</v>
      </c>
      <c r="J1713" s="58" t="str">
        <f>I1713-E1713</f>
      </c>
    </row>
    <row r="1714">
      <c r="A1714" t="s">
        <v>72</v>
      </c>
      <c r="B1714" t="s">
        <v>335</v>
      </c>
      <c r="C1714" s="52" t="n">
        <v>2035</v>
      </c>
      <c r="D1714" t="s">
        <v>180</v>
      </c>
      <c r="E1714" s="53" t="n">
        <v>678638.434521443</v>
      </c>
      <c r="F1714" s="54" t="n">
        <v>399492.950532998</v>
      </c>
      <c r="G1714" s="55" t="n">
        <v>399492.950532998</v>
      </c>
      <c r="H1714" s="56" t="str">
        <f>G1714-F1714</f>
      </c>
      <c r="I1714" s="57" t="n">
        <v>678638.434521443</v>
      </c>
      <c r="J1714" s="58" t="str">
        <f>I1714-E1714</f>
      </c>
    </row>
    <row r="1715">
      <c r="A1715" t="s">
        <v>72</v>
      </c>
      <c r="B1715" t="s">
        <v>335</v>
      </c>
      <c r="C1715" s="52" t="n">
        <v>2035</v>
      </c>
      <c r="D1715" t="s">
        <v>184</v>
      </c>
      <c r="E1715" s="53" t="n">
        <v>349146.062455764</v>
      </c>
      <c r="F1715" s="54" t="n">
        <v>185365.761103579</v>
      </c>
      <c r="G1715" s="55" t="n">
        <v>185365.761103579</v>
      </c>
      <c r="H1715" s="56" t="str">
        <f>G1715-F1715</f>
      </c>
      <c r="I1715" s="57" t="n">
        <v>349146.062455764</v>
      </c>
      <c r="J1715" s="58" t="str">
        <f>I1715-E1715</f>
      </c>
    </row>
    <row r="1716">
      <c r="A1716" t="s">
        <v>72</v>
      </c>
      <c r="B1716" t="s">
        <v>335</v>
      </c>
      <c r="C1716" s="52" t="n">
        <v>2035</v>
      </c>
      <c r="D1716" t="s">
        <v>212</v>
      </c>
      <c r="E1716" s="53" t="n">
        <v>37274.3979018446</v>
      </c>
      <c r="F1716" s="54" t="n">
        <v>3710.43177455469</v>
      </c>
      <c r="G1716" s="55" t="n">
        <v>3710.43177455469</v>
      </c>
      <c r="H1716" s="56" t="str">
        <f>G1716-F1716</f>
      </c>
      <c r="I1716" s="57" t="n">
        <v>37274.3979018446</v>
      </c>
      <c r="J1716" s="58" t="str">
        <f>I1716-E1716</f>
      </c>
    </row>
    <row r="1717">
      <c r="A1717" t="s">
        <v>72</v>
      </c>
      <c r="B1717" t="s">
        <v>335</v>
      </c>
      <c r="C1717" s="52" t="n">
        <v>2036</v>
      </c>
      <c r="D1717" t="s">
        <v>190</v>
      </c>
      <c r="E1717" s="53" t="n">
        <v>17392.6099040701</v>
      </c>
      <c r="F1717" s="54" t="n">
        <v>12452.8640137516</v>
      </c>
      <c r="G1717" s="55" t="n">
        <v>12452.8640137516</v>
      </c>
      <c r="H1717" s="56" t="str">
        <f>G1717-F1717</f>
      </c>
      <c r="I1717" s="57" t="n">
        <v>17392.6099040701</v>
      </c>
      <c r="J1717" s="58" t="str">
        <f>I1717-E1717</f>
      </c>
    </row>
    <row r="1718">
      <c r="A1718" t="s">
        <v>72</v>
      </c>
      <c r="B1718" t="s">
        <v>335</v>
      </c>
      <c r="C1718" s="52" t="n">
        <v>2036</v>
      </c>
      <c r="D1718" t="s">
        <v>230</v>
      </c>
      <c r="E1718" s="53" t="n">
        <v>1174085.51289072</v>
      </c>
      <c r="F1718" s="54" t="n">
        <v>218906.623444501</v>
      </c>
      <c r="G1718" s="55" t="n">
        <v>218906.623444501</v>
      </c>
      <c r="H1718" s="56" t="str">
        <f>G1718-F1718</f>
      </c>
      <c r="I1718" s="57" t="n">
        <v>1174085.51289072</v>
      </c>
      <c r="J1718" s="58" t="str">
        <f>I1718-E1718</f>
      </c>
    </row>
    <row r="1719">
      <c r="A1719" t="s">
        <v>72</v>
      </c>
      <c r="B1719" t="s">
        <v>335</v>
      </c>
      <c r="C1719" s="52" t="n">
        <v>2036</v>
      </c>
      <c r="D1719" t="s">
        <v>166</v>
      </c>
      <c r="E1719" s="53" t="n">
        <v>122618.320312187</v>
      </c>
      <c r="F1719" s="54" t="n">
        <v>80302.8429955226</v>
      </c>
      <c r="G1719" s="55" t="n">
        <v>80302.8429955226</v>
      </c>
      <c r="H1719" s="56" t="str">
        <f>G1719-F1719</f>
      </c>
      <c r="I1719" s="57" t="n">
        <v>122618.320312187</v>
      </c>
      <c r="J1719" s="58" t="str">
        <f>I1719-E1719</f>
      </c>
    </row>
    <row r="1720">
      <c r="A1720" t="s">
        <v>72</v>
      </c>
      <c r="B1720" t="s">
        <v>335</v>
      </c>
      <c r="C1720" s="52" t="n">
        <v>2036</v>
      </c>
      <c r="D1720" t="s">
        <v>176</v>
      </c>
      <c r="E1720" s="53" t="n">
        <v>273297.569822228</v>
      </c>
      <c r="F1720" s="54" t="n">
        <v>256933.398229342</v>
      </c>
      <c r="G1720" s="55" t="n">
        <v>256933.398229342</v>
      </c>
      <c r="H1720" s="56" t="str">
        <f>G1720-F1720</f>
      </c>
      <c r="I1720" s="57" t="n">
        <v>273297.569822228</v>
      </c>
      <c r="J1720" s="58" t="str">
        <f>I1720-E1720</f>
      </c>
    </row>
    <row r="1721">
      <c r="A1721" t="s">
        <v>72</v>
      </c>
      <c r="B1721" t="s">
        <v>335</v>
      </c>
      <c r="C1721" s="52" t="n">
        <v>2036</v>
      </c>
      <c r="D1721" t="s">
        <v>180</v>
      </c>
      <c r="E1721" s="53" t="n">
        <v>688194.684475592</v>
      </c>
      <c r="F1721" s="54" t="n">
        <v>405992.653493878</v>
      </c>
      <c r="G1721" s="55" t="n">
        <v>405992.653493878</v>
      </c>
      <c r="H1721" s="56" t="str">
        <f>G1721-F1721</f>
      </c>
      <c r="I1721" s="57" t="n">
        <v>688194.684475592</v>
      </c>
      <c r="J1721" s="58" t="str">
        <f>I1721-E1721</f>
      </c>
    </row>
    <row r="1722">
      <c r="A1722" t="s">
        <v>72</v>
      </c>
      <c r="B1722" t="s">
        <v>335</v>
      </c>
      <c r="C1722" s="52" t="n">
        <v>2036</v>
      </c>
      <c r="D1722" t="s">
        <v>184</v>
      </c>
      <c r="E1722" s="53" t="n">
        <v>352603.071714204</v>
      </c>
      <c r="F1722" s="54" t="n">
        <v>186417.92722248</v>
      </c>
      <c r="G1722" s="55" t="n">
        <v>186417.92722248</v>
      </c>
      <c r="H1722" s="56" t="str">
        <f>G1722-F1722</f>
      </c>
      <c r="I1722" s="57" t="n">
        <v>352603.071714204</v>
      </c>
      <c r="J1722" s="58" t="str">
        <f>I1722-E1722</f>
      </c>
    </row>
    <row r="1723">
      <c r="A1723" t="s">
        <v>72</v>
      </c>
      <c r="B1723" t="s">
        <v>335</v>
      </c>
      <c r="C1723" s="52" t="n">
        <v>2036</v>
      </c>
      <c r="D1723" t="s">
        <v>212</v>
      </c>
      <c r="E1723" s="53" t="n">
        <v>37283.0276293956</v>
      </c>
      <c r="F1723" s="54" t="n">
        <v>3578.66006488627</v>
      </c>
      <c r="G1723" s="55" t="n">
        <v>3578.66006488627</v>
      </c>
      <c r="H1723" s="56" t="str">
        <f>G1723-F1723</f>
      </c>
      <c r="I1723" s="57" t="n">
        <v>37283.0276293956</v>
      </c>
      <c r="J1723" s="58" t="str">
        <f>I1723-E1723</f>
      </c>
    </row>
    <row r="1724">
      <c r="A1724" t="s">
        <v>72</v>
      </c>
      <c r="B1724" t="s">
        <v>335</v>
      </c>
      <c r="C1724" s="52" t="n">
        <v>2037</v>
      </c>
      <c r="D1724" t="s">
        <v>190</v>
      </c>
      <c r="E1724" s="53" t="n">
        <v>17971.4828640642</v>
      </c>
      <c r="F1724" s="54" t="n">
        <v>12799.4794545616</v>
      </c>
      <c r="G1724" s="55" t="n">
        <v>12799.4794545616</v>
      </c>
      <c r="H1724" s="56" t="str">
        <f>G1724-F1724</f>
      </c>
      <c r="I1724" s="57" t="n">
        <v>17971.4828640642</v>
      </c>
      <c r="J1724" s="58" t="str">
        <f>I1724-E1724</f>
      </c>
    </row>
    <row r="1725">
      <c r="A1725" t="s">
        <v>72</v>
      </c>
      <c r="B1725" t="s">
        <v>335</v>
      </c>
      <c r="C1725" s="52" t="n">
        <v>2037</v>
      </c>
      <c r="D1725" t="s">
        <v>230</v>
      </c>
      <c r="E1725" s="53" t="n">
        <v>1185264.74384977</v>
      </c>
      <c r="F1725" s="54" t="n">
        <v>227145.85064844</v>
      </c>
      <c r="G1725" s="55" t="n">
        <v>227145.85064844</v>
      </c>
      <c r="H1725" s="56" t="str">
        <f>G1725-F1725</f>
      </c>
      <c r="I1725" s="57" t="n">
        <v>1185264.74384977</v>
      </c>
      <c r="J1725" s="58" t="str">
        <f>I1725-E1725</f>
      </c>
    </row>
    <row r="1726">
      <c r="A1726" t="s">
        <v>72</v>
      </c>
      <c r="B1726" t="s">
        <v>335</v>
      </c>
      <c r="C1726" s="52" t="n">
        <v>2037</v>
      </c>
      <c r="D1726" t="s">
        <v>166</v>
      </c>
      <c r="E1726" s="53" t="n">
        <v>124489.429760244</v>
      </c>
      <c r="F1726" s="54" t="n">
        <v>81244.6913895843</v>
      </c>
      <c r="G1726" s="55" t="n">
        <v>81244.6913895843</v>
      </c>
      <c r="H1726" s="56" t="str">
        <f>G1726-F1726</f>
      </c>
      <c r="I1726" s="57" t="n">
        <v>124489.429760244</v>
      </c>
      <c r="J1726" s="58" t="str">
        <f>I1726-E1726</f>
      </c>
    </row>
    <row r="1727">
      <c r="A1727" t="s">
        <v>72</v>
      </c>
      <c r="B1727" t="s">
        <v>335</v>
      </c>
      <c r="C1727" s="52" t="n">
        <v>2037</v>
      </c>
      <c r="D1727" t="s">
        <v>176</v>
      </c>
      <c r="E1727" s="53" t="n">
        <v>273202.802274069</v>
      </c>
      <c r="F1727" s="54" t="n">
        <v>257070.973149134</v>
      </c>
      <c r="G1727" s="55" t="n">
        <v>257070.973149134</v>
      </c>
      <c r="H1727" s="56" t="str">
        <f>G1727-F1727</f>
      </c>
      <c r="I1727" s="57" t="n">
        <v>273202.802274069</v>
      </c>
      <c r="J1727" s="58" t="str">
        <f>I1727-E1727</f>
      </c>
    </row>
    <row r="1728">
      <c r="A1728" t="s">
        <v>72</v>
      </c>
      <c r="B1728" t="s">
        <v>335</v>
      </c>
      <c r="C1728" s="52" t="n">
        <v>2037</v>
      </c>
      <c r="D1728" t="s">
        <v>180</v>
      </c>
      <c r="E1728" s="53" t="n">
        <v>698060.502126947</v>
      </c>
      <c r="F1728" s="54" t="n">
        <v>413018.343093551</v>
      </c>
      <c r="G1728" s="55" t="n">
        <v>413018.343093551</v>
      </c>
      <c r="H1728" s="56" t="str">
        <f>G1728-F1728</f>
      </c>
      <c r="I1728" s="57" t="n">
        <v>698060.502126947</v>
      </c>
      <c r="J1728" s="58" t="str">
        <f>I1728-E1728</f>
      </c>
    </row>
    <row r="1729">
      <c r="A1729" t="s">
        <v>72</v>
      </c>
      <c r="B1729" t="s">
        <v>335</v>
      </c>
      <c r="C1729" s="52" t="n">
        <v>2037</v>
      </c>
      <c r="D1729" t="s">
        <v>184</v>
      </c>
      <c r="E1729" s="53" t="n">
        <v>356425.678918654</v>
      </c>
      <c r="F1729" s="54" t="n">
        <v>187788.312528489</v>
      </c>
      <c r="G1729" s="55" t="n">
        <v>187788.312528489</v>
      </c>
      <c r="H1729" s="56" t="str">
        <f>G1729-F1729</f>
      </c>
      <c r="I1729" s="57" t="n">
        <v>356425.678918654</v>
      </c>
      <c r="J1729" s="58" t="str">
        <f>I1729-E1729</f>
      </c>
    </row>
    <row r="1730">
      <c r="A1730" t="s">
        <v>72</v>
      </c>
      <c r="B1730" t="s">
        <v>335</v>
      </c>
      <c r="C1730" s="52" t="n">
        <v>2037</v>
      </c>
      <c r="D1730" t="s">
        <v>212</v>
      </c>
      <c r="E1730" s="53" t="n">
        <v>36837.2774807632</v>
      </c>
      <c r="F1730" s="54" t="n">
        <v>3450.19465573699</v>
      </c>
      <c r="G1730" s="55" t="n">
        <v>3450.19465573699</v>
      </c>
      <c r="H1730" s="56" t="str">
        <f>G1730-F1730</f>
      </c>
      <c r="I1730" s="57" t="n">
        <v>36837.2774807632</v>
      </c>
      <c r="J1730" s="58" t="str">
        <f>I1730-E1730</f>
      </c>
    </row>
    <row r="1731">
      <c r="A1731" t="s">
        <v>72</v>
      </c>
      <c r="B1731" t="s">
        <v>335</v>
      </c>
      <c r="C1731" s="52" t="n">
        <v>2038</v>
      </c>
      <c r="D1731" t="s">
        <v>190</v>
      </c>
      <c r="E1731" s="53" t="n">
        <v>18564.7325343064</v>
      </c>
      <c r="F1731" s="54" t="n">
        <v>13155.6038503287</v>
      </c>
      <c r="G1731" s="55" t="n">
        <v>13155.6038503287</v>
      </c>
      <c r="H1731" s="56" t="str">
        <f>G1731-F1731</f>
      </c>
      <c r="I1731" s="57" t="n">
        <v>18564.7325343064</v>
      </c>
      <c r="J1731" s="58" t="str">
        <f>I1731-E1731</f>
      </c>
    </row>
    <row r="1732">
      <c r="A1732" t="s">
        <v>72</v>
      </c>
      <c r="B1732" t="s">
        <v>335</v>
      </c>
      <c r="C1732" s="52" t="n">
        <v>2038</v>
      </c>
      <c r="D1732" t="s">
        <v>230</v>
      </c>
      <c r="E1732" s="53" t="n">
        <v>1196314.54511457</v>
      </c>
      <c r="F1732" s="54" t="n">
        <v>235329.601498619</v>
      </c>
      <c r="G1732" s="55" t="n">
        <v>235329.601498619</v>
      </c>
      <c r="H1732" s="56" t="str">
        <f>G1732-F1732</f>
      </c>
      <c r="I1732" s="57" t="n">
        <v>1196314.54511457</v>
      </c>
      <c r="J1732" s="58" t="str">
        <f>I1732-E1732</f>
      </c>
    </row>
    <row r="1733">
      <c r="A1733" t="s">
        <v>72</v>
      </c>
      <c r="B1733" t="s">
        <v>335</v>
      </c>
      <c r="C1733" s="52" t="n">
        <v>2038</v>
      </c>
      <c r="D1733" t="s">
        <v>166</v>
      </c>
      <c r="E1733" s="53" t="n">
        <v>126555.833855502</v>
      </c>
      <c r="F1733" s="54" t="n">
        <v>82253.930841494</v>
      </c>
      <c r="G1733" s="55" t="n">
        <v>82253.930841494</v>
      </c>
      <c r="H1733" s="56" t="str">
        <f>G1733-F1733</f>
      </c>
      <c r="I1733" s="57" t="n">
        <v>126555.833855502</v>
      </c>
      <c r="J1733" s="58" t="str">
        <f>I1733-E1733</f>
      </c>
    </row>
    <row r="1734">
      <c r="A1734" t="s">
        <v>72</v>
      </c>
      <c r="B1734" t="s">
        <v>335</v>
      </c>
      <c r="C1734" s="52" t="n">
        <v>2038</v>
      </c>
      <c r="D1734" t="s">
        <v>176</v>
      </c>
      <c r="E1734" s="53" t="n">
        <v>273035.370644084</v>
      </c>
      <c r="F1734" s="54" t="n">
        <v>257130.676610817</v>
      </c>
      <c r="G1734" s="55" t="n">
        <v>257130.676610817</v>
      </c>
      <c r="H1734" s="56" t="str">
        <f>G1734-F1734</f>
      </c>
      <c r="I1734" s="57" t="n">
        <v>273035.370644084</v>
      </c>
      <c r="J1734" s="58" t="str">
        <f>I1734-E1734</f>
      </c>
    </row>
    <row r="1735">
      <c r="A1735" t="s">
        <v>72</v>
      </c>
      <c r="B1735" t="s">
        <v>335</v>
      </c>
      <c r="C1735" s="52" t="n">
        <v>2038</v>
      </c>
      <c r="D1735" t="s">
        <v>180</v>
      </c>
      <c r="E1735" s="53" t="n">
        <v>708674.574961299</v>
      </c>
      <c r="F1735" s="54" t="n">
        <v>420445.264129068</v>
      </c>
      <c r="G1735" s="55" t="n">
        <v>420445.264129068</v>
      </c>
      <c r="H1735" s="56" t="str">
        <f>G1735-F1735</f>
      </c>
      <c r="I1735" s="57" t="n">
        <v>708674.574961299</v>
      </c>
      <c r="J1735" s="58" t="str">
        <f>I1735-E1735</f>
      </c>
    </row>
    <row r="1736">
      <c r="A1736" t="s">
        <v>72</v>
      </c>
      <c r="B1736" t="s">
        <v>335</v>
      </c>
      <c r="C1736" s="52" t="n">
        <v>2038</v>
      </c>
      <c r="D1736" t="s">
        <v>184</v>
      </c>
      <c r="E1736" s="53" t="n">
        <v>360900.93527345</v>
      </c>
      <c r="F1736" s="54" t="n">
        <v>189347.422266605</v>
      </c>
      <c r="G1736" s="55" t="n">
        <v>189347.422266605</v>
      </c>
      <c r="H1736" s="56" t="str">
        <f>G1736-F1736</f>
      </c>
      <c r="I1736" s="57" t="n">
        <v>360900.93527345</v>
      </c>
      <c r="J1736" s="58" t="str">
        <f>I1736-E1736</f>
      </c>
    </row>
    <row r="1737">
      <c r="A1737" t="s">
        <v>72</v>
      </c>
      <c r="B1737" t="s">
        <v>335</v>
      </c>
      <c r="C1737" s="52" t="n">
        <v>2038</v>
      </c>
      <c r="D1737" t="s">
        <v>212</v>
      </c>
      <c r="E1737" s="53" t="n">
        <v>36551.441257779</v>
      </c>
      <c r="F1737" s="54" t="n">
        <v>3322.82157442101</v>
      </c>
      <c r="G1737" s="55" t="n">
        <v>3322.82157442101</v>
      </c>
      <c r="H1737" s="56" t="str">
        <f>G1737-F1737</f>
      </c>
      <c r="I1737" s="57" t="n">
        <v>36551.441257779</v>
      </c>
      <c r="J1737" s="58" t="str">
        <f>I1737-E1737</f>
      </c>
    </row>
    <row r="1738">
      <c r="A1738" t="s">
        <v>72</v>
      </c>
      <c r="B1738" t="s">
        <v>335</v>
      </c>
      <c r="C1738" s="52" t="n">
        <v>2039</v>
      </c>
      <c r="D1738" t="s">
        <v>190</v>
      </c>
      <c r="E1738" s="53" t="n">
        <v>19174.3457459029</v>
      </c>
      <c r="F1738" s="54" t="n">
        <v>13516.7785061579</v>
      </c>
      <c r="G1738" s="55" t="n">
        <v>13516.7785061579</v>
      </c>
      <c r="H1738" s="56" t="str">
        <f>G1738-F1738</f>
      </c>
      <c r="I1738" s="57" t="n">
        <v>19174.3457459029</v>
      </c>
      <c r="J1738" s="58" t="str">
        <f>I1738-E1738</f>
      </c>
    </row>
    <row r="1739">
      <c r="A1739" t="s">
        <v>72</v>
      </c>
      <c r="B1739" t="s">
        <v>335</v>
      </c>
      <c r="C1739" s="52" t="n">
        <v>2039</v>
      </c>
      <c r="D1739" t="s">
        <v>230</v>
      </c>
      <c r="E1739" s="53" t="n">
        <v>1206925.78308321</v>
      </c>
      <c r="F1739" s="54" t="n">
        <v>243483.364034463</v>
      </c>
      <c r="G1739" s="55" t="n">
        <v>243483.364034463</v>
      </c>
      <c r="H1739" s="56" t="str">
        <f>G1739-F1739</f>
      </c>
      <c r="I1739" s="57" t="n">
        <v>1206925.78308321</v>
      </c>
      <c r="J1739" s="58" t="str">
        <f>I1739-E1739</f>
      </c>
    </row>
    <row r="1740">
      <c r="A1740" t="s">
        <v>72</v>
      </c>
      <c r="B1740" t="s">
        <v>335</v>
      </c>
      <c r="C1740" s="52" t="n">
        <v>2039</v>
      </c>
      <c r="D1740" t="s">
        <v>166</v>
      </c>
      <c r="E1740" s="53" t="n">
        <v>128001.347826374</v>
      </c>
      <c r="F1740" s="54" t="n">
        <v>83389.1809587923</v>
      </c>
      <c r="G1740" s="55" t="n">
        <v>83389.1809587923</v>
      </c>
      <c r="H1740" s="56" t="str">
        <f>G1740-F1740</f>
      </c>
      <c r="I1740" s="57" t="n">
        <v>128001.347826374</v>
      </c>
      <c r="J1740" s="58" t="str">
        <f>I1740-E1740</f>
      </c>
    </row>
    <row r="1741">
      <c r="A1741" t="s">
        <v>72</v>
      </c>
      <c r="B1741" t="s">
        <v>335</v>
      </c>
      <c r="C1741" s="52" t="n">
        <v>2039</v>
      </c>
      <c r="D1741" t="s">
        <v>176</v>
      </c>
      <c r="E1741" s="53" t="n">
        <v>272973.34550101</v>
      </c>
      <c r="F1741" s="54" t="n">
        <v>257441.86914337</v>
      </c>
      <c r="G1741" s="55" t="n">
        <v>257441.86914337</v>
      </c>
      <c r="H1741" s="56" t="str">
        <f>G1741-F1741</f>
      </c>
      <c r="I1741" s="57" t="n">
        <v>272973.34550101</v>
      </c>
      <c r="J1741" s="58" t="str">
        <f>I1741-E1741</f>
      </c>
    </row>
    <row r="1742">
      <c r="A1742" t="s">
        <v>72</v>
      </c>
      <c r="B1742" t="s">
        <v>335</v>
      </c>
      <c r="C1742" s="52" t="n">
        <v>2039</v>
      </c>
      <c r="D1742" t="s">
        <v>180</v>
      </c>
      <c r="E1742" s="53" t="n">
        <v>715580.887085385</v>
      </c>
      <c r="F1742" s="54" t="n">
        <v>428444.568481745</v>
      </c>
      <c r="G1742" s="55" t="n">
        <v>428444.568481745</v>
      </c>
      <c r="H1742" s="56" t="str">
        <f>G1742-F1742</f>
      </c>
      <c r="I1742" s="57" t="n">
        <v>715580.887085385</v>
      </c>
      <c r="J1742" s="58" t="str">
        <f>I1742-E1742</f>
      </c>
    </row>
    <row r="1743">
      <c r="A1743" t="s">
        <v>72</v>
      </c>
      <c r="B1743" t="s">
        <v>335</v>
      </c>
      <c r="C1743" s="52" t="n">
        <v>2039</v>
      </c>
      <c r="D1743" t="s">
        <v>184</v>
      </c>
      <c r="E1743" s="53" t="n">
        <v>362969.198365508</v>
      </c>
      <c r="F1743" s="54" t="n">
        <v>191929.610855123</v>
      </c>
      <c r="G1743" s="55" t="n">
        <v>191929.610855123</v>
      </c>
      <c r="H1743" s="56" t="str">
        <f>G1743-F1743</f>
      </c>
      <c r="I1743" s="57" t="n">
        <v>362969.198365508</v>
      </c>
      <c r="J1743" s="58" t="str">
        <f>I1743-E1743</f>
      </c>
    </row>
    <row r="1744">
      <c r="A1744" t="s">
        <v>72</v>
      </c>
      <c r="B1744" t="s">
        <v>335</v>
      </c>
      <c r="C1744" s="52" t="n">
        <v>2039</v>
      </c>
      <c r="D1744" t="s">
        <v>212</v>
      </c>
      <c r="E1744" s="53" t="n">
        <v>36178.2238447184</v>
      </c>
      <c r="F1744" s="54" t="n">
        <v>3198.02305383022</v>
      </c>
      <c r="G1744" s="55" t="n">
        <v>3198.02305383022</v>
      </c>
      <c r="H1744" s="56" t="str">
        <f>G1744-F1744</f>
      </c>
      <c r="I1744" s="57" t="n">
        <v>36178.2238447184</v>
      </c>
      <c r="J1744" s="58" t="str">
        <f>I1744-E1744</f>
      </c>
    </row>
    <row r="1745">
      <c r="A1745" t="s">
        <v>72</v>
      </c>
      <c r="B1745" t="s">
        <v>335</v>
      </c>
      <c r="C1745" s="52" t="n">
        <v>2040</v>
      </c>
      <c r="D1745" t="s">
        <v>190</v>
      </c>
      <c r="E1745" s="53" t="n">
        <v>19805.5058057648</v>
      </c>
      <c r="F1745" s="54" t="n">
        <v>13879.6732870407</v>
      </c>
      <c r="G1745" s="55" t="n">
        <v>13879.6732870407</v>
      </c>
      <c r="H1745" s="56" t="str">
        <f>G1745-F1745</f>
      </c>
      <c r="I1745" s="57" t="n">
        <v>19805.5058057648</v>
      </c>
      <c r="J1745" s="58" t="str">
        <f>I1745-E1745</f>
      </c>
    </row>
    <row r="1746">
      <c r="A1746" t="s">
        <v>72</v>
      </c>
      <c r="B1746" t="s">
        <v>335</v>
      </c>
      <c r="C1746" s="52" t="n">
        <v>2040</v>
      </c>
      <c r="D1746" t="s">
        <v>230</v>
      </c>
      <c r="E1746" s="53" t="n">
        <v>1217029.49333677</v>
      </c>
      <c r="F1746" s="54" t="n">
        <v>251591.898664867</v>
      </c>
      <c r="G1746" s="55" t="n">
        <v>251591.898664867</v>
      </c>
      <c r="H1746" s="56" t="str">
        <f>G1746-F1746</f>
      </c>
      <c r="I1746" s="57" t="n">
        <v>1217029.49333677</v>
      </c>
      <c r="J1746" s="58" t="str">
        <f>I1746-E1746</f>
      </c>
    </row>
    <row r="1747">
      <c r="A1747" t="s">
        <v>72</v>
      </c>
      <c r="B1747" t="s">
        <v>335</v>
      </c>
      <c r="C1747" s="52" t="n">
        <v>2040</v>
      </c>
      <c r="D1747" t="s">
        <v>166</v>
      </c>
      <c r="E1747" s="53" t="n">
        <v>130079.117811465</v>
      </c>
      <c r="F1747" s="54" t="n">
        <v>84431.8911758369</v>
      </c>
      <c r="G1747" s="55" t="n">
        <v>84431.8911758369</v>
      </c>
      <c r="H1747" s="56" t="str">
        <f>G1747-F1747</f>
      </c>
      <c r="I1747" s="57" t="n">
        <v>130079.117811465</v>
      </c>
      <c r="J1747" s="58" t="str">
        <f>I1747-E1747</f>
      </c>
    </row>
    <row r="1748">
      <c r="A1748" t="s">
        <v>72</v>
      </c>
      <c r="B1748" t="s">
        <v>335</v>
      </c>
      <c r="C1748" s="52" t="n">
        <v>2040</v>
      </c>
      <c r="D1748" t="s">
        <v>176</v>
      </c>
      <c r="E1748" s="53" t="n">
        <v>272772.692977532</v>
      </c>
      <c r="F1748" s="54" t="n">
        <v>257451.80463236</v>
      </c>
      <c r="G1748" s="55" t="n">
        <v>257451.80463236</v>
      </c>
      <c r="H1748" s="56" t="str">
        <f>G1748-F1748</f>
      </c>
      <c r="I1748" s="57" t="n">
        <v>272772.692977532</v>
      </c>
      <c r="J1748" s="58" t="str">
        <f>I1748-E1748</f>
      </c>
    </row>
    <row r="1749">
      <c r="A1749" t="s">
        <v>72</v>
      </c>
      <c r="B1749" t="s">
        <v>335</v>
      </c>
      <c r="C1749" s="52" t="n">
        <v>2040</v>
      </c>
      <c r="D1749" t="s">
        <v>180</v>
      </c>
      <c r="E1749" s="53" t="n">
        <v>725057.851356544</v>
      </c>
      <c r="F1749" s="54" t="n">
        <v>435208.840989962</v>
      </c>
      <c r="G1749" s="55" t="n">
        <v>435208.840989962</v>
      </c>
      <c r="H1749" s="56" t="str">
        <f>G1749-F1749</f>
      </c>
      <c r="I1749" s="57" t="n">
        <v>725057.851356544</v>
      </c>
      <c r="J1749" s="58" t="str">
        <f>I1749-E1749</f>
      </c>
    </row>
    <row r="1750">
      <c r="A1750" t="s">
        <v>72</v>
      </c>
      <c r="B1750" t="s">
        <v>335</v>
      </c>
      <c r="C1750" s="52" t="n">
        <v>2040</v>
      </c>
      <c r="D1750" t="s">
        <v>184</v>
      </c>
      <c r="E1750" s="53" t="n">
        <v>366714.045807884</v>
      </c>
      <c r="F1750" s="54" t="n">
        <v>193853.250747764</v>
      </c>
      <c r="G1750" s="55" t="n">
        <v>193853.250747764</v>
      </c>
      <c r="H1750" s="56" t="str">
        <f>G1750-F1750</f>
      </c>
      <c r="I1750" s="57" t="n">
        <v>366714.045807884</v>
      </c>
      <c r="J1750" s="58" t="str">
        <f>I1750-E1750</f>
      </c>
    </row>
    <row r="1751">
      <c r="A1751" t="s">
        <v>72</v>
      </c>
      <c r="B1751" t="s">
        <v>335</v>
      </c>
      <c r="C1751" s="52" t="n">
        <v>2040</v>
      </c>
      <c r="D1751" t="s">
        <v>212</v>
      </c>
      <c r="E1751" s="53" t="n">
        <v>36005.0280863419</v>
      </c>
      <c r="F1751" s="54" t="n">
        <v>3069.25189350158</v>
      </c>
      <c r="G1751" s="55" t="n">
        <v>3069.25189350158</v>
      </c>
      <c r="H1751" s="56" t="str">
        <f>G1751-F1751</f>
      </c>
      <c r="I1751" s="57" t="n">
        <v>36005.0280863419</v>
      </c>
      <c r="J1751" s="58" t="str">
        <f>I1751-E1751</f>
      </c>
    </row>
    <row r="1752">
      <c r="A1752" t="s">
        <v>72</v>
      </c>
      <c r="B1752" t="s">
        <v>335</v>
      </c>
      <c r="C1752" s="52" t="n">
        <v>2041</v>
      </c>
      <c r="D1752" t="s">
        <v>190</v>
      </c>
      <c r="E1752" s="53" t="n">
        <v>20453.6267543422</v>
      </c>
      <c r="F1752" s="54" t="n">
        <v>14249.5364552167</v>
      </c>
      <c r="G1752" s="55" t="n">
        <v>14249.5364552167</v>
      </c>
      <c r="H1752" s="56" t="str">
        <f>G1752-F1752</f>
      </c>
      <c r="I1752" s="57" t="n">
        <v>20453.6267543422</v>
      </c>
      <c r="J1752" s="58" t="str">
        <f>I1752-E1752</f>
      </c>
    </row>
    <row r="1753">
      <c r="A1753" t="s">
        <v>72</v>
      </c>
      <c r="B1753" t="s">
        <v>335</v>
      </c>
      <c r="C1753" s="52" t="n">
        <v>2041</v>
      </c>
      <c r="D1753" t="s">
        <v>230</v>
      </c>
      <c r="E1753" s="53" t="n">
        <v>1226624.81076703</v>
      </c>
      <c r="F1753" s="54" t="n">
        <v>259677.195752453</v>
      </c>
      <c r="G1753" s="55" t="n">
        <v>259677.195752453</v>
      </c>
      <c r="H1753" s="56" t="str">
        <f>G1753-F1753</f>
      </c>
      <c r="I1753" s="57" t="n">
        <v>1226624.81076703</v>
      </c>
      <c r="J1753" s="58" t="str">
        <f>I1753-E1753</f>
      </c>
    </row>
    <row r="1754">
      <c r="A1754" t="s">
        <v>72</v>
      </c>
      <c r="B1754" t="s">
        <v>335</v>
      </c>
      <c r="C1754" s="52" t="n">
        <v>2041</v>
      </c>
      <c r="D1754" t="s">
        <v>166</v>
      </c>
      <c r="E1754" s="53" t="n">
        <v>132229.629710176</v>
      </c>
      <c r="F1754" s="54" t="n">
        <v>85532.3195906077</v>
      </c>
      <c r="G1754" s="55" t="n">
        <v>85532.3195906077</v>
      </c>
      <c r="H1754" s="56" t="str">
        <f>G1754-F1754</f>
      </c>
      <c r="I1754" s="57" t="n">
        <v>132229.629710176</v>
      </c>
      <c r="J1754" s="58" t="str">
        <f>I1754-E1754</f>
      </c>
    </row>
    <row r="1755">
      <c r="A1755" t="s">
        <v>72</v>
      </c>
      <c r="B1755" t="s">
        <v>335</v>
      </c>
      <c r="C1755" s="52" t="n">
        <v>2041</v>
      </c>
      <c r="D1755" t="s">
        <v>176</v>
      </c>
      <c r="E1755" s="53" t="n">
        <v>272611.753671291</v>
      </c>
      <c r="F1755" s="54" t="n">
        <v>257389.631754286</v>
      </c>
      <c r="G1755" s="55" t="n">
        <v>257389.631754286</v>
      </c>
      <c r="H1755" s="56" t="str">
        <f>G1755-F1755</f>
      </c>
      <c r="I1755" s="57" t="n">
        <v>272611.753671291</v>
      </c>
      <c r="J1755" s="58" t="str">
        <f>I1755-E1755</f>
      </c>
    </row>
    <row r="1756">
      <c r="A1756" t="s">
        <v>72</v>
      </c>
      <c r="B1756" t="s">
        <v>335</v>
      </c>
      <c r="C1756" s="52" t="n">
        <v>2041</v>
      </c>
      <c r="D1756" t="s">
        <v>180</v>
      </c>
      <c r="E1756" s="53" t="n">
        <v>734627.740075405</v>
      </c>
      <c r="F1756" s="54" t="n">
        <v>442324.306406792</v>
      </c>
      <c r="G1756" s="55" t="n">
        <v>442324.306406792</v>
      </c>
      <c r="H1756" s="56" t="str">
        <f>G1756-F1756</f>
      </c>
      <c r="I1756" s="57" t="n">
        <v>734627.740075405</v>
      </c>
      <c r="J1756" s="58" t="str">
        <f>I1756-E1756</f>
      </c>
    </row>
    <row r="1757">
      <c r="A1757" t="s">
        <v>72</v>
      </c>
      <c r="B1757" t="s">
        <v>335</v>
      </c>
      <c r="C1757" s="52" t="n">
        <v>2041</v>
      </c>
      <c r="D1757" t="s">
        <v>184</v>
      </c>
      <c r="E1757" s="53" t="n">
        <v>370436.975606793</v>
      </c>
      <c r="F1757" s="54" t="n">
        <v>195926.907201396</v>
      </c>
      <c r="G1757" s="55" t="n">
        <v>195926.907201396</v>
      </c>
      <c r="H1757" s="56" t="str">
        <f>G1757-F1757</f>
      </c>
      <c r="I1757" s="57" t="n">
        <v>370436.975606793</v>
      </c>
      <c r="J1757" s="58" t="str">
        <f>I1757-E1757</f>
      </c>
    </row>
    <row r="1758">
      <c r="A1758" t="s">
        <v>72</v>
      </c>
      <c r="B1758" t="s">
        <v>335</v>
      </c>
      <c r="C1758" s="52" t="n">
        <v>2041</v>
      </c>
      <c r="D1758" t="s">
        <v>212</v>
      </c>
      <c r="E1758" s="53" t="n">
        <v>35900.7650540721</v>
      </c>
      <c r="F1758" s="54" t="n">
        <v>2944.01552271229</v>
      </c>
      <c r="G1758" s="55" t="n">
        <v>2944.01552271229</v>
      </c>
      <c r="H1758" s="56" t="str">
        <f>G1758-F1758</f>
      </c>
      <c r="I1758" s="57" t="n">
        <v>35900.7650540721</v>
      </c>
      <c r="J1758" s="58" t="str">
        <f>I1758-E1758</f>
      </c>
    </row>
    <row r="1759">
      <c r="A1759" t="s">
        <v>72</v>
      </c>
      <c r="B1759" t="s">
        <v>335</v>
      </c>
      <c r="C1759" s="52" t="n">
        <v>2042</v>
      </c>
      <c r="D1759" t="s">
        <v>190</v>
      </c>
      <c r="E1759" s="53" t="n">
        <v>21115.5817026885</v>
      </c>
      <c r="F1759" s="54" t="n">
        <v>14626.3190066004</v>
      </c>
      <c r="G1759" s="55" t="n">
        <v>14626.3190066004</v>
      </c>
      <c r="H1759" s="56" t="str">
        <f>G1759-F1759</f>
      </c>
      <c r="I1759" s="57" t="n">
        <v>21115.5817026885</v>
      </c>
      <c r="J1759" s="58" t="str">
        <f>I1759-E1759</f>
      </c>
    </row>
    <row r="1760">
      <c r="A1760" t="s">
        <v>72</v>
      </c>
      <c r="B1760" t="s">
        <v>335</v>
      </c>
      <c r="C1760" s="52" t="n">
        <v>2042</v>
      </c>
      <c r="D1760" t="s">
        <v>230</v>
      </c>
      <c r="E1760" s="53" t="n">
        <v>1235703.75022274</v>
      </c>
      <c r="F1760" s="54" t="n">
        <v>267778.732534162</v>
      </c>
      <c r="G1760" s="55" t="n">
        <v>267778.732534162</v>
      </c>
      <c r="H1760" s="56" t="str">
        <f>G1760-F1760</f>
      </c>
      <c r="I1760" s="57" t="n">
        <v>1235703.75022274</v>
      </c>
      <c r="J1760" s="58" t="str">
        <f>I1760-E1760</f>
      </c>
    </row>
    <row r="1761">
      <c r="A1761" t="s">
        <v>72</v>
      </c>
      <c r="B1761" t="s">
        <v>335</v>
      </c>
      <c r="C1761" s="52" t="n">
        <v>2042</v>
      </c>
      <c r="D1761" t="s">
        <v>166</v>
      </c>
      <c r="E1761" s="53" t="n">
        <v>134351.626048708</v>
      </c>
      <c r="F1761" s="54" t="n">
        <v>86657.3132213297</v>
      </c>
      <c r="G1761" s="55" t="n">
        <v>86657.3132213297</v>
      </c>
      <c r="H1761" s="56" t="str">
        <f>G1761-F1761</f>
      </c>
      <c r="I1761" s="57" t="n">
        <v>134351.626048708</v>
      </c>
      <c r="J1761" s="58" t="str">
        <f>I1761-E1761</f>
      </c>
    </row>
    <row r="1762">
      <c r="A1762" t="s">
        <v>72</v>
      </c>
      <c r="B1762" t="s">
        <v>335</v>
      </c>
      <c r="C1762" s="52" t="n">
        <v>2042</v>
      </c>
      <c r="D1762" t="s">
        <v>176</v>
      </c>
      <c r="E1762" s="53" t="n">
        <v>272280.658720601</v>
      </c>
      <c r="F1762" s="54" t="n">
        <v>257198.349756019</v>
      </c>
      <c r="G1762" s="55" t="n">
        <v>257198.349756019</v>
      </c>
      <c r="H1762" s="56" t="str">
        <f>G1762-F1762</f>
      </c>
      <c r="I1762" s="57" t="n">
        <v>272280.658720601</v>
      </c>
      <c r="J1762" s="58" t="str">
        <f>I1762-E1762</f>
      </c>
    </row>
    <row r="1763">
      <c r="A1763" t="s">
        <v>72</v>
      </c>
      <c r="B1763" t="s">
        <v>335</v>
      </c>
      <c r="C1763" s="52" t="n">
        <v>2042</v>
      </c>
      <c r="D1763" t="s">
        <v>180</v>
      </c>
      <c r="E1763" s="53" t="n">
        <v>744313.272667757</v>
      </c>
      <c r="F1763" s="54" t="n">
        <v>449601.261227495</v>
      </c>
      <c r="G1763" s="55" t="n">
        <v>449601.261227495</v>
      </c>
      <c r="H1763" s="56" t="str">
        <f>G1763-F1763</f>
      </c>
      <c r="I1763" s="57" t="n">
        <v>744313.272667757</v>
      </c>
      <c r="J1763" s="58" t="str">
        <f>I1763-E1763</f>
      </c>
    </row>
    <row r="1764">
      <c r="A1764" t="s">
        <v>72</v>
      </c>
      <c r="B1764" t="s">
        <v>335</v>
      </c>
      <c r="C1764" s="52" t="n">
        <v>2042</v>
      </c>
      <c r="D1764" t="s">
        <v>184</v>
      </c>
      <c r="E1764" s="53" t="n">
        <v>374419.262045636</v>
      </c>
      <c r="F1764" s="54" t="n">
        <v>198082.814103714</v>
      </c>
      <c r="G1764" s="55" t="n">
        <v>198082.814103714</v>
      </c>
      <c r="H1764" s="56" t="str">
        <f>G1764-F1764</f>
      </c>
      <c r="I1764" s="57" t="n">
        <v>374419.262045636</v>
      </c>
      <c r="J1764" s="58" t="str">
        <f>I1764-E1764</f>
      </c>
    </row>
    <row r="1765">
      <c r="A1765" t="s">
        <v>72</v>
      </c>
      <c r="B1765" t="s">
        <v>335</v>
      </c>
      <c r="C1765" s="52" t="n">
        <v>2042</v>
      </c>
      <c r="D1765" t="s">
        <v>212</v>
      </c>
      <c r="E1765" s="53" t="n">
        <v>35516.8405935332</v>
      </c>
      <c r="F1765" s="54" t="n">
        <v>2820.51221264468</v>
      </c>
      <c r="G1765" s="55" t="n">
        <v>2820.51221264468</v>
      </c>
      <c r="H1765" s="56" t="str">
        <f>G1765-F1765</f>
      </c>
      <c r="I1765" s="57" t="n">
        <v>35516.8405935332</v>
      </c>
      <c r="J1765" s="58" t="str">
        <f>I1765-E1765</f>
      </c>
    </row>
    <row r="1766">
      <c r="A1766" t="s">
        <v>72</v>
      </c>
      <c r="B1766" t="s">
        <v>335</v>
      </c>
      <c r="C1766" s="52" t="n">
        <v>2043</v>
      </c>
      <c r="D1766" t="s">
        <v>190</v>
      </c>
      <c r="E1766" s="53" t="n">
        <v>21789.1256560335</v>
      </c>
      <c r="F1766" s="54" t="n">
        <v>15004.0861158129</v>
      </c>
      <c r="G1766" s="55" t="n">
        <v>15004.0861158129</v>
      </c>
      <c r="H1766" s="56" t="str">
        <f>G1766-F1766</f>
      </c>
      <c r="I1766" s="57" t="n">
        <v>21789.1256560335</v>
      </c>
      <c r="J1766" s="58" t="str">
        <f>I1766-E1766</f>
      </c>
    </row>
    <row r="1767">
      <c r="A1767" t="s">
        <v>72</v>
      </c>
      <c r="B1767" t="s">
        <v>335</v>
      </c>
      <c r="C1767" s="52" t="n">
        <v>2043</v>
      </c>
      <c r="D1767" t="s">
        <v>230</v>
      </c>
      <c r="E1767" s="53" t="n">
        <v>1244246.51153606</v>
      </c>
      <c r="F1767" s="54" t="n">
        <v>275876.995486318</v>
      </c>
      <c r="G1767" s="55" t="n">
        <v>275876.995486318</v>
      </c>
      <c r="H1767" s="56" t="str">
        <f>G1767-F1767</f>
      </c>
      <c r="I1767" s="57" t="n">
        <v>1244246.51153606</v>
      </c>
      <c r="J1767" s="58" t="str">
        <f>I1767-E1767</f>
      </c>
    </row>
    <row r="1768">
      <c r="A1768" t="s">
        <v>72</v>
      </c>
      <c r="B1768" t="s">
        <v>335</v>
      </c>
      <c r="C1768" s="52" t="n">
        <v>2043</v>
      </c>
      <c r="D1768" t="s">
        <v>166</v>
      </c>
      <c r="E1768" s="53" t="n">
        <v>136601.974960575</v>
      </c>
      <c r="F1768" s="54" t="n">
        <v>87779.034425801</v>
      </c>
      <c r="G1768" s="55" t="n">
        <v>87779.034425801</v>
      </c>
      <c r="H1768" s="56" t="str">
        <f>G1768-F1768</f>
      </c>
      <c r="I1768" s="57" t="n">
        <v>136601.974960575</v>
      </c>
      <c r="J1768" s="58" t="str">
        <f>I1768-E1768</f>
      </c>
    </row>
    <row r="1769">
      <c r="A1769" t="s">
        <v>72</v>
      </c>
      <c r="B1769" t="s">
        <v>335</v>
      </c>
      <c r="C1769" s="52" t="n">
        <v>2043</v>
      </c>
      <c r="D1769" t="s">
        <v>176</v>
      </c>
      <c r="E1769" s="53" t="n">
        <v>271689.794226751</v>
      </c>
      <c r="F1769" s="54" t="n">
        <v>256777.587157068</v>
      </c>
      <c r="G1769" s="55" t="n">
        <v>256777.587157068</v>
      </c>
      <c r="H1769" s="56" t="str">
        <f>G1769-F1769</f>
      </c>
      <c r="I1769" s="57" t="n">
        <v>271689.794226751</v>
      </c>
      <c r="J1769" s="58" t="str">
        <f>I1769-E1769</f>
      </c>
    </row>
    <row r="1770">
      <c r="A1770" t="s">
        <v>72</v>
      </c>
      <c r="B1770" t="s">
        <v>335</v>
      </c>
      <c r="C1770" s="52" t="n">
        <v>2043</v>
      </c>
      <c r="D1770" t="s">
        <v>180</v>
      </c>
      <c r="E1770" s="53" t="n">
        <v>754370.892413502</v>
      </c>
      <c r="F1770" s="54" t="n">
        <v>456915.722046172</v>
      </c>
      <c r="G1770" s="55" t="n">
        <v>456915.722046172</v>
      </c>
      <c r="H1770" s="56" t="str">
        <f>G1770-F1770</f>
      </c>
      <c r="I1770" s="57" t="n">
        <v>754370.892413502</v>
      </c>
      <c r="J1770" s="58" t="str">
        <f>I1770-E1770</f>
      </c>
    </row>
    <row r="1771">
      <c r="A1771" t="s">
        <v>72</v>
      </c>
      <c r="B1771" t="s">
        <v>335</v>
      </c>
      <c r="C1771" s="52" t="n">
        <v>2043</v>
      </c>
      <c r="D1771" t="s">
        <v>184</v>
      </c>
      <c r="E1771" s="53" t="n">
        <v>378766.534515357</v>
      </c>
      <c r="F1771" s="54" t="n">
        <v>200204.274251736</v>
      </c>
      <c r="G1771" s="55" t="n">
        <v>200204.274251736</v>
      </c>
      <c r="H1771" s="56" t="str">
        <f>G1771-F1771</f>
      </c>
      <c r="I1771" s="57" t="n">
        <v>378766.534515357</v>
      </c>
      <c r="J1771" s="58" t="str">
        <f>I1771-E1771</f>
      </c>
    </row>
    <row r="1772">
      <c r="A1772" t="s">
        <v>72</v>
      </c>
      <c r="B1772" t="s">
        <v>335</v>
      </c>
      <c r="C1772" s="52" t="n">
        <v>2043</v>
      </c>
      <c r="D1772" t="s">
        <v>212</v>
      </c>
      <c r="E1772" s="53" t="n">
        <v>35328.7732033082</v>
      </c>
      <c r="F1772" s="54" t="n">
        <v>2698.33092960504</v>
      </c>
      <c r="G1772" s="55" t="n">
        <v>2698.33092960504</v>
      </c>
      <c r="H1772" s="56" t="str">
        <f>G1772-F1772</f>
      </c>
      <c r="I1772" s="57" t="n">
        <v>35328.7732033082</v>
      </c>
      <c r="J1772" s="58" t="str">
        <f>I1772-E1772</f>
      </c>
    </row>
    <row r="1773">
      <c r="A1773" t="s">
        <v>72</v>
      </c>
      <c r="B1773" t="s">
        <v>335</v>
      </c>
      <c r="C1773" s="52" t="n">
        <v>2044</v>
      </c>
      <c r="D1773" t="s">
        <v>190</v>
      </c>
      <c r="E1773" s="53" t="n">
        <v>22472.4057787798</v>
      </c>
      <c r="F1773" s="54" t="n">
        <v>15388.6382618872</v>
      </c>
      <c r="G1773" s="55" t="n">
        <v>15388.6382618872</v>
      </c>
      <c r="H1773" s="56" t="str">
        <f>G1773-F1773</f>
      </c>
      <c r="I1773" s="57" t="n">
        <v>22472.4057787798</v>
      </c>
      <c r="J1773" s="58" t="str">
        <f>I1773-E1773</f>
      </c>
    </row>
    <row r="1774">
      <c r="A1774" t="s">
        <v>72</v>
      </c>
      <c r="B1774" t="s">
        <v>335</v>
      </c>
      <c r="C1774" s="52" t="n">
        <v>2044</v>
      </c>
      <c r="D1774" t="s">
        <v>230</v>
      </c>
      <c r="E1774" s="53" t="n">
        <v>1252519.7576167</v>
      </c>
      <c r="F1774" s="54" t="n">
        <v>283902.050416871</v>
      </c>
      <c r="G1774" s="55" t="n">
        <v>283902.050416871</v>
      </c>
      <c r="H1774" s="56" t="str">
        <f>G1774-F1774</f>
      </c>
      <c r="I1774" s="57" t="n">
        <v>1252519.7576167</v>
      </c>
      <c r="J1774" s="58" t="str">
        <f>I1774-E1774</f>
      </c>
    </row>
    <row r="1775">
      <c r="A1775" t="s">
        <v>72</v>
      </c>
      <c r="B1775" t="s">
        <v>335</v>
      </c>
      <c r="C1775" s="52" t="n">
        <v>2044</v>
      </c>
      <c r="D1775" t="s">
        <v>166</v>
      </c>
      <c r="E1775" s="53" t="n">
        <v>138127.807492249</v>
      </c>
      <c r="F1775" s="54" t="n">
        <v>88912.4462868978</v>
      </c>
      <c r="G1775" s="55" t="n">
        <v>88912.4462868978</v>
      </c>
      <c r="H1775" s="56" t="str">
        <f>G1775-F1775</f>
      </c>
      <c r="I1775" s="57" t="n">
        <v>138127.807492249</v>
      </c>
      <c r="J1775" s="58" t="str">
        <f>I1775-E1775</f>
      </c>
    </row>
    <row r="1776">
      <c r="A1776" t="s">
        <v>72</v>
      </c>
      <c r="B1776" t="s">
        <v>335</v>
      </c>
      <c r="C1776" s="52" t="n">
        <v>2044</v>
      </c>
      <c r="D1776" t="s">
        <v>176</v>
      </c>
      <c r="E1776" s="53" t="n">
        <v>270981.060601887</v>
      </c>
      <c r="F1776" s="54" t="n">
        <v>256436.399818879</v>
      </c>
      <c r="G1776" s="55" t="n">
        <v>256436.399818879</v>
      </c>
      <c r="H1776" s="56" t="str">
        <f>G1776-F1776</f>
      </c>
      <c r="I1776" s="57" t="n">
        <v>270981.060601887</v>
      </c>
      <c r="J1776" s="58" t="str">
        <f>I1776-E1776</f>
      </c>
    </row>
    <row r="1777">
      <c r="A1777" t="s">
        <v>72</v>
      </c>
      <c r="B1777" t="s">
        <v>335</v>
      </c>
      <c r="C1777" s="52" t="n">
        <v>2044</v>
      </c>
      <c r="D1777" t="s">
        <v>180</v>
      </c>
      <c r="E1777" s="53" t="n">
        <v>760751.529161819</v>
      </c>
      <c r="F1777" s="54" t="n">
        <v>464236.623828497</v>
      </c>
      <c r="G1777" s="55" t="n">
        <v>464236.623828497</v>
      </c>
      <c r="H1777" s="56" t="str">
        <f>G1777-F1777</f>
      </c>
      <c r="I1777" s="57" t="n">
        <v>760751.529161819</v>
      </c>
      <c r="J1777" s="58" t="str">
        <f>I1777-E1777</f>
      </c>
    </row>
    <row r="1778">
      <c r="A1778" t="s">
        <v>72</v>
      </c>
      <c r="B1778" t="s">
        <v>335</v>
      </c>
      <c r="C1778" s="52" t="n">
        <v>2044</v>
      </c>
      <c r="D1778" t="s">
        <v>184</v>
      </c>
      <c r="E1778" s="53" t="n">
        <v>380754.514374576</v>
      </c>
      <c r="F1778" s="54" t="n">
        <v>202762.435405402</v>
      </c>
      <c r="G1778" s="55" t="n">
        <v>202762.435405402</v>
      </c>
      <c r="H1778" s="56" t="str">
        <f>G1778-F1778</f>
      </c>
      <c r="I1778" s="57" t="n">
        <v>380754.514374576</v>
      </c>
      <c r="J1778" s="58" t="str">
        <f>I1778-E1778</f>
      </c>
    </row>
    <row r="1779">
      <c r="A1779" t="s">
        <v>72</v>
      </c>
      <c r="B1779" t="s">
        <v>335</v>
      </c>
      <c r="C1779" s="52" t="n">
        <v>2044</v>
      </c>
      <c r="D1779" t="s">
        <v>212</v>
      </c>
      <c r="E1779" s="53" t="n">
        <v>35046.7052079593</v>
      </c>
      <c r="F1779" s="54" t="n">
        <v>2573.79262430521</v>
      </c>
      <c r="G1779" s="55" t="n">
        <v>2573.79262430521</v>
      </c>
      <c r="H1779" s="56" t="str">
        <f>G1779-F1779</f>
      </c>
      <c r="I1779" s="57" t="n">
        <v>35046.7052079593</v>
      </c>
      <c r="J1779" s="58" t="str">
        <f>I1779-E1779</f>
      </c>
    </row>
    <row r="1780">
      <c r="A1780" t="s">
        <v>72</v>
      </c>
      <c r="B1780" t="s">
        <v>335</v>
      </c>
      <c r="C1780" s="52" t="n">
        <v>2045</v>
      </c>
      <c r="D1780" t="s">
        <v>190</v>
      </c>
      <c r="E1780" s="53" t="n">
        <v>23166.9456880515</v>
      </c>
      <c r="F1780" s="54" t="n">
        <v>15771.7189092791</v>
      </c>
      <c r="G1780" s="55" t="n">
        <v>15771.7189092791</v>
      </c>
      <c r="H1780" s="56" t="str">
        <f>G1780-F1780</f>
      </c>
      <c r="I1780" s="57" t="n">
        <v>23166.9456880515</v>
      </c>
      <c r="J1780" s="58" t="str">
        <f>I1780-E1780</f>
      </c>
    </row>
    <row r="1781">
      <c r="A1781" t="s">
        <v>72</v>
      </c>
      <c r="B1781" t="s">
        <v>335</v>
      </c>
      <c r="C1781" s="52" t="n">
        <v>2045</v>
      </c>
      <c r="D1781" t="s">
        <v>230</v>
      </c>
      <c r="E1781" s="53" t="n">
        <v>1260592.98702146</v>
      </c>
      <c r="F1781" s="54" t="n">
        <v>291822.027540257</v>
      </c>
      <c r="G1781" s="55" t="n">
        <v>291822.027540257</v>
      </c>
      <c r="H1781" s="56" t="str">
        <f>G1781-F1781</f>
      </c>
      <c r="I1781" s="57" t="n">
        <v>1260592.98702146</v>
      </c>
      <c r="J1781" s="58" t="str">
        <f>I1781-E1781</f>
      </c>
    </row>
    <row r="1782">
      <c r="A1782" t="s">
        <v>72</v>
      </c>
      <c r="B1782" t="s">
        <v>335</v>
      </c>
      <c r="C1782" s="52" t="n">
        <v>2045</v>
      </c>
      <c r="D1782" t="s">
        <v>166</v>
      </c>
      <c r="E1782" s="53" t="n">
        <v>140172.774815525</v>
      </c>
      <c r="F1782" s="54" t="n">
        <v>90041.6045905888</v>
      </c>
      <c r="G1782" s="55" t="n">
        <v>90041.6045905888</v>
      </c>
      <c r="H1782" s="56" t="str">
        <f>G1782-F1782</f>
      </c>
      <c r="I1782" s="57" t="n">
        <v>140172.774815525</v>
      </c>
      <c r="J1782" s="58" t="str">
        <f>I1782-E1782</f>
      </c>
    </row>
    <row r="1783">
      <c r="A1783" t="s">
        <v>72</v>
      </c>
      <c r="B1783" t="s">
        <v>335</v>
      </c>
      <c r="C1783" s="52" t="n">
        <v>2045</v>
      </c>
      <c r="D1783" t="s">
        <v>176</v>
      </c>
      <c r="E1783" s="53" t="n">
        <v>270438.603152282</v>
      </c>
      <c r="F1783" s="54" t="n">
        <v>255976.908113305</v>
      </c>
      <c r="G1783" s="55" t="n">
        <v>255976.908113305</v>
      </c>
      <c r="H1783" s="56" t="str">
        <f>G1783-F1783</f>
      </c>
      <c r="I1783" s="57" t="n">
        <v>270438.603152282</v>
      </c>
      <c r="J1783" s="58" t="str">
        <f>I1783-E1783</f>
      </c>
    </row>
    <row r="1784">
      <c r="A1784" t="s">
        <v>72</v>
      </c>
      <c r="B1784" t="s">
        <v>335</v>
      </c>
      <c r="C1784" s="52" t="n">
        <v>2045</v>
      </c>
      <c r="D1784" t="s">
        <v>180</v>
      </c>
      <c r="E1784" s="53" t="n">
        <v>769313.803212411</v>
      </c>
      <c r="F1784" s="54" t="n">
        <v>470920.29436777</v>
      </c>
      <c r="G1784" s="55" t="n">
        <v>470920.29436777</v>
      </c>
      <c r="H1784" s="56" t="str">
        <f>G1784-F1784</f>
      </c>
      <c r="I1784" s="57" t="n">
        <v>769313.803212411</v>
      </c>
      <c r="J1784" s="58" t="str">
        <f>I1784-E1784</f>
      </c>
    </row>
    <row r="1785">
      <c r="A1785" t="s">
        <v>72</v>
      </c>
      <c r="B1785" t="s">
        <v>335</v>
      </c>
      <c r="C1785" s="52" t="n">
        <v>2045</v>
      </c>
      <c r="D1785" t="s">
        <v>184</v>
      </c>
      <c r="E1785" s="53" t="n">
        <v>383936.192524615</v>
      </c>
      <c r="F1785" s="54" t="n">
        <v>204869.328897989</v>
      </c>
      <c r="G1785" s="55" t="n">
        <v>204869.328897989</v>
      </c>
      <c r="H1785" s="56" t="str">
        <f>G1785-F1785</f>
      </c>
      <c r="I1785" s="57" t="n">
        <v>383936.192524615</v>
      </c>
      <c r="J1785" s="58" t="str">
        <f>I1785-E1785</f>
      </c>
    </row>
    <row r="1786">
      <c r="A1786" t="s">
        <v>72</v>
      </c>
      <c r="B1786" t="s">
        <v>335</v>
      </c>
      <c r="C1786" s="52" t="n">
        <v>2045</v>
      </c>
      <c r="D1786" t="s">
        <v>212</v>
      </c>
      <c r="E1786" s="53" t="n">
        <v>34846.7151562227</v>
      </c>
      <c r="F1786" s="54" t="n">
        <v>2452.74707379338</v>
      </c>
      <c r="G1786" s="55" t="n">
        <v>2452.74707379338</v>
      </c>
      <c r="H1786" s="56" t="str">
        <f>G1786-F1786</f>
      </c>
      <c r="I1786" s="57" t="n">
        <v>34846.7151562227</v>
      </c>
      <c r="J1786" s="58" t="str">
        <f>I1786-E1786</f>
      </c>
    </row>
    <row r="1787">
      <c r="A1787" t="s">
        <v>72</v>
      </c>
      <c r="B1787" t="s">
        <v>335</v>
      </c>
      <c r="C1787" s="52" t="n">
        <v>2046</v>
      </c>
      <c r="D1787" t="s">
        <v>190</v>
      </c>
      <c r="E1787" s="53" t="n">
        <v>23868.2179440388</v>
      </c>
      <c r="F1787" s="54" t="n">
        <v>16165.2905403234</v>
      </c>
      <c r="G1787" s="55" t="n">
        <v>16165.2905403234</v>
      </c>
      <c r="H1787" s="56" t="str">
        <f>G1787-F1787</f>
      </c>
      <c r="I1787" s="57" t="n">
        <v>23868.2179440388</v>
      </c>
      <c r="J1787" s="58" t="str">
        <f>I1787-E1787</f>
      </c>
    </row>
    <row r="1788">
      <c r="A1788" t="s">
        <v>72</v>
      </c>
      <c r="B1788" t="s">
        <v>335</v>
      </c>
      <c r="C1788" s="52" t="n">
        <v>2046</v>
      </c>
      <c r="D1788" t="s">
        <v>230</v>
      </c>
      <c r="E1788" s="53" t="n">
        <v>1268475.95633212</v>
      </c>
      <c r="F1788" s="54" t="n">
        <v>299596.928666138</v>
      </c>
      <c r="G1788" s="55" t="n">
        <v>299596.928666138</v>
      </c>
      <c r="H1788" s="56" t="str">
        <f>G1788-F1788</f>
      </c>
      <c r="I1788" s="57" t="n">
        <v>1268475.95633212</v>
      </c>
      <c r="J1788" s="58" t="str">
        <f>I1788-E1788</f>
      </c>
    </row>
    <row r="1789">
      <c r="A1789" t="s">
        <v>72</v>
      </c>
      <c r="B1789" t="s">
        <v>335</v>
      </c>
      <c r="C1789" s="52" t="n">
        <v>2046</v>
      </c>
      <c r="D1789" t="s">
        <v>166</v>
      </c>
      <c r="E1789" s="53" t="n">
        <v>142194.053650607</v>
      </c>
      <c r="F1789" s="54" t="n">
        <v>91198.8909425984</v>
      </c>
      <c r="G1789" s="55" t="n">
        <v>91198.8909425984</v>
      </c>
      <c r="H1789" s="56" t="str">
        <f>G1789-F1789</f>
      </c>
      <c r="I1789" s="57" t="n">
        <v>142194.053650607</v>
      </c>
      <c r="J1789" s="58" t="str">
        <f>I1789-E1789</f>
      </c>
    </row>
    <row r="1790">
      <c r="A1790" t="s">
        <v>72</v>
      </c>
      <c r="B1790" t="s">
        <v>335</v>
      </c>
      <c r="C1790" s="52" t="n">
        <v>2046</v>
      </c>
      <c r="D1790" t="s">
        <v>176</v>
      </c>
      <c r="E1790" s="53" t="n">
        <v>269923.251682947</v>
      </c>
      <c r="F1790" s="54" t="n">
        <v>255431.161412817</v>
      </c>
      <c r="G1790" s="55" t="n">
        <v>255431.161412817</v>
      </c>
      <c r="H1790" s="56" t="str">
        <f>G1790-F1790</f>
      </c>
      <c r="I1790" s="57" t="n">
        <v>269923.251682947</v>
      </c>
      <c r="J1790" s="58" t="str">
        <f>I1790-E1790</f>
      </c>
    </row>
    <row r="1791">
      <c r="A1791" t="s">
        <v>72</v>
      </c>
      <c r="B1791" t="s">
        <v>335</v>
      </c>
      <c r="C1791" s="52" t="n">
        <v>2046</v>
      </c>
      <c r="D1791" t="s">
        <v>180</v>
      </c>
      <c r="E1791" s="53" t="n">
        <v>778095.842672562</v>
      </c>
      <c r="F1791" s="54" t="n">
        <v>477828.931731945</v>
      </c>
      <c r="G1791" s="55" t="n">
        <v>477828.931731945</v>
      </c>
      <c r="H1791" s="56" t="str">
        <f>G1791-F1791</f>
      </c>
      <c r="I1791" s="57" t="n">
        <v>778095.842672562</v>
      </c>
      <c r="J1791" s="58" t="str">
        <f>I1791-E1791</f>
      </c>
    </row>
    <row r="1792">
      <c r="A1792" t="s">
        <v>72</v>
      </c>
      <c r="B1792" t="s">
        <v>335</v>
      </c>
      <c r="C1792" s="52" t="n">
        <v>2046</v>
      </c>
      <c r="D1792" t="s">
        <v>184</v>
      </c>
      <c r="E1792" s="53" t="n">
        <v>387151.427044792</v>
      </c>
      <c r="F1792" s="54" t="n">
        <v>207048.945254603</v>
      </c>
      <c r="G1792" s="55" t="n">
        <v>207048.945254603</v>
      </c>
      <c r="H1792" s="56" t="str">
        <f>G1792-F1792</f>
      </c>
      <c r="I1792" s="57" t="n">
        <v>387151.427044792</v>
      </c>
      <c r="J1792" s="58" t="str">
        <f>I1792-E1792</f>
      </c>
    </row>
    <row r="1793">
      <c r="A1793" t="s">
        <v>72</v>
      </c>
      <c r="B1793" t="s">
        <v>335</v>
      </c>
      <c r="C1793" s="52" t="n">
        <v>2046</v>
      </c>
      <c r="D1793" t="s">
        <v>212</v>
      </c>
      <c r="E1793" s="53" t="n">
        <v>34688.296767041</v>
      </c>
      <c r="F1793" s="54" t="n">
        <v>2335.67260927364</v>
      </c>
      <c r="G1793" s="55" t="n">
        <v>2335.67260927364</v>
      </c>
      <c r="H1793" s="56" t="str">
        <f>G1793-F1793</f>
      </c>
      <c r="I1793" s="57" t="n">
        <v>34688.296767041</v>
      </c>
      <c r="J1793" s="58" t="str">
        <f>I1793-E1793</f>
      </c>
    </row>
    <row r="1794">
      <c r="A1794" t="s">
        <v>72</v>
      </c>
      <c r="B1794" t="s">
        <v>335</v>
      </c>
      <c r="C1794" s="52" t="n">
        <v>2047</v>
      </c>
      <c r="D1794" t="s">
        <v>190</v>
      </c>
      <c r="E1794" s="53" t="n">
        <v>24575.6851293632</v>
      </c>
      <c r="F1794" s="54" t="n">
        <v>16568.5748299244</v>
      </c>
      <c r="G1794" s="55" t="n">
        <v>16568.5748299244</v>
      </c>
      <c r="H1794" s="56" t="str">
        <f>G1794-F1794</f>
      </c>
      <c r="I1794" s="57" t="n">
        <v>24575.6851293632</v>
      </c>
      <c r="J1794" s="58" t="str">
        <f>I1794-E1794</f>
      </c>
    </row>
    <row r="1795">
      <c r="A1795" t="s">
        <v>72</v>
      </c>
      <c r="B1795" t="s">
        <v>335</v>
      </c>
      <c r="C1795" s="52" t="n">
        <v>2047</v>
      </c>
      <c r="D1795" t="s">
        <v>230</v>
      </c>
      <c r="E1795" s="53" t="n">
        <v>1276073.48469778</v>
      </c>
      <c r="F1795" s="54" t="n">
        <v>307176.008738621</v>
      </c>
      <c r="G1795" s="55" t="n">
        <v>307176.008738621</v>
      </c>
      <c r="H1795" s="56" t="str">
        <f>G1795-F1795</f>
      </c>
      <c r="I1795" s="57" t="n">
        <v>1276073.48469778</v>
      </c>
      <c r="J1795" s="58" t="str">
        <f>I1795-E1795</f>
      </c>
    </row>
    <row r="1796">
      <c r="A1796" t="s">
        <v>72</v>
      </c>
      <c r="B1796" t="s">
        <v>335</v>
      </c>
      <c r="C1796" s="52" t="n">
        <v>2047</v>
      </c>
      <c r="D1796" t="s">
        <v>166</v>
      </c>
      <c r="E1796" s="53" t="n">
        <v>144246.070856709</v>
      </c>
      <c r="F1796" s="54" t="n">
        <v>92333.8882911569</v>
      </c>
      <c r="G1796" s="55" t="n">
        <v>92333.8882911569</v>
      </c>
      <c r="H1796" s="56" t="str">
        <f>G1796-F1796</f>
      </c>
      <c r="I1796" s="57" t="n">
        <v>144246.070856709</v>
      </c>
      <c r="J1796" s="58" t="str">
        <f>I1796-E1796</f>
      </c>
    </row>
    <row r="1797">
      <c r="A1797" t="s">
        <v>72</v>
      </c>
      <c r="B1797" t="s">
        <v>335</v>
      </c>
      <c r="C1797" s="52" t="n">
        <v>2047</v>
      </c>
      <c r="D1797" t="s">
        <v>176</v>
      </c>
      <c r="E1797" s="53" t="n">
        <v>269145.730668352</v>
      </c>
      <c r="F1797" s="54" t="n">
        <v>254760.803670819</v>
      </c>
      <c r="G1797" s="55" t="n">
        <v>254760.803670819</v>
      </c>
      <c r="H1797" s="56" t="str">
        <f>G1797-F1797</f>
      </c>
      <c r="I1797" s="57" t="n">
        <v>269145.730668352</v>
      </c>
      <c r="J1797" s="58" t="str">
        <f>I1797-E1797</f>
      </c>
    </row>
    <row r="1798">
      <c r="A1798" t="s">
        <v>72</v>
      </c>
      <c r="B1798" t="s">
        <v>335</v>
      </c>
      <c r="C1798" s="52" t="n">
        <v>2047</v>
      </c>
      <c r="D1798" t="s">
        <v>180</v>
      </c>
      <c r="E1798" s="53" t="n">
        <v>786867.366017657</v>
      </c>
      <c r="F1798" s="54" t="n">
        <v>484667.16956347</v>
      </c>
      <c r="G1798" s="55" t="n">
        <v>484667.16956347</v>
      </c>
      <c r="H1798" s="56" t="str">
        <f>G1798-F1798</f>
      </c>
      <c r="I1798" s="57" t="n">
        <v>786867.366017657</v>
      </c>
      <c r="J1798" s="58" t="str">
        <f>I1798-E1798</f>
      </c>
    </row>
    <row r="1799">
      <c r="A1799" t="s">
        <v>72</v>
      </c>
      <c r="B1799" t="s">
        <v>335</v>
      </c>
      <c r="C1799" s="52" t="n">
        <v>2047</v>
      </c>
      <c r="D1799" t="s">
        <v>184</v>
      </c>
      <c r="E1799" s="53" t="n">
        <v>390597.57749153</v>
      </c>
      <c r="F1799" s="54" t="n">
        <v>209160.858915749</v>
      </c>
      <c r="G1799" s="55" t="n">
        <v>209160.858915749</v>
      </c>
      <c r="H1799" s="56" t="str">
        <f>G1799-F1799</f>
      </c>
      <c r="I1799" s="57" t="n">
        <v>390597.57749153</v>
      </c>
      <c r="J1799" s="58" t="str">
        <f>I1799-E1799</f>
      </c>
    </row>
    <row r="1800">
      <c r="A1800" t="s">
        <v>72</v>
      </c>
      <c r="B1800" t="s">
        <v>335</v>
      </c>
      <c r="C1800" s="52" t="n">
        <v>2047</v>
      </c>
      <c r="D1800" t="s">
        <v>212</v>
      </c>
      <c r="E1800" s="53" t="n">
        <v>34402.454286142</v>
      </c>
      <c r="F1800" s="54" t="n">
        <v>2222.25178382332</v>
      </c>
      <c r="G1800" s="55" t="n">
        <v>2222.25178382332</v>
      </c>
      <c r="H1800" s="56" t="str">
        <f>G1800-F1800</f>
      </c>
      <c r="I1800" s="57" t="n">
        <v>34402.454286142</v>
      </c>
      <c r="J1800" s="58" t="str">
        <f>I1800-E1800</f>
      </c>
    </row>
    <row r="1801">
      <c r="A1801" t="s">
        <v>72</v>
      </c>
      <c r="B1801" t="s">
        <v>335</v>
      </c>
      <c r="C1801" s="52" t="n">
        <v>2048</v>
      </c>
      <c r="D1801" t="s">
        <v>190</v>
      </c>
      <c r="E1801" s="53" t="n">
        <v>25282.866550534</v>
      </c>
      <c r="F1801" s="54" t="n">
        <v>16982.9671313776</v>
      </c>
      <c r="G1801" s="55" t="n">
        <v>16982.9671313776</v>
      </c>
      <c r="H1801" s="56" t="str">
        <f>G1801-F1801</f>
      </c>
      <c r="I1801" s="57" t="n">
        <v>25282.866550534</v>
      </c>
      <c r="J1801" s="58" t="str">
        <f>I1801-E1801</f>
      </c>
    </row>
    <row r="1802">
      <c r="A1802" t="s">
        <v>72</v>
      </c>
      <c r="B1802" t="s">
        <v>335</v>
      </c>
      <c r="C1802" s="52" t="n">
        <v>2048</v>
      </c>
      <c r="D1802" t="s">
        <v>230</v>
      </c>
      <c r="E1802" s="53" t="n">
        <v>1283467.75295342</v>
      </c>
      <c r="F1802" s="54" t="n">
        <v>314549.83162808</v>
      </c>
      <c r="G1802" s="55" t="n">
        <v>314549.83162808</v>
      </c>
      <c r="H1802" s="56" t="str">
        <f>G1802-F1802</f>
      </c>
      <c r="I1802" s="57" t="n">
        <v>1283467.75295342</v>
      </c>
      <c r="J1802" s="58" t="str">
        <f>I1802-E1802</f>
      </c>
    </row>
    <row r="1803">
      <c r="A1803" t="s">
        <v>72</v>
      </c>
      <c r="B1803" t="s">
        <v>335</v>
      </c>
      <c r="C1803" s="52" t="n">
        <v>2048</v>
      </c>
      <c r="D1803" t="s">
        <v>166</v>
      </c>
      <c r="E1803" s="53" t="n">
        <v>146413.853149174</v>
      </c>
      <c r="F1803" s="54" t="n">
        <v>93427.507277049</v>
      </c>
      <c r="G1803" s="55" t="n">
        <v>93427.507277049</v>
      </c>
      <c r="H1803" s="56" t="str">
        <f>G1803-F1803</f>
      </c>
      <c r="I1803" s="57" t="n">
        <v>146413.853149174</v>
      </c>
      <c r="J1803" s="58" t="str">
        <f>I1803-E1803</f>
      </c>
    </row>
    <row r="1804">
      <c r="A1804" t="s">
        <v>72</v>
      </c>
      <c r="B1804" t="s">
        <v>335</v>
      </c>
      <c r="C1804" s="52" t="n">
        <v>2048</v>
      </c>
      <c r="D1804" t="s">
        <v>176</v>
      </c>
      <c r="E1804" s="53" t="n">
        <v>268085.447945834</v>
      </c>
      <c r="F1804" s="54" t="n">
        <v>253872.047418824</v>
      </c>
      <c r="G1804" s="55" t="n">
        <v>253872.047418824</v>
      </c>
      <c r="H1804" s="56" t="str">
        <f>G1804-F1804</f>
      </c>
      <c r="I1804" s="57" t="n">
        <v>268085.447945834</v>
      </c>
      <c r="J1804" s="58" t="str">
        <f>I1804-E1804</f>
      </c>
    </row>
    <row r="1805">
      <c r="A1805" t="s">
        <v>72</v>
      </c>
      <c r="B1805" t="s">
        <v>335</v>
      </c>
      <c r="C1805" s="52" t="n">
        <v>2048</v>
      </c>
      <c r="D1805" t="s">
        <v>180</v>
      </c>
      <c r="E1805" s="53" t="n">
        <v>795796.819401734</v>
      </c>
      <c r="F1805" s="54" t="n">
        <v>491307.709328566</v>
      </c>
      <c r="G1805" s="55" t="n">
        <v>491307.709328566</v>
      </c>
      <c r="H1805" s="56" t="str">
        <f>G1805-F1805</f>
      </c>
      <c r="I1805" s="57" t="n">
        <v>795796.819401734</v>
      </c>
      <c r="J1805" s="58" t="str">
        <f>I1805-E1805</f>
      </c>
    </row>
    <row r="1806">
      <c r="A1806" t="s">
        <v>72</v>
      </c>
      <c r="B1806" t="s">
        <v>335</v>
      </c>
      <c r="C1806" s="52" t="n">
        <v>2048</v>
      </c>
      <c r="D1806" t="s">
        <v>184</v>
      </c>
      <c r="E1806" s="53" t="n">
        <v>394306.234009074</v>
      </c>
      <c r="F1806" s="54" t="n">
        <v>211189.299415093</v>
      </c>
      <c r="G1806" s="55" t="n">
        <v>211189.299415093</v>
      </c>
      <c r="H1806" s="56" t="str">
        <f>G1806-F1806</f>
      </c>
      <c r="I1806" s="57" t="n">
        <v>394306.234009074</v>
      </c>
      <c r="J1806" s="58" t="str">
        <f>I1806-E1806</f>
      </c>
    </row>
    <row r="1807">
      <c r="A1807" t="s">
        <v>72</v>
      </c>
      <c r="B1807" t="s">
        <v>335</v>
      </c>
      <c r="C1807" s="52" t="n">
        <v>2048</v>
      </c>
      <c r="D1807" t="s">
        <v>212</v>
      </c>
      <c r="E1807" s="53" t="n">
        <v>34278.8634968121</v>
      </c>
      <c r="F1807" s="54" t="n">
        <v>2112.66174533725</v>
      </c>
      <c r="G1807" s="55" t="n">
        <v>2112.66174533725</v>
      </c>
      <c r="H1807" s="56" t="str">
        <f>G1807-F1807</f>
      </c>
      <c r="I1807" s="57" t="n">
        <v>34278.8634968121</v>
      </c>
      <c r="J1807" s="58" t="str">
        <f>I1807-E1807</f>
      </c>
    </row>
    <row r="1808">
      <c r="A1808" t="s">
        <v>72</v>
      </c>
      <c r="B1808" t="s">
        <v>335</v>
      </c>
      <c r="C1808" s="52" t="n">
        <v>2049</v>
      </c>
      <c r="D1808" t="s">
        <v>190</v>
      </c>
      <c r="E1808" s="53" t="n">
        <v>25986.5373789525</v>
      </c>
      <c r="F1808" s="54" t="n">
        <v>17406.6591140935</v>
      </c>
      <c r="G1808" s="55" t="n">
        <v>17406.6591140935</v>
      </c>
      <c r="H1808" s="56" t="str">
        <f>G1808-F1808</f>
      </c>
      <c r="I1808" s="57" t="n">
        <v>25986.5373789525</v>
      </c>
      <c r="J1808" s="58" t="str">
        <f>I1808-E1808</f>
      </c>
    </row>
    <row r="1809">
      <c r="A1809" t="s">
        <v>72</v>
      </c>
      <c r="B1809" t="s">
        <v>335</v>
      </c>
      <c r="C1809" s="52" t="n">
        <v>2049</v>
      </c>
      <c r="D1809" t="s">
        <v>230</v>
      </c>
      <c r="E1809" s="53" t="n">
        <v>1290687.53512959</v>
      </c>
      <c r="F1809" s="54" t="n">
        <v>321740.501148806</v>
      </c>
      <c r="G1809" s="55" t="n">
        <v>321740.501148806</v>
      </c>
      <c r="H1809" s="56" t="str">
        <f>G1809-F1809</f>
      </c>
      <c r="I1809" s="57" t="n">
        <v>1290687.53512959</v>
      </c>
      <c r="J1809" s="58" t="str">
        <f>I1809-E1809</f>
      </c>
    </row>
    <row r="1810">
      <c r="A1810" t="s">
        <v>72</v>
      </c>
      <c r="B1810" t="s">
        <v>335</v>
      </c>
      <c r="C1810" s="52" t="n">
        <v>2049</v>
      </c>
      <c r="D1810" t="s">
        <v>166</v>
      </c>
      <c r="E1810" s="53" t="n">
        <v>147882.099837348</v>
      </c>
      <c r="F1810" s="54" t="n">
        <v>94546.8656755522</v>
      </c>
      <c r="G1810" s="55" t="n">
        <v>94546.8656755522</v>
      </c>
      <c r="H1810" s="56" t="str">
        <f>G1810-F1810</f>
      </c>
      <c r="I1810" s="57" t="n">
        <v>147882.099837348</v>
      </c>
      <c r="J1810" s="58" t="str">
        <f>I1810-E1810</f>
      </c>
    </row>
    <row r="1811">
      <c r="A1811" t="s">
        <v>72</v>
      </c>
      <c r="B1811" t="s">
        <v>335</v>
      </c>
      <c r="C1811" s="52" t="n">
        <v>2049</v>
      </c>
      <c r="D1811" t="s">
        <v>176</v>
      </c>
      <c r="E1811" s="53" t="n">
        <v>267003.550155027</v>
      </c>
      <c r="F1811" s="54" t="n">
        <v>253105.506935702</v>
      </c>
      <c r="G1811" s="55" t="n">
        <v>253105.506935702</v>
      </c>
      <c r="H1811" s="56" t="str">
        <f>G1811-F1811</f>
      </c>
      <c r="I1811" s="57" t="n">
        <v>267003.550155027</v>
      </c>
      <c r="J1811" s="58" t="str">
        <f>I1811-E1811</f>
      </c>
    </row>
    <row r="1812">
      <c r="A1812" t="s">
        <v>72</v>
      </c>
      <c r="B1812" t="s">
        <v>335</v>
      </c>
      <c r="C1812" s="52" t="n">
        <v>2049</v>
      </c>
      <c r="D1812" t="s">
        <v>180</v>
      </c>
      <c r="E1812" s="53" t="n">
        <v>801596.853664258</v>
      </c>
      <c r="F1812" s="54" t="n">
        <v>498010.651524044</v>
      </c>
      <c r="G1812" s="55" t="n">
        <v>498010.651524044</v>
      </c>
      <c r="H1812" s="56" t="str">
        <f>G1812-F1812</f>
      </c>
      <c r="I1812" s="57" t="n">
        <v>801596.853664258</v>
      </c>
      <c r="J1812" s="58" t="str">
        <f>I1812-E1812</f>
      </c>
    </row>
    <row r="1813">
      <c r="A1813" t="s">
        <v>72</v>
      </c>
      <c r="B1813" t="s">
        <v>335</v>
      </c>
      <c r="C1813" s="52" t="n">
        <v>2049</v>
      </c>
      <c r="D1813" t="s">
        <v>184</v>
      </c>
      <c r="E1813" s="53" t="n">
        <v>396058.615955627</v>
      </c>
      <c r="F1813" s="54" t="n">
        <v>213580.236200068</v>
      </c>
      <c r="G1813" s="55" t="n">
        <v>213580.236200068</v>
      </c>
      <c r="H1813" s="56" t="str">
        <f>G1813-F1813</f>
      </c>
      <c r="I1813" s="57" t="n">
        <v>396058.615955627</v>
      </c>
      <c r="J1813" s="58" t="str">
        <f>I1813-E1813</f>
      </c>
    </row>
    <row r="1814">
      <c r="A1814" t="s">
        <v>72</v>
      </c>
      <c r="B1814" t="s">
        <v>335</v>
      </c>
      <c r="C1814" s="52" t="n">
        <v>2049</v>
      </c>
      <c r="D1814" t="s">
        <v>212</v>
      </c>
      <c r="E1814" s="53" t="n">
        <v>34087.7627067011</v>
      </c>
      <c r="F1814" s="54" t="n">
        <v>1998.59223363335</v>
      </c>
      <c r="G1814" s="55" t="n">
        <v>1998.59223363335</v>
      </c>
      <c r="H1814" s="56" t="str">
        <f>G1814-F1814</f>
      </c>
      <c r="I1814" s="57" t="n">
        <v>34087.7627067011</v>
      </c>
      <c r="J1814" s="58" t="str">
        <f>I1814-E1814</f>
      </c>
    </row>
    <row r="1815">
      <c r="A1815" t="s">
        <v>72</v>
      </c>
      <c r="B1815" t="s">
        <v>335</v>
      </c>
      <c r="C1815" s="52" t="n">
        <v>2050</v>
      </c>
      <c r="D1815" t="s">
        <v>190</v>
      </c>
      <c r="E1815" s="53" t="n">
        <v>26690.1101954068</v>
      </c>
      <c r="F1815" s="54" t="n">
        <v>17828.637482456</v>
      </c>
      <c r="G1815" s="55" t="n">
        <v>17828.637482456</v>
      </c>
      <c r="H1815" s="56" t="str">
        <f>G1815-F1815</f>
      </c>
      <c r="I1815" s="57" t="n">
        <v>26690.1101954068</v>
      </c>
      <c r="J1815" s="58" t="str">
        <f>I1815-E1815</f>
      </c>
    </row>
    <row r="1816">
      <c r="A1816" t="s">
        <v>72</v>
      </c>
      <c r="B1816" t="s">
        <v>335</v>
      </c>
      <c r="C1816" s="52" t="n">
        <v>2050</v>
      </c>
      <c r="D1816" t="s">
        <v>230</v>
      </c>
      <c r="E1816" s="53" t="n">
        <v>1297798.19122542</v>
      </c>
      <c r="F1816" s="54" t="n">
        <v>328734.061465412</v>
      </c>
      <c r="G1816" s="55" t="n">
        <v>328734.061465412</v>
      </c>
      <c r="H1816" s="56" t="str">
        <f>G1816-F1816</f>
      </c>
      <c r="I1816" s="57" t="n">
        <v>1297798.19122542</v>
      </c>
      <c r="J1816" s="58" t="str">
        <f>I1816-E1816</f>
      </c>
    </row>
    <row r="1817">
      <c r="A1817" t="s">
        <v>72</v>
      </c>
      <c r="B1817" t="s">
        <v>335</v>
      </c>
      <c r="C1817" s="52" t="n">
        <v>2050</v>
      </c>
      <c r="D1817" t="s">
        <v>166</v>
      </c>
      <c r="E1817" s="53" t="n">
        <v>149549.878981469</v>
      </c>
      <c r="F1817" s="54" t="n">
        <v>95625.9439694284</v>
      </c>
      <c r="G1817" s="55" t="n">
        <v>95625.9439694284</v>
      </c>
      <c r="H1817" s="56" t="str">
        <f>G1817-F1817</f>
      </c>
      <c r="I1817" s="57" t="n">
        <v>149549.878981469</v>
      </c>
      <c r="J1817" s="58" t="str">
        <f>I1817-E1817</f>
      </c>
    </row>
    <row r="1818">
      <c r="A1818" t="s">
        <v>72</v>
      </c>
      <c r="B1818" t="s">
        <v>335</v>
      </c>
      <c r="C1818" s="52" t="n">
        <v>2050</v>
      </c>
      <c r="D1818" t="s">
        <v>176</v>
      </c>
      <c r="E1818" s="53" t="n">
        <v>266031.496410964</v>
      </c>
      <c r="F1818" s="54" t="n">
        <v>252158.933158969</v>
      </c>
      <c r="G1818" s="55" t="n">
        <v>252158.933158969</v>
      </c>
      <c r="H1818" s="56" t="str">
        <f>G1818-F1818</f>
      </c>
      <c r="I1818" s="57" t="n">
        <v>266031.496410964</v>
      </c>
      <c r="J1818" s="58" t="str">
        <f>I1818-E1818</f>
      </c>
    </row>
    <row r="1819">
      <c r="A1819" t="s">
        <v>72</v>
      </c>
      <c r="B1819" t="s">
        <v>335</v>
      </c>
      <c r="C1819" s="52" t="n">
        <v>2050</v>
      </c>
      <c r="D1819" t="s">
        <v>180</v>
      </c>
      <c r="E1819" s="53" t="n">
        <v>809018.722538968</v>
      </c>
      <c r="F1819" s="54" t="n">
        <v>504089.426791864</v>
      </c>
      <c r="G1819" s="55" t="n">
        <v>504089.426791864</v>
      </c>
      <c r="H1819" s="56" t="str">
        <f>G1819-F1819</f>
      </c>
      <c r="I1819" s="57" t="n">
        <v>809018.722538968</v>
      </c>
      <c r="J1819" s="58" t="str">
        <f>I1819-E1819</f>
      </c>
    </row>
    <row r="1820">
      <c r="A1820" t="s">
        <v>72</v>
      </c>
      <c r="B1820" t="s">
        <v>335</v>
      </c>
      <c r="C1820" s="52" t="n">
        <v>2050</v>
      </c>
      <c r="D1820" t="s">
        <v>184</v>
      </c>
      <c r="E1820" s="53" t="n">
        <v>398560.037918605</v>
      </c>
      <c r="F1820" s="54" t="n">
        <v>215570.737440482</v>
      </c>
      <c r="G1820" s="55" t="n">
        <v>215570.737440482</v>
      </c>
      <c r="H1820" s="56" t="str">
        <f>G1820-F1820</f>
      </c>
      <c r="I1820" s="57" t="n">
        <v>398560.037918605</v>
      </c>
      <c r="J1820" s="58" t="str">
        <f>I1820-E1820</f>
      </c>
    </row>
    <row r="1821">
      <c r="A1821" t="s">
        <v>72</v>
      </c>
      <c r="B1821" t="s">
        <v>335</v>
      </c>
      <c r="C1821" s="52" t="n">
        <v>2050</v>
      </c>
      <c r="D1821" t="s">
        <v>212</v>
      </c>
      <c r="E1821" s="53" t="n">
        <v>33926.4790426967</v>
      </c>
      <c r="F1821" s="54" t="n">
        <v>1888.51500986557</v>
      </c>
      <c r="G1821" s="55" t="n">
        <v>1888.51500986557</v>
      </c>
      <c r="H1821" s="56" t="str">
        <f>G1821-F1821</f>
      </c>
      <c r="I1821" s="57" t="n">
        <v>33926.4790426967</v>
      </c>
      <c r="J1821" s="58" t="str">
        <f>I1821-E1821</f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7.71" hidden="0" customWidth="1"/>
    <col min="4" max="4" width="12.71" hidden="0" customWidth="1"/>
    <col min="5" max="5" width="16.71" hidden="0" customWidth="1"/>
    <col min="6" max="6" width="20.71" hidden="0" customWidth="1"/>
    <col min="7" max="7" width="15.71" hidden="0" customWidth="1"/>
    <col min="8" max="8" width="12.71" hidden="0" customWidth="1"/>
    <col min="9" max="9" width="28.71" hidden="0" customWidth="1"/>
    <col min="10" max="10" width="29.71" hidden="0" customWidth="1"/>
    <col min="11" max="11" width="19.71" hidden="0" customWidth="1"/>
    <col min="12" max="12" width="19.71" hidden="0" customWidth="1"/>
    <col min="13" max="13" width="20.71" hidden="0" customWidth="1"/>
    <col min="14" max="14" width="15.71" hidden="0" customWidth="1"/>
    <col min="15" max="15" width="14.71" hidden="0" customWidth="1"/>
    <col min="16" max="16" width="14.71" hidden="0" customWidth="1"/>
    <col min="17" max="17" width="22.71" hidden="0" customWidth="1"/>
    <col min="18" max="18" width="22.71" hidden="0" customWidth="1"/>
    <col min="19" max="19" width="25.71" hidden="0" customWidth="1"/>
    <col min="20" max="20" width="25.71" hidden="0" customWidth="1"/>
    <col min="21" max="21" width="12.71" hidden="0" customWidth="1"/>
    <col min="22" max="22" width="17.71" hidden="0" customWidth="1"/>
    <col min="23" max="23" width="20.71" hidden="0" customWidth="1"/>
    <col min="24" max="24" width="20.71" hidden="0" customWidth="1"/>
    <col min="25" max="25" width="23.71" hidden="0" customWidth="1"/>
    <col min="26" max="26" width="12.71" hidden="0" customWidth="1"/>
    <col min="27" max="27" width="16.71" hidden="0" customWidth="1"/>
    <col min="28" max="28" width="17.71" hidden="0" customWidth="1"/>
    <col min="29" max="29" width="13.71" hidden="0" customWidth="1"/>
    <col min="30" max="30" width="12.71" hidden="0" customWidth="1"/>
    <col min="31" max="31" width="11.71" hidden="0" customWidth="1"/>
    <col min="32" max="32" width="21.71" hidden="0" customWidth="1"/>
    <col min="33" max="33" width="21.71" hidden="0" customWidth="1"/>
    <col min="34" max="34" width="24.71" hidden="0" customWidth="1"/>
  </cols>
  <sheetData>
    <row r="1" ht="28" customHeight="1">
      <c r="A1" s="1" t="s">
        <v>325</v>
      </c>
      <c r="B1" s="1" t="s">
        <v>25</v>
      </c>
      <c r="C1" s="1" t="s">
        <v>140</v>
      </c>
      <c r="D1" s="1" t="s">
        <v>144</v>
      </c>
      <c r="E1" s="1" t="s">
        <v>235</v>
      </c>
      <c r="F1" s="1" t="s">
        <v>236</v>
      </c>
      <c r="G1" s="1" t="s">
        <v>156</v>
      </c>
      <c r="H1" s="1" t="s">
        <v>157</v>
      </c>
      <c r="I1" s="1" t="s">
        <v>239</v>
      </c>
      <c r="J1" s="1" t="s">
        <v>240</v>
      </c>
      <c r="K1" s="1" t="s">
        <v>336</v>
      </c>
      <c r="L1" s="1" t="s">
        <v>337</v>
      </c>
      <c r="M1" s="1" t="s">
        <v>241</v>
      </c>
      <c r="N1" s="1" t="s">
        <v>245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247</v>
      </c>
      <c r="U1" s="1" t="s">
        <v>246</v>
      </c>
      <c r="V1" s="1" t="s">
        <v>343</v>
      </c>
      <c r="W1" s="1" t="s">
        <v>344</v>
      </c>
      <c r="X1" s="1" t="s">
        <v>345</v>
      </c>
      <c r="Y1" s="1" t="s">
        <v>346</v>
      </c>
      <c r="Z1" s="1" t="s">
        <v>249</v>
      </c>
      <c r="AA1" s="1" t="s">
        <v>250</v>
      </c>
      <c r="AB1" s="1" t="s">
        <v>251</v>
      </c>
      <c r="AC1" s="1" t="s">
        <v>242</v>
      </c>
      <c r="AD1" s="1" t="s">
        <v>243</v>
      </c>
      <c r="AE1" s="1" t="s">
        <v>244</v>
      </c>
      <c r="AF1" s="1" t="s">
        <v>347</v>
      </c>
      <c r="AG1" s="1" t="s">
        <v>348</v>
      </c>
      <c r="AH1" s="1" t="s">
        <v>349</v>
      </c>
    </row>
    <row r="2">
      <c r="A2" t="s">
        <v>162</v>
      </c>
      <c r="B2" s="59" t="n">
        <v>2025</v>
      </c>
      <c r="C2" t="s">
        <v>162</v>
      </c>
      <c r="D2"/>
      <c r="E2" s="60" t="s">
        <v>260</v>
      </c>
      <c r="F2" s="61" t="s">
        <v>261</v>
      </c>
      <c r="G2" s="62" t="s">
        <v>171</v>
      </c>
      <c r="H2" s="63" t="s">
        <v>172</v>
      </c>
      <c r="I2" s="64" t="s">
        <v>75</v>
      </c>
      <c r="J2" s="65" t="str">
        <f>IFERROR(INDEX('Cost_Components'!$K$2:$K$27,MATCH(E2,'Cost_Components'!$A$2:$A$27,0)),"")</f>
      </c>
      <c r="K2" s="66" t="str">
        <f>IF(OR(L2="",Z2="",AA2="",AB2=""),"",IF(B2&lt;AA2,L2,IF(B2&gt;AB2,Z2,L2+(Z2-L2)*MIN(MAX((B2-AA2+1)/MAX(AB2-AA2+1,1),0),1))))</f>
      </c>
      <c r="L2" s="67" t="str">
        <f>IFERROR(INDEX('Cost_Components'!$S$2:$S$27,MATCH(E2,'Cost_Components'!$A$2:$A$27,0)),"")</f>
      </c>
      <c r="M2" s="68" t="str">
        <f>IFERROR(INDEX('Cost_Components'!$L$2:$L$27,MATCH(E2,'Cost_Components'!$A$2:$A$27,0)),"")</f>
      </c>
      <c r="N2" s="69" t="str">
        <f>IFERROR(INDEX('Cost_Components'!$P$2:$P$27,MATCH(E2,'Cost_Components'!$A$2:$A$27,0)),"")</f>
      </c>
      <c r="O2" s="70" t="str">
        <f>AF2*J2</f>
      </c>
      <c r="P2" s="71" t="str">
        <f>AG2*J2</f>
      </c>
      <c r="Q2" s="72" t="str">
        <f>P2*L2*M2*N2</f>
      </c>
      <c r="R2" s="73" t="str">
        <f>O2*K2*M2*N2</f>
      </c>
      <c r="S2" s="74" t="str">
        <f>R2-Q2</f>
      </c>
      <c r="T2" s="20" t="str">
        <f>IFERROR(INDEX('Cost_Components'!$R$2:$R$27,MATCH(E2,'Cost_Components'!$A$2:$A$27,0)),"")</f>
      </c>
      <c r="U2" s="75" t="str">
        <f>IFERROR(INDEX('Cost_Components'!$Q$2:$Q$27,MATCH(E2,'Cost_Components'!$A$2:$A$27,0)),"")</f>
      </c>
      <c r="V2" s="76" t="str">
        <f>1/(1+'Calculation_Assumptions'!$B$5)^(B2-'Calculation_Assumptions'!$B$2)</f>
      </c>
      <c r="W2" s="77" t="str">
        <f>Q2*V2</f>
      </c>
      <c r="X2" s="78" t="str">
        <f>R2*V2</f>
      </c>
      <c r="Y2" s="79" t="str">
        <f>S2*V2</f>
      </c>
      <c r="Z2" s="80" t="str">
        <f>IFERROR(INDEX('Cost_Components'!$T$2:$T$27,MATCH(E2,'Cost_Components'!$A$2:$A$27,0)),"")</f>
      </c>
      <c r="AA2" s="81" t="str">
        <f>IFERROR(INDEX('Cost_Components'!$U$2:$U$27,MATCH(E2,'Cost_Components'!$A$2:$A$27,0)),"")</f>
      </c>
      <c r="AB2" s="82" t="str">
        <f>IFERROR(INDEX('Cost_Components'!$V$2:$V$27,MATCH(E2,'Cost_Components'!$A$2:$A$27,0)),"")</f>
      </c>
      <c r="AC2" s="83" t="str">
        <f>IFERROR(INDEX('Cost_Components'!$M$2:$M$27,MATCH(E2,'Cost_Components'!$A$2:$A$27,0)),"")</f>
      </c>
      <c r="AD2" s="84" t="str">
        <f>IFERROR(INDEX('Cost_Components'!$N$2:$N$27,MATCH(E2,'Cost_Components'!$A$2:$A$27,0)),"")</f>
      </c>
      <c r="AE2" s="20" t="str">
        <f>IFERROR(INDEX('Cost_Components'!$O$2:$O$27,MATCH(E2,'Cost_Components'!$A$2:$A$27,0)),"")</f>
      </c>
      <c r="AF2" s="85" t="n">
        <v>303073002.512799</v>
      </c>
      <c r="AG2" s="86" t="n">
        <v>303073002.512799</v>
      </c>
      <c r="AH2" s="87" t="str">
        <f>IF(H2="shared-count-once",COUNTIFS($A$2:$A$1353,A2,$B$2:$B$1353,B2,$E$2:$E$1353,E2),1)</f>
      </c>
    </row>
    <row r="3">
      <c r="A3" t="s">
        <v>162</v>
      </c>
      <c r="B3" s="59" t="n">
        <v>2026</v>
      </c>
      <c r="C3" t="s">
        <v>162</v>
      </c>
      <c r="D3"/>
      <c r="E3" s="60" t="s">
        <v>260</v>
      </c>
      <c r="F3" s="61" t="s">
        <v>261</v>
      </c>
      <c r="G3" s="62" t="s">
        <v>171</v>
      </c>
      <c r="H3" s="63" t="s">
        <v>172</v>
      </c>
      <c r="I3" s="64" t="s">
        <v>75</v>
      </c>
      <c r="J3" s="65" t="str">
        <f>IFERROR(INDEX('Cost_Components'!$K$2:$K$27,MATCH(E3,'Cost_Components'!$A$2:$A$27,0)),"")</f>
      </c>
      <c r="K3" s="66" t="str">
        <f>IF(OR(L3="",Z3="",AA3="",AB3=""),"",IF(B3&lt;AA3,L3,IF(B3&gt;AB3,Z3,L3+(Z3-L3)*MIN(MAX((B3-AA3+1)/MAX(AB3-AA3+1,1),0),1))))</f>
      </c>
      <c r="L3" s="67" t="str">
        <f>IFERROR(INDEX('Cost_Components'!$S$2:$S$27,MATCH(E3,'Cost_Components'!$A$2:$A$27,0)),"")</f>
      </c>
      <c r="M3" s="68" t="str">
        <f>IFERROR(INDEX('Cost_Components'!$L$2:$L$27,MATCH(E3,'Cost_Components'!$A$2:$A$27,0)),"")</f>
      </c>
      <c r="N3" s="69" t="str">
        <f>IFERROR(INDEX('Cost_Components'!$P$2:$P$27,MATCH(E3,'Cost_Components'!$A$2:$A$27,0)),"")</f>
      </c>
      <c r="O3" s="70" t="str">
        <f>AF3*J3</f>
      </c>
      <c r="P3" s="71" t="str">
        <f>AG3*J3</f>
      </c>
      <c r="Q3" s="72" t="str">
        <f>P3*L3*M3*N3</f>
      </c>
      <c r="R3" s="73" t="str">
        <f>O3*K3*M3*N3</f>
      </c>
      <c r="S3" s="74" t="str">
        <f>R3-Q3</f>
      </c>
      <c r="T3" s="20" t="str">
        <f>IFERROR(INDEX('Cost_Components'!$R$2:$R$27,MATCH(E3,'Cost_Components'!$A$2:$A$27,0)),"")</f>
      </c>
      <c r="U3" s="75" t="str">
        <f>IFERROR(INDEX('Cost_Components'!$Q$2:$Q$27,MATCH(E3,'Cost_Components'!$A$2:$A$27,0)),"")</f>
      </c>
      <c r="V3" s="76" t="str">
        <f>1/(1+'Calculation_Assumptions'!$B$5)^(B3-'Calculation_Assumptions'!$B$2)</f>
      </c>
      <c r="W3" s="77" t="str">
        <f>Q3*V3</f>
      </c>
      <c r="X3" s="78" t="str">
        <f>R3*V3</f>
      </c>
      <c r="Y3" s="79" t="str">
        <f>S3*V3</f>
      </c>
      <c r="Z3" s="80" t="str">
        <f>IFERROR(INDEX('Cost_Components'!$T$2:$T$27,MATCH(E3,'Cost_Components'!$A$2:$A$27,0)),"")</f>
      </c>
      <c r="AA3" s="81" t="str">
        <f>IFERROR(INDEX('Cost_Components'!$U$2:$U$27,MATCH(E3,'Cost_Components'!$A$2:$A$27,0)),"")</f>
      </c>
      <c r="AB3" s="82" t="str">
        <f>IFERROR(INDEX('Cost_Components'!$V$2:$V$27,MATCH(E3,'Cost_Components'!$A$2:$A$27,0)),"")</f>
      </c>
      <c r="AC3" s="83" t="str">
        <f>IFERROR(INDEX('Cost_Components'!$M$2:$M$27,MATCH(E3,'Cost_Components'!$A$2:$A$27,0)),"")</f>
      </c>
      <c r="AD3" s="84" t="str">
        <f>IFERROR(INDEX('Cost_Components'!$N$2:$N$27,MATCH(E3,'Cost_Components'!$A$2:$A$27,0)),"")</f>
      </c>
      <c r="AE3" s="20" t="str">
        <f>IFERROR(INDEX('Cost_Components'!$O$2:$O$27,MATCH(E3,'Cost_Components'!$A$2:$A$27,0)),"")</f>
      </c>
      <c r="AF3" s="85" t="n">
        <v>307646672.342745</v>
      </c>
      <c r="AG3" s="86" t="n">
        <v>307646672.342745</v>
      </c>
      <c r="AH3" s="87" t="str">
        <f>IF(H3="shared-count-once",COUNTIFS($A$2:$A$1353,A3,$B$2:$B$1353,B3,$E$2:$E$1353,E3),1)</f>
      </c>
    </row>
    <row r="4">
      <c r="A4" t="s">
        <v>162</v>
      </c>
      <c r="B4" s="59" t="n">
        <v>2027</v>
      </c>
      <c r="C4" t="s">
        <v>162</v>
      </c>
      <c r="D4"/>
      <c r="E4" s="60" t="s">
        <v>260</v>
      </c>
      <c r="F4" s="61" t="s">
        <v>261</v>
      </c>
      <c r="G4" s="62" t="s">
        <v>171</v>
      </c>
      <c r="H4" s="63" t="s">
        <v>172</v>
      </c>
      <c r="I4" s="64" t="s">
        <v>75</v>
      </c>
      <c r="J4" s="65" t="str">
        <f>IFERROR(INDEX('Cost_Components'!$K$2:$K$27,MATCH(E4,'Cost_Components'!$A$2:$A$27,0)),"")</f>
      </c>
      <c r="K4" s="66" t="str">
        <f>IF(OR(L4="",Z4="",AA4="",AB4=""),"",IF(B4&lt;AA4,L4,IF(B4&gt;AB4,Z4,L4+(Z4-L4)*MIN(MAX((B4-AA4+1)/MAX(AB4-AA4+1,1),0),1))))</f>
      </c>
      <c r="L4" s="67" t="str">
        <f>IFERROR(INDEX('Cost_Components'!$S$2:$S$27,MATCH(E4,'Cost_Components'!$A$2:$A$27,0)),"")</f>
      </c>
      <c r="M4" s="68" t="str">
        <f>IFERROR(INDEX('Cost_Components'!$L$2:$L$27,MATCH(E4,'Cost_Components'!$A$2:$A$27,0)),"")</f>
      </c>
      <c r="N4" s="69" t="str">
        <f>IFERROR(INDEX('Cost_Components'!$P$2:$P$27,MATCH(E4,'Cost_Components'!$A$2:$A$27,0)),"")</f>
      </c>
      <c r="O4" s="70" t="str">
        <f>AF4*J4</f>
      </c>
      <c r="P4" s="71" t="str">
        <f>AG4*J4</f>
      </c>
      <c r="Q4" s="72" t="str">
        <f>P4*L4*M4*N4</f>
      </c>
      <c r="R4" s="73" t="str">
        <f>O4*K4*M4*N4</f>
      </c>
      <c r="S4" s="74" t="str">
        <f>R4-Q4</f>
      </c>
      <c r="T4" s="20" t="str">
        <f>IFERROR(INDEX('Cost_Components'!$R$2:$R$27,MATCH(E4,'Cost_Components'!$A$2:$A$27,0)),"")</f>
      </c>
      <c r="U4" s="75" t="str">
        <f>IFERROR(INDEX('Cost_Components'!$Q$2:$Q$27,MATCH(E4,'Cost_Components'!$A$2:$A$27,0)),"")</f>
      </c>
      <c r="V4" s="76" t="str">
        <f>1/(1+'Calculation_Assumptions'!$B$5)^(B4-'Calculation_Assumptions'!$B$2)</f>
      </c>
      <c r="W4" s="77" t="str">
        <f>Q4*V4</f>
      </c>
      <c r="X4" s="78" t="str">
        <f>R4*V4</f>
      </c>
      <c r="Y4" s="79" t="str">
        <f>S4*V4</f>
      </c>
      <c r="Z4" s="80" t="str">
        <f>IFERROR(INDEX('Cost_Components'!$T$2:$T$27,MATCH(E4,'Cost_Components'!$A$2:$A$27,0)),"")</f>
      </c>
      <c r="AA4" s="81" t="str">
        <f>IFERROR(INDEX('Cost_Components'!$U$2:$U$27,MATCH(E4,'Cost_Components'!$A$2:$A$27,0)),"")</f>
      </c>
      <c r="AB4" s="82" t="str">
        <f>IFERROR(INDEX('Cost_Components'!$V$2:$V$27,MATCH(E4,'Cost_Components'!$A$2:$A$27,0)),"")</f>
      </c>
      <c r="AC4" s="83" t="str">
        <f>IFERROR(INDEX('Cost_Components'!$M$2:$M$27,MATCH(E4,'Cost_Components'!$A$2:$A$27,0)),"")</f>
      </c>
      <c r="AD4" s="84" t="str">
        <f>IFERROR(INDEX('Cost_Components'!$N$2:$N$27,MATCH(E4,'Cost_Components'!$A$2:$A$27,0)),"")</f>
      </c>
      <c r="AE4" s="20" t="str">
        <f>IFERROR(INDEX('Cost_Components'!$O$2:$O$27,MATCH(E4,'Cost_Components'!$A$2:$A$27,0)),"")</f>
      </c>
      <c r="AF4" s="85" t="n">
        <v>312266970.773251</v>
      </c>
      <c r="AG4" s="86" t="n">
        <v>311975096.156765</v>
      </c>
      <c r="AH4" s="87" t="str">
        <f>IF(H4="shared-count-once",COUNTIFS($A$2:$A$1353,A4,$B$2:$B$1353,B4,$E$2:$E$1353,E4),1)</f>
      </c>
    </row>
    <row r="5">
      <c r="A5" t="s">
        <v>162</v>
      </c>
      <c r="B5" s="59" t="n">
        <v>2028</v>
      </c>
      <c r="C5" t="s">
        <v>162</v>
      </c>
      <c r="D5"/>
      <c r="E5" s="60" t="s">
        <v>260</v>
      </c>
      <c r="F5" s="61" t="s">
        <v>261</v>
      </c>
      <c r="G5" s="62" t="s">
        <v>171</v>
      </c>
      <c r="H5" s="63" t="s">
        <v>172</v>
      </c>
      <c r="I5" s="64" t="s">
        <v>75</v>
      </c>
      <c r="J5" s="65" t="str">
        <f>IFERROR(INDEX('Cost_Components'!$K$2:$K$27,MATCH(E5,'Cost_Components'!$A$2:$A$27,0)),"")</f>
      </c>
      <c r="K5" s="66" t="str">
        <f>IF(OR(L5="",Z5="",AA5="",AB5=""),"",IF(B5&lt;AA5,L5,IF(B5&gt;AB5,Z5,L5+(Z5-L5)*MIN(MAX((B5-AA5+1)/MAX(AB5-AA5+1,1),0),1))))</f>
      </c>
      <c r="L5" s="67" t="str">
        <f>IFERROR(INDEX('Cost_Components'!$S$2:$S$27,MATCH(E5,'Cost_Components'!$A$2:$A$27,0)),"")</f>
      </c>
      <c r="M5" s="68" t="str">
        <f>IFERROR(INDEX('Cost_Components'!$L$2:$L$27,MATCH(E5,'Cost_Components'!$A$2:$A$27,0)),"")</f>
      </c>
      <c r="N5" s="69" t="str">
        <f>IFERROR(INDEX('Cost_Components'!$P$2:$P$27,MATCH(E5,'Cost_Components'!$A$2:$A$27,0)),"")</f>
      </c>
      <c r="O5" s="70" t="str">
        <f>AF5*J5</f>
      </c>
      <c r="P5" s="71" t="str">
        <f>AG5*J5</f>
      </c>
      <c r="Q5" s="72" t="str">
        <f>P5*L5*M5*N5</f>
      </c>
      <c r="R5" s="73" t="str">
        <f>O5*K5*M5*N5</f>
      </c>
      <c r="S5" s="74" t="str">
        <f>R5-Q5</f>
      </c>
      <c r="T5" s="20" t="str">
        <f>IFERROR(INDEX('Cost_Components'!$R$2:$R$27,MATCH(E5,'Cost_Components'!$A$2:$A$27,0)),"")</f>
      </c>
      <c r="U5" s="75" t="str">
        <f>IFERROR(INDEX('Cost_Components'!$Q$2:$Q$27,MATCH(E5,'Cost_Components'!$A$2:$A$27,0)),"")</f>
      </c>
      <c r="V5" s="76" t="str">
        <f>1/(1+'Calculation_Assumptions'!$B$5)^(B5-'Calculation_Assumptions'!$B$2)</f>
      </c>
      <c r="W5" s="77" t="str">
        <f>Q5*V5</f>
      </c>
      <c r="X5" s="78" t="str">
        <f>R5*V5</f>
      </c>
      <c r="Y5" s="79" t="str">
        <f>S5*V5</f>
      </c>
      <c r="Z5" s="80" t="str">
        <f>IFERROR(INDEX('Cost_Components'!$T$2:$T$27,MATCH(E5,'Cost_Components'!$A$2:$A$27,0)),"")</f>
      </c>
      <c r="AA5" s="81" t="str">
        <f>IFERROR(INDEX('Cost_Components'!$U$2:$U$27,MATCH(E5,'Cost_Components'!$A$2:$A$27,0)),"")</f>
      </c>
      <c r="AB5" s="82" t="str">
        <f>IFERROR(INDEX('Cost_Components'!$V$2:$V$27,MATCH(E5,'Cost_Components'!$A$2:$A$27,0)),"")</f>
      </c>
      <c r="AC5" s="83" t="str">
        <f>IFERROR(INDEX('Cost_Components'!$M$2:$M$27,MATCH(E5,'Cost_Components'!$A$2:$A$27,0)),"")</f>
      </c>
      <c r="AD5" s="84" t="str">
        <f>IFERROR(INDEX('Cost_Components'!$N$2:$N$27,MATCH(E5,'Cost_Components'!$A$2:$A$27,0)),"")</f>
      </c>
      <c r="AE5" s="20" t="str">
        <f>IFERROR(INDEX('Cost_Components'!$O$2:$O$27,MATCH(E5,'Cost_Components'!$A$2:$A$27,0)),"")</f>
      </c>
      <c r="AF5" s="85" t="n">
        <v>316810295.9304</v>
      </c>
      <c r="AG5" s="86" t="n">
        <v>316531358.04392</v>
      </c>
      <c r="AH5" s="87" t="str">
        <f>IF(H5="shared-count-once",COUNTIFS($A$2:$A$1353,A5,$B$2:$B$1353,B5,$E$2:$E$1353,E5),1)</f>
      </c>
    </row>
    <row r="6">
      <c r="A6" t="s">
        <v>162</v>
      </c>
      <c r="B6" s="59" t="n">
        <v>2029</v>
      </c>
      <c r="C6" t="s">
        <v>162</v>
      </c>
      <c r="D6"/>
      <c r="E6" s="60" t="s">
        <v>260</v>
      </c>
      <c r="F6" s="61" t="s">
        <v>261</v>
      </c>
      <c r="G6" s="62" t="s">
        <v>171</v>
      </c>
      <c r="H6" s="63" t="s">
        <v>172</v>
      </c>
      <c r="I6" s="64" t="s">
        <v>75</v>
      </c>
      <c r="J6" s="65" t="str">
        <f>IFERROR(INDEX('Cost_Components'!$K$2:$K$27,MATCH(E6,'Cost_Components'!$A$2:$A$27,0)),"")</f>
      </c>
      <c r="K6" s="66" t="str">
        <f>IF(OR(L6="",Z6="",AA6="",AB6=""),"",IF(B6&lt;AA6,L6,IF(B6&gt;AB6,Z6,L6+(Z6-L6)*MIN(MAX((B6-AA6+1)/MAX(AB6-AA6+1,1),0),1))))</f>
      </c>
      <c r="L6" s="67" t="str">
        <f>IFERROR(INDEX('Cost_Components'!$S$2:$S$27,MATCH(E6,'Cost_Components'!$A$2:$A$27,0)),"")</f>
      </c>
      <c r="M6" s="68" t="str">
        <f>IFERROR(INDEX('Cost_Components'!$L$2:$L$27,MATCH(E6,'Cost_Components'!$A$2:$A$27,0)),"")</f>
      </c>
      <c r="N6" s="69" t="str">
        <f>IFERROR(INDEX('Cost_Components'!$P$2:$P$27,MATCH(E6,'Cost_Components'!$A$2:$A$27,0)),"")</f>
      </c>
      <c r="O6" s="70" t="str">
        <f>AF6*J6</f>
      </c>
      <c r="P6" s="71" t="str">
        <f>AG6*J6</f>
      </c>
      <c r="Q6" s="72" t="str">
        <f>P6*L6*M6*N6</f>
      </c>
      <c r="R6" s="73" t="str">
        <f>O6*K6*M6*N6</f>
      </c>
      <c r="S6" s="74" t="str">
        <f>R6-Q6</f>
      </c>
      <c r="T6" s="20" t="str">
        <f>IFERROR(INDEX('Cost_Components'!$R$2:$R$27,MATCH(E6,'Cost_Components'!$A$2:$A$27,0)),"")</f>
      </c>
      <c r="U6" s="75" t="str">
        <f>IFERROR(INDEX('Cost_Components'!$Q$2:$Q$27,MATCH(E6,'Cost_Components'!$A$2:$A$27,0)),"")</f>
      </c>
      <c r="V6" s="76" t="str">
        <f>1/(1+'Calculation_Assumptions'!$B$5)^(B6-'Calculation_Assumptions'!$B$2)</f>
      </c>
      <c r="W6" s="77" t="str">
        <f>Q6*V6</f>
      </c>
      <c r="X6" s="78" t="str">
        <f>R6*V6</f>
      </c>
      <c r="Y6" s="79" t="str">
        <f>S6*V6</f>
      </c>
      <c r="Z6" s="80" t="str">
        <f>IFERROR(INDEX('Cost_Components'!$T$2:$T$27,MATCH(E6,'Cost_Components'!$A$2:$A$27,0)),"")</f>
      </c>
      <c r="AA6" s="81" t="str">
        <f>IFERROR(INDEX('Cost_Components'!$U$2:$U$27,MATCH(E6,'Cost_Components'!$A$2:$A$27,0)),"")</f>
      </c>
      <c r="AB6" s="82" t="str">
        <f>IFERROR(INDEX('Cost_Components'!$V$2:$V$27,MATCH(E6,'Cost_Components'!$A$2:$A$27,0)),"")</f>
      </c>
      <c r="AC6" s="83" t="str">
        <f>IFERROR(INDEX('Cost_Components'!$M$2:$M$27,MATCH(E6,'Cost_Components'!$A$2:$A$27,0)),"")</f>
      </c>
      <c r="AD6" s="84" t="str">
        <f>IFERROR(INDEX('Cost_Components'!$N$2:$N$27,MATCH(E6,'Cost_Components'!$A$2:$A$27,0)),"")</f>
      </c>
      <c r="AE6" s="20" t="str">
        <f>IFERROR(INDEX('Cost_Components'!$O$2:$O$27,MATCH(E6,'Cost_Components'!$A$2:$A$27,0)),"")</f>
      </c>
      <c r="AF6" s="85" t="n">
        <v>321197551.833739</v>
      </c>
      <c r="AG6" s="86" t="n">
        <v>320925578.014746</v>
      </c>
      <c r="AH6" s="87" t="str">
        <f>IF(H6="shared-count-once",COUNTIFS($A$2:$A$1353,A6,$B$2:$B$1353,B6,$E$2:$E$1353,E6),1)</f>
      </c>
    </row>
    <row r="7">
      <c r="A7" t="s">
        <v>162</v>
      </c>
      <c r="B7" s="59" t="n">
        <v>2030</v>
      </c>
      <c r="C7" t="s">
        <v>162</v>
      </c>
      <c r="D7"/>
      <c r="E7" s="60" t="s">
        <v>260</v>
      </c>
      <c r="F7" s="61" t="s">
        <v>261</v>
      </c>
      <c r="G7" s="62" t="s">
        <v>171</v>
      </c>
      <c r="H7" s="63" t="s">
        <v>172</v>
      </c>
      <c r="I7" s="64" t="s">
        <v>75</v>
      </c>
      <c r="J7" s="65" t="str">
        <f>IFERROR(INDEX('Cost_Components'!$K$2:$K$27,MATCH(E7,'Cost_Components'!$A$2:$A$27,0)),"")</f>
      </c>
      <c r="K7" s="66" t="str">
        <f>IF(OR(L7="",Z7="",AA7="",AB7=""),"",IF(B7&lt;AA7,L7,IF(B7&gt;AB7,Z7,L7+(Z7-L7)*MIN(MAX((B7-AA7+1)/MAX(AB7-AA7+1,1),0),1))))</f>
      </c>
      <c r="L7" s="67" t="str">
        <f>IFERROR(INDEX('Cost_Components'!$S$2:$S$27,MATCH(E7,'Cost_Components'!$A$2:$A$27,0)),"")</f>
      </c>
      <c r="M7" s="68" t="str">
        <f>IFERROR(INDEX('Cost_Components'!$L$2:$L$27,MATCH(E7,'Cost_Components'!$A$2:$A$27,0)),"")</f>
      </c>
      <c r="N7" s="69" t="str">
        <f>IFERROR(INDEX('Cost_Components'!$P$2:$P$27,MATCH(E7,'Cost_Components'!$A$2:$A$27,0)),"")</f>
      </c>
      <c r="O7" s="70" t="str">
        <f>AF7*J7</f>
      </c>
      <c r="P7" s="71" t="str">
        <f>AG7*J7</f>
      </c>
      <c r="Q7" s="72" t="str">
        <f>P7*L7*M7*N7</f>
      </c>
      <c r="R7" s="73" t="str">
        <f>O7*K7*M7*N7</f>
      </c>
      <c r="S7" s="74" t="str">
        <f>R7-Q7</f>
      </c>
      <c r="T7" s="20" t="str">
        <f>IFERROR(INDEX('Cost_Components'!$R$2:$R$27,MATCH(E7,'Cost_Components'!$A$2:$A$27,0)),"")</f>
      </c>
      <c r="U7" s="75" t="str">
        <f>IFERROR(INDEX('Cost_Components'!$Q$2:$Q$27,MATCH(E7,'Cost_Components'!$A$2:$A$27,0)),"")</f>
      </c>
      <c r="V7" s="76" t="str">
        <f>1/(1+'Calculation_Assumptions'!$B$5)^(B7-'Calculation_Assumptions'!$B$2)</f>
      </c>
      <c r="W7" s="77" t="str">
        <f>Q7*V7</f>
      </c>
      <c r="X7" s="78" t="str">
        <f>R7*V7</f>
      </c>
      <c r="Y7" s="79" t="str">
        <f>S7*V7</f>
      </c>
      <c r="Z7" s="80" t="str">
        <f>IFERROR(INDEX('Cost_Components'!$T$2:$T$27,MATCH(E7,'Cost_Components'!$A$2:$A$27,0)),"")</f>
      </c>
      <c r="AA7" s="81" t="str">
        <f>IFERROR(INDEX('Cost_Components'!$U$2:$U$27,MATCH(E7,'Cost_Components'!$A$2:$A$27,0)),"")</f>
      </c>
      <c r="AB7" s="82" t="str">
        <f>IFERROR(INDEX('Cost_Components'!$V$2:$V$27,MATCH(E7,'Cost_Components'!$A$2:$A$27,0)),"")</f>
      </c>
      <c r="AC7" s="83" t="str">
        <f>IFERROR(INDEX('Cost_Components'!$M$2:$M$27,MATCH(E7,'Cost_Components'!$A$2:$A$27,0)),"")</f>
      </c>
      <c r="AD7" s="84" t="str">
        <f>IFERROR(INDEX('Cost_Components'!$N$2:$N$27,MATCH(E7,'Cost_Components'!$A$2:$A$27,0)),"")</f>
      </c>
      <c r="AE7" s="20" t="str">
        <f>IFERROR(INDEX('Cost_Components'!$O$2:$O$27,MATCH(E7,'Cost_Components'!$A$2:$A$27,0)),"")</f>
      </c>
      <c r="AF7" s="85" t="n">
        <v>325410012.984867</v>
      </c>
      <c r="AG7" s="86" t="n">
        <v>325136961.43476</v>
      </c>
      <c r="AH7" s="87" t="str">
        <f>IF(H7="shared-count-once",COUNTIFS($A$2:$A$1353,A7,$B$2:$B$1353,B7,$E$2:$E$1353,E7),1)</f>
      </c>
    </row>
    <row r="8">
      <c r="A8" t="s">
        <v>162</v>
      </c>
      <c r="B8" s="59" t="n">
        <v>2031</v>
      </c>
      <c r="C8" t="s">
        <v>162</v>
      </c>
      <c r="D8"/>
      <c r="E8" s="60" t="s">
        <v>260</v>
      </c>
      <c r="F8" s="61" t="s">
        <v>261</v>
      </c>
      <c r="G8" s="62" t="s">
        <v>171</v>
      </c>
      <c r="H8" s="63" t="s">
        <v>172</v>
      </c>
      <c r="I8" s="64" t="s">
        <v>75</v>
      </c>
      <c r="J8" s="65" t="str">
        <f>IFERROR(INDEX('Cost_Components'!$K$2:$K$27,MATCH(E8,'Cost_Components'!$A$2:$A$27,0)),"")</f>
      </c>
      <c r="K8" s="66" t="str">
        <f>IF(OR(L8="",Z8="",AA8="",AB8=""),"",IF(B8&lt;AA8,L8,IF(B8&gt;AB8,Z8,L8+(Z8-L8)*MIN(MAX((B8-AA8+1)/MAX(AB8-AA8+1,1),0),1))))</f>
      </c>
      <c r="L8" s="67" t="str">
        <f>IFERROR(INDEX('Cost_Components'!$S$2:$S$27,MATCH(E8,'Cost_Components'!$A$2:$A$27,0)),"")</f>
      </c>
      <c r="M8" s="68" t="str">
        <f>IFERROR(INDEX('Cost_Components'!$L$2:$L$27,MATCH(E8,'Cost_Components'!$A$2:$A$27,0)),"")</f>
      </c>
      <c r="N8" s="69" t="str">
        <f>IFERROR(INDEX('Cost_Components'!$P$2:$P$27,MATCH(E8,'Cost_Components'!$A$2:$A$27,0)),"")</f>
      </c>
      <c r="O8" s="70" t="str">
        <f>AF8*J8</f>
      </c>
      <c r="P8" s="71" t="str">
        <f>AG8*J8</f>
      </c>
      <c r="Q8" s="72" t="str">
        <f>P8*L8*M8*N8</f>
      </c>
      <c r="R8" s="73" t="str">
        <f>O8*K8*M8*N8</f>
      </c>
      <c r="S8" s="74" t="str">
        <f>R8-Q8</f>
      </c>
      <c r="T8" s="20" t="str">
        <f>IFERROR(INDEX('Cost_Components'!$R$2:$R$27,MATCH(E8,'Cost_Components'!$A$2:$A$27,0)),"")</f>
      </c>
      <c r="U8" s="75" t="str">
        <f>IFERROR(INDEX('Cost_Components'!$Q$2:$Q$27,MATCH(E8,'Cost_Components'!$A$2:$A$27,0)),"")</f>
      </c>
      <c r="V8" s="76" t="str">
        <f>1/(1+'Calculation_Assumptions'!$B$5)^(B8-'Calculation_Assumptions'!$B$2)</f>
      </c>
      <c r="W8" s="77" t="str">
        <f>Q8*V8</f>
      </c>
      <c r="X8" s="78" t="str">
        <f>R8*V8</f>
      </c>
      <c r="Y8" s="79" t="str">
        <f>S8*V8</f>
      </c>
      <c r="Z8" s="80" t="str">
        <f>IFERROR(INDEX('Cost_Components'!$T$2:$T$27,MATCH(E8,'Cost_Components'!$A$2:$A$27,0)),"")</f>
      </c>
      <c r="AA8" s="81" t="str">
        <f>IFERROR(INDEX('Cost_Components'!$U$2:$U$27,MATCH(E8,'Cost_Components'!$A$2:$A$27,0)),"")</f>
      </c>
      <c r="AB8" s="82" t="str">
        <f>IFERROR(INDEX('Cost_Components'!$V$2:$V$27,MATCH(E8,'Cost_Components'!$A$2:$A$27,0)),"")</f>
      </c>
      <c r="AC8" s="83" t="str">
        <f>IFERROR(INDEX('Cost_Components'!$M$2:$M$27,MATCH(E8,'Cost_Components'!$A$2:$A$27,0)),"")</f>
      </c>
      <c r="AD8" s="84" t="str">
        <f>IFERROR(INDEX('Cost_Components'!$N$2:$N$27,MATCH(E8,'Cost_Components'!$A$2:$A$27,0)),"")</f>
      </c>
      <c r="AE8" s="20" t="str">
        <f>IFERROR(INDEX('Cost_Components'!$O$2:$O$27,MATCH(E8,'Cost_Components'!$A$2:$A$27,0)),"")</f>
      </c>
      <c r="AF8" s="85" t="n">
        <v>329371276.606696</v>
      </c>
      <c r="AG8" s="86" t="n">
        <v>329259809.173501</v>
      </c>
      <c r="AH8" s="87" t="str">
        <f>IF(H8="shared-count-once",COUNTIFS($A$2:$A$1353,A8,$B$2:$B$1353,B8,$E$2:$E$1353,E8),1)</f>
      </c>
    </row>
    <row r="9">
      <c r="A9" t="s">
        <v>162</v>
      </c>
      <c r="B9" s="59" t="n">
        <v>2032</v>
      </c>
      <c r="C9" t="s">
        <v>162</v>
      </c>
      <c r="D9"/>
      <c r="E9" s="60" t="s">
        <v>260</v>
      </c>
      <c r="F9" s="61" t="s">
        <v>261</v>
      </c>
      <c r="G9" s="62" t="s">
        <v>171</v>
      </c>
      <c r="H9" s="63" t="s">
        <v>172</v>
      </c>
      <c r="I9" s="64" t="s">
        <v>75</v>
      </c>
      <c r="J9" s="65" t="str">
        <f>IFERROR(INDEX('Cost_Components'!$K$2:$K$27,MATCH(E9,'Cost_Components'!$A$2:$A$27,0)),"")</f>
      </c>
      <c r="K9" s="66" t="str">
        <f>IF(OR(L9="",Z9="",AA9="",AB9=""),"",IF(B9&lt;AA9,L9,IF(B9&gt;AB9,Z9,L9+(Z9-L9)*MIN(MAX((B9-AA9+1)/MAX(AB9-AA9+1,1),0),1))))</f>
      </c>
      <c r="L9" s="67" t="str">
        <f>IFERROR(INDEX('Cost_Components'!$S$2:$S$27,MATCH(E9,'Cost_Components'!$A$2:$A$27,0)),"")</f>
      </c>
      <c r="M9" s="68" t="str">
        <f>IFERROR(INDEX('Cost_Components'!$L$2:$L$27,MATCH(E9,'Cost_Components'!$A$2:$A$27,0)),"")</f>
      </c>
      <c r="N9" s="69" t="str">
        <f>IFERROR(INDEX('Cost_Components'!$P$2:$P$27,MATCH(E9,'Cost_Components'!$A$2:$A$27,0)),"")</f>
      </c>
      <c r="O9" s="70" t="str">
        <f>AF9*J9</f>
      </c>
      <c r="P9" s="71" t="str">
        <f>AG9*J9</f>
      </c>
      <c r="Q9" s="72" t="str">
        <f>P9*L9*M9*N9</f>
      </c>
      <c r="R9" s="73" t="str">
        <f>O9*K9*M9*N9</f>
      </c>
      <c r="S9" s="74" t="str">
        <f>R9-Q9</f>
      </c>
      <c r="T9" s="20" t="str">
        <f>IFERROR(INDEX('Cost_Components'!$R$2:$R$27,MATCH(E9,'Cost_Components'!$A$2:$A$27,0)),"")</f>
      </c>
      <c r="U9" s="75" t="str">
        <f>IFERROR(INDEX('Cost_Components'!$Q$2:$Q$27,MATCH(E9,'Cost_Components'!$A$2:$A$27,0)),"")</f>
      </c>
      <c r="V9" s="76" t="str">
        <f>1/(1+'Calculation_Assumptions'!$B$5)^(B9-'Calculation_Assumptions'!$B$2)</f>
      </c>
      <c r="W9" s="77" t="str">
        <f>Q9*V9</f>
      </c>
      <c r="X9" s="78" t="str">
        <f>R9*V9</f>
      </c>
      <c r="Y9" s="79" t="str">
        <f>S9*V9</f>
      </c>
      <c r="Z9" s="80" t="str">
        <f>IFERROR(INDEX('Cost_Components'!$T$2:$T$27,MATCH(E9,'Cost_Components'!$A$2:$A$27,0)),"")</f>
      </c>
      <c r="AA9" s="81" t="str">
        <f>IFERROR(INDEX('Cost_Components'!$U$2:$U$27,MATCH(E9,'Cost_Components'!$A$2:$A$27,0)),"")</f>
      </c>
      <c r="AB9" s="82" t="str">
        <f>IFERROR(INDEX('Cost_Components'!$V$2:$V$27,MATCH(E9,'Cost_Components'!$A$2:$A$27,0)),"")</f>
      </c>
      <c r="AC9" s="83" t="str">
        <f>IFERROR(INDEX('Cost_Components'!$M$2:$M$27,MATCH(E9,'Cost_Components'!$A$2:$A$27,0)),"")</f>
      </c>
      <c r="AD9" s="84" t="str">
        <f>IFERROR(INDEX('Cost_Components'!$N$2:$N$27,MATCH(E9,'Cost_Components'!$A$2:$A$27,0)),"")</f>
      </c>
      <c r="AE9" s="20" t="str">
        <f>IFERROR(INDEX('Cost_Components'!$O$2:$O$27,MATCH(E9,'Cost_Components'!$A$2:$A$27,0)),"")</f>
      </c>
      <c r="AF9" s="85" t="n">
        <v>333483930.715178</v>
      </c>
      <c r="AG9" s="86" t="n">
        <v>333331540.946644</v>
      </c>
      <c r="AH9" s="87" t="str">
        <f>IF(H9="shared-count-once",COUNTIFS($A$2:$A$1353,A9,$B$2:$B$1353,B9,$E$2:$E$1353,E9),1)</f>
      </c>
    </row>
    <row r="10">
      <c r="A10" t="s">
        <v>162</v>
      </c>
      <c r="B10" s="59" t="n">
        <v>2033</v>
      </c>
      <c r="C10" t="s">
        <v>162</v>
      </c>
      <c r="D10"/>
      <c r="E10" s="60" t="s">
        <v>260</v>
      </c>
      <c r="F10" s="61" t="s">
        <v>261</v>
      </c>
      <c r="G10" s="62" t="s">
        <v>171</v>
      </c>
      <c r="H10" s="63" t="s">
        <v>172</v>
      </c>
      <c r="I10" s="64" t="s">
        <v>75</v>
      </c>
      <c r="J10" s="65" t="str">
        <f>IFERROR(INDEX('Cost_Components'!$K$2:$K$27,MATCH(E10,'Cost_Components'!$A$2:$A$27,0)),"")</f>
      </c>
      <c r="K10" s="66" t="str">
        <f>IF(OR(L10="",Z10="",AA10="",AB10=""),"",IF(B10&lt;AA10,L10,IF(B10&gt;AB10,Z10,L10+(Z10-L10)*MIN(MAX((B10-AA10+1)/MAX(AB10-AA10+1,1),0),1))))</f>
      </c>
      <c r="L10" s="67" t="str">
        <f>IFERROR(INDEX('Cost_Components'!$S$2:$S$27,MATCH(E10,'Cost_Components'!$A$2:$A$27,0)),"")</f>
      </c>
      <c r="M10" s="68" t="str">
        <f>IFERROR(INDEX('Cost_Components'!$L$2:$L$27,MATCH(E10,'Cost_Components'!$A$2:$A$27,0)),"")</f>
      </c>
      <c r="N10" s="69" t="str">
        <f>IFERROR(INDEX('Cost_Components'!$P$2:$P$27,MATCH(E10,'Cost_Components'!$A$2:$A$27,0)),"")</f>
      </c>
      <c r="O10" s="70" t="str">
        <f>AF10*J10</f>
      </c>
      <c r="P10" s="71" t="str">
        <f>AG10*J10</f>
      </c>
      <c r="Q10" s="72" t="str">
        <f>P10*L10*M10*N10</f>
      </c>
      <c r="R10" s="73" t="str">
        <f>O10*K10*M10*N10</f>
      </c>
      <c r="S10" s="74" t="str">
        <f>R10-Q10</f>
      </c>
      <c r="T10" s="20" t="str">
        <f>IFERROR(INDEX('Cost_Components'!$R$2:$R$27,MATCH(E10,'Cost_Components'!$A$2:$A$27,0)),"")</f>
      </c>
      <c r="U10" s="75" t="str">
        <f>IFERROR(INDEX('Cost_Components'!$Q$2:$Q$27,MATCH(E10,'Cost_Components'!$A$2:$A$27,0)),"")</f>
      </c>
      <c r="V10" s="76" t="str">
        <f>1/(1+'Calculation_Assumptions'!$B$5)^(B10-'Calculation_Assumptions'!$B$2)</f>
      </c>
      <c r="W10" s="77" t="str">
        <f>Q10*V10</f>
      </c>
      <c r="X10" s="78" t="str">
        <f>R10*V10</f>
      </c>
      <c r="Y10" s="79" t="str">
        <f>S10*V10</f>
      </c>
      <c r="Z10" s="80" t="str">
        <f>IFERROR(INDEX('Cost_Components'!$T$2:$T$27,MATCH(E10,'Cost_Components'!$A$2:$A$27,0)),"")</f>
      </c>
      <c r="AA10" s="81" t="str">
        <f>IFERROR(INDEX('Cost_Components'!$U$2:$U$27,MATCH(E10,'Cost_Components'!$A$2:$A$27,0)),"")</f>
      </c>
      <c r="AB10" s="82" t="str">
        <f>IFERROR(INDEX('Cost_Components'!$V$2:$V$27,MATCH(E10,'Cost_Components'!$A$2:$A$27,0)),"")</f>
      </c>
      <c r="AC10" s="83" t="str">
        <f>IFERROR(INDEX('Cost_Components'!$M$2:$M$27,MATCH(E10,'Cost_Components'!$A$2:$A$27,0)),"")</f>
      </c>
      <c r="AD10" s="84" t="str">
        <f>IFERROR(INDEX('Cost_Components'!$N$2:$N$27,MATCH(E10,'Cost_Components'!$A$2:$A$27,0)),"")</f>
      </c>
      <c r="AE10" s="20" t="str">
        <f>IFERROR(INDEX('Cost_Components'!$O$2:$O$27,MATCH(E10,'Cost_Components'!$A$2:$A$27,0)),"")</f>
      </c>
      <c r="AF10" s="85" t="n">
        <v>337551552.118401</v>
      </c>
      <c r="AG10" s="86" t="n">
        <v>337349600.363372</v>
      </c>
      <c r="AH10" s="87" t="str">
        <f>IF(H10="shared-count-once",COUNTIFS($A$2:$A$1353,A10,$B$2:$B$1353,B10,$E$2:$E$1353,E10),1)</f>
      </c>
    </row>
    <row r="11">
      <c r="A11" t="s">
        <v>162</v>
      </c>
      <c r="B11" s="59" t="n">
        <v>2034</v>
      </c>
      <c r="C11" t="s">
        <v>162</v>
      </c>
      <c r="D11"/>
      <c r="E11" s="60" t="s">
        <v>260</v>
      </c>
      <c r="F11" s="61" t="s">
        <v>261</v>
      </c>
      <c r="G11" s="62" t="s">
        <v>171</v>
      </c>
      <c r="H11" s="63" t="s">
        <v>172</v>
      </c>
      <c r="I11" s="64" t="s">
        <v>75</v>
      </c>
      <c r="J11" s="65" t="str">
        <f>IFERROR(INDEX('Cost_Components'!$K$2:$K$27,MATCH(E11,'Cost_Components'!$A$2:$A$27,0)),"")</f>
      </c>
      <c r="K11" s="66" t="str">
        <f>IF(OR(L11="",Z11="",AA11="",AB11=""),"",IF(B11&lt;AA11,L11,IF(B11&gt;AB11,Z11,L11+(Z11-L11)*MIN(MAX((B11-AA11+1)/MAX(AB11-AA11+1,1),0),1))))</f>
      </c>
      <c r="L11" s="67" t="str">
        <f>IFERROR(INDEX('Cost_Components'!$S$2:$S$27,MATCH(E11,'Cost_Components'!$A$2:$A$27,0)),"")</f>
      </c>
      <c r="M11" s="68" t="str">
        <f>IFERROR(INDEX('Cost_Components'!$L$2:$L$27,MATCH(E11,'Cost_Components'!$A$2:$A$27,0)),"")</f>
      </c>
      <c r="N11" s="69" t="str">
        <f>IFERROR(INDEX('Cost_Components'!$P$2:$P$27,MATCH(E11,'Cost_Components'!$A$2:$A$27,0)),"")</f>
      </c>
      <c r="O11" s="70" t="str">
        <f>AF11*J11</f>
      </c>
      <c r="P11" s="71" t="str">
        <f>AG11*J11</f>
      </c>
      <c r="Q11" s="72" t="str">
        <f>P11*L11*M11*N11</f>
      </c>
      <c r="R11" s="73" t="str">
        <f>O11*K11*M11*N11</f>
      </c>
      <c r="S11" s="74" t="str">
        <f>R11-Q11</f>
      </c>
      <c r="T11" s="20" t="str">
        <f>IFERROR(INDEX('Cost_Components'!$R$2:$R$27,MATCH(E11,'Cost_Components'!$A$2:$A$27,0)),"")</f>
      </c>
      <c r="U11" s="75" t="str">
        <f>IFERROR(INDEX('Cost_Components'!$Q$2:$Q$27,MATCH(E11,'Cost_Components'!$A$2:$A$27,0)),"")</f>
      </c>
      <c r="V11" s="76" t="str">
        <f>1/(1+'Calculation_Assumptions'!$B$5)^(B11-'Calculation_Assumptions'!$B$2)</f>
      </c>
      <c r="W11" s="77" t="str">
        <f>Q11*V11</f>
      </c>
      <c r="X11" s="78" t="str">
        <f>R11*V11</f>
      </c>
      <c r="Y11" s="79" t="str">
        <f>S11*V11</f>
      </c>
      <c r="Z11" s="80" t="str">
        <f>IFERROR(INDEX('Cost_Components'!$T$2:$T$27,MATCH(E11,'Cost_Components'!$A$2:$A$27,0)),"")</f>
      </c>
      <c r="AA11" s="81" t="str">
        <f>IFERROR(INDEX('Cost_Components'!$U$2:$U$27,MATCH(E11,'Cost_Components'!$A$2:$A$27,0)),"")</f>
      </c>
      <c r="AB11" s="82" t="str">
        <f>IFERROR(INDEX('Cost_Components'!$V$2:$V$27,MATCH(E11,'Cost_Components'!$A$2:$A$27,0)),"")</f>
      </c>
      <c r="AC11" s="83" t="str">
        <f>IFERROR(INDEX('Cost_Components'!$M$2:$M$27,MATCH(E11,'Cost_Components'!$A$2:$A$27,0)),"")</f>
      </c>
      <c r="AD11" s="84" t="str">
        <f>IFERROR(INDEX('Cost_Components'!$N$2:$N$27,MATCH(E11,'Cost_Components'!$A$2:$A$27,0)),"")</f>
      </c>
      <c r="AE11" s="20" t="str">
        <f>IFERROR(INDEX('Cost_Components'!$O$2:$O$27,MATCH(E11,'Cost_Components'!$A$2:$A$27,0)),"")</f>
      </c>
      <c r="AF11" s="85" t="n">
        <v>341613452.579308</v>
      </c>
      <c r="AG11" s="86" t="n">
        <v>341352820.609966</v>
      </c>
      <c r="AH11" s="87" t="str">
        <f>IF(H11="shared-count-once",COUNTIFS($A$2:$A$1353,A11,$B$2:$B$1353,B11,$E$2:$E$1353,E11),1)</f>
      </c>
    </row>
    <row r="12">
      <c r="A12" t="s">
        <v>162</v>
      </c>
      <c r="B12" s="59" t="n">
        <v>2035</v>
      </c>
      <c r="C12" t="s">
        <v>162</v>
      </c>
      <c r="D12"/>
      <c r="E12" s="60" t="s">
        <v>260</v>
      </c>
      <c r="F12" s="61" t="s">
        <v>261</v>
      </c>
      <c r="G12" s="62" t="s">
        <v>171</v>
      </c>
      <c r="H12" s="63" t="s">
        <v>172</v>
      </c>
      <c r="I12" s="64" t="s">
        <v>75</v>
      </c>
      <c r="J12" s="65" t="str">
        <f>IFERROR(INDEX('Cost_Components'!$K$2:$K$27,MATCH(E12,'Cost_Components'!$A$2:$A$27,0)),"")</f>
      </c>
      <c r="K12" s="66" t="str">
        <f>IF(OR(L12="",Z12="",AA12="",AB12=""),"",IF(B12&lt;AA12,L12,IF(B12&gt;AB12,Z12,L12+(Z12-L12)*MIN(MAX((B12-AA12+1)/MAX(AB12-AA12+1,1),0),1))))</f>
      </c>
      <c r="L12" s="67" t="str">
        <f>IFERROR(INDEX('Cost_Components'!$S$2:$S$27,MATCH(E12,'Cost_Components'!$A$2:$A$27,0)),"")</f>
      </c>
      <c r="M12" s="68" t="str">
        <f>IFERROR(INDEX('Cost_Components'!$L$2:$L$27,MATCH(E12,'Cost_Components'!$A$2:$A$27,0)),"")</f>
      </c>
      <c r="N12" s="69" t="str">
        <f>IFERROR(INDEX('Cost_Components'!$P$2:$P$27,MATCH(E12,'Cost_Components'!$A$2:$A$27,0)),"")</f>
      </c>
      <c r="O12" s="70" t="str">
        <f>AF12*J12</f>
      </c>
      <c r="P12" s="71" t="str">
        <f>AG12*J12</f>
      </c>
      <c r="Q12" s="72" t="str">
        <f>P12*L12*M12*N12</f>
      </c>
      <c r="R12" s="73" t="str">
        <f>O12*K12*M12*N12</f>
      </c>
      <c r="S12" s="74" t="str">
        <f>R12-Q12</f>
      </c>
      <c r="T12" s="20" t="str">
        <f>IFERROR(INDEX('Cost_Components'!$R$2:$R$27,MATCH(E12,'Cost_Components'!$A$2:$A$27,0)),"")</f>
      </c>
      <c r="U12" s="75" t="str">
        <f>IFERROR(INDEX('Cost_Components'!$Q$2:$Q$27,MATCH(E12,'Cost_Components'!$A$2:$A$27,0)),"")</f>
      </c>
      <c r="V12" s="76" t="str">
        <f>1/(1+'Calculation_Assumptions'!$B$5)^(B12-'Calculation_Assumptions'!$B$2)</f>
      </c>
      <c r="W12" s="77" t="str">
        <f>Q12*V12</f>
      </c>
      <c r="X12" s="78" t="str">
        <f>R12*V12</f>
      </c>
      <c r="Y12" s="79" t="str">
        <f>S12*V12</f>
      </c>
      <c r="Z12" s="80" t="str">
        <f>IFERROR(INDEX('Cost_Components'!$T$2:$T$27,MATCH(E12,'Cost_Components'!$A$2:$A$27,0)),"")</f>
      </c>
      <c r="AA12" s="81" t="str">
        <f>IFERROR(INDEX('Cost_Components'!$U$2:$U$27,MATCH(E12,'Cost_Components'!$A$2:$A$27,0)),"")</f>
      </c>
      <c r="AB12" s="82" t="str">
        <f>IFERROR(INDEX('Cost_Components'!$V$2:$V$27,MATCH(E12,'Cost_Components'!$A$2:$A$27,0)),"")</f>
      </c>
      <c r="AC12" s="83" t="str">
        <f>IFERROR(INDEX('Cost_Components'!$M$2:$M$27,MATCH(E12,'Cost_Components'!$A$2:$A$27,0)),"")</f>
      </c>
      <c r="AD12" s="84" t="str">
        <f>IFERROR(INDEX('Cost_Components'!$N$2:$N$27,MATCH(E12,'Cost_Components'!$A$2:$A$27,0)),"")</f>
      </c>
      <c r="AE12" s="20" t="str">
        <f>IFERROR(INDEX('Cost_Components'!$O$2:$O$27,MATCH(E12,'Cost_Components'!$A$2:$A$27,0)),"")</f>
      </c>
      <c r="AF12" s="85" t="n">
        <v>345758462.272304</v>
      </c>
      <c r="AG12" s="86" t="n">
        <v>345429256.615921</v>
      </c>
      <c r="AH12" s="87" t="str">
        <f>IF(H12="shared-count-once",COUNTIFS($A$2:$A$1353,A12,$B$2:$B$1353,B12,$E$2:$E$1353,E12),1)</f>
      </c>
    </row>
    <row r="13">
      <c r="A13" t="s">
        <v>162</v>
      </c>
      <c r="B13" s="59" t="n">
        <v>2036</v>
      </c>
      <c r="C13" t="s">
        <v>162</v>
      </c>
      <c r="D13"/>
      <c r="E13" s="60" t="s">
        <v>260</v>
      </c>
      <c r="F13" s="61" t="s">
        <v>261</v>
      </c>
      <c r="G13" s="62" t="s">
        <v>171</v>
      </c>
      <c r="H13" s="63" t="s">
        <v>172</v>
      </c>
      <c r="I13" s="64" t="s">
        <v>75</v>
      </c>
      <c r="J13" s="65" t="str">
        <f>IFERROR(INDEX('Cost_Components'!$K$2:$K$27,MATCH(E13,'Cost_Components'!$A$2:$A$27,0)),"")</f>
      </c>
      <c r="K13" s="66" t="str">
        <f>IF(OR(L13="",Z13="",AA13="",AB13=""),"",IF(B13&lt;AA13,L13,IF(B13&gt;AB13,Z13,L13+(Z13-L13)*MIN(MAX((B13-AA13+1)/MAX(AB13-AA13+1,1),0),1))))</f>
      </c>
      <c r="L13" s="67" t="str">
        <f>IFERROR(INDEX('Cost_Components'!$S$2:$S$27,MATCH(E13,'Cost_Components'!$A$2:$A$27,0)),"")</f>
      </c>
      <c r="M13" s="68" t="str">
        <f>IFERROR(INDEX('Cost_Components'!$L$2:$L$27,MATCH(E13,'Cost_Components'!$A$2:$A$27,0)),"")</f>
      </c>
      <c r="N13" s="69" t="str">
        <f>IFERROR(INDEX('Cost_Components'!$P$2:$P$27,MATCH(E13,'Cost_Components'!$A$2:$A$27,0)),"")</f>
      </c>
      <c r="O13" s="70" t="str">
        <f>AF13*J13</f>
      </c>
      <c r="P13" s="71" t="str">
        <f>AG13*J13</f>
      </c>
      <c r="Q13" s="72" t="str">
        <f>P13*L13*M13*N13</f>
      </c>
      <c r="R13" s="73" t="str">
        <f>O13*K13*M13*N13</f>
      </c>
      <c r="S13" s="74" t="str">
        <f>R13-Q13</f>
      </c>
      <c r="T13" s="20" t="str">
        <f>IFERROR(INDEX('Cost_Components'!$R$2:$R$27,MATCH(E13,'Cost_Components'!$A$2:$A$27,0)),"")</f>
      </c>
      <c r="U13" s="75" t="str">
        <f>IFERROR(INDEX('Cost_Components'!$Q$2:$Q$27,MATCH(E13,'Cost_Components'!$A$2:$A$27,0)),"")</f>
      </c>
      <c r="V13" s="76" t="str">
        <f>1/(1+'Calculation_Assumptions'!$B$5)^(B13-'Calculation_Assumptions'!$B$2)</f>
      </c>
      <c r="W13" s="77" t="str">
        <f>Q13*V13</f>
      </c>
      <c r="X13" s="78" t="str">
        <f>R13*V13</f>
      </c>
      <c r="Y13" s="79" t="str">
        <f>S13*V13</f>
      </c>
      <c r="Z13" s="80" t="str">
        <f>IFERROR(INDEX('Cost_Components'!$T$2:$T$27,MATCH(E13,'Cost_Components'!$A$2:$A$27,0)),"")</f>
      </c>
      <c r="AA13" s="81" t="str">
        <f>IFERROR(INDEX('Cost_Components'!$U$2:$U$27,MATCH(E13,'Cost_Components'!$A$2:$A$27,0)),"")</f>
      </c>
      <c r="AB13" s="82" t="str">
        <f>IFERROR(INDEX('Cost_Components'!$V$2:$V$27,MATCH(E13,'Cost_Components'!$A$2:$A$27,0)),"")</f>
      </c>
      <c r="AC13" s="83" t="str">
        <f>IFERROR(INDEX('Cost_Components'!$M$2:$M$27,MATCH(E13,'Cost_Components'!$A$2:$A$27,0)),"")</f>
      </c>
      <c r="AD13" s="84" t="str">
        <f>IFERROR(INDEX('Cost_Components'!$N$2:$N$27,MATCH(E13,'Cost_Components'!$A$2:$A$27,0)),"")</f>
      </c>
      <c r="AE13" s="20" t="str">
        <f>IFERROR(INDEX('Cost_Components'!$O$2:$O$27,MATCH(E13,'Cost_Components'!$A$2:$A$27,0)),"")</f>
      </c>
      <c r="AF13" s="85" t="n">
        <v>350040966.126503</v>
      </c>
      <c r="AG13" s="86" t="n">
        <v>349633455.684602</v>
      </c>
      <c r="AH13" s="87" t="str">
        <f>IF(H13="shared-count-once",COUNTIFS($A$2:$A$1353,A13,$B$2:$B$1353,B13,$E$2:$E$1353,E13),1)</f>
      </c>
    </row>
    <row r="14">
      <c r="A14" t="s">
        <v>162</v>
      </c>
      <c r="B14" s="59" t="n">
        <v>2037</v>
      </c>
      <c r="C14" t="s">
        <v>162</v>
      </c>
      <c r="D14"/>
      <c r="E14" s="60" t="s">
        <v>260</v>
      </c>
      <c r="F14" s="61" t="s">
        <v>261</v>
      </c>
      <c r="G14" s="62" t="s">
        <v>171</v>
      </c>
      <c r="H14" s="63" t="s">
        <v>172</v>
      </c>
      <c r="I14" s="64" t="s">
        <v>75</v>
      </c>
      <c r="J14" s="65" t="str">
        <f>IFERROR(INDEX('Cost_Components'!$K$2:$K$27,MATCH(E14,'Cost_Components'!$A$2:$A$27,0)),"")</f>
      </c>
      <c r="K14" s="66" t="str">
        <f>IF(OR(L14="",Z14="",AA14="",AB14=""),"",IF(B14&lt;AA14,L14,IF(B14&gt;AB14,Z14,L14+(Z14-L14)*MIN(MAX((B14-AA14+1)/MAX(AB14-AA14+1,1),0),1))))</f>
      </c>
      <c r="L14" s="67" t="str">
        <f>IFERROR(INDEX('Cost_Components'!$S$2:$S$27,MATCH(E14,'Cost_Components'!$A$2:$A$27,0)),"")</f>
      </c>
      <c r="M14" s="68" t="str">
        <f>IFERROR(INDEX('Cost_Components'!$L$2:$L$27,MATCH(E14,'Cost_Components'!$A$2:$A$27,0)),"")</f>
      </c>
      <c r="N14" s="69" t="str">
        <f>IFERROR(INDEX('Cost_Components'!$P$2:$P$27,MATCH(E14,'Cost_Components'!$A$2:$A$27,0)),"")</f>
      </c>
      <c r="O14" s="70" t="str">
        <f>AF14*J14</f>
      </c>
      <c r="P14" s="71" t="str">
        <f>AG14*J14</f>
      </c>
      <c r="Q14" s="72" t="str">
        <f>P14*L14*M14*N14</f>
      </c>
      <c r="R14" s="73" t="str">
        <f>O14*K14*M14*N14</f>
      </c>
      <c r="S14" s="74" t="str">
        <f>R14-Q14</f>
      </c>
      <c r="T14" s="20" t="str">
        <f>IFERROR(INDEX('Cost_Components'!$R$2:$R$27,MATCH(E14,'Cost_Components'!$A$2:$A$27,0)),"")</f>
      </c>
      <c r="U14" s="75" t="str">
        <f>IFERROR(INDEX('Cost_Components'!$Q$2:$Q$27,MATCH(E14,'Cost_Components'!$A$2:$A$27,0)),"")</f>
      </c>
      <c r="V14" s="76" t="str">
        <f>1/(1+'Calculation_Assumptions'!$B$5)^(B14-'Calculation_Assumptions'!$B$2)</f>
      </c>
      <c r="W14" s="77" t="str">
        <f>Q14*V14</f>
      </c>
      <c r="X14" s="78" t="str">
        <f>R14*V14</f>
      </c>
      <c r="Y14" s="79" t="str">
        <f>S14*V14</f>
      </c>
      <c r="Z14" s="80" t="str">
        <f>IFERROR(INDEX('Cost_Components'!$T$2:$T$27,MATCH(E14,'Cost_Components'!$A$2:$A$27,0)),"")</f>
      </c>
      <c r="AA14" s="81" t="str">
        <f>IFERROR(INDEX('Cost_Components'!$U$2:$U$27,MATCH(E14,'Cost_Components'!$A$2:$A$27,0)),"")</f>
      </c>
      <c r="AB14" s="82" t="str">
        <f>IFERROR(INDEX('Cost_Components'!$V$2:$V$27,MATCH(E14,'Cost_Components'!$A$2:$A$27,0)),"")</f>
      </c>
      <c r="AC14" s="83" t="str">
        <f>IFERROR(INDEX('Cost_Components'!$M$2:$M$27,MATCH(E14,'Cost_Components'!$A$2:$A$27,0)),"")</f>
      </c>
      <c r="AD14" s="84" t="str">
        <f>IFERROR(INDEX('Cost_Components'!$N$2:$N$27,MATCH(E14,'Cost_Components'!$A$2:$A$27,0)),"")</f>
      </c>
      <c r="AE14" s="20" t="str">
        <f>IFERROR(INDEX('Cost_Components'!$O$2:$O$27,MATCH(E14,'Cost_Components'!$A$2:$A$27,0)),"")</f>
      </c>
      <c r="AF14" s="85" t="n">
        <v>354353025.678883</v>
      </c>
      <c r="AG14" s="86" t="n">
        <v>353857255.838185</v>
      </c>
      <c r="AH14" s="87" t="str">
        <f>IF(H14="shared-count-once",COUNTIFS($A$2:$A$1353,A14,$B$2:$B$1353,B14,$E$2:$E$1353,E14),1)</f>
      </c>
    </row>
    <row r="15">
      <c r="A15" t="s">
        <v>162</v>
      </c>
      <c r="B15" s="59" t="n">
        <v>2038</v>
      </c>
      <c r="C15" t="s">
        <v>162</v>
      </c>
      <c r="D15"/>
      <c r="E15" s="60" t="s">
        <v>260</v>
      </c>
      <c r="F15" s="61" t="s">
        <v>261</v>
      </c>
      <c r="G15" s="62" t="s">
        <v>171</v>
      </c>
      <c r="H15" s="63" t="s">
        <v>172</v>
      </c>
      <c r="I15" s="64" t="s">
        <v>75</v>
      </c>
      <c r="J15" s="65" t="str">
        <f>IFERROR(INDEX('Cost_Components'!$K$2:$K$27,MATCH(E15,'Cost_Components'!$A$2:$A$27,0)),"")</f>
      </c>
      <c r="K15" s="66" t="str">
        <f>IF(OR(L15="",Z15="",AA15="",AB15=""),"",IF(B15&lt;AA15,L15,IF(B15&gt;AB15,Z15,L15+(Z15-L15)*MIN(MAX((B15-AA15+1)/MAX(AB15-AA15+1,1),0),1))))</f>
      </c>
      <c r="L15" s="67" t="str">
        <f>IFERROR(INDEX('Cost_Components'!$S$2:$S$27,MATCH(E15,'Cost_Components'!$A$2:$A$27,0)),"")</f>
      </c>
      <c r="M15" s="68" t="str">
        <f>IFERROR(INDEX('Cost_Components'!$L$2:$L$27,MATCH(E15,'Cost_Components'!$A$2:$A$27,0)),"")</f>
      </c>
      <c r="N15" s="69" t="str">
        <f>IFERROR(INDEX('Cost_Components'!$P$2:$P$27,MATCH(E15,'Cost_Components'!$A$2:$A$27,0)),"")</f>
      </c>
      <c r="O15" s="70" t="str">
        <f>AF15*J15</f>
      </c>
      <c r="P15" s="71" t="str">
        <f>AG15*J15</f>
      </c>
      <c r="Q15" s="72" t="str">
        <f>P15*L15*M15*N15</f>
      </c>
      <c r="R15" s="73" t="str">
        <f>O15*K15*M15*N15</f>
      </c>
      <c r="S15" s="74" t="str">
        <f>R15-Q15</f>
      </c>
      <c r="T15" s="20" t="str">
        <f>IFERROR(INDEX('Cost_Components'!$R$2:$R$27,MATCH(E15,'Cost_Components'!$A$2:$A$27,0)),"")</f>
      </c>
      <c r="U15" s="75" t="str">
        <f>IFERROR(INDEX('Cost_Components'!$Q$2:$Q$27,MATCH(E15,'Cost_Components'!$A$2:$A$27,0)),"")</f>
      </c>
      <c r="V15" s="76" t="str">
        <f>1/(1+'Calculation_Assumptions'!$B$5)^(B15-'Calculation_Assumptions'!$B$2)</f>
      </c>
      <c r="W15" s="77" t="str">
        <f>Q15*V15</f>
      </c>
      <c r="X15" s="78" t="str">
        <f>R15*V15</f>
      </c>
      <c r="Y15" s="79" t="str">
        <f>S15*V15</f>
      </c>
      <c r="Z15" s="80" t="str">
        <f>IFERROR(INDEX('Cost_Components'!$T$2:$T$27,MATCH(E15,'Cost_Components'!$A$2:$A$27,0)),"")</f>
      </c>
      <c r="AA15" s="81" t="str">
        <f>IFERROR(INDEX('Cost_Components'!$U$2:$U$27,MATCH(E15,'Cost_Components'!$A$2:$A$27,0)),"")</f>
      </c>
      <c r="AB15" s="82" t="str">
        <f>IFERROR(INDEX('Cost_Components'!$V$2:$V$27,MATCH(E15,'Cost_Components'!$A$2:$A$27,0)),"")</f>
      </c>
      <c r="AC15" s="83" t="str">
        <f>IFERROR(INDEX('Cost_Components'!$M$2:$M$27,MATCH(E15,'Cost_Components'!$A$2:$A$27,0)),"")</f>
      </c>
      <c r="AD15" s="84" t="str">
        <f>IFERROR(INDEX('Cost_Components'!$N$2:$N$27,MATCH(E15,'Cost_Components'!$A$2:$A$27,0)),"")</f>
      </c>
      <c r="AE15" s="20" t="str">
        <f>IFERROR(INDEX('Cost_Components'!$O$2:$O$27,MATCH(E15,'Cost_Components'!$A$2:$A$27,0)),"")</f>
      </c>
      <c r="AF15" s="85" t="n">
        <v>358601483.240647</v>
      </c>
      <c r="AG15" s="86" t="n">
        <v>358007680.685344</v>
      </c>
      <c r="AH15" s="87" t="str">
        <f>IF(H15="shared-count-once",COUNTIFS($A$2:$A$1353,A15,$B$2:$B$1353,B15,$E$2:$E$1353,E15),1)</f>
      </c>
    </row>
    <row r="16">
      <c r="A16" t="s">
        <v>162</v>
      </c>
      <c r="B16" s="59" t="n">
        <v>2039</v>
      </c>
      <c r="C16" t="s">
        <v>162</v>
      </c>
      <c r="D16"/>
      <c r="E16" s="60" t="s">
        <v>260</v>
      </c>
      <c r="F16" s="61" t="s">
        <v>261</v>
      </c>
      <c r="G16" s="62" t="s">
        <v>171</v>
      </c>
      <c r="H16" s="63" t="s">
        <v>172</v>
      </c>
      <c r="I16" s="64" t="s">
        <v>75</v>
      </c>
      <c r="J16" s="65" t="str">
        <f>IFERROR(INDEX('Cost_Components'!$K$2:$K$27,MATCH(E16,'Cost_Components'!$A$2:$A$27,0)),"")</f>
      </c>
      <c r="K16" s="66" t="str">
        <f>IF(OR(L16="",Z16="",AA16="",AB16=""),"",IF(B16&lt;AA16,L16,IF(B16&gt;AB16,Z16,L16+(Z16-L16)*MIN(MAX((B16-AA16+1)/MAX(AB16-AA16+1,1),0),1))))</f>
      </c>
      <c r="L16" s="67" t="str">
        <f>IFERROR(INDEX('Cost_Components'!$S$2:$S$27,MATCH(E16,'Cost_Components'!$A$2:$A$27,0)),"")</f>
      </c>
      <c r="M16" s="68" t="str">
        <f>IFERROR(INDEX('Cost_Components'!$L$2:$L$27,MATCH(E16,'Cost_Components'!$A$2:$A$27,0)),"")</f>
      </c>
      <c r="N16" s="69" t="str">
        <f>IFERROR(INDEX('Cost_Components'!$P$2:$P$27,MATCH(E16,'Cost_Components'!$A$2:$A$27,0)),"")</f>
      </c>
      <c r="O16" s="70" t="str">
        <f>AF16*J16</f>
      </c>
      <c r="P16" s="71" t="str">
        <f>AG16*J16</f>
      </c>
      <c r="Q16" s="72" t="str">
        <f>P16*L16*M16*N16</f>
      </c>
      <c r="R16" s="73" t="str">
        <f>O16*K16*M16*N16</f>
      </c>
      <c r="S16" s="74" t="str">
        <f>R16-Q16</f>
      </c>
      <c r="T16" s="20" t="str">
        <f>IFERROR(INDEX('Cost_Components'!$R$2:$R$27,MATCH(E16,'Cost_Components'!$A$2:$A$27,0)),"")</f>
      </c>
      <c r="U16" s="75" t="str">
        <f>IFERROR(INDEX('Cost_Components'!$Q$2:$Q$27,MATCH(E16,'Cost_Components'!$A$2:$A$27,0)),"")</f>
      </c>
      <c r="V16" s="76" t="str">
        <f>1/(1+'Calculation_Assumptions'!$B$5)^(B16-'Calculation_Assumptions'!$B$2)</f>
      </c>
      <c r="W16" s="77" t="str">
        <f>Q16*V16</f>
      </c>
      <c r="X16" s="78" t="str">
        <f>R16*V16</f>
      </c>
      <c r="Y16" s="79" t="str">
        <f>S16*V16</f>
      </c>
      <c r="Z16" s="80" t="str">
        <f>IFERROR(INDEX('Cost_Components'!$T$2:$T$27,MATCH(E16,'Cost_Components'!$A$2:$A$27,0)),"")</f>
      </c>
      <c r="AA16" s="81" t="str">
        <f>IFERROR(INDEX('Cost_Components'!$U$2:$U$27,MATCH(E16,'Cost_Components'!$A$2:$A$27,0)),"")</f>
      </c>
      <c r="AB16" s="82" t="str">
        <f>IFERROR(INDEX('Cost_Components'!$V$2:$V$27,MATCH(E16,'Cost_Components'!$A$2:$A$27,0)),"")</f>
      </c>
      <c r="AC16" s="83" t="str">
        <f>IFERROR(INDEX('Cost_Components'!$M$2:$M$27,MATCH(E16,'Cost_Components'!$A$2:$A$27,0)),"")</f>
      </c>
      <c r="AD16" s="84" t="str">
        <f>IFERROR(INDEX('Cost_Components'!$N$2:$N$27,MATCH(E16,'Cost_Components'!$A$2:$A$27,0)),"")</f>
      </c>
      <c r="AE16" s="20" t="str">
        <f>IFERROR(INDEX('Cost_Components'!$O$2:$O$27,MATCH(E16,'Cost_Components'!$A$2:$A$27,0)),"")</f>
      </c>
      <c r="AF16" s="85" t="n">
        <v>362802465.42413</v>
      </c>
      <c r="AG16" s="86" t="n">
        <v>362079729.17759</v>
      </c>
      <c r="AH16" s="87" t="str">
        <f>IF(H16="shared-count-once",COUNTIFS($A$2:$A$1353,A16,$B$2:$B$1353,B16,$E$2:$E$1353,E16),1)</f>
      </c>
    </row>
    <row r="17">
      <c r="A17" t="s">
        <v>162</v>
      </c>
      <c r="B17" s="59" t="n">
        <v>2040</v>
      </c>
      <c r="C17" t="s">
        <v>162</v>
      </c>
      <c r="D17"/>
      <c r="E17" s="60" t="s">
        <v>260</v>
      </c>
      <c r="F17" s="61" t="s">
        <v>261</v>
      </c>
      <c r="G17" s="62" t="s">
        <v>171</v>
      </c>
      <c r="H17" s="63" t="s">
        <v>172</v>
      </c>
      <c r="I17" s="64" t="s">
        <v>75</v>
      </c>
      <c r="J17" s="65" t="str">
        <f>IFERROR(INDEX('Cost_Components'!$K$2:$K$27,MATCH(E17,'Cost_Components'!$A$2:$A$27,0)),"")</f>
      </c>
      <c r="K17" s="66" t="str">
        <f>IF(OR(L17="",Z17="",AA17="",AB17=""),"",IF(B17&lt;AA17,L17,IF(B17&gt;AB17,Z17,L17+(Z17-L17)*MIN(MAX((B17-AA17+1)/MAX(AB17-AA17+1,1),0),1))))</f>
      </c>
      <c r="L17" s="67" t="str">
        <f>IFERROR(INDEX('Cost_Components'!$S$2:$S$27,MATCH(E17,'Cost_Components'!$A$2:$A$27,0)),"")</f>
      </c>
      <c r="M17" s="68" t="str">
        <f>IFERROR(INDEX('Cost_Components'!$L$2:$L$27,MATCH(E17,'Cost_Components'!$A$2:$A$27,0)),"")</f>
      </c>
      <c r="N17" s="69" t="str">
        <f>IFERROR(INDEX('Cost_Components'!$P$2:$P$27,MATCH(E17,'Cost_Components'!$A$2:$A$27,0)),"")</f>
      </c>
      <c r="O17" s="70" t="str">
        <f>AF17*J17</f>
      </c>
      <c r="P17" s="71" t="str">
        <f>AG17*J17</f>
      </c>
      <c r="Q17" s="72" t="str">
        <f>P17*L17*M17*N17</f>
      </c>
      <c r="R17" s="73" t="str">
        <f>O17*K17*M17*N17</f>
      </c>
      <c r="S17" s="74" t="str">
        <f>R17-Q17</f>
      </c>
      <c r="T17" s="20" t="str">
        <f>IFERROR(INDEX('Cost_Components'!$R$2:$R$27,MATCH(E17,'Cost_Components'!$A$2:$A$27,0)),"")</f>
      </c>
      <c r="U17" s="75" t="str">
        <f>IFERROR(INDEX('Cost_Components'!$Q$2:$Q$27,MATCH(E17,'Cost_Components'!$A$2:$A$27,0)),"")</f>
      </c>
      <c r="V17" s="76" t="str">
        <f>1/(1+'Calculation_Assumptions'!$B$5)^(B17-'Calculation_Assumptions'!$B$2)</f>
      </c>
      <c r="W17" s="77" t="str">
        <f>Q17*V17</f>
      </c>
      <c r="X17" s="78" t="str">
        <f>R17*V17</f>
      </c>
      <c r="Y17" s="79" t="str">
        <f>S17*V17</f>
      </c>
      <c r="Z17" s="80" t="str">
        <f>IFERROR(INDEX('Cost_Components'!$T$2:$T$27,MATCH(E17,'Cost_Components'!$A$2:$A$27,0)),"")</f>
      </c>
      <c r="AA17" s="81" t="str">
        <f>IFERROR(INDEX('Cost_Components'!$U$2:$U$27,MATCH(E17,'Cost_Components'!$A$2:$A$27,0)),"")</f>
      </c>
      <c r="AB17" s="82" t="str">
        <f>IFERROR(INDEX('Cost_Components'!$V$2:$V$27,MATCH(E17,'Cost_Components'!$A$2:$A$27,0)),"")</f>
      </c>
      <c r="AC17" s="83" t="str">
        <f>IFERROR(INDEX('Cost_Components'!$M$2:$M$27,MATCH(E17,'Cost_Components'!$A$2:$A$27,0)),"")</f>
      </c>
      <c r="AD17" s="84" t="str">
        <f>IFERROR(INDEX('Cost_Components'!$N$2:$N$27,MATCH(E17,'Cost_Components'!$A$2:$A$27,0)),"")</f>
      </c>
      <c r="AE17" s="20" t="str">
        <f>IFERROR(INDEX('Cost_Components'!$O$2:$O$27,MATCH(E17,'Cost_Components'!$A$2:$A$27,0)),"")</f>
      </c>
      <c r="AF17" s="85" t="n">
        <v>366968829.847563</v>
      </c>
      <c r="AG17" s="86" t="n">
        <v>366148497.336983</v>
      </c>
      <c r="AH17" s="87" t="str">
        <f>IF(H17="shared-count-once",COUNTIFS($A$2:$A$1353,A17,$B$2:$B$1353,B17,$E$2:$E$1353,E17),1)</f>
      </c>
    </row>
    <row r="18">
      <c r="A18" t="s">
        <v>162</v>
      </c>
      <c r="B18" s="59" t="n">
        <v>2041</v>
      </c>
      <c r="C18" t="s">
        <v>162</v>
      </c>
      <c r="D18"/>
      <c r="E18" s="60" t="s">
        <v>260</v>
      </c>
      <c r="F18" s="61" t="s">
        <v>261</v>
      </c>
      <c r="G18" s="62" t="s">
        <v>171</v>
      </c>
      <c r="H18" s="63" t="s">
        <v>172</v>
      </c>
      <c r="I18" s="64" t="s">
        <v>75</v>
      </c>
      <c r="J18" s="65" t="str">
        <f>IFERROR(INDEX('Cost_Components'!$K$2:$K$27,MATCH(E18,'Cost_Components'!$A$2:$A$27,0)),"")</f>
      </c>
      <c r="K18" s="66" t="str">
        <f>IF(OR(L18="",Z18="",AA18="",AB18=""),"",IF(B18&lt;AA18,L18,IF(B18&gt;AB18,Z18,L18+(Z18-L18)*MIN(MAX((B18-AA18+1)/MAX(AB18-AA18+1,1),0),1))))</f>
      </c>
      <c r="L18" s="67" t="str">
        <f>IFERROR(INDEX('Cost_Components'!$S$2:$S$27,MATCH(E18,'Cost_Components'!$A$2:$A$27,0)),"")</f>
      </c>
      <c r="M18" s="68" t="str">
        <f>IFERROR(INDEX('Cost_Components'!$L$2:$L$27,MATCH(E18,'Cost_Components'!$A$2:$A$27,0)),"")</f>
      </c>
      <c r="N18" s="69" t="str">
        <f>IFERROR(INDEX('Cost_Components'!$P$2:$P$27,MATCH(E18,'Cost_Components'!$A$2:$A$27,0)),"")</f>
      </c>
      <c r="O18" s="70" t="str">
        <f>AF18*J18</f>
      </c>
      <c r="P18" s="71" t="str">
        <f>AG18*J18</f>
      </c>
      <c r="Q18" s="72" t="str">
        <f>P18*L18*M18*N18</f>
      </c>
      <c r="R18" s="73" t="str">
        <f>O18*K18*M18*N18</f>
      </c>
      <c r="S18" s="74" t="str">
        <f>R18-Q18</f>
      </c>
      <c r="T18" s="20" t="str">
        <f>IFERROR(INDEX('Cost_Components'!$R$2:$R$27,MATCH(E18,'Cost_Components'!$A$2:$A$27,0)),"")</f>
      </c>
      <c r="U18" s="75" t="str">
        <f>IFERROR(INDEX('Cost_Components'!$Q$2:$Q$27,MATCH(E18,'Cost_Components'!$A$2:$A$27,0)),"")</f>
      </c>
      <c r="V18" s="76" t="str">
        <f>1/(1+'Calculation_Assumptions'!$B$5)^(B18-'Calculation_Assumptions'!$B$2)</f>
      </c>
      <c r="W18" s="77" t="str">
        <f>Q18*V18</f>
      </c>
      <c r="X18" s="78" t="str">
        <f>R18*V18</f>
      </c>
      <c r="Y18" s="79" t="str">
        <f>S18*V18</f>
      </c>
      <c r="Z18" s="80" t="str">
        <f>IFERROR(INDEX('Cost_Components'!$T$2:$T$27,MATCH(E18,'Cost_Components'!$A$2:$A$27,0)),"")</f>
      </c>
      <c r="AA18" s="81" t="str">
        <f>IFERROR(INDEX('Cost_Components'!$U$2:$U$27,MATCH(E18,'Cost_Components'!$A$2:$A$27,0)),"")</f>
      </c>
      <c r="AB18" s="82" t="str">
        <f>IFERROR(INDEX('Cost_Components'!$V$2:$V$27,MATCH(E18,'Cost_Components'!$A$2:$A$27,0)),"")</f>
      </c>
      <c r="AC18" s="83" t="str">
        <f>IFERROR(INDEX('Cost_Components'!$M$2:$M$27,MATCH(E18,'Cost_Components'!$A$2:$A$27,0)),"")</f>
      </c>
      <c r="AD18" s="84" t="str">
        <f>IFERROR(INDEX('Cost_Components'!$N$2:$N$27,MATCH(E18,'Cost_Components'!$A$2:$A$27,0)),"")</f>
      </c>
      <c r="AE18" s="20" t="str">
        <f>IFERROR(INDEX('Cost_Components'!$O$2:$O$27,MATCH(E18,'Cost_Components'!$A$2:$A$27,0)),"")</f>
      </c>
      <c r="AF18" s="85" t="n">
        <v>371277838.476714</v>
      </c>
      <c r="AG18" s="86" t="n">
        <v>370307519.955221</v>
      </c>
      <c r="AH18" s="87" t="str">
        <f>IF(H18="shared-count-once",COUNTIFS($A$2:$A$1353,A18,$B$2:$B$1353,B18,$E$2:$E$1353,E18),1)</f>
      </c>
    </row>
    <row r="19">
      <c r="A19" t="s">
        <v>162</v>
      </c>
      <c r="B19" s="59" t="n">
        <v>2042</v>
      </c>
      <c r="C19" t="s">
        <v>162</v>
      </c>
      <c r="D19"/>
      <c r="E19" s="60" t="s">
        <v>260</v>
      </c>
      <c r="F19" s="61" t="s">
        <v>261</v>
      </c>
      <c r="G19" s="62" t="s">
        <v>171</v>
      </c>
      <c r="H19" s="63" t="s">
        <v>172</v>
      </c>
      <c r="I19" s="64" t="s">
        <v>75</v>
      </c>
      <c r="J19" s="65" t="str">
        <f>IFERROR(INDEX('Cost_Components'!$K$2:$K$27,MATCH(E19,'Cost_Components'!$A$2:$A$27,0)),"")</f>
      </c>
      <c r="K19" s="66" t="str">
        <f>IF(OR(L19="",Z19="",AA19="",AB19=""),"",IF(B19&lt;AA19,L19,IF(B19&gt;AB19,Z19,L19+(Z19-L19)*MIN(MAX((B19-AA19+1)/MAX(AB19-AA19+1,1),0),1))))</f>
      </c>
      <c r="L19" s="67" t="str">
        <f>IFERROR(INDEX('Cost_Components'!$S$2:$S$27,MATCH(E19,'Cost_Components'!$A$2:$A$27,0)),"")</f>
      </c>
      <c r="M19" s="68" t="str">
        <f>IFERROR(INDEX('Cost_Components'!$L$2:$L$27,MATCH(E19,'Cost_Components'!$A$2:$A$27,0)),"")</f>
      </c>
      <c r="N19" s="69" t="str">
        <f>IFERROR(INDEX('Cost_Components'!$P$2:$P$27,MATCH(E19,'Cost_Components'!$A$2:$A$27,0)),"")</f>
      </c>
      <c r="O19" s="70" t="str">
        <f>AF19*J19</f>
      </c>
      <c r="P19" s="71" t="str">
        <f>AG19*J19</f>
      </c>
      <c r="Q19" s="72" t="str">
        <f>P19*L19*M19*N19</f>
      </c>
      <c r="R19" s="73" t="str">
        <f>O19*K19*M19*N19</f>
      </c>
      <c r="S19" s="74" t="str">
        <f>R19-Q19</f>
      </c>
      <c r="T19" s="20" t="str">
        <f>IFERROR(INDEX('Cost_Components'!$R$2:$R$27,MATCH(E19,'Cost_Components'!$A$2:$A$27,0)),"")</f>
      </c>
      <c r="U19" s="75" t="str">
        <f>IFERROR(INDEX('Cost_Components'!$Q$2:$Q$27,MATCH(E19,'Cost_Components'!$A$2:$A$27,0)),"")</f>
      </c>
      <c r="V19" s="76" t="str">
        <f>1/(1+'Calculation_Assumptions'!$B$5)^(B19-'Calculation_Assumptions'!$B$2)</f>
      </c>
      <c r="W19" s="77" t="str">
        <f>Q19*V19</f>
      </c>
      <c r="X19" s="78" t="str">
        <f>R19*V19</f>
      </c>
      <c r="Y19" s="79" t="str">
        <f>S19*V19</f>
      </c>
      <c r="Z19" s="80" t="str">
        <f>IFERROR(INDEX('Cost_Components'!$T$2:$T$27,MATCH(E19,'Cost_Components'!$A$2:$A$27,0)),"")</f>
      </c>
      <c r="AA19" s="81" t="str">
        <f>IFERROR(INDEX('Cost_Components'!$U$2:$U$27,MATCH(E19,'Cost_Components'!$A$2:$A$27,0)),"")</f>
      </c>
      <c r="AB19" s="82" t="str">
        <f>IFERROR(INDEX('Cost_Components'!$V$2:$V$27,MATCH(E19,'Cost_Components'!$A$2:$A$27,0)),"")</f>
      </c>
      <c r="AC19" s="83" t="str">
        <f>IFERROR(INDEX('Cost_Components'!$M$2:$M$27,MATCH(E19,'Cost_Components'!$A$2:$A$27,0)),"")</f>
      </c>
      <c r="AD19" s="84" t="str">
        <f>IFERROR(INDEX('Cost_Components'!$N$2:$N$27,MATCH(E19,'Cost_Components'!$A$2:$A$27,0)),"")</f>
      </c>
      <c r="AE19" s="20" t="str">
        <f>IFERROR(INDEX('Cost_Components'!$O$2:$O$27,MATCH(E19,'Cost_Components'!$A$2:$A$27,0)),"")</f>
      </c>
      <c r="AF19" s="85" t="n">
        <v>375621287.882887</v>
      </c>
      <c r="AG19" s="86" t="n">
        <v>374511498.051548</v>
      </c>
      <c r="AH19" s="87" t="str">
        <f>IF(H19="shared-count-once",COUNTIFS($A$2:$A$1353,A19,$B$2:$B$1353,B19,$E$2:$E$1353,E19),1)</f>
      </c>
    </row>
    <row r="20">
      <c r="A20" t="s">
        <v>162</v>
      </c>
      <c r="B20" s="59" t="n">
        <v>2043</v>
      </c>
      <c r="C20" t="s">
        <v>162</v>
      </c>
      <c r="D20"/>
      <c r="E20" s="60" t="s">
        <v>260</v>
      </c>
      <c r="F20" s="61" t="s">
        <v>261</v>
      </c>
      <c r="G20" s="62" t="s">
        <v>171</v>
      </c>
      <c r="H20" s="63" t="s">
        <v>172</v>
      </c>
      <c r="I20" s="64" t="s">
        <v>75</v>
      </c>
      <c r="J20" s="65" t="str">
        <f>IFERROR(INDEX('Cost_Components'!$K$2:$K$27,MATCH(E20,'Cost_Components'!$A$2:$A$27,0)),"")</f>
      </c>
      <c r="K20" s="66" t="str">
        <f>IF(OR(L20="",Z20="",AA20="",AB20=""),"",IF(B20&lt;AA20,L20,IF(B20&gt;AB20,Z20,L20+(Z20-L20)*MIN(MAX((B20-AA20+1)/MAX(AB20-AA20+1,1),0),1))))</f>
      </c>
      <c r="L20" s="67" t="str">
        <f>IFERROR(INDEX('Cost_Components'!$S$2:$S$27,MATCH(E20,'Cost_Components'!$A$2:$A$27,0)),"")</f>
      </c>
      <c r="M20" s="68" t="str">
        <f>IFERROR(INDEX('Cost_Components'!$L$2:$L$27,MATCH(E20,'Cost_Components'!$A$2:$A$27,0)),"")</f>
      </c>
      <c r="N20" s="69" t="str">
        <f>IFERROR(INDEX('Cost_Components'!$P$2:$P$27,MATCH(E20,'Cost_Components'!$A$2:$A$27,0)),"")</f>
      </c>
      <c r="O20" s="70" t="str">
        <f>AF20*J20</f>
      </c>
      <c r="P20" s="71" t="str">
        <f>AG20*J20</f>
      </c>
      <c r="Q20" s="72" t="str">
        <f>P20*L20*M20*N20</f>
      </c>
      <c r="R20" s="73" t="str">
        <f>O20*K20*M20*N20</f>
      </c>
      <c r="S20" s="74" t="str">
        <f>R20-Q20</f>
      </c>
      <c r="T20" s="20" t="str">
        <f>IFERROR(INDEX('Cost_Components'!$R$2:$R$27,MATCH(E20,'Cost_Components'!$A$2:$A$27,0)),"")</f>
      </c>
      <c r="U20" s="75" t="str">
        <f>IFERROR(INDEX('Cost_Components'!$Q$2:$Q$27,MATCH(E20,'Cost_Components'!$A$2:$A$27,0)),"")</f>
      </c>
      <c r="V20" s="76" t="str">
        <f>1/(1+'Calculation_Assumptions'!$B$5)^(B20-'Calculation_Assumptions'!$B$2)</f>
      </c>
      <c r="W20" s="77" t="str">
        <f>Q20*V20</f>
      </c>
      <c r="X20" s="78" t="str">
        <f>R20*V20</f>
      </c>
      <c r="Y20" s="79" t="str">
        <f>S20*V20</f>
      </c>
      <c r="Z20" s="80" t="str">
        <f>IFERROR(INDEX('Cost_Components'!$T$2:$T$27,MATCH(E20,'Cost_Components'!$A$2:$A$27,0)),"")</f>
      </c>
      <c r="AA20" s="81" t="str">
        <f>IFERROR(INDEX('Cost_Components'!$U$2:$U$27,MATCH(E20,'Cost_Components'!$A$2:$A$27,0)),"")</f>
      </c>
      <c r="AB20" s="82" t="str">
        <f>IFERROR(INDEX('Cost_Components'!$V$2:$V$27,MATCH(E20,'Cost_Components'!$A$2:$A$27,0)),"")</f>
      </c>
      <c r="AC20" s="83" t="str">
        <f>IFERROR(INDEX('Cost_Components'!$M$2:$M$27,MATCH(E20,'Cost_Components'!$A$2:$A$27,0)),"")</f>
      </c>
      <c r="AD20" s="84" t="str">
        <f>IFERROR(INDEX('Cost_Components'!$N$2:$N$27,MATCH(E20,'Cost_Components'!$A$2:$A$27,0)),"")</f>
      </c>
      <c r="AE20" s="20" t="str">
        <f>IFERROR(INDEX('Cost_Components'!$O$2:$O$27,MATCH(E20,'Cost_Components'!$A$2:$A$27,0)),"")</f>
      </c>
      <c r="AF20" s="85" t="n">
        <v>379712282.768316</v>
      </c>
      <c r="AG20" s="86" t="n">
        <v>378524407.122942</v>
      </c>
      <c r="AH20" s="87" t="str">
        <f>IF(H20="shared-count-once",COUNTIFS($A$2:$A$1353,A20,$B$2:$B$1353,B20,$E$2:$E$1353,E20),1)</f>
      </c>
    </row>
    <row r="21">
      <c r="A21" t="s">
        <v>162</v>
      </c>
      <c r="B21" s="59" t="n">
        <v>2044</v>
      </c>
      <c r="C21" t="s">
        <v>162</v>
      </c>
      <c r="D21"/>
      <c r="E21" s="60" t="s">
        <v>260</v>
      </c>
      <c r="F21" s="61" t="s">
        <v>261</v>
      </c>
      <c r="G21" s="62" t="s">
        <v>171</v>
      </c>
      <c r="H21" s="63" t="s">
        <v>172</v>
      </c>
      <c r="I21" s="64" t="s">
        <v>75</v>
      </c>
      <c r="J21" s="65" t="str">
        <f>IFERROR(INDEX('Cost_Components'!$K$2:$K$27,MATCH(E21,'Cost_Components'!$A$2:$A$27,0)),"")</f>
      </c>
      <c r="K21" s="66" t="str">
        <f>IF(OR(L21="",Z21="",AA21="",AB21=""),"",IF(B21&lt;AA21,L21,IF(B21&gt;AB21,Z21,L21+(Z21-L21)*MIN(MAX((B21-AA21+1)/MAX(AB21-AA21+1,1),0),1))))</f>
      </c>
      <c r="L21" s="67" t="str">
        <f>IFERROR(INDEX('Cost_Components'!$S$2:$S$27,MATCH(E21,'Cost_Components'!$A$2:$A$27,0)),"")</f>
      </c>
      <c r="M21" s="68" t="str">
        <f>IFERROR(INDEX('Cost_Components'!$L$2:$L$27,MATCH(E21,'Cost_Components'!$A$2:$A$27,0)),"")</f>
      </c>
      <c r="N21" s="69" t="str">
        <f>IFERROR(INDEX('Cost_Components'!$P$2:$P$27,MATCH(E21,'Cost_Components'!$A$2:$A$27,0)),"")</f>
      </c>
      <c r="O21" s="70" t="str">
        <f>AF21*J21</f>
      </c>
      <c r="P21" s="71" t="str">
        <f>AG21*J21</f>
      </c>
      <c r="Q21" s="72" t="str">
        <f>P21*L21*M21*N21</f>
      </c>
      <c r="R21" s="73" t="str">
        <f>O21*K21*M21*N21</f>
      </c>
      <c r="S21" s="74" t="str">
        <f>R21-Q21</f>
      </c>
      <c r="T21" s="20" t="str">
        <f>IFERROR(INDEX('Cost_Components'!$R$2:$R$27,MATCH(E21,'Cost_Components'!$A$2:$A$27,0)),"")</f>
      </c>
      <c r="U21" s="75" t="str">
        <f>IFERROR(INDEX('Cost_Components'!$Q$2:$Q$27,MATCH(E21,'Cost_Components'!$A$2:$A$27,0)),"")</f>
      </c>
      <c r="V21" s="76" t="str">
        <f>1/(1+'Calculation_Assumptions'!$B$5)^(B21-'Calculation_Assumptions'!$B$2)</f>
      </c>
      <c r="W21" s="77" t="str">
        <f>Q21*V21</f>
      </c>
      <c r="X21" s="78" t="str">
        <f>R21*V21</f>
      </c>
      <c r="Y21" s="79" t="str">
        <f>S21*V21</f>
      </c>
      <c r="Z21" s="80" t="str">
        <f>IFERROR(INDEX('Cost_Components'!$T$2:$T$27,MATCH(E21,'Cost_Components'!$A$2:$A$27,0)),"")</f>
      </c>
      <c r="AA21" s="81" t="str">
        <f>IFERROR(INDEX('Cost_Components'!$U$2:$U$27,MATCH(E21,'Cost_Components'!$A$2:$A$27,0)),"")</f>
      </c>
      <c r="AB21" s="82" t="str">
        <f>IFERROR(INDEX('Cost_Components'!$V$2:$V$27,MATCH(E21,'Cost_Components'!$A$2:$A$27,0)),"")</f>
      </c>
      <c r="AC21" s="83" t="str">
        <f>IFERROR(INDEX('Cost_Components'!$M$2:$M$27,MATCH(E21,'Cost_Components'!$A$2:$A$27,0)),"")</f>
      </c>
      <c r="AD21" s="84" t="str">
        <f>IFERROR(INDEX('Cost_Components'!$N$2:$N$27,MATCH(E21,'Cost_Components'!$A$2:$A$27,0)),"")</f>
      </c>
      <c r="AE21" s="20" t="str">
        <f>IFERROR(INDEX('Cost_Components'!$O$2:$O$27,MATCH(E21,'Cost_Components'!$A$2:$A$27,0)),"")</f>
      </c>
      <c r="AF21" s="85" t="n">
        <v>383581535.850458</v>
      </c>
      <c r="AG21" s="86" t="n">
        <v>382230245.423005</v>
      </c>
      <c r="AH21" s="87" t="str">
        <f>IF(H21="shared-count-once",COUNTIFS($A$2:$A$1353,A21,$B$2:$B$1353,B21,$E$2:$E$1353,E21),1)</f>
      </c>
    </row>
    <row r="22">
      <c r="A22" t="s">
        <v>162</v>
      </c>
      <c r="B22" s="59" t="n">
        <v>2045</v>
      </c>
      <c r="C22" t="s">
        <v>162</v>
      </c>
      <c r="D22"/>
      <c r="E22" s="60" t="s">
        <v>260</v>
      </c>
      <c r="F22" s="61" t="s">
        <v>261</v>
      </c>
      <c r="G22" s="62" t="s">
        <v>171</v>
      </c>
      <c r="H22" s="63" t="s">
        <v>172</v>
      </c>
      <c r="I22" s="64" t="s">
        <v>75</v>
      </c>
      <c r="J22" s="65" t="str">
        <f>IFERROR(INDEX('Cost_Components'!$K$2:$K$27,MATCH(E22,'Cost_Components'!$A$2:$A$27,0)),"")</f>
      </c>
      <c r="K22" s="66" t="str">
        <f>IF(OR(L22="",Z22="",AA22="",AB22=""),"",IF(B22&lt;AA22,L22,IF(B22&gt;AB22,Z22,L22+(Z22-L22)*MIN(MAX((B22-AA22+1)/MAX(AB22-AA22+1,1),0),1))))</f>
      </c>
      <c r="L22" s="67" t="str">
        <f>IFERROR(INDEX('Cost_Components'!$S$2:$S$27,MATCH(E22,'Cost_Components'!$A$2:$A$27,0)),"")</f>
      </c>
      <c r="M22" s="68" t="str">
        <f>IFERROR(INDEX('Cost_Components'!$L$2:$L$27,MATCH(E22,'Cost_Components'!$A$2:$A$27,0)),"")</f>
      </c>
      <c r="N22" s="69" t="str">
        <f>IFERROR(INDEX('Cost_Components'!$P$2:$P$27,MATCH(E22,'Cost_Components'!$A$2:$A$27,0)),"")</f>
      </c>
      <c r="O22" s="70" t="str">
        <f>AF22*J22</f>
      </c>
      <c r="P22" s="71" t="str">
        <f>AG22*J22</f>
      </c>
      <c r="Q22" s="72" t="str">
        <f>P22*L22*M22*N22</f>
      </c>
      <c r="R22" s="73" t="str">
        <f>O22*K22*M22*N22</f>
      </c>
      <c r="S22" s="74" t="str">
        <f>R22-Q22</f>
      </c>
      <c r="T22" s="20" t="str">
        <f>IFERROR(INDEX('Cost_Components'!$R$2:$R$27,MATCH(E22,'Cost_Components'!$A$2:$A$27,0)),"")</f>
      </c>
      <c r="U22" s="75" t="str">
        <f>IFERROR(INDEX('Cost_Components'!$Q$2:$Q$27,MATCH(E22,'Cost_Components'!$A$2:$A$27,0)),"")</f>
      </c>
      <c r="V22" s="76" t="str">
        <f>1/(1+'Calculation_Assumptions'!$B$5)^(B22-'Calculation_Assumptions'!$B$2)</f>
      </c>
      <c r="W22" s="77" t="str">
        <f>Q22*V22</f>
      </c>
      <c r="X22" s="78" t="str">
        <f>R22*V22</f>
      </c>
      <c r="Y22" s="79" t="str">
        <f>S22*V22</f>
      </c>
      <c r="Z22" s="80" t="str">
        <f>IFERROR(INDEX('Cost_Components'!$T$2:$T$27,MATCH(E22,'Cost_Components'!$A$2:$A$27,0)),"")</f>
      </c>
      <c r="AA22" s="81" t="str">
        <f>IFERROR(INDEX('Cost_Components'!$U$2:$U$27,MATCH(E22,'Cost_Components'!$A$2:$A$27,0)),"")</f>
      </c>
      <c r="AB22" s="82" t="str">
        <f>IFERROR(INDEX('Cost_Components'!$V$2:$V$27,MATCH(E22,'Cost_Components'!$A$2:$A$27,0)),"")</f>
      </c>
      <c r="AC22" s="83" t="str">
        <f>IFERROR(INDEX('Cost_Components'!$M$2:$M$27,MATCH(E22,'Cost_Components'!$A$2:$A$27,0)),"")</f>
      </c>
      <c r="AD22" s="84" t="str">
        <f>IFERROR(INDEX('Cost_Components'!$N$2:$N$27,MATCH(E22,'Cost_Components'!$A$2:$A$27,0)),"")</f>
      </c>
      <c r="AE22" s="20" t="str">
        <f>IFERROR(INDEX('Cost_Components'!$O$2:$O$27,MATCH(E22,'Cost_Components'!$A$2:$A$27,0)),"")</f>
      </c>
      <c r="AF22" s="85" t="n">
        <v>387201402.950765</v>
      </c>
      <c r="AG22" s="86" t="n">
        <v>385676256.67371</v>
      </c>
      <c r="AH22" s="87" t="str">
        <f>IF(H22="shared-count-once",COUNTIFS($A$2:$A$1353,A22,$B$2:$B$1353,B22,$E$2:$E$1353,E22),1)</f>
      </c>
    </row>
    <row r="23">
      <c r="A23" t="s">
        <v>162</v>
      </c>
      <c r="B23" s="59" t="n">
        <v>2046</v>
      </c>
      <c r="C23" t="s">
        <v>162</v>
      </c>
      <c r="D23"/>
      <c r="E23" s="60" t="s">
        <v>260</v>
      </c>
      <c r="F23" s="61" t="s">
        <v>261</v>
      </c>
      <c r="G23" s="62" t="s">
        <v>171</v>
      </c>
      <c r="H23" s="63" t="s">
        <v>172</v>
      </c>
      <c r="I23" s="64" t="s">
        <v>75</v>
      </c>
      <c r="J23" s="65" t="str">
        <f>IFERROR(INDEX('Cost_Components'!$K$2:$K$27,MATCH(E23,'Cost_Components'!$A$2:$A$27,0)),"")</f>
      </c>
      <c r="K23" s="66" t="str">
        <f>IF(OR(L23="",Z23="",AA23="",AB23=""),"",IF(B23&lt;AA23,L23,IF(B23&gt;AB23,Z23,L23+(Z23-L23)*MIN(MAX((B23-AA23+1)/MAX(AB23-AA23+1,1),0),1))))</f>
      </c>
      <c r="L23" s="67" t="str">
        <f>IFERROR(INDEX('Cost_Components'!$S$2:$S$27,MATCH(E23,'Cost_Components'!$A$2:$A$27,0)),"")</f>
      </c>
      <c r="M23" s="68" t="str">
        <f>IFERROR(INDEX('Cost_Components'!$L$2:$L$27,MATCH(E23,'Cost_Components'!$A$2:$A$27,0)),"")</f>
      </c>
      <c r="N23" s="69" t="str">
        <f>IFERROR(INDEX('Cost_Components'!$P$2:$P$27,MATCH(E23,'Cost_Components'!$A$2:$A$27,0)),"")</f>
      </c>
      <c r="O23" s="70" t="str">
        <f>AF23*J23</f>
      </c>
      <c r="P23" s="71" t="str">
        <f>AG23*J23</f>
      </c>
      <c r="Q23" s="72" t="str">
        <f>P23*L23*M23*N23</f>
      </c>
      <c r="R23" s="73" t="str">
        <f>O23*K23*M23*N23</f>
      </c>
      <c r="S23" s="74" t="str">
        <f>R23-Q23</f>
      </c>
      <c r="T23" s="20" t="str">
        <f>IFERROR(INDEX('Cost_Components'!$R$2:$R$27,MATCH(E23,'Cost_Components'!$A$2:$A$27,0)),"")</f>
      </c>
      <c r="U23" s="75" t="str">
        <f>IFERROR(INDEX('Cost_Components'!$Q$2:$Q$27,MATCH(E23,'Cost_Components'!$A$2:$A$27,0)),"")</f>
      </c>
      <c r="V23" s="76" t="str">
        <f>1/(1+'Calculation_Assumptions'!$B$5)^(B23-'Calculation_Assumptions'!$B$2)</f>
      </c>
      <c r="W23" s="77" t="str">
        <f>Q23*V23</f>
      </c>
      <c r="X23" s="78" t="str">
        <f>R23*V23</f>
      </c>
      <c r="Y23" s="79" t="str">
        <f>S23*V23</f>
      </c>
      <c r="Z23" s="80" t="str">
        <f>IFERROR(INDEX('Cost_Components'!$T$2:$T$27,MATCH(E23,'Cost_Components'!$A$2:$A$27,0)),"")</f>
      </c>
      <c r="AA23" s="81" t="str">
        <f>IFERROR(INDEX('Cost_Components'!$U$2:$U$27,MATCH(E23,'Cost_Components'!$A$2:$A$27,0)),"")</f>
      </c>
      <c r="AB23" s="82" t="str">
        <f>IFERROR(INDEX('Cost_Components'!$V$2:$V$27,MATCH(E23,'Cost_Components'!$A$2:$A$27,0)),"")</f>
      </c>
      <c r="AC23" s="83" t="str">
        <f>IFERROR(INDEX('Cost_Components'!$M$2:$M$27,MATCH(E23,'Cost_Components'!$A$2:$A$27,0)),"")</f>
      </c>
      <c r="AD23" s="84" t="str">
        <f>IFERROR(INDEX('Cost_Components'!$N$2:$N$27,MATCH(E23,'Cost_Components'!$A$2:$A$27,0)),"")</f>
      </c>
      <c r="AE23" s="20" t="str">
        <f>IFERROR(INDEX('Cost_Components'!$O$2:$O$27,MATCH(E23,'Cost_Components'!$A$2:$A$27,0)),"")</f>
      </c>
      <c r="AF23" s="85" t="n">
        <v>390591176.424693</v>
      </c>
      <c r="AG23" s="86" t="n">
        <v>388881995.226141</v>
      </c>
      <c r="AH23" s="87" t="str">
        <f>IF(H23="shared-count-once",COUNTIFS($A$2:$A$1353,A23,$B$2:$B$1353,B23,$E$2:$E$1353,E23),1)</f>
      </c>
    </row>
    <row r="24">
      <c r="A24" t="s">
        <v>162</v>
      </c>
      <c r="B24" s="59" t="n">
        <v>2047</v>
      </c>
      <c r="C24" t="s">
        <v>162</v>
      </c>
      <c r="D24"/>
      <c r="E24" s="60" t="s">
        <v>260</v>
      </c>
      <c r="F24" s="61" t="s">
        <v>261</v>
      </c>
      <c r="G24" s="62" t="s">
        <v>171</v>
      </c>
      <c r="H24" s="63" t="s">
        <v>172</v>
      </c>
      <c r="I24" s="64" t="s">
        <v>75</v>
      </c>
      <c r="J24" s="65" t="str">
        <f>IFERROR(INDEX('Cost_Components'!$K$2:$K$27,MATCH(E24,'Cost_Components'!$A$2:$A$27,0)),"")</f>
      </c>
      <c r="K24" s="66" t="str">
        <f>IF(OR(L24="",Z24="",AA24="",AB24=""),"",IF(B24&lt;AA24,L24,IF(B24&gt;AB24,Z24,L24+(Z24-L24)*MIN(MAX((B24-AA24+1)/MAX(AB24-AA24+1,1),0),1))))</f>
      </c>
      <c r="L24" s="67" t="str">
        <f>IFERROR(INDEX('Cost_Components'!$S$2:$S$27,MATCH(E24,'Cost_Components'!$A$2:$A$27,0)),"")</f>
      </c>
      <c r="M24" s="68" t="str">
        <f>IFERROR(INDEX('Cost_Components'!$L$2:$L$27,MATCH(E24,'Cost_Components'!$A$2:$A$27,0)),"")</f>
      </c>
      <c r="N24" s="69" t="str">
        <f>IFERROR(INDEX('Cost_Components'!$P$2:$P$27,MATCH(E24,'Cost_Components'!$A$2:$A$27,0)),"")</f>
      </c>
      <c r="O24" s="70" t="str">
        <f>AF24*J24</f>
      </c>
      <c r="P24" s="71" t="str">
        <f>AG24*J24</f>
      </c>
      <c r="Q24" s="72" t="str">
        <f>P24*L24*M24*N24</f>
      </c>
      <c r="R24" s="73" t="str">
        <f>O24*K24*M24*N24</f>
      </c>
      <c r="S24" s="74" t="str">
        <f>R24-Q24</f>
      </c>
      <c r="T24" s="20" t="str">
        <f>IFERROR(INDEX('Cost_Components'!$R$2:$R$27,MATCH(E24,'Cost_Components'!$A$2:$A$27,0)),"")</f>
      </c>
      <c r="U24" s="75" t="str">
        <f>IFERROR(INDEX('Cost_Components'!$Q$2:$Q$27,MATCH(E24,'Cost_Components'!$A$2:$A$27,0)),"")</f>
      </c>
      <c r="V24" s="76" t="str">
        <f>1/(1+'Calculation_Assumptions'!$B$5)^(B24-'Calculation_Assumptions'!$B$2)</f>
      </c>
      <c r="W24" s="77" t="str">
        <f>Q24*V24</f>
      </c>
      <c r="X24" s="78" t="str">
        <f>R24*V24</f>
      </c>
      <c r="Y24" s="79" t="str">
        <f>S24*V24</f>
      </c>
      <c r="Z24" s="80" t="str">
        <f>IFERROR(INDEX('Cost_Components'!$T$2:$T$27,MATCH(E24,'Cost_Components'!$A$2:$A$27,0)),"")</f>
      </c>
      <c r="AA24" s="81" t="str">
        <f>IFERROR(INDEX('Cost_Components'!$U$2:$U$27,MATCH(E24,'Cost_Components'!$A$2:$A$27,0)),"")</f>
      </c>
      <c r="AB24" s="82" t="str">
        <f>IFERROR(INDEX('Cost_Components'!$V$2:$V$27,MATCH(E24,'Cost_Components'!$A$2:$A$27,0)),"")</f>
      </c>
      <c r="AC24" s="83" t="str">
        <f>IFERROR(INDEX('Cost_Components'!$M$2:$M$27,MATCH(E24,'Cost_Components'!$A$2:$A$27,0)),"")</f>
      </c>
      <c r="AD24" s="84" t="str">
        <f>IFERROR(INDEX('Cost_Components'!$N$2:$N$27,MATCH(E24,'Cost_Components'!$A$2:$A$27,0)),"")</f>
      </c>
      <c r="AE24" s="20" t="str">
        <f>IFERROR(INDEX('Cost_Components'!$O$2:$O$27,MATCH(E24,'Cost_Components'!$A$2:$A$27,0)),"")</f>
      </c>
      <c r="AF24" s="85" t="n">
        <v>393403263.865537</v>
      </c>
      <c r="AG24" s="86" t="n">
        <v>391500205.031394</v>
      </c>
      <c r="AH24" s="87" t="str">
        <f>IF(H24="shared-count-once",COUNTIFS($A$2:$A$1353,A24,$B$2:$B$1353,B24,$E$2:$E$1353,E24),1)</f>
      </c>
    </row>
    <row r="25">
      <c r="A25" t="s">
        <v>162</v>
      </c>
      <c r="B25" s="59" t="n">
        <v>2048</v>
      </c>
      <c r="C25" t="s">
        <v>162</v>
      </c>
      <c r="D25"/>
      <c r="E25" s="60" t="s">
        <v>260</v>
      </c>
      <c r="F25" s="61" t="s">
        <v>261</v>
      </c>
      <c r="G25" s="62" t="s">
        <v>171</v>
      </c>
      <c r="H25" s="63" t="s">
        <v>172</v>
      </c>
      <c r="I25" s="64" t="s">
        <v>75</v>
      </c>
      <c r="J25" s="65" t="str">
        <f>IFERROR(INDEX('Cost_Components'!$K$2:$K$27,MATCH(E25,'Cost_Components'!$A$2:$A$27,0)),"")</f>
      </c>
      <c r="K25" s="66" t="str">
        <f>IF(OR(L25="",Z25="",AA25="",AB25=""),"",IF(B25&lt;AA25,L25,IF(B25&gt;AB25,Z25,L25+(Z25-L25)*MIN(MAX((B25-AA25+1)/MAX(AB25-AA25+1,1),0),1))))</f>
      </c>
      <c r="L25" s="67" t="str">
        <f>IFERROR(INDEX('Cost_Components'!$S$2:$S$27,MATCH(E25,'Cost_Components'!$A$2:$A$27,0)),"")</f>
      </c>
      <c r="M25" s="68" t="str">
        <f>IFERROR(INDEX('Cost_Components'!$L$2:$L$27,MATCH(E25,'Cost_Components'!$A$2:$A$27,0)),"")</f>
      </c>
      <c r="N25" s="69" t="str">
        <f>IFERROR(INDEX('Cost_Components'!$P$2:$P$27,MATCH(E25,'Cost_Components'!$A$2:$A$27,0)),"")</f>
      </c>
      <c r="O25" s="70" t="str">
        <f>AF25*J25</f>
      </c>
      <c r="P25" s="71" t="str">
        <f>AG25*J25</f>
      </c>
      <c r="Q25" s="72" t="str">
        <f>P25*L25*M25*N25</f>
      </c>
      <c r="R25" s="73" t="str">
        <f>O25*K25*M25*N25</f>
      </c>
      <c r="S25" s="74" t="str">
        <f>R25-Q25</f>
      </c>
      <c r="T25" s="20" t="str">
        <f>IFERROR(INDEX('Cost_Components'!$R$2:$R$27,MATCH(E25,'Cost_Components'!$A$2:$A$27,0)),"")</f>
      </c>
      <c r="U25" s="75" t="str">
        <f>IFERROR(INDEX('Cost_Components'!$Q$2:$Q$27,MATCH(E25,'Cost_Components'!$A$2:$A$27,0)),"")</f>
      </c>
      <c r="V25" s="76" t="str">
        <f>1/(1+'Calculation_Assumptions'!$B$5)^(B25-'Calculation_Assumptions'!$B$2)</f>
      </c>
      <c r="W25" s="77" t="str">
        <f>Q25*V25</f>
      </c>
      <c r="X25" s="78" t="str">
        <f>R25*V25</f>
      </c>
      <c r="Y25" s="79" t="str">
        <f>S25*V25</f>
      </c>
      <c r="Z25" s="80" t="str">
        <f>IFERROR(INDEX('Cost_Components'!$T$2:$T$27,MATCH(E25,'Cost_Components'!$A$2:$A$27,0)),"")</f>
      </c>
      <c r="AA25" s="81" t="str">
        <f>IFERROR(INDEX('Cost_Components'!$U$2:$U$27,MATCH(E25,'Cost_Components'!$A$2:$A$27,0)),"")</f>
      </c>
      <c r="AB25" s="82" t="str">
        <f>IFERROR(INDEX('Cost_Components'!$V$2:$V$27,MATCH(E25,'Cost_Components'!$A$2:$A$27,0)),"")</f>
      </c>
      <c r="AC25" s="83" t="str">
        <f>IFERROR(INDEX('Cost_Components'!$M$2:$M$27,MATCH(E25,'Cost_Components'!$A$2:$A$27,0)),"")</f>
      </c>
      <c r="AD25" s="84" t="str">
        <f>IFERROR(INDEX('Cost_Components'!$N$2:$N$27,MATCH(E25,'Cost_Components'!$A$2:$A$27,0)),"")</f>
      </c>
      <c r="AE25" s="20" t="str">
        <f>IFERROR(INDEX('Cost_Components'!$O$2:$O$27,MATCH(E25,'Cost_Components'!$A$2:$A$27,0)),"")</f>
      </c>
      <c r="AF25" s="85" t="n">
        <v>395981847.098738</v>
      </c>
      <c r="AG25" s="86" t="n">
        <v>393875413.3351</v>
      </c>
      <c r="AH25" s="87" t="str">
        <f>IF(H25="shared-count-once",COUNTIFS($A$2:$A$1353,A25,$B$2:$B$1353,B25,$E$2:$E$1353,E25),1)</f>
      </c>
    </row>
    <row r="26">
      <c r="A26" t="s">
        <v>162</v>
      </c>
      <c r="B26" s="59" t="n">
        <v>2049</v>
      </c>
      <c r="C26" t="s">
        <v>162</v>
      </c>
      <c r="D26"/>
      <c r="E26" s="60" t="s">
        <v>260</v>
      </c>
      <c r="F26" s="61" t="s">
        <v>261</v>
      </c>
      <c r="G26" s="62" t="s">
        <v>171</v>
      </c>
      <c r="H26" s="63" t="s">
        <v>172</v>
      </c>
      <c r="I26" s="64" t="s">
        <v>75</v>
      </c>
      <c r="J26" s="65" t="str">
        <f>IFERROR(INDEX('Cost_Components'!$K$2:$K$27,MATCH(E26,'Cost_Components'!$A$2:$A$27,0)),"")</f>
      </c>
      <c r="K26" s="66" t="str">
        <f>IF(OR(L26="",Z26="",AA26="",AB26=""),"",IF(B26&lt;AA26,L26,IF(B26&gt;AB26,Z26,L26+(Z26-L26)*MIN(MAX((B26-AA26+1)/MAX(AB26-AA26+1,1),0),1))))</f>
      </c>
      <c r="L26" s="67" t="str">
        <f>IFERROR(INDEX('Cost_Components'!$S$2:$S$27,MATCH(E26,'Cost_Components'!$A$2:$A$27,0)),"")</f>
      </c>
      <c r="M26" s="68" t="str">
        <f>IFERROR(INDEX('Cost_Components'!$L$2:$L$27,MATCH(E26,'Cost_Components'!$A$2:$A$27,0)),"")</f>
      </c>
      <c r="N26" s="69" t="str">
        <f>IFERROR(INDEX('Cost_Components'!$P$2:$P$27,MATCH(E26,'Cost_Components'!$A$2:$A$27,0)),"")</f>
      </c>
      <c r="O26" s="70" t="str">
        <f>AF26*J26</f>
      </c>
      <c r="P26" s="71" t="str">
        <f>AG26*J26</f>
      </c>
      <c r="Q26" s="72" t="str">
        <f>P26*L26*M26*N26</f>
      </c>
      <c r="R26" s="73" t="str">
        <f>O26*K26*M26*N26</f>
      </c>
      <c r="S26" s="74" t="str">
        <f>R26-Q26</f>
      </c>
      <c r="T26" s="20" t="str">
        <f>IFERROR(INDEX('Cost_Components'!$R$2:$R$27,MATCH(E26,'Cost_Components'!$A$2:$A$27,0)),"")</f>
      </c>
      <c r="U26" s="75" t="str">
        <f>IFERROR(INDEX('Cost_Components'!$Q$2:$Q$27,MATCH(E26,'Cost_Components'!$A$2:$A$27,0)),"")</f>
      </c>
      <c r="V26" s="76" t="str">
        <f>1/(1+'Calculation_Assumptions'!$B$5)^(B26-'Calculation_Assumptions'!$B$2)</f>
      </c>
      <c r="W26" s="77" t="str">
        <f>Q26*V26</f>
      </c>
      <c r="X26" s="78" t="str">
        <f>R26*V26</f>
      </c>
      <c r="Y26" s="79" t="str">
        <f>S26*V26</f>
      </c>
      <c r="Z26" s="80" t="str">
        <f>IFERROR(INDEX('Cost_Components'!$T$2:$T$27,MATCH(E26,'Cost_Components'!$A$2:$A$27,0)),"")</f>
      </c>
      <c r="AA26" s="81" t="str">
        <f>IFERROR(INDEX('Cost_Components'!$U$2:$U$27,MATCH(E26,'Cost_Components'!$A$2:$A$27,0)),"")</f>
      </c>
      <c r="AB26" s="82" t="str">
        <f>IFERROR(INDEX('Cost_Components'!$V$2:$V$27,MATCH(E26,'Cost_Components'!$A$2:$A$27,0)),"")</f>
      </c>
      <c r="AC26" s="83" t="str">
        <f>IFERROR(INDEX('Cost_Components'!$M$2:$M$27,MATCH(E26,'Cost_Components'!$A$2:$A$27,0)),"")</f>
      </c>
      <c r="AD26" s="84" t="str">
        <f>IFERROR(INDEX('Cost_Components'!$N$2:$N$27,MATCH(E26,'Cost_Components'!$A$2:$A$27,0)),"")</f>
      </c>
      <c r="AE26" s="20" t="str">
        <f>IFERROR(INDEX('Cost_Components'!$O$2:$O$27,MATCH(E26,'Cost_Components'!$A$2:$A$27,0)),"")</f>
      </c>
      <c r="AF26" s="85" t="n">
        <v>398387322.219323</v>
      </c>
      <c r="AG26" s="86" t="n">
        <v>396033415.146226</v>
      </c>
      <c r="AH26" s="87" t="str">
        <f>IF(H26="shared-count-once",COUNTIFS($A$2:$A$1353,A26,$B$2:$B$1353,B26,$E$2:$E$1353,E26),1)</f>
      </c>
    </row>
    <row r="27">
      <c r="A27" t="s">
        <v>162</v>
      </c>
      <c r="B27" s="59" t="n">
        <v>2050</v>
      </c>
      <c r="C27" t="s">
        <v>162</v>
      </c>
      <c r="D27"/>
      <c r="E27" s="60" t="s">
        <v>260</v>
      </c>
      <c r="F27" s="61" t="s">
        <v>261</v>
      </c>
      <c r="G27" s="62" t="s">
        <v>171</v>
      </c>
      <c r="H27" s="63" t="s">
        <v>172</v>
      </c>
      <c r="I27" s="64" t="s">
        <v>75</v>
      </c>
      <c r="J27" s="65" t="str">
        <f>IFERROR(INDEX('Cost_Components'!$K$2:$K$27,MATCH(E27,'Cost_Components'!$A$2:$A$27,0)),"")</f>
      </c>
      <c r="K27" s="66" t="str">
        <f>IF(OR(L27="",Z27="",AA27="",AB27=""),"",IF(B27&lt;AA27,L27,IF(B27&gt;AB27,Z27,L27+(Z27-L27)*MIN(MAX((B27-AA27+1)/MAX(AB27-AA27+1,1),0),1))))</f>
      </c>
      <c r="L27" s="67" t="str">
        <f>IFERROR(INDEX('Cost_Components'!$S$2:$S$27,MATCH(E27,'Cost_Components'!$A$2:$A$27,0)),"")</f>
      </c>
      <c r="M27" s="68" t="str">
        <f>IFERROR(INDEX('Cost_Components'!$L$2:$L$27,MATCH(E27,'Cost_Components'!$A$2:$A$27,0)),"")</f>
      </c>
      <c r="N27" s="69" t="str">
        <f>IFERROR(INDEX('Cost_Components'!$P$2:$P$27,MATCH(E27,'Cost_Components'!$A$2:$A$27,0)),"")</f>
      </c>
      <c r="O27" s="70" t="str">
        <f>AF27*J27</f>
      </c>
      <c r="P27" s="71" t="str">
        <f>AG27*J27</f>
      </c>
      <c r="Q27" s="72" t="str">
        <f>P27*L27*M27*N27</f>
      </c>
      <c r="R27" s="73" t="str">
        <f>O27*K27*M27*N27</f>
      </c>
      <c r="S27" s="74" t="str">
        <f>R27-Q27</f>
      </c>
      <c r="T27" s="20" t="str">
        <f>IFERROR(INDEX('Cost_Components'!$R$2:$R$27,MATCH(E27,'Cost_Components'!$A$2:$A$27,0)),"")</f>
      </c>
      <c r="U27" s="75" t="str">
        <f>IFERROR(INDEX('Cost_Components'!$Q$2:$Q$27,MATCH(E27,'Cost_Components'!$A$2:$A$27,0)),"")</f>
      </c>
      <c r="V27" s="76" t="str">
        <f>1/(1+'Calculation_Assumptions'!$B$5)^(B27-'Calculation_Assumptions'!$B$2)</f>
      </c>
      <c r="W27" s="77" t="str">
        <f>Q27*V27</f>
      </c>
      <c r="X27" s="78" t="str">
        <f>R27*V27</f>
      </c>
      <c r="Y27" s="79" t="str">
        <f>S27*V27</f>
      </c>
      <c r="Z27" s="80" t="str">
        <f>IFERROR(INDEX('Cost_Components'!$T$2:$T$27,MATCH(E27,'Cost_Components'!$A$2:$A$27,0)),"")</f>
      </c>
      <c r="AA27" s="81" t="str">
        <f>IFERROR(INDEX('Cost_Components'!$U$2:$U$27,MATCH(E27,'Cost_Components'!$A$2:$A$27,0)),"")</f>
      </c>
      <c r="AB27" s="82" t="str">
        <f>IFERROR(INDEX('Cost_Components'!$V$2:$V$27,MATCH(E27,'Cost_Components'!$A$2:$A$27,0)),"")</f>
      </c>
      <c r="AC27" s="83" t="str">
        <f>IFERROR(INDEX('Cost_Components'!$M$2:$M$27,MATCH(E27,'Cost_Components'!$A$2:$A$27,0)),"")</f>
      </c>
      <c r="AD27" s="84" t="str">
        <f>IFERROR(INDEX('Cost_Components'!$N$2:$N$27,MATCH(E27,'Cost_Components'!$A$2:$A$27,0)),"")</f>
      </c>
      <c r="AE27" s="20" t="str">
        <f>IFERROR(INDEX('Cost_Components'!$O$2:$O$27,MATCH(E27,'Cost_Components'!$A$2:$A$27,0)),"")</f>
      </c>
      <c r="AF27" s="85" t="n">
        <v>400711087.453361</v>
      </c>
      <c r="AG27" s="86" t="n">
        <v>398132538.931365</v>
      </c>
      <c r="AH27" s="87" t="str">
        <f>IF(H27="shared-count-once",COUNTIFS($A$2:$A$1353,A27,$B$2:$B$1353,B27,$E$2:$E$1353,E27),1)</f>
      </c>
    </row>
    <row r="28">
      <c r="A28" t="s">
        <v>162</v>
      </c>
      <c r="B28" s="59" t="n">
        <v>2025</v>
      </c>
      <c r="C28" t="s">
        <v>162</v>
      </c>
      <c r="D28"/>
      <c r="E28" s="60" t="s">
        <v>254</v>
      </c>
      <c r="F28" s="61" t="s">
        <v>255</v>
      </c>
      <c r="G28" s="62" t="s">
        <v>171</v>
      </c>
      <c r="H28" s="63" t="s">
        <v>172</v>
      </c>
      <c r="I28" s="64" t="s">
        <v>75</v>
      </c>
      <c r="J28" s="65" t="str">
        <f>IFERROR(INDEX('Cost_Components'!$K$2:$K$27,MATCH(E28,'Cost_Components'!$A$2:$A$27,0)),"")</f>
      </c>
      <c r="K28" s="66" t="str">
        <f>IF(OR(L28="",Z28="",AA28="",AB28=""),"",IF(B28&lt;AA28,L28,IF(B28&gt;AB28,Z28,L28+(Z28-L28)*MIN(MAX((B28-AA28+1)/MAX(AB28-AA28+1,1),0),1))))</f>
      </c>
      <c r="L28" s="67" t="str">
        <f>IFERROR(INDEX('Cost_Components'!$S$2:$S$27,MATCH(E28,'Cost_Components'!$A$2:$A$27,0)),"")</f>
      </c>
      <c r="M28" s="68" t="str">
        <f>IFERROR(INDEX('Cost_Components'!$L$2:$L$27,MATCH(E28,'Cost_Components'!$A$2:$A$27,0)),"")</f>
      </c>
      <c r="N28" s="69" t="str">
        <f>IFERROR(INDEX('Cost_Components'!$P$2:$P$27,MATCH(E28,'Cost_Components'!$A$2:$A$27,0)),"")</f>
      </c>
      <c r="O28" s="70" t="str">
        <f>AF28*J28</f>
      </c>
      <c r="P28" s="71" t="str">
        <f>AG28*J28</f>
      </c>
      <c r="Q28" s="72" t="str">
        <f>P28*L28*M28*N28</f>
      </c>
      <c r="R28" s="73" t="str">
        <f>O28*K28*M28*N28</f>
      </c>
      <c r="S28" s="74" t="str">
        <f>R28-Q28</f>
      </c>
      <c r="T28" s="20" t="str">
        <f>IFERROR(INDEX('Cost_Components'!$R$2:$R$27,MATCH(E28,'Cost_Components'!$A$2:$A$27,0)),"")</f>
      </c>
      <c r="U28" s="75" t="str">
        <f>IFERROR(INDEX('Cost_Components'!$Q$2:$Q$27,MATCH(E28,'Cost_Components'!$A$2:$A$27,0)),"")</f>
      </c>
      <c r="V28" s="76" t="str">
        <f>1/(1+'Calculation_Assumptions'!$B$5)^(B28-'Calculation_Assumptions'!$B$2)</f>
      </c>
      <c r="W28" s="77" t="str">
        <f>Q28*V28</f>
      </c>
      <c r="X28" s="78" t="str">
        <f>R28*V28</f>
      </c>
      <c r="Y28" s="79" t="str">
        <f>S28*V28</f>
      </c>
      <c r="Z28" s="80" t="str">
        <f>IFERROR(INDEX('Cost_Components'!$T$2:$T$27,MATCH(E28,'Cost_Components'!$A$2:$A$27,0)),"")</f>
      </c>
      <c r="AA28" s="81" t="str">
        <f>IFERROR(INDEX('Cost_Components'!$U$2:$U$27,MATCH(E28,'Cost_Components'!$A$2:$A$27,0)),"")</f>
      </c>
      <c r="AB28" s="82" t="str">
        <f>IFERROR(INDEX('Cost_Components'!$V$2:$V$27,MATCH(E28,'Cost_Components'!$A$2:$A$27,0)),"")</f>
      </c>
      <c r="AC28" s="83" t="str">
        <f>IFERROR(INDEX('Cost_Components'!$M$2:$M$27,MATCH(E28,'Cost_Components'!$A$2:$A$27,0)),"")</f>
      </c>
      <c r="AD28" s="84" t="str">
        <f>IFERROR(INDEX('Cost_Components'!$N$2:$N$27,MATCH(E28,'Cost_Components'!$A$2:$A$27,0)),"")</f>
      </c>
      <c r="AE28" s="20" t="str">
        <f>IFERROR(INDEX('Cost_Components'!$O$2:$O$27,MATCH(E28,'Cost_Components'!$A$2:$A$27,0)),"")</f>
      </c>
      <c r="AF28" s="85" t="n">
        <v>303073002.512799</v>
      </c>
      <c r="AG28" s="86" t="n">
        <v>303073002.512799</v>
      </c>
      <c r="AH28" s="87" t="str">
        <f>IF(H28="shared-count-once",COUNTIFS($A$2:$A$1353,A28,$B$2:$B$1353,B28,$E$2:$E$1353,E28),1)</f>
      </c>
    </row>
    <row r="29">
      <c r="A29" t="s">
        <v>162</v>
      </c>
      <c r="B29" s="59" t="n">
        <v>2026</v>
      </c>
      <c r="C29" t="s">
        <v>162</v>
      </c>
      <c r="D29"/>
      <c r="E29" s="60" t="s">
        <v>254</v>
      </c>
      <c r="F29" s="61" t="s">
        <v>255</v>
      </c>
      <c r="G29" s="62" t="s">
        <v>171</v>
      </c>
      <c r="H29" s="63" t="s">
        <v>172</v>
      </c>
      <c r="I29" s="64" t="s">
        <v>75</v>
      </c>
      <c r="J29" s="65" t="str">
        <f>IFERROR(INDEX('Cost_Components'!$K$2:$K$27,MATCH(E29,'Cost_Components'!$A$2:$A$27,0)),"")</f>
      </c>
      <c r="K29" s="66" t="str">
        <f>IF(OR(L29="",Z29="",AA29="",AB29=""),"",IF(B29&lt;AA29,L29,IF(B29&gt;AB29,Z29,L29+(Z29-L29)*MIN(MAX((B29-AA29+1)/MAX(AB29-AA29+1,1),0),1))))</f>
      </c>
      <c r="L29" s="67" t="str">
        <f>IFERROR(INDEX('Cost_Components'!$S$2:$S$27,MATCH(E29,'Cost_Components'!$A$2:$A$27,0)),"")</f>
      </c>
      <c r="M29" s="68" t="str">
        <f>IFERROR(INDEX('Cost_Components'!$L$2:$L$27,MATCH(E29,'Cost_Components'!$A$2:$A$27,0)),"")</f>
      </c>
      <c r="N29" s="69" t="str">
        <f>IFERROR(INDEX('Cost_Components'!$P$2:$P$27,MATCH(E29,'Cost_Components'!$A$2:$A$27,0)),"")</f>
      </c>
      <c r="O29" s="70" t="str">
        <f>AF29*J29</f>
      </c>
      <c r="P29" s="71" t="str">
        <f>AG29*J29</f>
      </c>
      <c r="Q29" s="72" t="str">
        <f>P29*L29*M29*N29</f>
      </c>
      <c r="R29" s="73" t="str">
        <f>O29*K29*M29*N29</f>
      </c>
      <c r="S29" s="74" t="str">
        <f>R29-Q29</f>
      </c>
      <c r="T29" s="20" t="str">
        <f>IFERROR(INDEX('Cost_Components'!$R$2:$R$27,MATCH(E29,'Cost_Components'!$A$2:$A$27,0)),"")</f>
      </c>
      <c r="U29" s="75" t="str">
        <f>IFERROR(INDEX('Cost_Components'!$Q$2:$Q$27,MATCH(E29,'Cost_Components'!$A$2:$A$27,0)),"")</f>
      </c>
      <c r="V29" s="76" t="str">
        <f>1/(1+'Calculation_Assumptions'!$B$5)^(B29-'Calculation_Assumptions'!$B$2)</f>
      </c>
      <c r="W29" s="77" t="str">
        <f>Q29*V29</f>
      </c>
      <c r="X29" s="78" t="str">
        <f>R29*V29</f>
      </c>
      <c r="Y29" s="79" t="str">
        <f>S29*V29</f>
      </c>
      <c r="Z29" s="80" t="str">
        <f>IFERROR(INDEX('Cost_Components'!$T$2:$T$27,MATCH(E29,'Cost_Components'!$A$2:$A$27,0)),"")</f>
      </c>
      <c r="AA29" s="81" t="str">
        <f>IFERROR(INDEX('Cost_Components'!$U$2:$U$27,MATCH(E29,'Cost_Components'!$A$2:$A$27,0)),"")</f>
      </c>
      <c r="AB29" s="82" t="str">
        <f>IFERROR(INDEX('Cost_Components'!$V$2:$V$27,MATCH(E29,'Cost_Components'!$A$2:$A$27,0)),"")</f>
      </c>
      <c r="AC29" s="83" t="str">
        <f>IFERROR(INDEX('Cost_Components'!$M$2:$M$27,MATCH(E29,'Cost_Components'!$A$2:$A$27,0)),"")</f>
      </c>
      <c r="AD29" s="84" t="str">
        <f>IFERROR(INDEX('Cost_Components'!$N$2:$N$27,MATCH(E29,'Cost_Components'!$A$2:$A$27,0)),"")</f>
      </c>
      <c r="AE29" s="20" t="str">
        <f>IFERROR(INDEX('Cost_Components'!$O$2:$O$27,MATCH(E29,'Cost_Components'!$A$2:$A$27,0)),"")</f>
      </c>
      <c r="AF29" s="85" t="n">
        <v>307646672.342745</v>
      </c>
      <c r="AG29" s="86" t="n">
        <v>307646672.342745</v>
      </c>
      <c r="AH29" s="87" t="str">
        <f>IF(H29="shared-count-once",COUNTIFS($A$2:$A$1353,A29,$B$2:$B$1353,B29,$E$2:$E$1353,E29),1)</f>
      </c>
    </row>
    <row r="30">
      <c r="A30" t="s">
        <v>162</v>
      </c>
      <c r="B30" s="59" t="n">
        <v>2027</v>
      </c>
      <c r="C30" t="s">
        <v>162</v>
      </c>
      <c r="D30"/>
      <c r="E30" s="60" t="s">
        <v>254</v>
      </c>
      <c r="F30" s="61" t="s">
        <v>255</v>
      </c>
      <c r="G30" s="62" t="s">
        <v>171</v>
      </c>
      <c r="H30" s="63" t="s">
        <v>172</v>
      </c>
      <c r="I30" s="64" t="s">
        <v>75</v>
      </c>
      <c r="J30" s="65" t="str">
        <f>IFERROR(INDEX('Cost_Components'!$K$2:$K$27,MATCH(E30,'Cost_Components'!$A$2:$A$27,0)),"")</f>
      </c>
      <c r="K30" s="66" t="str">
        <f>IF(OR(L30="",Z30="",AA30="",AB30=""),"",IF(B30&lt;AA30,L30,IF(B30&gt;AB30,Z30,L30+(Z30-L30)*MIN(MAX((B30-AA30+1)/MAX(AB30-AA30+1,1),0),1))))</f>
      </c>
      <c r="L30" s="67" t="str">
        <f>IFERROR(INDEX('Cost_Components'!$S$2:$S$27,MATCH(E30,'Cost_Components'!$A$2:$A$27,0)),"")</f>
      </c>
      <c r="M30" s="68" t="str">
        <f>IFERROR(INDEX('Cost_Components'!$L$2:$L$27,MATCH(E30,'Cost_Components'!$A$2:$A$27,0)),"")</f>
      </c>
      <c r="N30" s="69" t="str">
        <f>IFERROR(INDEX('Cost_Components'!$P$2:$P$27,MATCH(E30,'Cost_Components'!$A$2:$A$27,0)),"")</f>
      </c>
      <c r="O30" s="70" t="str">
        <f>AF30*J30</f>
      </c>
      <c r="P30" s="71" t="str">
        <f>AG30*J30</f>
      </c>
      <c r="Q30" s="72" t="str">
        <f>P30*L30*M30*N30</f>
      </c>
      <c r="R30" s="73" t="str">
        <f>O30*K30*M30*N30</f>
      </c>
      <c r="S30" s="74" t="str">
        <f>R30-Q30</f>
      </c>
      <c r="T30" s="20" t="str">
        <f>IFERROR(INDEX('Cost_Components'!$R$2:$R$27,MATCH(E30,'Cost_Components'!$A$2:$A$27,0)),"")</f>
      </c>
      <c r="U30" s="75" t="str">
        <f>IFERROR(INDEX('Cost_Components'!$Q$2:$Q$27,MATCH(E30,'Cost_Components'!$A$2:$A$27,0)),"")</f>
      </c>
      <c r="V30" s="76" t="str">
        <f>1/(1+'Calculation_Assumptions'!$B$5)^(B30-'Calculation_Assumptions'!$B$2)</f>
      </c>
      <c r="W30" s="77" t="str">
        <f>Q30*V30</f>
      </c>
      <c r="X30" s="78" t="str">
        <f>R30*V30</f>
      </c>
      <c r="Y30" s="79" t="str">
        <f>S30*V30</f>
      </c>
      <c r="Z30" s="80" t="str">
        <f>IFERROR(INDEX('Cost_Components'!$T$2:$T$27,MATCH(E30,'Cost_Components'!$A$2:$A$27,0)),"")</f>
      </c>
      <c r="AA30" s="81" t="str">
        <f>IFERROR(INDEX('Cost_Components'!$U$2:$U$27,MATCH(E30,'Cost_Components'!$A$2:$A$27,0)),"")</f>
      </c>
      <c r="AB30" s="82" t="str">
        <f>IFERROR(INDEX('Cost_Components'!$V$2:$V$27,MATCH(E30,'Cost_Components'!$A$2:$A$27,0)),"")</f>
      </c>
      <c r="AC30" s="83" t="str">
        <f>IFERROR(INDEX('Cost_Components'!$M$2:$M$27,MATCH(E30,'Cost_Components'!$A$2:$A$27,0)),"")</f>
      </c>
      <c r="AD30" s="84" t="str">
        <f>IFERROR(INDEX('Cost_Components'!$N$2:$N$27,MATCH(E30,'Cost_Components'!$A$2:$A$27,0)),"")</f>
      </c>
      <c r="AE30" s="20" t="str">
        <f>IFERROR(INDEX('Cost_Components'!$O$2:$O$27,MATCH(E30,'Cost_Components'!$A$2:$A$27,0)),"")</f>
      </c>
      <c r="AF30" s="85" t="n">
        <v>312266970.773251</v>
      </c>
      <c r="AG30" s="86" t="n">
        <v>311975096.156765</v>
      </c>
      <c r="AH30" s="87" t="str">
        <f>IF(H30="shared-count-once",COUNTIFS($A$2:$A$1353,A30,$B$2:$B$1353,B30,$E$2:$E$1353,E30),1)</f>
      </c>
    </row>
    <row r="31">
      <c r="A31" t="s">
        <v>162</v>
      </c>
      <c r="B31" s="59" t="n">
        <v>2028</v>
      </c>
      <c r="C31" t="s">
        <v>162</v>
      </c>
      <c r="D31"/>
      <c r="E31" s="60" t="s">
        <v>254</v>
      </c>
      <c r="F31" s="61" t="s">
        <v>255</v>
      </c>
      <c r="G31" s="62" t="s">
        <v>171</v>
      </c>
      <c r="H31" s="63" t="s">
        <v>172</v>
      </c>
      <c r="I31" s="64" t="s">
        <v>75</v>
      </c>
      <c r="J31" s="65" t="str">
        <f>IFERROR(INDEX('Cost_Components'!$K$2:$K$27,MATCH(E31,'Cost_Components'!$A$2:$A$27,0)),"")</f>
      </c>
      <c r="K31" s="66" t="str">
        <f>IF(OR(L31="",Z31="",AA31="",AB31=""),"",IF(B31&lt;AA31,L31,IF(B31&gt;AB31,Z31,L31+(Z31-L31)*MIN(MAX((B31-AA31+1)/MAX(AB31-AA31+1,1),0),1))))</f>
      </c>
      <c r="L31" s="67" t="str">
        <f>IFERROR(INDEX('Cost_Components'!$S$2:$S$27,MATCH(E31,'Cost_Components'!$A$2:$A$27,0)),"")</f>
      </c>
      <c r="M31" s="68" t="str">
        <f>IFERROR(INDEX('Cost_Components'!$L$2:$L$27,MATCH(E31,'Cost_Components'!$A$2:$A$27,0)),"")</f>
      </c>
      <c r="N31" s="69" t="str">
        <f>IFERROR(INDEX('Cost_Components'!$P$2:$P$27,MATCH(E31,'Cost_Components'!$A$2:$A$27,0)),"")</f>
      </c>
      <c r="O31" s="70" t="str">
        <f>AF31*J31</f>
      </c>
      <c r="P31" s="71" t="str">
        <f>AG31*J31</f>
      </c>
      <c r="Q31" s="72" t="str">
        <f>P31*L31*M31*N31</f>
      </c>
      <c r="R31" s="73" t="str">
        <f>O31*K31*M31*N31</f>
      </c>
      <c r="S31" s="74" t="str">
        <f>R31-Q31</f>
      </c>
      <c r="T31" s="20" t="str">
        <f>IFERROR(INDEX('Cost_Components'!$R$2:$R$27,MATCH(E31,'Cost_Components'!$A$2:$A$27,0)),"")</f>
      </c>
      <c r="U31" s="75" t="str">
        <f>IFERROR(INDEX('Cost_Components'!$Q$2:$Q$27,MATCH(E31,'Cost_Components'!$A$2:$A$27,0)),"")</f>
      </c>
      <c r="V31" s="76" t="str">
        <f>1/(1+'Calculation_Assumptions'!$B$5)^(B31-'Calculation_Assumptions'!$B$2)</f>
      </c>
      <c r="W31" s="77" t="str">
        <f>Q31*V31</f>
      </c>
      <c r="X31" s="78" t="str">
        <f>R31*V31</f>
      </c>
      <c r="Y31" s="79" t="str">
        <f>S31*V31</f>
      </c>
      <c r="Z31" s="80" t="str">
        <f>IFERROR(INDEX('Cost_Components'!$T$2:$T$27,MATCH(E31,'Cost_Components'!$A$2:$A$27,0)),"")</f>
      </c>
      <c r="AA31" s="81" t="str">
        <f>IFERROR(INDEX('Cost_Components'!$U$2:$U$27,MATCH(E31,'Cost_Components'!$A$2:$A$27,0)),"")</f>
      </c>
      <c r="AB31" s="82" t="str">
        <f>IFERROR(INDEX('Cost_Components'!$V$2:$V$27,MATCH(E31,'Cost_Components'!$A$2:$A$27,0)),"")</f>
      </c>
      <c r="AC31" s="83" t="str">
        <f>IFERROR(INDEX('Cost_Components'!$M$2:$M$27,MATCH(E31,'Cost_Components'!$A$2:$A$27,0)),"")</f>
      </c>
      <c r="AD31" s="84" t="str">
        <f>IFERROR(INDEX('Cost_Components'!$N$2:$N$27,MATCH(E31,'Cost_Components'!$A$2:$A$27,0)),"")</f>
      </c>
      <c r="AE31" s="20" t="str">
        <f>IFERROR(INDEX('Cost_Components'!$O$2:$O$27,MATCH(E31,'Cost_Components'!$A$2:$A$27,0)),"")</f>
      </c>
      <c r="AF31" s="85" t="n">
        <v>316810295.9304</v>
      </c>
      <c r="AG31" s="86" t="n">
        <v>316531358.04392</v>
      </c>
      <c r="AH31" s="87" t="str">
        <f>IF(H31="shared-count-once",COUNTIFS($A$2:$A$1353,A31,$B$2:$B$1353,B31,$E$2:$E$1353,E31),1)</f>
      </c>
    </row>
    <row r="32">
      <c r="A32" t="s">
        <v>162</v>
      </c>
      <c r="B32" s="59" t="n">
        <v>2029</v>
      </c>
      <c r="C32" t="s">
        <v>162</v>
      </c>
      <c r="D32"/>
      <c r="E32" s="60" t="s">
        <v>254</v>
      </c>
      <c r="F32" s="61" t="s">
        <v>255</v>
      </c>
      <c r="G32" s="62" t="s">
        <v>171</v>
      </c>
      <c r="H32" s="63" t="s">
        <v>172</v>
      </c>
      <c r="I32" s="64" t="s">
        <v>75</v>
      </c>
      <c r="J32" s="65" t="str">
        <f>IFERROR(INDEX('Cost_Components'!$K$2:$K$27,MATCH(E32,'Cost_Components'!$A$2:$A$27,0)),"")</f>
      </c>
      <c r="K32" s="66" t="str">
        <f>IF(OR(L32="",Z32="",AA32="",AB32=""),"",IF(B32&lt;AA32,L32,IF(B32&gt;AB32,Z32,L32+(Z32-L32)*MIN(MAX((B32-AA32+1)/MAX(AB32-AA32+1,1),0),1))))</f>
      </c>
      <c r="L32" s="67" t="str">
        <f>IFERROR(INDEX('Cost_Components'!$S$2:$S$27,MATCH(E32,'Cost_Components'!$A$2:$A$27,0)),"")</f>
      </c>
      <c r="M32" s="68" t="str">
        <f>IFERROR(INDEX('Cost_Components'!$L$2:$L$27,MATCH(E32,'Cost_Components'!$A$2:$A$27,0)),"")</f>
      </c>
      <c r="N32" s="69" t="str">
        <f>IFERROR(INDEX('Cost_Components'!$P$2:$P$27,MATCH(E32,'Cost_Components'!$A$2:$A$27,0)),"")</f>
      </c>
      <c r="O32" s="70" t="str">
        <f>AF32*J32</f>
      </c>
      <c r="P32" s="71" t="str">
        <f>AG32*J32</f>
      </c>
      <c r="Q32" s="72" t="str">
        <f>P32*L32*M32*N32</f>
      </c>
      <c r="R32" s="73" t="str">
        <f>O32*K32*M32*N32</f>
      </c>
      <c r="S32" s="74" t="str">
        <f>R32-Q32</f>
      </c>
      <c r="T32" s="20" t="str">
        <f>IFERROR(INDEX('Cost_Components'!$R$2:$R$27,MATCH(E32,'Cost_Components'!$A$2:$A$27,0)),"")</f>
      </c>
      <c r="U32" s="75" t="str">
        <f>IFERROR(INDEX('Cost_Components'!$Q$2:$Q$27,MATCH(E32,'Cost_Components'!$A$2:$A$27,0)),"")</f>
      </c>
      <c r="V32" s="76" t="str">
        <f>1/(1+'Calculation_Assumptions'!$B$5)^(B32-'Calculation_Assumptions'!$B$2)</f>
      </c>
      <c r="W32" s="77" t="str">
        <f>Q32*V32</f>
      </c>
      <c r="X32" s="78" t="str">
        <f>R32*V32</f>
      </c>
      <c r="Y32" s="79" t="str">
        <f>S32*V32</f>
      </c>
      <c r="Z32" s="80" t="str">
        <f>IFERROR(INDEX('Cost_Components'!$T$2:$T$27,MATCH(E32,'Cost_Components'!$A$2:$A$27,0)),"")</f>
      </c>
      <c r="AA32" s="81" t="str">
        <f>IFERROR(INDEX('Cost_Components'!$U$2:$U$27,MATCH(E32,'Cost_Components'!$A$2:$A$27,0)),"")</f>
      </c>
      <c r="AB32" s="82" t="str">
        <f>IFERROR(INDEX('Cost_Components'!$V$2:$V$27,MATCH(E32,'Cost_Components'!$A$2:$A$27,0)),"")</f>
      </c>
      <c r="AC32" s="83" t="str">
        <f>IFERROR(INDEX('Cost_Components'!$M$2:$M$27,MATCH(E32,'Cost_Components'!$A$2:$A$27,0)),"")</f>
      </c>
      <c r="AD32" s="84" t="str">
        <f>IFERROR(INDEX('Cost_Components'!$N$2:$N$27,MATCH(E32,'Cost_Components'!$A$2:$A$27,0)),"")</f>
      </c>
      <c r="AE32" s="20" t="str">
        <f>IFERROR(INDEX('Cost_Components'!$O$2:$O$27,MATCH(E32,'Cost_Components'!$A$2:$A$27,0)),"")</f>
      </c>
      <c r="AF32" s="85" t="n">
        <v>321197551.833739</v>
      </c>
      <c r="AG32" s="86" t="n">
        <v>320925578.014746</v>
      </c>
      <c r="AH32" s="87" t="str">
        <f>IF(H32="shared-count-once",COUNTIFS($A$2:$A$1353,A32,$B$2:$B$1353,B32,$E$2:$E$1353,E32),1)</f>
      </c>
    </row>
    <row r="33">
      <c r="A33" t="s">
        <v>162</v>
      </c>
      <c r="B33" s="59" t="n">
        <v>2030</v>
      </c>
      <c r="C33" t="s">
        <v>162</v>
      </c>
      <c r="D33"/>
      <c r="E33" s="60" t="s">
        <v>254</v>
      </c>
      <c r="F33" s="61" t="s">
        <v>255</v>
      </c>
      <c r="G33" s="62" t="s">
        <v>171</v>
      </c>
      <c r="H33" s="63" t="s">
        <v>172</v>
      </c>
      <c r="I33" s="64" t="s">
        <v>75</v>
      </c>
      <c r="J33" s="65" t="str">
        <f>IFERROR(INDEX('Cost_Components'!$K$2:$K$27,MATCH(E33,'Cost_Components'!$A$2:$A$27,0)),"")</f>
      </c>
      <c r="K33" s="66" t="str">
        <f>IF(OR(L33="",Z33="",AA33="",AB33=""),"",IF(B33&lt;AA33,L33,IF(B33&gt;AB33,Z33,L33+(Z33-L33)*MIN(MAX((B33-AA33+1)/MAX(AB33-AA33+1,1),0),1))))</f>
      </c>
      <c r="L33" s="67" t="str">
        <f>IFERROR(INDEX('Cost_Components'!$S$2:$S$27,MATCH(E33,'Cost_Components'!$A$2:$A$27,0)),"")</f>
      </c>
      <c r="M33" s="68" t="str">
        <f>IFERROR(INDEX('Cost_Components'!$L$2:$L$27,MATCH(E33,'Cost_Components'!$A$2:$A$27,0)),"")</f>
      </c>
      <c r="N33" s="69" t="str">
        <f>IFERROR(INDEX('Cost_Components'!$P$2:$P$27,MATCH(E33,'Cost_Components'!$A$2:$A$27,0)),"")</f>
      </c>
      <c r="O33" s="70" t="str">
        <f>AF33*J33</f>
      </c>
      <c r="P33" s="71" t="str">
        <f>AG33*J33</f>
      </c>
      <c r="Q33" s="72" t="str">
        <f>P33*L33*M33*N33</f>
      </c>
      <c r="R33" s="73" t="str">
        <f>O33*K33*M33*N33</f>
      </c>
      <c r="S33" s="74" t="str">
        <f>R33-Q33</f>
      </c>
      <c r="T33" s="20" t="str">
        <f>IFERROR(INDEX('Cost_Components'!$R$2:$R$27,MATCH(E33,'Cost_Components'!$A$2:$A$27,0)),"")</f>
      </c>
      <c r="U33" s="75" t="str">
        <f>IFERROR(INDEX('Cost_Components'!$Q$2:$Q$27,MATCH(E33,'Cost_Components'!$A$2:$A$27,0)),"")</f>
      </c>
      <c r="V33" s="76" t="str">
        <f>1/(1+'Calculation_Assumptions'!$B$5)^(B33-'Calculation_Assumptions'!$B$2)</f>
      </c>
      <c r="W33" s="77" t="str">
        <f>Q33*V33</f>
      </c>
      <c r="X33" s="78" t="str">
        <f>R33*V33</f>
      </c>
      <c r="Y33" s="79" t="str">
        <f>S33*V33</f>
      </c>
      <c r="Z33" s="80" t="str">
        <f>IFERROR(INDEX('Cost_Components'!$T$2:$T$27,MATCH(E33,'Cost_Components'!$A$2:$A$27,0)),"")</f>
      </c>
      <c r="AA33" s="81" t="str">
        <f>IFERROR(INDEX('Cost_Components'!$U$2:$U$27,MATCH(E33,'Cost_Components'!$A$2:$A$27,0)),"")</f>
      </c>
      <c r="AB33" s="82" t="str">
        <f>IFERROR(INDEX('Cost_Components'!$V$2:$V$27,MATCH(E33,'Cost_Components'!$A$2:$A$27,0)),"")</f>
      </c>
      <c r="AC33" s="83" t="str">
        <f>IFERROR(INDEX('Cost_Components'!$M$2:$M$27,MATCH(E33,'Cost_Components'!$A$2:$A$27,0)),"")</f>
      </c>
      <c r="AD33" s="84" t="str">
        <f>IFERROR(INDEX('Cost_Components'!$N$2:$N$27,MATCH(E33,'Cost_Components'!$A$2:$A$27,0)),"")</f>
      </c>
      <c r="AE33" s="20" t="str">
        <f>IFERROR(INDEX('Cost_Components'!$O$2:$O$27,MATCH(E33,'Cost_Components'!$A$2:$A$27,0)),"")</f>
      </c>
      <c r="AF33" s="85" t="n">
        <v>325410012.984867</v>
      </c>
      <c r="AG33" s="86" t="n">
        <v>325136961.43476</v>
      </c>
      <c r="AH33" s="87" t="str">
        <f>IF(H33="shared-count-once",COUNTIFS($A$2:$A$1353,A33,$B$2:$B$1353,B33,$E$2:$E$1353,E33),1)</f>
      </c>
    </row>
    <row r="34">
      <c r="A34" t="s">
        <v>162</v>
      </c>
      <c r="B34" s="59" t="n">
        <v>2031</v>
      </c>
      <c r="C34" t="s">
        <v>162</v>
      </c>
      <c r="D34"/>
      <c r="E34" s="60" t="s">
        <v>254</v>
      </c>
      <c r="F34" s="61" t="s">
        <v>255</v>
      </c>
      <c r="G34" s="62" t="s">
        <v>171</v>
      </c>
      <c r="H34" s="63" t="s">
        <v>172</v>
      </c>
      <c r="I34" s="64" t="s">
        <v>75</v>
      </c>
      <c r="J34" s="65" t="str">
        <f>IFERROR(INDEX('Cost_Components'!$K$2:$K$27,MATCH(E34,'Cost_Components'!$A$2:$A$27,0)),"")</f>
      </c>
      <c r="K34" s="66" t="str">
        <f>IF(OR(L34="",Z34="",AA34="",AB34=""),"",IF(B34&lt;AA34,L34,IF(B34&gt;AB34,Z34,L34+(Z34-L34)*MIN(MAX((B34-AA34+1)/MAX(AB34-AA34+1,1),0),1))))</f>
      </c>
      <c r="L34" s="67" t="str">
        <f>IFERROR(INDEX('Cost_Components'!$S$2:$S$27,MATCH(E34,'Cost_Components'!$A$2:$A$27,0)),"")</f>
      </c>
      <c r="M34" s="68" t="str">
        <f>IFERROR(INDEX('Cost_Components'!$L$2:$L$27,MATCH(E34,'Cost_Components'!$A$2:$A$27,0)),"")</f>
      </c>
      <c r="N34" s="69" t="str">
        <f>IFERROR(INDEX('Cost_Components'!$P$2:$P$27,MATCH(E34,'Cost_Components'!$A$2:$A$27,0)),"")</f>
      </c>
      <c r="O34" s="70" t="str">
        <f>AF34*J34</f>
      </c>
      <c r="P34" s="71" t="str">
        <f>AG34*J34</f>
      </c>
      <c r="Q34" s="72" t="str">
        <f>P34*L34*M34*N34</f>
      </c>
      <c r="R34" s="73" t="str">
        <f>O34*K34*M34*N34</f>
      </c>
      <c r="S34" s="74" t="str">
        <f>R34-Q34</f>
      </c>
      <c r="T34" s="20" t="str">
        <f>IFERROR(INDEX('Cost_Components'!$R$2:$R$27,MATCH(E34,'Cost_Components'!$A$2:$A$27,0)),"")</f>
      </c>
      <c r="U34" s="75" t="str">
        <f>IFERROR(INDEX('Cost_Components'!$Q$2:$Q$27,MATCH(E34,'Cost_Components'!$A$2:$A$27,0)),"")</f>
      </c>
      <c r="V34" s="76" t="str">
        <f>1/(1+'Calculation_Assumptions'!$B$5)^(B34-'Calculation_Assumptions'!$B$2)</f>
      </c>
      <c r="W34" s="77" t="str">
        <f>Q34*V34</f>
      </c>
      <c r="X34" s="78" t="str">
        <f>R34*V34</f>
      </c>
      <c r="Y34" s="79" t="str">
        <f>S34*V34</f>
      </c>
      <c r="Z34" s="80" t="str">
        <f>IFERROR(INDEX('Cost_Components'!$T$2:$T$27,MATCH(E34,'Cost_Components'!$A$2:$A$27,0)),"")</f>
      </c>
      <c r="AA34" s="81" t="str">
        <f>IFERROR(INDEX('Cost_Components'!$U$2:$U$27,MATCH(E34,'Cost_Components'!$A$2:$A$27,0)),"")</f>
      </c>
      <c r="AB34" s="82" t="str">
        <f>IFERROR(INDEX('Cost_Components'!$V$2:$V$27,MATCH(E34,'Cost_Components'!$A$2:$A$27,0)),"")</f>
      </c>
      <c r="AC34" s="83" t="str">
        <f>IFERROR(INDEX('Cost_Components'!$M$2:$M$27,MATCH(E34,'Cost_Components'!$A$2:$A$27,0)),"")</f>
      </c>
      <c r="AD34" s="84" t="str">
        <f>IFERROR(INDEX('Cost_Components'!$N$2:$N$27,MATCH(E34,'Cost_Components'!$A$2:$A$27,0)),"")</f>
      </c>
      <c r="AE34" s="20" t="str">
        <f>IFERROR(INDEX('Cost_Components'!$O$2:$O$27,MATCH(E34,'Cost_Components'!$A$2:$A$27,0)),"")</f>
      </c>
      <c r="AF34" s="85" t="n">
        <v>329371276.606696</v>
      </c>
      <c r="AG34" s="86" t="n">
        <v>329259809.173501</v>
      </c>
      <c r="AH34" s="87" t="str">
        <f>IF(H34="shared-count-once",COUNTIFS($A$2:$A$1353,A34,$B$2:$B$1353,B34,$E$2:$E$1353,E34),1)</f>
      </c>
    </row>
    <row r="35">
      <c r="A35" t="s">
        <v>162</v>
      </c>
      <c r="B35" s="59" t="n">
        <v>2032</v>
      </c>
      <c r="C35" t="s">
        <v>162</v>
      </c>
      <c r="D35"/>
      <c r="E35" s="60" t="s">
        <v>254</v>
      </c>
      <c r="F35" s="61" t="s">
        <v>255</v>
      </c>
      <c r="G35" s="62" t="s">
        <v>171</v>
      </c>
      <c r="H35" s="63" t="s">
        <v>172</v>
      </c>
      <c r="I35" s="64" t="s">
        <v>75</v>
      </c>
      <c r="J35" s="65" t="str">
        <f>IFERROR(INDEX('Cost_Components'!$K$2:$K$27,MATCH(E35,'Cost_Components'!$A$2:$A$27,0)),"")</f>
      </c>
      <c r="K35" s="66" t="str">
        <f>IF(OR(L35="",Z35="",AA35="",AB35=""),"",IF(B35&lt;AA35,L35,IF(B35&gt;AB35,Z35,L35+(Z35-L35)*MIN(MAX((B35-AA35+1)/MAX(AB35-AA35+1,1),0),1))))</f>
      </c>
      <c r="L35" s="67" t="str">
        <f>IFERROR(INDEX('Cost_Components'!$S$2:$S$27,MATCH(E35,'Cost_Components'!$A$2:$A$27,0)),"")</f>
      </c>
      <c r="M35" s="68" t="str">
        <f>IFERROR(INDEX('Cost_Components'!$L$2:$L$27,MATCH(E35,'Cost_Components'!$A$2:$A$27,0)),"")</f>
      </c>
      <c r="N35" s="69" t="str">
        <f>IFERROR(INDEX('Cost_Components'!$P$2:$P$27,MATCH(E35,'Cost_Components'!$A$2:$A$27,0)),"")</f>
      </c>
      <c r="O35" s="70" t="str">
        <f>AF35*J35</f>
      </c>
      <c r="P35" s="71" t="str">
        <f>AG35*J35</f>
      </c>
      <c r="Q35" s="72" t="str">
        <f>P35*L35*M35*N35</f>
      </c>
      <c r="R35" s="73" t="str">
        <f>O35*K35*M35*N35</f>
      </c>
      <c r="S35" s="74" t="str">
        <f>R35-Q35</f>
      </c>
      <c r="T35" s="20" t="str">
        <f>IFERROR(INDEX('Cost_Components'!$R$2:$R$27,MATCH(E35,'Cost_Components'!$A$2:$A$27,0)),"")</f>
      </c>
      <c r="U35" s="75" t="str">
        <f>IFERROR(INDEX('Cost_Components'!$Q$2:$Q$27,MATCH(E35,'Cost_Components'!$A$2:$A$27,0)),"")</f>
      </c>
      <c r="V35" s="76" t="str">
        <f>1/(1+'Calculation_Assumptions'!$B$5)^(B35-'Calculation_Assumptions'!$B$2)</f>
      </c>
      <c r="W35" s="77" t="str">
        <f>Q35*V35</f>
      </c>
      <c r="X35" s="78" t="str">
        <f>R35*V35</f>
      </c>
      <c r="Y35" s="79" t="str">
        <f>S35*V35</f>
      </c>
      <c r="Z35" s="80" t="str">
        <f>IFERROR(INDEX('Cost_Components'!$T$2:$T$27,MATCH(E35,'Cost_Components'!$A$2:$A$27,0)),"")</f>
      </c>
      <c r="AA35" s="81" t="str">
        <f>IFERROR(INDEX('Cost_Components'!$U$2:$U$27,MATCH(E35,'Cost_Components'!$A$2:$A$27,0)),"")</f>
      </c>
      <c r="AB35" s="82" t="str">
        <f>IFERROR(INDEX('Cost_Components'!$V$2:$V$27,MATCH(E35,'Cost_Components'!$A$2:$A$27,0)),"")</f>
      </c>
      <c r="AC35" s="83" t="str">
        <f>IFERROR(INDEX('Cost_Components'!$M$2:$M$27,MATCH(E35,'Cost_Components'!$A$2:$A$27,0)),"")</f>
      </c>
      <c r="AD35" s="84" t="str">
        <f>IFERROR(INDEX('Cost_Components'!$N$2:$N$27,MATCH(E35,'Cost_Components'!$A$2:$A$27,0)),"")</f>
      </c>
      <c r="AE35" s="20" t="str">
        <f>IFERROR(INDEX('Cost_Components'!$O$2:$O$27,MATCH(E35,'Cost_Components'!$A$2:$A$27,0)),"")</f>
      </c>
      <c r="AF35" s="85" t="n">
        <v>333483930.715178</v>
      </c>
      <c r="AG35" s="86" t="n">
        <v>333331540.946644</v>
      </c>
      <c r="AH35" s="87" t="str">
        <f>IF(H35="shared-count-once",COUNTIFS($A$2:$A$1353,A35,$B$2:$B$1353,B35,$E$2:$E$1353,E35),1)</f>
      </c>
    </row>
    <row r="36">
      <c r="A36" t="s">
        <v>162</v>
      </c>
      <c r="B36" s="59" t="n">
        <v>2033</v>
      </c>
      <c r="C36" t="s">
        <v>162</v>
      </c>
      <c r="D36"/>
      <c r="E36" s="60" t="s">
        <v>254</v>
      </c>
      <c r="F36" s="61" t="s">
        <v>255</v>
      </c>
      <c r="G36" s="62" t="s">
        <v>171</v>
      </c>
      <c r="H36" s="63" t="s">
        <v>172</v>
      </c>
      <c r="I36" s="64" t="s">
        <v>75</v>
      </c>
      <c r="J36" s="65" t="str">
        <f>IFERROR(INDEX('Cost_Components'!$K$2:$K$27,MATCH(E36,'Cost_Components'!$A$2:$A$27,0)),"")</f>
      </c>
      <c r="K36" s="66" t="str">
        <f>IF(OR(L36="",Z36="",AA36="",AB36=""),"",IF(B36&lt;AA36,L36,IF(B36&gt;AB36,Z36,L36+(Z36-L36)*MIN(MAX((B36-AA36+1)/MAX(AB36-AA36+1,1),0),1))))</f>
      </c>
      <c r="L36" s="67" t="str">
        <f>IFERROR(INDEX('Cost_Components'!$S$2:$S$27,MATCH(E36,'Cost_Components'!$A$2:$A$27,0)),"")</f>
      </c>
      <c r="M36" s="68" t="str">
        <f>IFERROR(INDEX('Cost_Components'!$L$2:$L$27,MATCH(E36,'Cost_Components'!$A$2:$A$27,0)),"")</f>
      </c>
      <c r="N36" s="69" t="str">
        <f>IFERROR(INDEX('Cost_Components'!$P$2:$P$27,MATCH(E36,'Cost_Components'!$A$2:$A$27,0)),"")</f>
      </c>
      <c r="O36" s="70" t="str">
        <f>AF36*J36</f>
      </c>
      <c r="P36" s="71" t="str">
        <f>AG36*J36</f>
      </c>
      <c r="Q36" s="72" t="str">
        <f>P36*L36*M36*N36</f>
      </c>
      <c r="R36" s="73" t="str">
        <f>O36*K36*M36*N36</f>
      </c>
      <c r="S36" s="74" t="str">
        <f>R36-Q36</f>
      </c>
      <c r="T36" s="20" t="str">
        <f>IFERROR(INDEX('Cost_Components'!$R$2:$R$27,MATCH(E36,'Cost_Components'!$A$2:$A$27,0)),"")</f>
      </c>
      <c r="U36" s="75" t="str">
        <f>IFERROR(INDEX('Cost_Components'!$Q$2:$Q$27,MATCH(E36,'Cost_Components'!$A$2:$A$27,0)),"")</f>
      </c>
      <c r="V36" s="76" t="str">
        <f>1/(1+'Calculation_Assumptions'!$B$5)^(B36-'Calculation_Assumptions'!$B$2)</f>
      </c>
      <c r="W36" s="77" t="str">
        <f>Q36*V36</f>
      </c>
      <c r="X36" s="78" t="str">
        <f>R36*V36</f>
      </c>
      <c r="Y36" s="79" t="str">
        <f>S36*V36</f>
      </c>
      <c r="Z36" s="80" t="str">
        <f>IFERROR(INDEX('Cost_Components'!$T$2:$T$27,MATCH(E36,'Cost_Components'!$A$2:$A$27,0)),"")</f>
      </c>
      <c r="AA36" s="81" t="str">
        <f>IFERROR(INDEX('Cost_Components'!$U$2:$U$27,MATCH(E36,'Cost_Components'!$A$2:$A$27,0)),"")</f>
      </c>
      <c r="AB36" s="82" t="str">
        <f>IFERROR(INDEX('Cost_Components'!$V$2:$V$27,MATCH(E36,'Cost_Components'!$A$2:$A$27,0)),"")</f>
      </c>
      <c r="AC36" s="83" t="str">
        <f>IFERROR(INDEX('Cost_Components'!$M$2:$M$27,MATCH(E36,'Cost_Components'!$A$2:$A$27,0)),"")</f>
      </c>
      <c r="AD36" s="84" t="str">
        <f>IFERROR(INDEX('Cost_Components'!$N$2:$N$27,MATCH(E36,'Cost_Components'!$A$2:$A$27,0)),"")</f>
      </c>
      <c r="AE36" s="20" t="str">
        <f>IFERROR(INDEX('Cost_Components'!$O$2:$O$27,MATCH(E36,'Cost_Components'!$A$2:$A$27,0)),"")</f>
      </c>
      <c r="AF36" s="85" t="n">
        <v>337551552.118401</v>
      </c>
      <c r="AG36" s="86" t="n">
        <v>337349600.363372</v>
      </c>
      <c r="AH36" s="87" t="str">
        <f>IF(H36="shared-count-once",COUNTIFS($A$2:$A$1353,A36,$B$2:$B$1353,B36,$E$2:$E$1353,E36),1)</f>
      </c>
    </row>
    <row r="37">
      <c r="A37" t="s">
        <v>162</v>
      </c>
      <c r="B37" s="59" t="n">
        <v>2034</v>
      </c>
      <c r="C37" t="s">
        <v>162</v>
      </c>
      <c r="D37"/>
      <c r="E37" s="60" t="s">
        <v>254</v>
      </c>
      <c r="F37" s="61" t="s">
        <v>255</v>
      </c>
      <c r="G37" s="62" t="s">
        <v>171</v>
      </c>
      <c r="H37" s="63" t="s">
        <v>172</v>
      </c>
      <c r="I37" s="64" t="s">
        <v>75</v>
      </c>
      <c r="J37" s="65" t="str">
        <f>IFERROR(INDEX('Cost_Components'!$K$2:$K$27,MATCH(E37,'Cost_Components'!$A$2:$A$27,0)),"")</f>
      </c>
      <c r="K37" s="66" t="str">
        <f>IF(OR(L37="",Z37="",AA37="",AB37=""),"",IF(B37&lt;AA37,L37,IF(B37&gt;AB37,Z37,L37+(Z37-L37)*MIN(MAX((B37-AA37+1)/MAX(AB37-AA37+1,1),0),1))))</f>
      </c>
      <c r="L37" s="67" t="str">
        <f>IFERROR(INDEX('Cost_Components'!$S$2:$S$27,MATCH(E37,'Cost_Components'!$A$2:$A$27,0)),"")</f>
      </c>
      <c r="M37" s="68" t="str">
        <f>IFERROR(INDEX('Cost_Components'!$L$2:$L$27,MATCH(E37,'Cost_Components'!$A$2:$A$27,0)),"")</f>
      </c>
      <c r="N37" s="69" t="str">
        <f>IFERROR(INDEX('Cost_Components'!$P$2:$P$27,MATCH(E37,'Cost_Components'!$A$2:$A$27,0)),"")</f>
      </c>
      <c r="O37" s="70" t="str">
        <f>AF37*J37</f>
      </c>
      <c r="P37" s="71" t="str">
        <f>AG37*J37</f>
      </c>
      <c r="Q37" s="72" t="str">
        <f>P37*L37*M37*N37</f>
      </c>
      <c r="R37" s="73" t="str">
        <f>O37*K37*M37*N37</f>
      </c>
      <c r="S37" s="74" t="str">
        <f>R37-Q37</f>
      </c>
      <c r="T37" s="20" t="str">
        <f>IFERROR(INDEX('Cost_Components'!$R$2:$R$27,MATCH(E37,'Cost_Components'!$A$2:$A$27,0)),"")</f>
      </c>
      <c r="U37" s="75" t="str">
        <f>IFERROR(INDEX('Cost_Components'!$Q$2:$Q$27,MATCH(E37,'Cost_Components'!$A$2:$A$27,0)),"")</f>
      </c>
      <c r="V37" s="76" t="str">
        <f>1/(1+'Calculation_Assumptions'!$B$5)^(B37-'Calculation_Assumptions'!$B$2)</f>
      </c>
      <c r="W37" s="77" t="str">
        <f>Q37*V37</f>
      </c>
      <c r="X37" s="78" t="str">
        <f>R37*V37</f>
      </c>
      <c r="Y37" s="79" t="str">
        <f>S37*V37</f>
      </c>
      <c r="Z37" s="80" t="str">
        <f>IFERROR(INDEX('Cost_Components'!$T$2:$T$27,MATCH(E37,'Cost_Components'!$A$2:$A$27,0)),"")</f>
      </c>
      <c r="AA37" s="81" t="str">
        <f>IFERROR(INDEX('Cost_Components'!$U$2:$U$27,MATCH(E37,'Cost_Components'!$A$2:$A$27,0)),"")</f>
      </c>
      <c r="AB37" s="82" t="str">
        <f>IFERROR(INDEX('Cost_Components'!$V$2:$V$27,MATCH(E37,'Cost_Components'!$A$2:$A$27,0)),"")</f>
      </c>
      <c r="AC37" s="83" t="str">
        <f>IFERROR(INDEX('Cost_Components'!$M$2:$M$27,MATCH(E37,'Cost_Components'!$A$2:$A$27,0)),"")</f>
      </c>
      <c r="AD37" s="84" t="str">
        <f>IFERROR(INDEX('Cost_Components'!$N$2:$N$27,MATCH(E37,'Cost_Components'!$A$2:$A$27,0)),"")</f>
      </c>
      <c r="AE37" s="20" t="str">
        <f>IFERROR(INDEX('Cost_Components'!$O$2:$O$27,MATCH(E37,'Cost_Components'!$A$2:$A$27,0)),"")</f>
      </c>
      <c r="AF37" s="85" t="n">
        <v>341613452.579308</v>
      </c>
      <c r="AG37" s="86" t="n">
        <v>341352820.609966</v>
      </c>
      <c r="AH37" s="87" t="str">
        <f>IF(H37="shared-count-once",COUNTIFS($A$2:$A$1353,A37,$B$2:$B$1353,B37,$E$2:$E$1353,E37),1)</f>
      </c>
    </row>
    <row r="38">
      <c r="A38" t="s">
        <v>162</v>
      </c>
      <c r="B38" s="59" t="n">
        <v>2035</v>
      </c>
      <c r="C38" t="s">
        <v>162</v>
      </c>
      <c r="D38"/>
      <c r="E38" s="60" t="s">
        <v>254</v>
      </c>
      <c r="F38" s="61" t="s">
        <v>255</v>
      </c>
      <c r="G38" s="62" t="s">
        <v>171</v>
      </c>
      <c r="H38" s="63" t="s">
        <v>172</v>
      </c>
      <c r="I38" s="64" t="s">
        <v>75</v>
      </c>
      <c r="J38" s="65" t="str">
        <f>IFERROR(INDEX('Cost_Components'!$K$2:$K$27,MATCH(E38,'Cost_Components'!$A$2:$A$27,0)),"")</f>
      </c>
      <c r="K38" s="66" t="str">
        <f>IF(OR(L38="",Z38="",AA38="",AB38=""),"",IF(B38&lt;AA38,L38,IF(B38&gt;AB38,Z38,L38+(Z38-L38)*MIN(MAX((B38-AA38+1)/MAX(AB38-AA38+1,1),0),1))))</f>
      </c>
      <c r="L38" s="67" t="str">
        <f>IFERROR(INDEX('Cost_Components'!$S$2:$S$27,MATCH(E38,'Cost_Components'!$A$2:$A$27,0)),"")</f>
      </c>
      <c r="M38" s="68" t="str">
        <f>IFERROR(INDEX('Cost_Components'!$L$2:$L$27,MATCH(E38,'Cost_Components'!$A$2:$A$27,0)),"")</f>
      </c>
      <c r="N38" s="69" t="str">
        <f>IFERROR(INDEX('Cost_Components'!$P$2:$P$27,MATCH(E38,'Cost_Components'!$A$2:$A$27,0)),"")</f>
      </c>
      <c r="O38" s="70" t="str">
        <f>AF38*J38</f>
      </c>
      <c r="P38" s="71" t="str">
        <f>AG38*J38</f>
      </c>
      <c r="Q38" s="72" t="str">
        <f>P38*L38*M38*N38</f>
      </c>
      <c r="R38" s="73" t="str">
        <f>O38*K38*M38*N38</f>
      </c>
      <c r="S38" s="74" t="str">
        <f>R38-Q38</f>
      </c>
      <c r="T38" s="20" t="str">
        <f>IFERROR(INDEX('Cost_Components'!$R$2:$R$27,MATCH(E38,'Cost_Components'!$A$2:$A$27,0)),"")</f>
      </c>
      <c r="U38" s="75" t="str">
        <f>IFERROR(INDEX('Cost_Components'!$Q$2:$Q$27,MATCH(E38,'Cost_Components'!$A$2:$A$27,0)),"")</f>
      </c>
      <c r="V38" s="76" t="str">
        <f>1/(1+'Calculation_Assumptions'!$B$5)^(B38-'Calculation_Assumptions'!$B$2)</f>
      </c>
      <c r="W38" s="77" t="str">
        <f>Q38*V38</f>
      </c>
      <c r="X38" s="78" t="str">
        <f>R38*V38</f>
      </c>
      <c r="Y38" s="79" t="str">
        <f>S38*V38</f>
      </c>
      <c r="Z38" s="80" t="str">
        <f>IFERROR(INDEX('Cost_Components'!$T$2:$T$27,MATCH(E38,'Cost_Components'!$A$2:$A$27,0)),"")</f>
      </c>
      <c r="AA38" s="81" t="str">
        <f>IFERROR(INDEX('Cost_Components'!$U$2:$U$27,MATCH(E38,'Cost_Components'!$A$2:$A$27,0)),"")</f>
      </c>
      <c r="AB38" s="82" t="str">
        <f>IFERROR(INDEX('Cost_Components'!$V$2:$V$27,MATCH(E38,'Cost_Components'!$A$2:$A$27,0)),"")</f>
      </c>
      <c r="AC38" s="83" t="str">
        <f>IFERROR(INDEX('Cost_Components'!$M$2:$M$27,MATCH(E38,'Cost_Components'!$A$2:$A$27,0)),"")</f>
      </c>
      <c r="AD38" s="84" t="str">
        <f>IFERROR(INDEX('Cost_Components'!$N$2:$N$27,MATCH(E38,'Cost_Components'!$A$2:$A$27,0)),"")</f>
      </c>
      <c r="AE38" s="20" t="str">
        <f>IFERROR(INDEX('Cost_Components'!$O$2:$O$27,MATCH(E38,'Cost_Components'!$A$2:$A$27,0)),"")</f>
      </c>
      <c r="AF38" s="85" t="n">
        <v>345758462.272304</v>
      </c>
      <c r="AG38" s="86" t="n">
        <v>345429256.615921</v>
      </c>
      <c r="AH38" s="87" t="str">
        <f>IF(H38="shared-count-once",COUNTIFS($A$2:$A$1353,A38,$B$2:$B$1353,B38,$E$2:$E$1353,E38),1)</f>
      </c>
    </row>
    <row r="39">
      <c r="A39" t="s">
        <v>162</v>
      </c>
      <c r="B39" s="59" t="n">
        <v>2036</v>
      </c>
      <c r="C39" t="s">
        <v>162</v>
      </c>
      <c r="D39"/>
      <c r="E39" s="60" t="s">
        <v>254</v>
      </c>
      <c r="F39" s="61" t="s">
        <v>255</v>
      </c>
      <c r="G39" s="62" t="s">
        <v>171</v>
      </c>
      <c r="H39" s="63" t="s">
        <v>172</v>
      </c>
      <c r="I39" s="64" t="s">
        <v>75</v>
      </c>
      <c r="J39" s="65" t="str">
        <f>IFERROR(INDEX('Cost_Components'!$K$2:$K$27,MATCH(E39,'Cost_Components'!$A$2:$A$27,0)),"")</f>
      </c>
      <c r="K39" s="66" t="str">
        <f>IF(OR(L39="",Z39="",AA39="",AB39=""),"",IF(B39&lt;AA39,L39,IF(B39&gt;AB39,Z39,L39+(Z39-L39)*MIN(MAX((B39-AA39+1)/MAX(AB39-AA39+1,1),0),1))))</f>
      </c>
      <c r="L39" s="67" t="str">
        <f>IFERROR(INDEX('Cost_Components'!$S$2:$S$27,MATCH(E39,'Cost_Components'!$A$2:$A$27,0)),"")</f>
      </c>
      <c r="M39" s="68" t="str">
        <f>IFERROR(INDEX('Cost_Components'!$L$2:$L$27,MATCH(E39,'Cost_Components'!$A$2:$A$27,0)),"")</f>
      </c>
      <c r="N39" s="69" t="str">
        <f>IFERROR(INDEX('Cost_Components'!$P$2:$P$27,MATCH(E39,'Cost_Components'!$A$2:$A$27,0)),"")</f>
      </c>
      <c r="O39" s="70" t="str">
        <f>AF39*J39</f>
      </c>
      <c r="P39" s="71" t="str">
        <f>AG39*J39</f>
      </c>
      <c r="Q39" s="72" t="str">
        <f>P39*L39*M39*N39</f>
      </c>
      <c r="R39" s="73" t="str">
        <f>O39*K39*M39*N39</f>
      </c>
      <c r="S39" s="74" t="str">
        <f>R39-Q39</f>
      </c>
      <c r="T39" s="20" t="str">
        <f>IFERROR(INDEX('Cost_Components'!$R$2:$R$27,MATCH(E39,'Cost_Components'!$A$2:$A$27,0)),"")</f>
      </c>
      <c r="U39" s="75" t="str">
        <f>IFERROR(INDEX('Cost_Components'!$Q$2:$Q$27,MATCH(E39,'Cost_Components'!$A$2:$A$27,0)),"")</f>
      </c>
      <c r="V39" s="76" t="str">
        <f>1/(1+'Calculation_Assumptions'!$B$5)^(B39-'Calculation_Assumptions'!$B$2)</f>
      </c>
      <c r="W39" s="77" t="str">
        <f>Q39*V39</f>
      </c>
      <c r="X39" s="78" t="str">
        <f>R39*V39</f>
      </c>
      <c r="Y39" s="79" t="str">
        <f>S39*V39</f>
      </c>
      <c r="Z39" s="80" t="str">
        <f>IFERROR(INDEX('Cost_Components'!$T$2:$T$27,MATCH(E39,'Cost_Components'!$A$2:$A$27,0)),"")</f>
      </c>
      <c r="AA39" s="81" t="str">
        <f>IFERROR(INDEX('Cost_Components'!$U$2:$U$27,MATCH(E39,'Cost_Components'!$A$2:$A$27,0)),"")</f>
      </c>
      <c r="AB39" s="82" t="str">
        <f>IFERROR(INDEX('Cost_Components'!$V$2:$V$27,MATCH(E39,'Cost_Components'!$A$2:$A$27,0)),"")</f>
      </c>
      <c r="AC39" s="83" t="str">
        <f>IFERROR(INDEX('Cost_Components'!$M$2:$M$27,MATCH(E39,'Cost_Components'!$A$2:$A$27,0)),"")</f>
      </c>
      <c r="AD39" s="84" t="str">
        <f>IFERROR(INDEX('Cost_Components'!$N$2:$N$27,MATCH(E39,'Cost_Components'!$A$2:$A$27,0)),"")</f>
      </c>
      <c r="AE39" s="20" t="str">
        <f>IFERROR(INDEX('Cost_Components'!$O$2:$O$27,MATCH(E39,'Cost_Components'!$A$2:$A$27,0)),"")</f>
      </c>
      <c r="AF39" s="85" t="n">
        <v>350040966.126503</v>
      </c>
      <c r="AG39" s="86" t="n">
        <v>349633455.684602</v>
      </c>
      <c r="AH39" s="87" t="str">
        <f>IF(H39="shared-count-once",COUNTIFS($A$2:$A$1353,A39,$B$2:$B$1353,B39,$E$2:$E$1353,E39),1)</f>
      </c>
    </row>
    <row r="40">
      <c r="A40" t="s">
        <v>162</v>
      </c>
      <c r="B40" s="59" t="n">
        <v>2037</v>
      </c>
      <c r="C40" t="s">
        <v>162</v>
      </c>
      <c r="D40"/>
      <c r="E40" s="60" t="s">
        <v>254</v>
      </c>
      <c r="F40" s="61" t="s">
        <v>255</v>
      </c>
      <c r="G40" s="62" t="s">
        <v>171</v>
      </c>
      <c r="H40" s="63" t="s">
        <v>172</v>
      </c>
      <c r="I40" s="64" t="s">
        <v>75</v>
      </c>
      <c r="J40" s="65" t="str">
        <f>IFERROR(INDEX('Cost_Components'!$K$2:$K$27,MATCH(E40,'Cost_Components'!$A$2:$A$27,0)),"")</f>
      </c>
      <c r="K40" s="66" t="str">
        <f>IF(OR(L40="",Z40="",AA40="",AB40=""),"",IF(B40&lt;AA40,L40,IF(B40&gt;AB40,Z40,L40+(Z40-L40)*MIN(MAX((B40-AA40+1)/MAX(AB40-AA40+1,1),0),1))))</f>
      </c>
      <c r="L40" s="67" t="str">
        <f>IFERROR(INDEX('Cost_Components'!$S$2:$S$27,MATCH(E40,'Cost_Components'!$A$2:$A$27,0)),"")</f>
      </c>
      <c r="M40" s="68" t="str">
        <f>IFERROR(INDEX('Cost_Components'!$L$2:$L$27,MATCH(E40,'Cost_Components'!$A$2:$A$27,0)),"")</f>
      </c>
      <c r="N40" s="69" t="str">
        <f>IFERROR(INDEX('Cost_Components'!$P$2:$P$27,MATCH(E40,'Cost_Components'!$A$2:$A$27,0)),"")</f>
      </c>
      <c r="O40" s="70" t="str">
        <f>AF40*J40</f>
      </c>
      <c r="P40" s="71" t="str">
        <f>AG40*J40</f>
      </c>
      <c r="Q40" s="72" t="str">
        <f>P40*L40*M40*N40</f>
      </c>
      <c r="R40" s="73" t="str">
        <f>O40*K40*M40*N40</f>
      </c>
      <c r="S40" s="74" t="str">
        <f>R40-Q40</f>
      </c>
      <c r="T40" s="20" t="str">
        <f>IFERROR(INDEX('Cost_Components'!$R$2:$R$27,MATCH(E40,'Cost_Components'!$A$2:$A$27,0)),"")</f>
      </c>
      <c r="U40" s="75" t="str">
        <f>IFERROR(INDEX('Cost_Components'!$Q$2:$Q$27,MATCH(E40,'Cost_Components'!$A$2:$A$27,0)),"")</f>
      </c>
      <c r="V40" s="76" t="str">
        <f>1/(1+'Calculation_Assumptions'!$B$5)^(B40-'Calculation_Assumptions'!$B$2)</f>
      </c>
      <c r="W40" s="77" t="str">
        <f>Q40*V40</f>
      </c>
      <c r="X40" s="78" t="str">
        <f>R40*V40</f>
      </c>
      <c r="Y40" s="79" t="str">
        <f>S40*V40</f>
      </c>
      <c r="Z40" s="80" t="str">
        <f>IFERROR(INDEX('Cost_Components'!$T$2:$T$27,MATCH(E40,'Cost_Components'!$A$2:$A$27,0)),"")</f>
      </c>
      <c r="AA40" s="81" t="str">
        <f>IFERROR(INDEX('Cost_Components'!$U$2:$U$27,MATCH(E40,'Cost_Components'!$A$2:$A$27,0)),"")</f>
      </c>
      <c r="AB40" s="82" t="str">
        <f>IFERROR(INDEX('Cost_Components'!$V$2:$V$27,MATCH(E40,'Cost_Components'!$A$2:$A$27,0)),"")</f>
      </c>
      <c r="AC40" s="83" t="str">
        <f>IFERROR(INDEX('Cost_Components'!$M$2:$M$27,MATCH(E40,'Cost_Components'!$A$2:$A$27,0)),"")</f>
      </c>
      <c r="AD40" s="84" t="str">
        <f>IFERROR(INDEX('Cost_Components'!$N$2:$N$27,MATCH(E40,'Cost_Components'!$A$2:$A$27,0)),"")</f>
      </c>
      <c r="AE40" s="20" t="str">
        <f>IFERROR(INDEX('Cost_Components'!$O$2:$O$27,MATCH(E40,'Cost_Components'!$A$2:$A$27,0)),"")</f>
      </c>
      <c r="AF40" s="85" t="n">
        <v>354353025.678883</v>
      </c>
      <c r="AG40" s="86" t="n">
        <v>353857255.838185</v>
      </c>
      <c r="AH40" s="87" t="str">
        <f>IF(H40="shared-count-once",COUNTIFS($A$2:$A$1353,A40,$B$2:$B$1353,B40,$E$2:$E$1353,E40),1)</f>
      </c>
    </row>
    <row r="41">
      <c r="A41" t="s">
        <v>162</v>
      </c>
      <c r="B41" s="59" t="n">
        <v>2038</v>
      </c>
      <c r="C41" t="s">
        <v>162</v>
      </c>
      <c r="D41"/>
      <c r="E41" s="60" t="s">
        <v>254</v>
      </c>
      <c r="F41" s="61" t="s">
        <v>255</v>
      </c>
      <c r="G41" s="62" t="s">
        <v>171</v>
      </c>
      <c r="H41" s="63" t="s">
        <v>172</v>
      </c>
      <c r="I41" s="64" t="s">
        <v>75</v>
      </c>
      <c r="J41" s="65" t="str">
        <f>IFERROR(INDEX('Cost_Components'!$K$2:$K$27,MATCH(E41,'Cost_Components'!$A$2:$A$27,0)),"")</f>
      </c>
      <c r="K41" s="66" t="str">
        <f>IF(OR(L41="",Z41="",AA41="",AB41=""),"",IF(B41&lt;AA41,L41,IF(B41&gt;AB41,Z41,L41+(Z41-L41)*MIN(MAX((B41-AA41+1)/MAX(AB41-AA41+1,1),0),1))))</f>
      </c>
      <c r="L41" s="67" t="str">
        <f>IFERROR(INDEX('Cost_Components'!$S$2:$S$27,MATCH(E41,'Cost_Components'!$A$2:$A$27,0)),"")</f>
      </c>
      <c r="M41" s="68" t="str">
        <f>IFERROR(INDEX('Cost_Components'!$L$2:$L$27,MATCH(E41,'Cost_Components'!$A$2:$A$27,0)),"")</f>
      </c>
      <c r="N41" s="69" t="str">
        <f>IFERROR(INDEX('Cost_Components'!$P$2:$P$27,MATCH(E41,'Cost_Components'!$A$2:$A$27,0)),"")</f>
      </c>
      <c r="O41" s="70" t="str">
        <f>AF41*J41</f>
      </c>
      <c r="P41" s="71" t="str">
        <f>AG41*J41</f>
      </c>
      <c r="Q41" s="72" t="str">
        <f>P41*L41*M41*N41</f>
      </c>
      <c r="R41" s="73" t="str">
        <f>O41*K41*M41*N41</f>
      </c>
      <c r="S41" s="74" t="str">
        <f>R41-Q41</f>
      </c>
      <c r="T41" s="20" t="str">
        <f>IFERROR(INDEX('Cost_Components'!$R$2:$R$27,MATCH(E41,'Cost_Components'!$A$2:$A$27,0)),"")</f>
      </c>
      <c r="U41" s="75" t="str">
        <f>IFERROR(INDEX('Cost_Components'!$Q$2:$Q$27,MATCH(E41,'Cost_Components'!$A$2:$A$27,0)),"")</f>
      </c>
      <c r="V41" s="76" t="str">
        <f>1/(1+'Calculation_Assumptions'!$B$5)^(B41-'Calculation_Assumptions'!$B$2)</f>
      </c>
      <c r="W41" s="77" t="str">
        <f>Q41*V41</f>
      </c>
      <c r="X41" s="78" t="str">
        <f>R41*V41</f>
      </c>
      <c r="Y41" s="79" t="str">
        <f>S41*V41</f>
      </c>
      <c r="Z41" s="80" t="str">
        <f>IFERROR(INDEX('Cost_Components'!$T$2:$T$27,MATCH(E41,'Cost_Components'!$A$2:$A$27,0)),"")</f>
      </c>
      <c r="AA41" s="81" t="str">
        <f>IFERROR(INDEX('Cost_Components'!$U$2:$U$27,MATCH(E41,'Cost_Components'!$A$2:$A$27,0)),"")</f>
      </c>
      <c r="AB41" s="82" t="str">
        <f>IFERROR(INDEX('Cost_Components'!$V$2:$V$27,MATCH(E41,'Cost_Components'!$A$2:$A$27,0)),"")</f>
      </c>
      <c r="AC41" s="83" t="str">
        <f>IFERROR(INDEX('Cost_Components'!$M$2:$M$27,MATCH(E41,'Cost_Components'!$A$2:$A$27,0)),"")</f>
      </c>
      <c r="AD41" s="84" t="str">
        <f>IFERROR(INDEX('Cost_Components'!$N$2:$N$27,MATCH(E41,'Cost_Components'!$A$2:$A$27,0)),"")</f>
      </c>
      <c r="AE41" s="20" t="str">
        <f>IFERROR(INDEX('Cost_Components'!$O$2:$O$27,MATCH(E41,'Cost_Components'!$A$2:$A$27,0)),"")</f>
      </c>
      <c r="AF41" s="85" t="n">
        <v>358601483.240647</v>
      </c>
      <c r="AG41" s="86" t="n">
        <v>358007680.685344</v>
      </c>
      <c r="AH41" s="87" t="str">
        <f>IF(H41="shared-count-once",COUNTIFS($A$2:$A$1353,A41,$B$2:$B$1353,B41,$E$2:$E$1353,E41),1)</f>
      </c>
    </row>
    <row r="42">
      <c r="A42" t="s">
        <v>162</v>
      </c>
      <c r="B42" s="59" t="n">
        <v>2039</v>
      </c>
      <c r="C42" t="s">
        <v>162</v>
      </c>
      <c r="D42"/>
      <c r="E42" s="60" t="s">
        <v>254</v>
      </c>
      <c r="F42" s="61" t="s">
        <v>255</v>
      </c>
      <c r="G42" s="62" t="s">
        <v>171</v>
      </c>
      <c r="H42" s="63" t="s">
        <v>172</v>
      </c>
      <c r="I42" s="64" t="s">
        <v>75</v>
      </c>
      <c r="J42" s="65" t="str">
        <f>IFERROR(INDEX('Cost_Components'!$K$2:$K$27,MATCH(E42,'Cost_Components'!$A$2:$A$27,0)),"")</f>
      </c>
      <c r="K42" s="66" t="str">
        <f>IF(OR(L42="",Z42="",AA42="",AB42=""),"",IF(B42&lt;AA42,L42,IF(B42&gt;AB42,Z42,L42+(Z42-L42)*MIN(MAX((B42-AA42+1)/MAX(AB42-AA42+1,1),0),1))))</f>
      </c>
      <c r="L42" s="67" t="str">
        <f>IFERROR(INDEX('Cost_Components'!$S$2:$S$27,MATCH(E42,'Cost_Components'!$A$2:$A$27,0)),"")</f>
      </c>
      <c r="M42" s="68" t="str">
        <f>IFERROR(INDEX('Cost_Components'!$L$2:$L$27,MATCH(E42,'Cost_Components'!$A$2:$A$27,0)),"")</f>
      </c>
      <c r="N42" s="69" t="str">
        <f>IFERROR(INDEX('Cost_Components'!$P$2:$P$27,MATCH(E42,'Cost_Components'!$A$2:$A$27,0)),"")</f>
      </c>
      <c r="O42" s="70" t="str">
        <f>AF42*J42</f>
      </c>
      <c r="P42" s="71" t="str">
        <f>AG42*J42</f>
      </c>
      <c r="Q42" s="72" t="str">
        <f>P42*L42*M42*N42</f>
      </c>
      <c r="R42" s="73" t="str">
        <f>O42*K42*M42*N42</f>
      </c>
      <c r="S42" s="74" t="str">
        <f>R42-Q42</f>
      </c>
      <c r="T42" s="20" t="str">
        <f>IFERROR(INDEX('Cost_Components'!$R$2:$R$27,MATCH(E42,'Cost_Components'!$A$2:$A$27,0)),"")</f>
      </c>
      <c r="U42" s="75" t="str">
        <f>IFERROR(INDEX('Cost_Components'!$Q$2:$Q$27,MATCH(E42,'Cost_Components'!$A$2:$A$27,0)),"")</f>
      </c>
      <c r="V42" s="76" t="str">
        <f>1/(1+'Calculation_Assumptions'!$B$5)^(B42-'Calculation_Assumptions'!$B$2)</f>
      </c>
      <c r="W42" s="77" t="str">
        <f>Q42*V42</f>
      </c>
      <c r="X42" s="78" t="str">
        <f>R42*V42</f>
      </c>
      <c r="Y42" s="79" t="str">
        <f>S42*V42</f>
      </c>
      <c r="Z42" s="80" t="str">
        <f>IFERROR(INDEX('Cost_Components'!$T$2:$T$27,MATCH(E42,'Cost_Components'!$A$2:$A$27,0)),"")</f>
      </c>
      <c r="AA42" s="81" t="str">
        <f>IFERROR(INDEX('Cost_Components'!$U$2:$U$27,MATCH(E42,'Cost_Components'!$A$2:$A$27,0)),"")</f>
      </c>
      <c r="AB42" s="82" t="str">
        <f>IFERROR(INDEX('Cost_Components'!$V$2:$V$27,MATCH(E42,'Cost_Components'!$A$2:$A$27,0)),"")</f>
      </c>
      <c r="AC42" s="83" t="str">
        <f>IFERROR(INDEX('Cost_Components'!$M$2:$M$27,MATCH(E42,'Cost_Components'!$A$2:$A$27,0)),"")</f>
      </c>
      <c r="AD42" s="84" t="str">
        <f>IFERROR(INDEX('Cost_Components'!$N$2:$N$27,MATCH(E42,'Cost_Components'!$A$2:$A$27,0)),"")</f>
      </c>
      <c r="AE42" s="20" t="str">
        <f>IFERROR(INDEX('Cost_Components'!$O$2:$O$27,MATCH(E42,'Cost_Components'!$A$2:$A$27,0)),"")</f>
      </c>
      <c r="AF42" s="85" t="n">
        <v>362802465.42413</v>
      </c>
      <c r="AG42" s="86" t="n">
        <v>362079729.17759</v>
      </c>
      <c r="AH42" s="87" t="str">
        <f>IF(H42="shared-count-once",COUNTIFS($A$2:$A$1353,A42,$B$2:$B$1353,B42,$E$2:$E$1353,E42),1)</f>
      </c>
    </row>
    <row r="43">
      <c r="A43" t="s">
        <v>162</v>
      </c>
      <c r="B43" s="59" t="n">
        <v>2040</v>
      </c>
      <c r="C43" t="s">
        <v>162</v>
      </c>
      <c r="D43"/>
      <c r="E43" s="60" t="s">
        <v>254</v>
      </c>
      <c r="F43" s="61" t="s">
        <v>255</v>
      </c>
      <c r="G43" s="62" t="s">
        <v>171</v>
      </c>
      <c r="H43" s="63" t="s">
        <v>172</v>
      </c>
      <c r="I43" s="64" t="s">
        <v>75</v>
      </c>
      <c r="J43" s="65" t="str">
        <f>IFERROR(INDEX('Cost_Components'!$K$2:$K$27,MATCH(E43,'Cost_Components'!$A$2:$A$27,0)),"")</f>
      </c>
      <c r="K43" s="66" t="str">
        <f>IF(OR(L43="",Z43="",AA43="",AB43=""),"",IF(B43&lt;AA43,L43,IF(B43&gt;AB43,Z43,L43+(Z43-L43)*MIN(MAX((B43-AA43+1)/MAX(AB43-AA43+1,1),0),1))))</f>
      </c>
      <c r="L43" s="67" t="str">
        <f>IFERROR(INDEX('Cost_Components'!$S$2:$S$27,MATCH(E43,'Cost_Components'!$A$2:$A$27,0)),"")</f>
      </c>
      <c r="M43" s="68" t="str">
        <f>IFERROR(INDEX('Cost_Components'!$L$2:$L$27,MATCH(E43,'Cost_Components'!$A$2:$A$27,0)),"")</f>
      </c>
      <c r="N43" s="69" t="str">
        <f>IFERROR(INDEX('Cost_Components'!$P$2:$P$27,MATCH(E43,'Cost_Components'!$A$2:$A$27,0)),"")</f>
      </c>
      <c r="O43" s="70" t="str">
        <f>AF43*J43</f>
      </c>
      <c r="P43" s="71" t="str">
        <f>AG43*J43</f>
      </c>
      <c r="Q43" s="72" t="str">
        <f>P43*L43*M43*N43</f>
      </c>
      <c r="R43" s="73" t="str">
        <f>O43*K43*M43*N43</f>
      </c>
      <c r="S43" s="74" t="str">
        <f>R43-Q43</f>
      </c>
      <c r="T43" s="20" t="str">
        <f>IFERROR(INDEX('Cost_Components'!$R$2:$R$27,MATCH(E43,'Cost_Components'!$A$2:$A$27,0)),"")</f>
      </c>
      <c r="U43" s="75" t="str">
        <f>IFERROR(INDEX('Cost_Components'!$Q$2:$Q$27,MATCH(E43,'Cost_Components'!$A$2:$A$27,0)),"")</f>
      </c>
      <c r="V43" s="76" t="str">
        <f>1/(1+'Calculation_Assumptions'!$B$5)^(B43-'Calculation_Assumptions'!$B$2)</f>
      </c>
      <c r="W43" s="77" t="str">
        <f>Q43*V43</f>
      </c>
      <c r="X43" s="78" t="str">
        <f>R43*V43</f>
      </c>
      <c r="Y43" s="79" t="str">
        <f>S43*V43</f>
      </c>
      <c r="Z43" s="80" t="str">
        <f>IFERROR(INDEX('Cost_Components'!$T$2:$T$27,MATCH(E43,'Cost_Components'!$A$2:$A$27,0)),"")</f>
      </c>
      <c r="AA43" s="81" t="str">
        <f>IFERROR(INDEX('Cost_Components'!$U$2:$U$27,MATCH(E43,'Cost_Components'!$A$2:$A$27,0)),"")</f>
      </c>
      <c r="AB43" s="82" t="str">
        <f>IFERROR(INDEX('Cost_Components'!$V$2:$V$27,MATCH(E43,'Cost_Components'!$A$2:$A$27,0)),"")</f>
      </c>
      <c r="AC43" s="83" t="str">
        <f>IFERROR(INDEX('Cost_Components'!$M$2:$M$27,MATCH(E43,'Cost_Components'!$A$2:$A$27,0)),"")</f>
      </c>
      <c r="AD43" s="84" t="str">
        <f>IFERROR(INDEX('Cost_Components'!$N$2:$N$27,MATCH(E43,'Cost_Components'!$A$2:$A$27,0)),"")</f>
      </c>
      <c r="AE43" s="20" t="str">
        <f>IFERROR(INDEX('Cost_Components'!$O$2:$O$27,MATCH(E43,'Cost_Components'!$A$2:$A$27,0)),"")</f>
      </c>
      <c r="AF43" s="85" t="n">
        <v>366968829.847563</v>
      </c>
      <c r="AG43" s="86" t="n">
        <v>366148497.336983</v>
      </c>
      <c r="AH43" s="87" t="str">
        <f>IF(H43="shared-count-once",COUNTIFS($A$2:$A$1353,A43,$B$2:$B$1353,B43,$E$2:$E$1353,E43),1)</f>
      </c>
    </row>
    <row r="44">
      <c r="A44" t="s">
        <v>162</v>
      </c>
      <c r="B44" s="59" t="n">
        <v>2041</v>
      </c>
      <c r="C44" t="s">
        <v>162</v>
      </c>
      <c r="D44"/>
      <c r="E44" s="60" t="s">
        <v>254</v>
      </c>
      <c r="F44" s="61" t="s">
        <v>255</v>
      </c>
      <c r="G44" s="62" t="s">
        <v>171</v>
      </c>
      <c r="H44" s="63" t="s">
        <v>172</v>
      </c>
      <c r="I44" s="64" t="s">
        <v>75</v>
      </c>
      <c r="J44" s="65" t="str">
        <f>IFERROR(INDEX('Cost_Components'!$K$2:$K$27,MATCH(E44,'Cost_Components'!$A$2:$A$27,0)),"")</f>
      </c>
      <c r="K44" s="66" t="str">
        <f>IF(OR(L44="",Z44="",AA44="",AB44=""),"",IF(B44&lt;AA44,L44,IF(B44&gt;AB44,Z44,L44+(Z44-L44)*MIN(MAX((B44-AA44+1)/MAX(AB44-AA44+1,1),0),1))))</f>
      </c>
      <c r="L44" s="67" t="str">
        <f>IFERROR(INDEX('Cost_Components'!$S$2:$S$27,MATCH(E44,'Cost_Components'!$A$2:$A$27,0)),"")</f>
      </c>
      <c r="M44" s="68" t="str">
        <f>IFERROR(INDEX('Cost_Components'!$L$2:$L$27,MATCH(E44,'Cost_Components'!$A$2:$A$27,0)),"")</f>
      </c>
      <c r="N44" s="69" t="str">
        <f>IFERROR(INDEX('Cost_Components'!$P$2:$P$27,MATCH(E44,'Cost_Components'!$A$2:$A$27,0)),"")</f>
      </c>
      <c r="O44" s="70" t="str">
        <f>AF44*J44</f>
      </c>
      <c r="P44" s="71" t="str">
        <f>AG44*J44</f>
      </c>
      <c r="Q44" s="72" t="str">
        <f>P44*L44*M44*N44</f>
      </c>
      <c r="R44" s="73" t="str">
        <f>O44*K44*M44*N44</f>
      </c>
      <c r="S44" s="74" t="str">
        <f>R44-Q44</f>
      </c>
      <c r="T44" s="20" t="str">
        <f>IFERROR(INDEX('Cost_Components'!$R$2:$R$27,MATCH(E44,'Cost_Components'!$A$2:$A$27,0)),"")</f>
      </c>
      <c r="U44" s="75" t="str">
        <f>IFERROR(INDEX('Cost_Components'!$Q$2:$Q$27,MATCH(E44,'Cost_Components'!$A$2:$A$27,0)),"")</f>
      </c>
      <c r="V44" s="76" t="str">
        <f>1/(1+'Calculation_Assumptions'!$B$5)^(B44-'Calculation_Assumptions'!$B$2)</f>
      </c>
      <c r="W44" s="77" t="str">
        <f>Q44*V44</f>
      </c>
      <c r="X44" s="78" t="str">
        <f>R44*V44</f>
      </c>
      <c r="Y44" s="79" t="str">
        <f>S44*V44</f>
      </c>
      <c r="Z44" s="80" t="str">
        <f>IFERROR(INDEX('Cost_Components'!$T$2:$T$27,MATCH(E44,'Cost_Components'!$A$2:$A$27,0)),"")</f>
      </c>
      <c r="AA44" s="81" t="str">
        <f>IFERROR(INDEX('Cost_Components'!$U$2:$U$27,MATCH(E44,'Cost_Components'!$A$2:$A$27,0)),"")</f>
      </c>
      <c r="AB44" s="82" t="str">
        <f>IFERROR(INDEX('Cost_Components'!$V$2:$V$27,MATCH(E44,'Cost_Components'!$A$2:$A$27,0)),"")</f>
      </c>
      <c r="AC44" s="83" t="str">
        <f>IFERROR(INDEX('Cost_Components'!$M$2:$M$27,MATCH(E44,'Cost_Components'!$A$2:$A$27,0)),"")</f>
      </c>
      <c r="AD44" s="84" t="str">
        <f>IFERROR(INDEX('Cost_Components'!$N$2:$N$27,MATCH(E44,'Cost_Components'!$A$2:$A$27,0)),"")</f>
      </c>
      <c r="AE44" s="20" t="str">
        <f>IFERROR(INDEX('Cost_Components'!$O$2:$O$27,MATCH(E44,'Cost_Components'!$A$2:$A$27,0)),"")</f>
      </c>
      <c r="AF44" s="85" t="n">
        <v>371277838.476714</v>
      </c>
      <c r="AG44" s="86" t="n">
        <v>370307519.955221</v>
      </c>
      <c r="AH44" s="87" t="str">
        <f>IF(H44="shared-count-once",COUNTIFS($A$2:$A$1353,A44,$B$2:$B$1353,B44,$E$2:$E$1353,E44),1)</f>
      </c>
    </row>
    <row r="45">
      <c r="A45" t="s">
        <v>162</v>
      </c>
      <c r="B45" s="59" t="n">
        <v>2042</v>
      </c>
      <c r="C45" t="s">
        <v>162</v>
      </c>
      <c r="D45"/>
      <c r="E45" s="60" t="s">
        <v>254</v>
      </c>
      <c r="F45" s="61" t="s">
        <v>255</v>
      </c>
      <c r="G45" s="62" t="s">
        <v>171</v>
      </c>
      <c r="H45" s="63" t="s">
        <v>172</v>
      </c>
      <c r="I45" s="64" t="s">
        <v>75</v>
      </c>
      <c r="J45" s="65" t="str">
        <f>IFERROR(INDEX('Cost_Components'!$K$2:$K$27,MATCH(E45,'Cost_Components'!$A$2:$A$27,0)),"")</f>
      </c>
      <c r="K45" s="66" t="str">
        <f>IF(OR(L45="",Z45="",AA45="",AB45=""),"",IF(B45&lt;AA45,L45,IF(B45&gt;AB45,Z45,L45+(Z45-L45)*MIN(MAX((B45-AA45+1)/MAX(AB45-AA45+1,1),0),1))))</f>
      </c>
      <c r="L45" s="67" t="str">
        <f>IFERROR(INDEX('Cost_Components'!$S$2:$S$27,MATCH(E45,'Cost_Components'!$A$2:$A$27,0)),"")</f>
      </c>
      <c r="M45" s="68" t="str">
        <f>IFERROR(INDEX('Cost_Components'!$L$2:$L$27,MATCH(E45,'Cost_Components'!$A$2:$A$27,0)),"")</f>
      </c>
      <c r="N45" s="69" t="str">
        <f>IFERROR(INDEX('Cost_Components'!$P$2:$P$27,MATCH(E45,'Cost_Components'!$A$2:$A$27,0)),"")</f>
      </c>
      <c r="O45" s="70" t="str">
        <f>AF45*J45</f>
      </c>
      <c r="P45" s="71" t="str">
        <f>AG45*J45</f>
      </c>
      <c r="Q45" s="72" t="str">
        <f>P45*L45*M45*N45</f>
      </c>
      <c r="R45" s="73" t="str">
        <f>O45*K45*M45*N45</f>
      </c>
      <c r="S45" s="74" t="str">
        <f>R45-Q45</f>
      </c>
      <c r="T45" s="20" t="str">
        <f>IFERROR(INDEX('Cost_Components'!$R$2:$R$27,MATCH(E45,'Cost_Components'!$A$2:$A$27,0)),"")</f>
      </c>
      <c r="U45" s="75" t="str">
        <f>IFERROR(INDEX('Cost_Components'!$Q$2:$Q$27,MATCH(E45,'Cost_Components'!$A$2:$A$27,0)),"")</f>
      </c>
      <c r="V45" s="76" t="str">
        <f>1/(1+'Calculation_Assumptions'!$B$5)^(B45-'Calculation_Assumptions'!$B$2)</f>
      </c>
      <c r="W45" s="77" t="str">
        <f>Q45*V45</f>
      </c>
      <c r="X45" s="78" t="str">
        <f>R45*V45</f>
      </c>
      <c r="Y45" s="79" t="str">
        <f>S45*V45</f>
      </c>
      <c r="Z45" s="80" t="str">
        <f>IFERROR(INDEX('Cost_Components'!$T$2:$T$27,MATCH(E45,'Cost_Components'!$A$2:$A$27,0)),"")</f>
      </c>
      <c r="AA45" s="81" t="str">
        <f>IFERROR(INDEX('Cost_Components'!$U$2:$U$27,MATCH(E45,'Cost_Components'!$A$2:$A$27,0)),"")</f>
      </c>
      <c r="AB45" s="82" t="str">
        <f>IFERROR(INDEX('Cost_Components'!$V$2:$V$27,MATCH(E45,'Cost_Components'!$A$2:$A$27,0)),"")</f>
      </c>
      <c r="AC45" s="83" t="str">
        <f>IFERROR(INDEX('Cost_Components'!$M$2:$M$27,MATCH(E45,'Cost_Components'!$A$2:$A$27,0)),"")</f>
      </c>
      <c r="AD45" s="84" t="str">
        <f>IFERROR(INDEX('Cost_Components'!$N$2:$N$27,MATCH(E45,'Cost_Components'!$A$2:$A$27,0)),"")</f>
      </c>
      <c r="AE45" s="20" t="str">
        <f>IFERROR(INDEX('Cost_Components'!$O$2:$O$27,MATCH(E45,'Cost_Components'!$A$2:$A$27,0)),"")</f>
      </c>
      <c r="AF45" s="85" t="n">
        <v>375621287.882887</v>
      </c>
      <c r="AG45" s="86" t="n">
        <v>374511498.051548</v>
      </c>
      <c r="AH45" s="87" t="str">
        <f>IF(H45="shared-count-once",COUNTIFS($A$2:$A$1353,A45,$B$2:$B$1353,B45,$E$2:$E$1353,E45),1)</f>
      </c>
    </row>
    <row r="46">
      <c r="A46" t="s">
        <v>162</v>
      </c>
      <c r="B46" s="59" t="n">
        <v>2043</v>
      </c>
      <c r="C46" t="s">
        <v>162</v>
      </c>
      <c r="D46"/>
      <c r="E46" s="60" t="s">
        <v>254</v>
      </c>
      <c r="F46" s="61" t="s">
        <v>255</v>
      </c>
      <c r="G46" s="62" t="s">
        <v>171</v>
      </c>
      <c r="H46" s="63" t="s">
        <v>172</v>
      </c>
      <c r="I46" s="64" t="s">
        <v>75</v>
      </c>
      <c r="J46" s="65" t="str">
        <f>IFERROR(INDEX('Cost_Components'!$K$2:$K$27,MATCH(E46,'Cost_Components'!$A$2:$A$27,0)),"")</f>
      </c>
      <c r="K46" s="66" t="str">
        <f>IF(OR(L46="",Z46="",AA46="",AB46=""),"",IF(B46&lt;AA46,L46,IF(B46&gt;AB46,Z46,L46+(Z46-L46)*MIN(MAX((B46-AA46+1)/MAX(AB46-AA46+1,1),0),1))))</f>
      </c>
      <c r="L46" s="67" t="str">
        <f>IFERROR(INDEX('Cost_Components'!$S$2:$S$27,MATCH(E46,'Cost_Components'!$A$2:$A$27,0)),"")</f>
      </c>
      <c r="M46" s="68" t="str">
        <f>IFERROR(INDEX('Cost_Components'!$L$2:$L$27,MATCH(E46,'Cost_Components'!$A$2:$A$27,0)),"")</f>
      </c>
      <c r="N46" s="69" t="str">
        <f>IFERROR(INDEX('Cost_Components'!$P$2:$P$27,MATCH(E46,'Cost_Components'!$A$2:$A$27,0)),"")</f>
      </c>
      <c r="O46" s="70" t="str">
        <f>AF46*J46</f>
      </c>
      <c r="P46" s="71" t="str">
        <f>AG46*J46</f>
      </c>
      <c r="Q46" s="72" t="str">
        <f>P46*L46*M46*N46</f>
      </c>
      <c r="R46" s="73" t="str">
        <f>O46*K46*M46*N46</f>
      </c>
      <c r="S46" s="74" t="str">
        <f>R46-Q46</f>
      </c>
      <c r="T46" s="20" t="str">
        <f>IFERROR(INDEX('Cost_Components'!$R$2:$R$27,MATCH(E46,'Cost_Components'!$A$2:$A$27,0)),"")</f>
      </c>
      <c r="U46" s="75" t="str">
        <f>IFERROR(INDEX('Cost_Components'!$Q$2:$Q$27,MATCH(E46,'Cost_Components'!$A$2:$A$27,0)),"")</f>
      </c>
      <c r="V46" s="76" t="str">
        <f>1/(1+'Calculation_Assumptions'!$B$5)^(B46-'Calculation_Assumptions'!$B$2)</f>
      </c>
      <c r="W46" s="77" t="str">
        <f>Q46*V46</f>
      </c>
      <c r="X46" s="78" t="str">
        <f>R46*V46</f>
      </c>
      <c r="Y46" s="79" t="str">
        <f>S46*V46</f>
      </c>
      <c r="Z46" s="80" t="str">
        <f>IFERROR(INDEX('Cost_Components'!$T$2:$T$27,MATCH(E46,'Cost_Components'!$A$2:$A$27,0)),"")</f>
      </c>
      <c r="AA46" s="81" t="str">
        <f>IFERROR(INDEX('Cost_Components'!$U$2:$U$27,MATCH(E46,'Cost_Components'!$A$2:$A$27,0)),"")</f>
      </c>
      <c r="AB46" s="82" t="str">
        <f>IFERROR(INDEX('Cost_Components'!$V$2:$V$27,MATCH(E46,'Cost_Components'!$A$2:$A$27,0)),"")</f>
      </c>
      <c r="AC46" s="83" t="str">
        <f>IFERROR(INDEX('Cost_Components'!$M$2:$M$27,MATCH(E46,'Cost_Components'!$A$2:$A$27,0)),"")</f>
      </c>
      <c r="AD46" s="84" t="str">
        <f>IFERROR(INDEX('Cost_Components'!$N$2:$N$27,MATCH(E46,'Cost_Components'!$A$2:$A$27,0)),"")</f>
      </c>
      <c r="AE46" s="20" t="str">
        <f>IFERROR(INDEX('Cost_Components'!$O$2:$O$27,MATCH(E46,'Cost_Components'!$A$2:$A$27,0)),"")</f>
      </c>
      <c r="AF46" s="85" t="n">
        <v>379712282.768316</v>
      </c>
      <c r="AG46" s="86" t="n">
        <v>378524407.122942</v>
      </c>
      <c r="AH46" s="87" t="str">
        <f>IF(H46="shared-count-once",COUNTIFS($A$2:$A$1353,A46,$B$2:$B$1353,B46,$E$2:$E$1353,E46),1)</f>
      </c>
    </row>
    <row r="47">
      <c r="A47" t="s">
        <v>162</v>
      </c>
      <c r="B47" s="59" t="n">
        <v>2044</v>
      </c>
      <c r="C47" t="s">
        <v>162</v>
      </c>
      <c r="D47"/>
      <c r="E47" s="60" t="s">
        <v>254</v>
      </c>
      <c r="F47" s="61" t="s">
        <v>255</v>
      </c>
      <c r="G47" s="62" t="s">
        <v>171</v>
      </c>
      <c r="H47" s="63" t="s">
        <v>172</v>
      </c>
      <c r="I47" s="64" t="s">
        <v>75</v>
      </c>
      <c r="J47" s="65" t="str">
        <f>IFERROR(INDEX('Cost_Components'!$K$2:$K$27,MATCH(E47,'Cost_Components'!$A$2:$A$27,0)),"")</f>
      </c>
      <c r="K47" s="66" t="str">
        <f>IF(OR(L47="",Z47="",AA47="",AB47=""),"",IF(B47&lt;AA47,L47,IF(B47&gt;AB47,Z47,L47+(Z47-L47)*MIN(MAX((B47-AA47+1)/MAX(AB47-AA47+1,1),0),1))))</f>
      </c>
      <c r="L47" s="67" t="str">
        <f>IFERROR(INDEX('Cost_Components'!$S$2:$S$27,MATCH(E47,'Cost_Components'!$A$2:$A$27,0)),"")</f>
      </c>
      <c r="M47" s="68" t="str">
        <f>IFERROR(INDEX('Cost_Components'!$L$2:$L$27,MATCH(E47,'Cost_Components'!$A$2:$A$27,0)),"")</f>
      </c>
      <c r="N47" s="69" t="str">
        <f>IFERROR(INDEX('Cost_Components'!$P$2:$P$27,MATCH(E47,'Cost_Components'!$A$2:$A$27,0)),"")</f>
      </c>
      <c r="O47" s="70" t="str">
        <f>AF47*J47</f>
      </c>
      <c r="P47" s="71" t="str">
        <f>AG47*J47</f>
      </c>
      <c r="Q47" s="72" t="str">
        <f>P47*L47*M47*N47</f>
      </c>
      <c r="R47" s="73" t="str">
        <f>O47*K47*M47*N47</f>
      </c>
      <c r="S47" s="74" t="str">
        <f>R47-Q47</f>
      </c>
      <c r="T47" s="20" t="str">
        <f>IFERROR(INDEX('Cost_Components'!$R$2:$R$27,MATCH(E47,'Cost_Components'!$A$2:$A$27,0)),"")</f>
      </c>
      <c r="U47" s="75" t="str">
        <f>IFERROR(INDEX('Cost_Components'!$Q$2:$Q$27,MATCH(E47,'Cost_Components'!$A$2:$A$27,0)),"")</f>
      </c>
      <c r="V47" s="76" t="str">
        <f>1/(1+'Calculation_Assumptions'!$B$5)^(B47-'Calculation_Assumptions'!$B$2)</f>
      </c>
      <c r="W47" s="77" t="str">
        <f>Q47*V47</f>
      </c>
      <c r="X47" s="78" t="str">
        <f>R47*V47</f>
      </c>
      <c r="Y47" s="79" t="str">
        <f>S47*V47</f>
      </c>
      <c r="Z47" s="80" t="str">
        <f>IFERROR(INDEX('Cost_Components'!$T$2:$T$27,MATCH(E47,'Cost_Components'!$A$2:$A$27,0)),"")</f>
      </c>
      <c r="AA47" s="81" t="str">
        <f>IFERROR(INDEX('Cost_Components'!$U$2:$U$27,MATCH(E47,'Cost_Components'!$A$2:$A$27,0)),"")</f>
      </c>
      <c r="AB47" s="82" t="str">
        <f>IFERROR(INDEX('Cost_Components'!$V$2:$V$27,MATCH(E47,'Cost_Components'!$A$2:$A$27,0)),"")</f>
      </c>
      <c r="AC47" s="83" t="str">
        <f>IFERROR(INDEX('Cost_Components'!$M$2:$M$27,MATCH(E47,'Cost_Components'!$A$2:$A$27,0)),"")</f>
      </c>
      <c r="AD47" s="84" t="str">
        <f>IFERROR(INDEX('Cost_Components'!$N$2:$N$27,MATCH(E47,'Cost_Components'!$A$2:$A$27,0)),"")</f>
      </c>
      <c r="AE47" s="20" t="str">
        <f>IFERROR(INDEX('Cost_Components'!$O$2:$O$27,MATCH(E47,'Cost_Components'!$A$2:$A$27,0)),"")</f>
      </c>
      <c r="AF47" s="85" t="n">
        <v>383581535.850458</v>
      </c>
      <c r="AG47" s="86" t="n">
        <v>382230245.423005</v>
      </c>
      <c r="AH47" s="87" t="str">
        <f>IF(H47="shared-count-once",COUNTIFS($A$2:$A$1353,A47,$B$2:$B$1353,B47,$E$2:$E$1353,E47),1)</f>
      </c>
    </row>
    <row r="48">
      <c r="A48" t="s">
        <v>162</v>
      </c>
      <c r="B48" s="59" t="n">
        <v>2045</v>
      </c>
      <c r="C48" t="s">
        <v>162</v>
      </c>
      <c r="D48"/>
      <c r="E48" s="60" t="s">
        <v>254</v>
      </c>
      <c r="F48" s="61" t="s">
        <v>255</v>
      </c>
      <c r="G48" s="62" t="s">
        <v>171</v>
      </c>
      <c r="H48" s="63" t="s">
        <v>172</v>
      </c>
      <c r="I48" s="64" t="s">
        <v>75</v>
      </c>
      <c r="J48" s="65" t="str">
        <f>IFERROR(INDEX('Cost_Components'!$K$2:$K$27,MATCH(E48,'Cost_Components'!$A$2:$A$27,0)),"")</f>
      </c>
      <c r="K48" s="66" t="str">
        <f>IF(OR(L48="",Z48="",AA48="",AB48=""),"",IF(B48&lt;AA48,L48,IF(B48&gt;AB48,Z48,L48+(Z48-L48)*MIN(MAX((B48-AA48+1)/MAX(AB48-AA48+1,1),0),1))))</f>
      </c>
      <c r="L48" s="67" t="str">
        <f>IFERROR(INDEX('Cost_Components'!$S$2:$S$27,MATCH(E48,'Cost_Components'!$A$2:$A$27,0)),"")</f>
      </c>
      <c r="M48" s="68" t="str">
        <f>IFERROR(INDEX('Cost_Components'!$L$2:$L$27,MATCH(E48,'Cost_Components'!$A$2:$A$27,0)),"")</f>
      </c>
      <c r="N48" s="69" t="str">
        <f>IFERROR(INDEX('Cost_Components'!$P$2:$P$27,MATCH(E48,'Cost_Components'!$A$2:$A$27,0)),"")</f>
      </c>
      <c r="O48" s="70" t="str">
        <f>AF48*J48</f>
      </c>
      <c r="P48" s="71" t="str">
        <f>AG48*J48</f>
      </c>
      <c r="Q48" s="72" t="str">
        <f>P48*L48*M48*N48</f>
      </c>
      <c r="R48" s="73" t="str">
        <f>O48*K48*M48*N48</f>
      </c>
      <c r="S48" s="74" t="str">
        <f>R48-Q48</f>
      </c>
      <c r="T48" s="20" t="str">
        <f>IFERROR(INDEX('Cost_Components'!$R$2:$R$27,MATCH(E48,'Cost_Components'!$A$2:$A$27,0)),"")</f>
      </c>
      <c r="U48" s="75" t="str">
        <f>IFERROR(INDEX('Cost_Components'!$Q$2:$Q$27,MATCH(E48,'Cost_Components'!$A$2:$A$27,0)),"")</f>
      </c>
      <c r="V48" s="76" t="str">
        <f>1/(1+'Calculation_Assumptions'!$B$5)^(B48-'Calculation_Assumptions'!$B$2)</f>
      </c>
      <c r="W48" s="77" t="str">
        <f>Q48*V48</f>
      </c>
      <c r="X48" s="78" t="str">
        <f>R48*V48</f>
      </c>
      <c r="Y48" s="79" t="str">
        <f>S48*V48</f>
      </c>
      <c r="Z48" s="80" t="str">
        <f>IFERROR(INDEX('Cost_Components'!$T$2:$T$27,MATCH(E48,'Cost_Components'!$A$2:$A$27,0)),"")</f>
      </c>
      <c r="AA48" s="81" t="str">
        <f>IFERROR(INDEX('Cost_Components'!$U$2:$U$27,MATCH(E48,'Cost_Components'!$A$2:$A$27,0)),"")</f>
      </c>
      <c r="AB48" s="82" t="str">
        <f>IFERROR(INDEX('Cost_Components'!$V$2:$V$27,MATCH(E48,'Cost_Components'!$A$2:$A$27,0)),"")</f>
      </c>
      <c r="AC48" s="83" t="str">
        <f>IFERROR(INDEX('Cost_Components'!$M$2:$M$27,MATCH(E48,'Cost_Components'!$A$2:$A$27,0)),"")</f>
      </c>
      <c r="AD48" s="84" t="str">
        <f>IFERROR(INDEX('Cost_Components'!$N$2:$N$27,MATCH(E48,'Cost_Components'!$A$2:$A$27,0)),"")</f>
      </c>
      <c r="AE48" s="20" t="str">
        <f>IFERROR(INDEX('Cost_Components'!$O$2:$O$27,MATCH(E48,'Cost_Components'!$A$2:$A$27,0)),"")</f>
      </c>
      <c r="AF48" s="85" t="n">
        <v>387201402.950765</v>
      </c>
      <c r="AG48" s="86" t="n">
        <v>385676256.67371</v>
      </c>
      <c r="AH48" s="87" t="str">
        <f>IF(H48="shared-count-once",COUNTIFS($A$2:$A$1353,A48,$B$2:$B$1353,B48,$E$2:$E$1353,E48),1)</f>
      </c>
    </row>
    <row r="49">
      <c r="A49" t="s">
        <v>162</v>
      </c>
      <c r="B49" s="59" t="n">
        <v>2046</v>
      </c>
      <c r="C49" t="s">
        <v>162</v>
      </c>
      <c r="D49"/>
      <c r="E49" s="60" t="s">
        <v>254</v>
      </c>
      <c r="F49" s="61" t="s">
        <v>255</v>
      </c>
      <c r="G49" s="62" t="s">
        <v>171</v>
      </c>
      <c r="H49" s="63" t="s">
        <v>172</v>
      </c>
      <c r="I49" s="64" t="s">
        <v>75</v>
      </c>
      <c r="J49" s="65" t="str">
        <f>IFERROR(INDEX('Cost_Components'!$K$2:$K$27,MATCH(E49,'Cost_Components'!$A$2:$A$27,0)),"")</f>
      </c>
      <c r="K49" s="66" t="str">
        <f>IF(OR(L49="",Z49="",AA49="",AB49=""),"",IF(B49&lt;AA49,L49,IF(B49&gt;AB49,Z49,L49+(Z49-L49)*MIN(MAX((B49-AA49+1)/MAX(AB49-AA49+1,1),0),1))))</f>
      </c>
      <c r="L49" s="67" t="str">
        <f>IFERROR(INDEX('Cost_Components'!$S$2:$S$27,MATCH(E49,'Cost_Components'!$A$2:$A$27,0)),"")</f>
      </c>
      <c r="M49" s="68" t="str">
        <f>IFERROR(INDEX('Cost_Components'!$L$2:$L$27,MATCH(E49,'Cost_Components'!$A$2:$A$27,0)),"")</f>
      </c>
      <c r="N49" s="69" t="str">
        <f>IFERROR(INDEX('Cost_Components'!$P$2:$P$27,MATCH(E49,'Cost_Components'!$A$2:$A$27,0)),"")</f>
      </c>
      <c r="O49" s="70" t="str">
        <f>AF49*J49</f>
      </c>
      <c r="P49" s="71" t="str">
        <f>AG49*J49</f>
      </c>
      <c r="Q49" s="72" t="str">
        <f>P49*L49*M49*N49</f>
      </c>
      <c r="R49" s="73" t="str">
        <f>O49*K49*M49*N49</f>
      </c>
      <c r="S49" s="74" t="str">
        <f>R49-Q49</f>
      </c>
      <c r="T49" s="20" t="str">
        <f>IFERROR(INDEX('Cost_Components'!$R$2:$R$27,MATCH(E49,'Cost_Components'!$A$2:$A$27,0)),"")</f>
      </c>
      <c r="U49" s="75" t="str">
        <f>IFERROR(INDEX('Cost_Components'!$Q$2:$Q$27,MATCH(E49,'Cost_Components'!$A$2:$A$27,0)),"")</f>
      </c>
      <c r="V49" s="76" t="str">
        <f>1/(1+'Calculation_Assumptions'!$B$5)^(B49-'Calculation_Assumptions'!$B$2)</f>
      </c>
      <c r="W49" s="77" t="str">
        <f>Q49*V49</f>
      </c>
      <c r="X49" s="78" t="str">
        <f>R49*V49</f>
      </c>
      <c r="Y49" s="79" t="str">
        <f>S49*V49</f>
      </c>
      <c r="Z49" s="80" t="str">
        <f>IFERROR(INDEX('Cost_Components'!$T$2:$T$27,MATCH(E49,'Cost_Components'!$A$2:$A$27,0)),"")</f>
      </c>
      <c r="AA49" s="81" t="str">
        <f>IFERROR(INDEX('Cost_Components'!$U$2:$U$27,MATCH(E49,'Cost_Components'!$A$2:$A$27,0)),"")</f>
      </c>
      <c r="AB49" s="82" t="str">
        <f>IFERROR(INDEX('Cost_Components'!$V$2:$V$27,MATCH(E49,'Cost_Components'!$A$2:$A$27,0)),"")</f>
      </c>
      <c r="AC49" s="83" t="str">
        <f>IFERROR(INDEX('Cost_Components'!$M$2:$M$27,MATCH(E49,'Cost_Components'!$A$2:$A$27,0)),"")</f>
      </c>
      <c r="AD49" s="84" t="str">
        <f>IFERROR(INDEX('Cost_Components'!$N$2:$N$27,MATCH(E49,'Cost_Components'!$A$2:$A$27,0)),"")</f>
      </c>
      <c r="AE49" s="20" t="str">
        <f>IFERROR(INDEX('Cost_Components'!$O$2:$O$27,MATCH(E49,'Cost_Components'!$A$2:$A$27,0)),"")</f>
      </c>
      <c r="AF49" s="85" t="n">
        <v>390591176.424693</v>
      </c>
      <c r="AG49" s="86" t="n">
        <v>388881995.226141</v>
      </c>
      <c r="AH49" s="87" t="str">
        <f>IF(H49="shared-count-once",COUNTIFS($A$2:$A$1353,A49,$B$2:$B$1353,B49,$E$2:$E$1353,E49),1)</f>
      </c>
    </row>
    <row r="50">
      <c r="A50" t="s">
        <v>162</v>
      </c>
      <c r="B50" s="59" t="n">
        <v>2047</v>
      </c>
      <c r="C50" t="s">
        <v>162</v>
      </c>
      <c r="D50"/>
      <c r="E50" s="60" t="s">
        <v>254</v>
      </c>
      <c r="F50" s="61" t="s">
        <v>255</v>
      </c>
      <c r="G50" s="62" t="s">
        <v>171</v>
      </c>
      <c r="H50" s="63" t="s">
        <v>172</v>
      </c>
      <c r="I50" s="64" t="s">
        <v>75</v>
      </c>
      <c r="J50" s="65" t="str">
        <f>IFERROR(INDEX('Cost_Components'!$K$2:$K$27,MATCH(E50,'Cost_Components'!$A$2:$A$27,0)),"")</f>
      </c>
      <c r="K50" s="66" t="str">
        <f>IF(OR(L50="",Z50="",AA50="",AB50=""),"",IF(B50&lt;AA50,L50,IF(B50&gt;AB50,Z50,L50+(Z50-L50)*MIN(MAX((B50-AA50+1)/MAX(AB50-AA50+1,1),0),1))))</f>
      </c>
      <c r="L50" s="67" t="str">
        <f>IFERROR(INDEX('Cost_Components'!$S$2:$S$27,MATCH(E50,'Cost_Components'!$A$2:$A$27,0)),"")</f>
      </c>
      <c r="M50" s="68" t="str">
        <f>IFERROR(INDEX('Cost_Components'!$L$2:$L$27,MATCH(E50,'Cost_Components'!$A$2:$A$27,0)),"")</f>
      </c>
      <c r="N50" s="69" t="str">
        <f>IFERROR(INDEX('Cost_Components'!$P$2:$P$27,MATCH(E50,'Cost_Components'!$A$2:$A$27,0)),"")</f>
      </c>
      <c r="O50" s="70" t="str">
        <f>AF50*J50</f>
      </c>
      <c r="P50" s="71" t="str">
        <f>AG50*J50</f>
      </c>
      <c r="Q50" s="72" t="str">
        <f>P50*L50*M50*N50</f>
      </c>
      <c r="R50" s="73" t="str">
        <f>O50*K50*M50*N50</f>
      </c>
      <c r="S50" s="74" t="str">
        <f>R50-Q50</f>
      </c>
      <c r="T50" s="20" t="str">
        <f>IFERROR(INDEX('Cost_Components'!$R$2:$R$27,MATCH(E50,'Cost_Components'!$A$2:$A$27,0)),"")</f>
      </c>
      <c r="U50" s="75" t="str">
        <f>IFERROR(INDEX('Cost_Components'!$Q$2:$Q$27,MATCH(E50,'Cost_Components'!$A$2:$A$27,0)),"")</f>
      </c>
      <c r="V50" s="76" t="str">
        <f>1/(1+'Calculation_Assumptions'!$B$5)^(B50-'Calculation_Assumptions'!$B$2)</f>
      </c>
      <c r="W50" s="77" t="str">
        <f>Q50*V50</f>
      </c>
      <c r="X50" s="78" t="str">
        <f>R50*V50</f>
      </c>
      <c r="Y50" s="79" t="str">
        <f>S50*V50</f>
      </c>
      <c r="Z50" s="80" t="str">
        <f>IFERROR(INDEX('Cost_Components'!$T$2:$T$27,MATCH(E50,'Cost_Components'!$A$2:$A$27,0)),"")</f>
      </c>
      <c r="AA50" s="81" t="str">
        <f>IFERROR(INDEX('Cost_Components'!$U$2:$U$27,MATCH(E50,'Cost_Components'!$A$2:$A$27,0)),"")</f>
      </c>
      <c r="AB50" s="82" t="str">
        <f>IFERROR(INDEX('Cost_Components'!$V$2:$V$27,MATCH(E50,'Cost_Components'!$A$2:$A$27,0)),"")</f>
      </c>
      <c r="AC50" s="83" t="str">
        <f>IFERROR(INDEX('Cost_Components'!$M$2:$M$27,MATCH(E50,'Cost_Components'!$A$2:$A$27,0)),"")</f>
      </c>
      <c r="AD50" s="84" t="str">
        <f>IFERROR(INDEX('Cost_Components'!$N$2:$N$27,MATCH(E50,'Cost_Components'!$A$2:$A$27,0)),"")</f>
      </c>
      <c r="AE50" s="20" t="str">
        <f>IFERROR(INDEX('Cost_Components'!$O$2:$O$27,MATCH(E50,'Cost_Components'!$A$2:$A$27,0)),"")</f>
      </c>
      <c r="AF50" s="85" t="n">
        <v>393403263.865537</v>
      </c>
      <c r="AG50" s="86" t="n">
        <v>391500205.031394</v>
      </c>
      <c r="AH50" s="87" t="str">
        <f>IF(H50="shared-count-once",COUNTIFS($A$2:$A$1353,A50,$B$2:$B$1353,B50,$E$2:$E$1353,E50),1)</f>
      </c>
    </row>
    <row r="51">
      <c r="A51" t="s">
        <v>162</v>
      </c>
      <c r="B51" s="59" t="n">
        <v>2048</v>
      </c>
      <c r="C51" t="s">
        <v>162</v>
      </c>
      <c r="D51"/>
      <c r="E51" s="60" t="s">
        <v>254</v>
      </c>
      <c r="F51" s="61" t="s">
        <v>255</v>
      </c>
      <c r="G51" s="62" t="s">
        <v>171</v>
      </c>
      <c r="H51" s="63" t="s">
        <v>172</v>
      </c>
      <c r="I51" s="64" t="s">
        <v>75</v>
      </c>
      <c r="J51" s="65" t="str">
        <f>IFERROR(INDEX('Cost_Components'!$K$2:$K$27,MATCH(E51,'Cost_Components'!$A$2:$A$27,0)),"")</f>
      </c>
      <c r="K51" s="66" t="str">
        <f>IF(OR(L51="",Z51="",AA51="",AB51=""),"",IF(B51&lt;AA51,L51,IF(B51&gt;AB51,Z51,L51+(Z51-L51)*MIN(MAX((B51-AA51+1)/MAX(AB51-AA51+1,1),0),1))))</f>
      </c>
      <c r="L51" s="67" t="str">
        <f>IFERROR(INDEX('Cost_Components'!$S$2:$S$27,MATCH(E51,'Cost_Components'!$A$2:$A$27,0)),"")</f>
      </c>
      <c r="M51" s="68" t="str">
        <f>IFERROR(INDEX('Cost_Components'!$L$2:$L$27,MATCH(E51,'Cost_Components'!$A$2:$A$27,0)),"")</f>
      </c>
      <c r="N51" s="69" t="str">
        <f>IFERROR(INDEX('Cost_Components'!$P$2:$P$27,MATCH(E51,'Cost_Components'!$A$2:$A$27,0)),"")</f>
      </c>
      <c r="O51" s="70" t="str">
        <f>AF51*J51</f>
      </c>
      <c r="P51" s="71" t="str">
        <f>AG51*J51</f>
      </c>
      <c r="Q51" s="72" t="str">
        <f>P51*L51*M51*N51</f>
      </c>
      <c r="R51" s="73" t="str">
        <f>O51*K51*M51*N51</f>
      </c>
      <c r="S51" s="74" t="str">
        <f>R51-Q51</f>
      </c>
      <c r="T51" s="20" t="str">
        <f>IFERROR(INDEX('Cost_Components'!$R$2:$R$27,MATCH(E51,'Cost_Components'!$A$2:$A$27,0)),"")</f>
      </c>
      <c r="U51" s="75" t="str">
        <f>IFERROR(INDEX('Cost_Components'!$Q$2:$Q$27,MATCH(E51,'Cost_Components'!$A$2:$A$27,0)),"")</f>
      </c>
      <c r="V51" s="76" t="str">
        <f>1/(1+'Calculation_Assumptions'!$B$5)^(B51-'Calculation_Assumptions'!$B$2)</f>
      </c>
      <c r="W51" s="77" t="str">
        <f>Q51*V51</f>
      </c>
      <c r="X51" s="78" t="str">
        <f>R51*V51</f>
      </c>
      <c r="Y51" s="79" t="str">
        <f>S51*V51</f>
      </c>
      <c r="Z51" s="80" t="str">
        <f>IFERROR(INDEX('Cost_Components'!$T$2:$T$27,MATCH(E51,'Cost_Components'!$A$2:$A$27,0)),"")</f>
      </c>
      <c r="AA51" s="81" t="str">
        <f>IFERROR(INDEX('Cost_Components'!$U$2:$U$27,MATCH(E51,'Cost_Components'!$A$2:$A$27,0)),"")</f>
      </c>
      <c r="AB51" s="82" t="str">
        <f>IFERROR(INDEX('Cost_Components'!$V$2:$V$27,MATCH(E51,'Cost_Components'!$A$2:$A$27,0)),"")</f>
      </c>
      <c r="AC51" s="83" t="str">
        <f>IFERROR(INDEX('Cost_Components'!$M$2:$M$27,MATCH(E51,'Cost_Components'!$A$2:$A$27,0)),"")</f>
      </c>
      <c r="AD51" s="84" t="str">
        <f>IFERROR(INDEX('Cost_Components'!$N$2:$N$27,MATCH(E51,'Cost_Components'!$A$2:$A$27,0)),"")</f>
      </c>
      <c r="AE51" s="20" t="str">
        <f>IFERROR(INDEX('Cost_Components'!$O$2:$O$27,MATCH(E51,'Cost_Components'!$A$2:$A$27,0)),"")</f>
      </c>
      <c r="AF51" s="85" t="n">
        <v>395981847.098738</v>
      </c>
      <c r="AG51" s="86" t="n">
        <v>393875413.3351</v>
      </c>
      <c r="AH51" s="87" t="str">
        <f>IF(H51="shared-count-once",COUNTIFS($A$2:$A$1353,A51,$B$2:$B$1353,B51,$E$2:$E$1353,E51),1)</f>
      </c>
    </row>
    <row r="52">
      <c r="A52" t="s">
        <v>162</v>
      </c>
      <c r="B52" s="59" t="n">
        <v>2049</v>
      </c>
      <c r="C52" t="s">
        <v>162</v>
      </c>
      <c r="D52"/>
      <c r="E52" s="60" t="s">
        <v>254</v>
      </c>
      <c r="F52" s="61" t="s">
        <v>255</v>
      </c>
      <c r="G52" s="62" t="s">
        <v>171</v>
      </c>
      <c r="H52" s="63" t="s">
        <v>172</v>
      </c>
      <c r="I52" s="64" t="s">
        <v>75</v>
      </c>
      <c r="J52" s="65" t="str">
        <f>IFERROR(INDEX('Cost_Components'!$K$2:$K$27,MATCH(E52,'Cost_Components'!$A$2:$A$27,0)),"")</f>
      </c>
      <c r="K52" s="66" t="str">
        <f>IF(OR(L52="",Z52="",AA52="",AB52=""),"",IF(B52&lt;AA52,L52,IF(B52&gt;AB52,Z52,L52+(Z52-L52)*MIN(MAX((B52-AA52+1)/MAX(AB52-AA52+1,1),0),1))))</f>
      </c>
      <c r="L52" s="67" t="str">
        <f>IFERROR(INDEX('Cost_Components'!$S$2:$S$27,MATCH(E52,'Cost_Components'!$A$2:$A$27,0)),"")</f>
      </c>
      <c r="M52" s="68" t="str">
        <f>IFERROR(INDEX('Cost_Components'!$L$2:$L$27,MATCH(E52,'Cost_Components'!$A$2:$A$27,0)),"")</f>
      </c>
      <c r="N52" s="69" t="str">
        <f>IFERROR(INDEX('Cost_Components'!$P$2:$P$27,MATCH(E52,'Cost_Components'!$A$2:$A$27,0)),"")</f>
      </c>
      <c r="O52" s="70" t="str">
        <f>AF52*J52</f>
      </c>
      <c r="P52" s="71" t="str">
        <f>AG52*J52</f>
      </c>
      <c r="Q52" s="72" t="str">
        <f>P52*L52*M52*N52</f>
      </c>
      <c r="R52" s="73" t="str">
        <f>O52*K52*M52*N52</f>
      </c>
      <c r="S52" s="74" t="str">
        <f>R52-Q52</f>
      </c>
      <c r="T52" s="20" t="str">
        <f>IFERROR(INDEX('Cost_Components'!$R$2:$R$27,MATCH(E52,'Cost_Components'!$A$2:$A$27,0)),"")</f>
      </c>
      <c r="U52" s="75" t="str">
        <f>IFERROR(INDEX('Cost_Components'!$Q$2:$Q$27,MATCH(E52,'Cost_Components'!$A$2:$A$27,0)),"")</f>
      </c>
      <c r="V52" s="76" t="str">
        <f>1/(1+'Calculation_Assumptions'!$B$5)^(B52-'Calculation_Assumptions'!$B$2)</f>
      </c>
      <c r="W52" s="77" t="str">
        <f>Q52*V52</f>
      </c>
      <c r="X52" s="78" t="str">
        <f>R52*V52</f>
      </c>
      <c r="Y52" s="79" t="str">
        <f>S52*V52</f>
      </c>
      <c r="Z52" s="80" t="str">
        <f>IFERROR(INDEX('Cost_Components'!$T$2:$T$27,MATCH(E52,'Cost_Components'!$A$2:$A$27,0)),"")</f>
      </c>
      <c r="AA52" s="81" t="str">
        <f>IFERROR(INDEX('Cost_Components'!$U$2:$U$27,MATCH(E52,'Cost_Components'!$A$2:$A$27,0)),"")</f>
      </c>
      <c r="AB52" s="82" t="str">
        <f>IFERROR(INDEX('Cost_Components'!$V$2:$V$27,MATCH(E52,'Cost_Components'!$A$2:$A$27,0)),"")</f>
      </c>
      <c r="AC52" s="83" t="str">
        <f>IFERROR(INDEX('Cost_Components'!$M$2:$M$27,MATCH(E52,'Cost_Components'!$A$2:$A$27,0)),"")</f>
      </c>
      <c r="AD52" s="84" t="str">
        <f>IFERROR(INDEX('Cost_Components'!$N$2:$N$27,MATCH(E52,'Cost_Components'!$A$2:$A$27,0)),"")</f>
      </c>
      <c r="AE52" s="20" t="str">
        <f>IFERROR(INDEX('Cost_Components'!$O$2:$O$27,MATCH(E52,'Cost_Components'!$A$2:$A$27,0)),"")</f>
      </c>
      <c r="AF52" s="85" t="n">
        <v>398387322.219323</v>
      </c>
      <c r="AG52" s="86" t="n">
        <v>396033415.146226</v>
      </c>
      <c r="AH52" s="87" t="str">
        <f>IF(H52="shared-count-once",COUNTIFS($A$2:$A$1353,A52,$B$2:$B$1353,B52,$E$2:$E$1353,E52),1)</f>
      </c>
    </row>
    <row r="53">
      <c r="A53" t="s">
        <v>162</v>
      </c>
      <c r="B53" s="59" t="n">
        <v>2050</v>
      </c>
      <c r="C53" t="s">
        <v>162</v>
      </c>
      <c r="D53"/>
      <c r="E53" s="60" t="s">
        <v>254</v>
      </c>
      <c r="F53" s="61" t="s">
        <v>255</v>
      </c>
      <c r="G53" s="62" t="s">
        <v>171</v>
      </c>
      <c r="H53" s="63" t="s">
        <v>172</v>
      </c>
      <c r="I53" s="64" t="s">
        <v>75</v>
      </c>
      <c r="J53" s="65" t="str">
        <f>IFERROR(INDEX('Cost_Components'!$K$2:$K$27,MATCH(E53,'Cost_Components'!$A$2:$A$27,0)),"")</f>
      </c>
      <c r="K53" s="66" t="str">
        <f>IF(OR(L53="",Z53="",AA53="",AB53=""),"",IF(B53&lt;AA53,L53,IF(B53&gt;AB53,Z53,L53+(Z53-L53)*MIN(MAX((B53-AA53+1)/MAX(AB53-AA53+1,1),0),1))))</f>
      </c>
      <c r="L53" s="67" t="str">
        <f>IFERROR(INDEX('Cost_Components'!$S$2:$S$27,MATCH(E53,'Cost_Components'!$A$2:$A$27,0)),"")</f>
      </c>
      <c r="M53" s="68" t="str">
        <f>IFERROR(INDEX('Cost_Components'!$L$2:$L$27,MATCH(E53,'Cost_Components'!$A$2:$A$27,0)),"")</f>
      </c>
      <c r="N53" s="69" t="str">
        <f>IFERROR(INDEX('Cost_Components'!$P$2:$P$27,MATCH(E53,'Cost_Components'!$A$2:$A$27,0)),"")</f>
      </c>
      <c r="O53" s="70" t="str">
        <f>AF53*J53</f>
      </c>
      <c r="P53" s="71" t="str">
        <f>AG53*J53</f>
      </c>
      <c r="Q53" s="72" t="str">
        <f>P53*L53*M53*N53</f>
      </c>
      <c r="R53" s="73" t="str">
        <f>O53*K53*M53*N53</f>
      </c>
      <c r="S53" s="74" t="str">
        <f>R53-Q53</f>
      </c>
      <c r="T53" s="20" t="str">
        <f>IFERROR(INDEX('Cost_Components'!$R$2:$R$27,MATCH(E53,'Cost_Components'!$A$2:$A$27,0)),"")</f>
      </c>
      <c r="U53" s="75" t="str">
        <f>IFERROR(INDEX('Cost_Components'!$Q$2:$Q$27,MATCH(E53,'Cost_Components'!$A$2:$A$27,0)),"")</f>
      </c>
      <c r="V53" s="76" t="str">
        <f>1/(1+'Calculation_Assumptions'!$B$5)^(B53-'Calculation_Assumptions'!$B$2)</f>
      </c>
      <c r="W53" s="77" t="str">
        <f>Q53*V53</f>
      </c>
      <c r="X53" s="78" t="str">
        <f>R53*V53</f>
      </c>
      <c r="Y53" s="79" t="str">
        <f>S53*V53</f>
      </c>
      <c r="Z53" s="80" t="str">
        <f>IFERROR(INDEX('Cost_Components'!$T$2:$T$27,MATCH(E53,'Cost_Components'!$A$2:$A$27,0)),"")</f>
      </c>
      <c r="AA53" s="81" t="str">
        <f>IFERROR(INDEX('Cost_Components'!$U$2:$U$27,MATCH(E53,'Cost_Components'!$A$2:$A$27,0)),"")</f>
      </c>
      <c r="AB53" s="82" t="str">
        <f>IFERROR(INDEX('Cost_Components'!$V$2:$V$27,MATCH(E53,'Cost_Components'!$A$2:$A$27,0)),"")</f>
      </c>
      <c r="AC53" s="83" t="str">
        <f>IFERROR(INDEX('Cost_Components'!$M$2:$M$27,MATCH(E53,'Cost_Components'!$A$2:$A$27,0)),"")</f>
      </c>
      <c r="AD53" s="84" t="str">
        <f>IFERROR(INDEX('Cost_Components'!$N$2:$N$27,MATCH(E53,'Cost_Components'!$A$2:$A$27,0)),"")</f>
      </c>
      <c r="AE53" s="20" t="str">
        <f>IFERROR(INDEX('Cost_Components'!$O$2:$O$27,MATCH(E53,'Cost_Components'!$A$2:$A$27,0)),"")</f>
      </c>
      <c r="AF53" s="85" t="n">
        <v>400711087.453361</v>
      </c>
      <c r="AG53" s="86" t="n">
        <v>398132538.931365</v>
      </c>
      <c r="AH53" s="87" t="str">
        <f>IF(H53="shared-count-once",COUNTIFS($A$2:$A$1353,A53,$B$2:$B$1353,B53,$E$2:$E$1353,E53),1)</f>
      </c>
    </row>
    <row r="54">
      <c r="A54" t="s">
        <v>186</v>
      </c>
      <c r="B54" s="59" t="n">
        <v>2025</v>
      </c>
      <c r="C54" t="s">
        <v>186</v>
      </c>
      <c r="D54" t="s">
        <v>190</v>
      </c>
      <c r="E54" s="60" t="s">
        <v>263</v>
      </c>
      <c r="F54" s="61" t="s">
        <v>264</v>
      </c>
      <c r="G54" s="62" t="s">
        <v>187</v>
      </c>
      <c r="H54" s="63" t="s">
        <v>195</v>
      </c>
      <c r="I54" s="64" t="s">
        <v>267</v>
      </c>
      <c r="J54" s="65" t="str">
        <f>IFERROR(INDEX('Cost_Components'!$K$2:$K$27,MATCH(E54,'Cost_Components'!$A$2:$A$27,0)),"")</f>
      </c>
      <c r="K54" s="66" t="str">
        <f>IF(OR(L54="",Z54="",AA54="",AB54=""),"",IF(B54&lt;AA54,L54,IF(B54&gt;AB54,Z54,L54+(Z54-L54)*MIN(MAX((B54-AA54+1)/MAX(AB54-AA54+1,1),0),1))))</f>
      </c>
      <c r="L54" s="67" t="str">
        <f>IFERROR(INDEX('Cost_Components'!$S$2:$S$27,MATCH(E54,'Cost_Components'!$A$2:$A$27,0)),"")</f>
      </c>
      <c r="M54" s="68" t="str">
        <f>IFERROR(INDEX('Cost_Components'!$L$2:$L$27,MATCH(E54,'Cost_Components'!$A$2:$A$27,0)),"")</f>
      </c>
      <c r="N54" s="69" t="str">
        <f>IFERROR(INDEX('Cost_Components'!$P$2:$P$27,MATCH(E54,'Cost_Components'!$A$2:$A$27,0)),"")</f>
      </c>
      <c r="O54" s="70" t="str">
        <f>AF54*J54</f>
      </c>
      <c r="P54" s="71" t="str">
        <f>AG54*J54</f>
      </c>
      <c r="Q54" s="72" t="str">
        <f>P54*L54*M54*N54</f>
      </c>
      <c r="R54" s="73" t="str">
        <f>O54*K54*M54*N54</f>
      </c>
      <c r="S54" s="74" t="str">
        <f>R54-Q54</f>
      </c>
      <c r="T54" s="20" t="str">
        <f>IFERROR(INDEX('Cost_Components'!$R$2:$R$27,MATCH(E54,'Cost_Components'!$A$2:$A$27,0)),"")</f>
      </c>
      <c r="U54" s="75" t="str">
        <f>IFERROR(INDEX('Cost_Components'!$Q$2:$Q$27,MATCH(E54,'Cost_Components'!$A$2:$A$27,0)),"")</f>
      </c>
      <c r="V54" s="76" t="str">
        <f>1/(1+'Calculation_Assumptions'!$B$5)^(B54-'Calculation_Assumptions'!$B$2)</f>
      </c>
      <c r="W54" s="77" t="str">
        <f>Q54*V54</f>
      </c>
      <c r="X54" s="78" t="str">
        <f>R54*V54</f>
      </c>
      <c r="Y54" s="79" t="str">
        <f>S54*V54</f>
      </c>
      <c r="Z54" s="80" t="str">
        <f>IFERROR(INDEX('Cost_Components'!$T$2:$T$27,MATCH(E54,'Cost_Components'!$A$2:$A$27,0)),"")</f>
      </c>
      <c r="AA54" s="81" t="str">
        <f>IFERROR(INDEX('Cost_Components'!$U$2:$U$27,MATCH(E54,'Cost_Components'!$A$2:$A$27,0)),"")</f>
      </c>
      <c r="AB54" s="82" t="str">
        <f>IFERROR(INDEX('Cost_Components'!$V$2:$V$27,MATCH(E54,'Cost_Components'!$A$2:$A$27,0)),"")</f>
      </c>
      <c r="AC54" s="83" t="str">
        <f>IFERROR(INDEX('Cost_Components'!$M$2:$M$27,MATCH(E54,'Cost_Components'!$A$2:$A$27,0)),"")</f>
      </c>
      <c r="AD54" s="84" t="str">
        <f>IFERROR(INDEX('Cost_Components'!$N$2:$N$27,MATCH(E54,'Cost_Components'!$A$2:$A$27,0)),"")</f>
      </c>
      <c r="AE54" s="20" t="str">
        <f>IFERROR(INDEX('Cost_Components'!$O$2:$O$27,MATCH(E54,'Cost_Components'!$A$2:$A$27,0)),"")</f>
      </c>
      <c r="AF54" s="85" t="n">
        <v>53324.4941068588</v>
      </c>
      <c r="AG54" s="86" t="n">
        <v>53296.1227580098</v>
      </c>
      <c r="AH54" s="87" t="str">
        <f>IF(H54="shared-count-once",COUNTIFS($A$2:$A$1353,A54,$B$2:$B$1353,B54,$E$2:$E$1353,E54),1)</f>
      </c>
    </row>
    <row r="55">
      <c r="A55" t="s">
        <v>186</v>
      </c>
      <c r="B55" s="59" t="n">
        <v>2026</v>
      </c>
      <c r="C55" t="s">
        <v>186</v>
      </c>
      <c r="D55" t="s">
        <v>190</v>
      </c>
      <c r="E55" s="60" t="s">
        <v>263</v>
      </c>
      <c r="F55" s="61" t="s">
        <v>264</v>
      </c>
      <c r="G55" s="62" t="s">
        <v>187</v>
      </c>
      <c r="H55" s="63" t="s">
        <v>195</v>
      </c>
      <c r="I55" s="64" t="s">
        <v>267</v>
      </c>
      <c r="J55" s="65" t="str">
        <f>IFERROR(INDEX('Cost_Components'!$K$2:$K$27,MATCH(E55,'Cost_Components'!$A$2:$A$27,0)),"")</f>
      </c>
      <c r="K55" s="66" t="str">
        <f>IF(OR(L55="",Z55="",AA55="",AB55=""),"",IF(B55&lt;AA55,L55,IF(B55&gt;AB55,Z55,L55+(Z55-L55)*MIN(MAX((B55-AA55+1)/MAX(AB55-AA55+1,1),0),1))))</f>
      </c>
      <c r="L55" s="67" t="str">
        <f>IFERROR(INDEX('Cost_Components'!$S$2:$S$27,MATCH(E55,'Cost_Components'!$A$2:$A$27,0)),"")</f>
      </c>
      <c r="M55" s="68" t="str">
        <f>IFERROR(INDEX('Cost_Components'!$L$2:$L$27,MATCH(E55,'Cost_Components'!$A$2:$A$27,0)),"")</f>
      </c>
      <c r="N55" s="69" t="str">
        <f>IFERROR(INDEX('Cost_Components'!$P$2:$P$27,MATCH(E55,'Cost_Components'!$A$2:$A$27,0)),"")</f>
      </c>
      <c r="O55" s="70" t="str">
        <f>AF55*J55</f>
      </c>
      <c r="P55" s="71" t="str">
        <f>AG55*J55</f>
      </c>
      <c r="Q55" s="72" t="str">
        <f>P55*L55*M55*N55</f>
      </c>
      <c r="R55" s="73" t="str">
        <f>O55*K55*M55*N55</f>
      </c>
      <c r="S55" s="74" t="str">
        <f>R55-Q55</f>
      </c>
      <c r="T55" s="20" t="str">
        <f>IFERROR(INDEX('Cost_Components'!$R$2:$R$27,MATCH(E55,'Cost_Components'!$A$2:$A$27,0)),"")</f>
      </c>
      <c r="U55" s="75" t="str">
        <f>IFERROR(INDEX('Cost_Components'!$Q$2:$Q$27,MATCH(E55,'Cost_Components'!$A$2:$A$27,0)),"")</f>
      </c>
      <c r="V55" s="76" t="str">
        <f>1/(1+'Calculation_Assumptions'!$B$5)^(B55-'Calculation_Assumptions'!$B$2)</f>
      </c>
      <c r="W55" s="77" t="str">
        <f>Q55*V55</f>
      </c>
      <c r="X55" s="78" t="str">
        <f>R55*V55</f>
      </c>
      <c r="Y55" s="79" t="str">
        <f>S55*V55</f>
      </c>
      <c r="Z55" s="80" t="str">
        <f>IFERROR(INDEX('Cost_Components'!$T$2:$T$27,MATCH(E55,'Cost_Components'!$A$2:$A$27,0)),"")</f>
      </c>
      <c r="AA55" s="81" t="str">
        <f>IFERROR(INDEX('Cost_Components'!$U$2:$U$27,MATCH(E55,'Cost_Components'!$A$2:$A$27,0)),"")</f>
      </c>
      <c r="AB55" s="82" t="str">
        <f>IFERROR(INDEX('Cost_Components'!$V$2:$V$27,MATCH(E55,'Cost_Components'!$A$2:$A$27,0)),"")</f>
      </c>
      <c r="AC55" s="83" t="str">
        <f>IFERROR(INDEX('Cost_Components'!$M$2:$M$27,MATCH(E55,'Cost_Components'!$A$2:$A$27,0)),"")</f>
      </c>
      <c r="AD55" s="84" t="str">
        <f>IFERROR(INDEX('Cost_Components'!$N$2:$N$27,MATCH(E55,'Cost_Components'!$A$2:$A$27,0)),"")</f>
      </c>
      <c r="AE55" s="20" t="str">
        <f>IFERROR(INDEX('Cost_Components'!$O$2:$O$27,MATCH(E55,'Cost_Components'!$A$2:$A$27,0)),"")</f>
      </c>
      <c r="AF55" s="85" t="n">
        <v>55224.5581465324</v>
      </c>
      <c r="AG55" s="86" t="n">
        <v>55143.6567615615</v>
      </c>
      <c r="AH55" s="87" t="str">
        <f>IF(H55="shared-count-once",COUNTIFS($A$2:$A$1353,A55,$B$2:$B$1353,B55,$E$2:$E$1353,E55),1)</f>
      </c>
    </row>
    <row r="56">
      <c r="A56" t="s">
        <v>186</v>
      </c>
      <c r="B56" s="59" t="n">
        <v>2027</v>
      </c>
      <c r="C56" t="s">
        <v>186</v>
      </c>
      <c r="D56" t="s">
        <v>190</v>
      </c>
      <c r="E56" s="60" t="s">
        <v>263</v>
      </c>
      <c r="F56" s="61" t="s">
        <v>264</v>
      </c>
      <c r="G56" s="62" t="s">
        <v>187</v>
      </c>
      <c r="H56" s="63" t="s">
        <v>195</v>
      </c>
      <c r="I56" s="64" t="s">
        <v>267</v>
      </c>
      <c r="J56" s="65" t="str">
        <f>IFERROR(INDEX('Cost_Components'!$K$2:$K$27,MATCH(E56,'Cost_Components'!$A$2:$A$27,0)),"")</f>
      </c>
      <c r="K56" s="66" t="str">
        <f>IF(OR(L56="",Z56="",AA56="",AB56=""),"",IF(B56&lt;AA56,L56,IF(B56&gt;AB56,Z56,L56+(Z56-L56)*MIN(MAX((B56-AA56+1)/MAX(AB56-AA56+1,1),0),1))))</f>
      </c>
      <c r="L56" s="67" t="str">
        <f>IFERROR(INDEX('Cost_Components'!$S$2:$S$27,MATCH(E56,'Cost_Components'!$A$2:$A$27,0)),"")</f>
      </c>
      <c r="M56" s="68" t="str">
        <f>IFERROR(INDEX('Cost_Components'!$L$2:$L$27,MATCH(E56,'Cost_Components'!$A$2:$A$27,0)),"")</f>
      </c>
      <c r="N56" s="69" t="str">
        <f>IFERROR(INDEX('Cost_Components'!$P$2:$P$27,MATCH(E56,'Cost_Components'!$A$2:$A$27,0)),"")</f>
      </c>
      <c r="O56" s="70" t="str">
        <f>AF56*J56</f>
      </c>
      <c r="P56" s="71" t="str">
        <f>AG56*J56</f>
      </c>
      <c r="Q56" s="72" t="str">
        <f>P56*L56*M56*N56</f>
      </c>
      <c r="R56" s="73" t="str">
        <f>O56*K56*M56*N56</f>
      </c>
      <c r="S56" s="74" t="str">
        <f>R56-Q56</f>
      </c>
      <c r="T56" s="20" t="str">
        <f>IFERROR(INDEX('Cost_Components'!$R$2:$R$27,MATCH(E56,'Cost_Components'!$A$2:$A$27,0)),"")</f>
      </c>
      <c r="U56" s="75" t="str">
        <f>IFERROR(INDEX('Cost_Components'!$Q$2:$Q$27,MATCH(E56,'Cost_Components'!$A$2:$A$27,0)),"")</f>
      </c>
      <c r="V56" s="76" t="str">
        <f>1/(1+'Calculation_Assumptions'!$B$5)^(B56-'Calculation_Assumptions'!$B$2)</f>
      </c>
      <c r="W56" s="77" t="str">
        <f>Q56*V56</f>
      </c>
      <c r="X56" s="78" t="str">
        <f>R56*V56</f>
      </c>
      <c r="Y56" s="79" t="str">
        <f>S56*V56</f>
      </c>
      <c r="Z56" s="80" t="str">
        <f>IFERROR(INDEX('Cost_Components'!$T$2:$T$27,MATCH(E56,'Cost_Components'!$A$2:$A$27,0)),"")</f>
      </c>
      <c r="AA56" s="81" t="str">
        <f>IFERROR(INDEX('Cost_Components'!$U$2:$U$27,MATCH(E56,'Cost_Components'!$A$2:$A$27,0)),"")</f>
      </c>
      <c r="AB56" s="82" t="str">
        <f>IFERROR(INDEX('Cost_Components'!$V$2:$V$27,MATCH(E56,'Cost_Components'!$A$2:$A$27,0)),"")</f>
      </c>
      <c r="AC56" s="83" t="str">
        <f>IFERROR(INDEX('Cost_Components'!$M$2:$M$27,MATCH(E56,'Cost_Components'!$A$2:$A$27,0)),"")</f>
      </c>
      <c r="AD56" s="84" t="str">
        <f>IFERROR(INDEX('Cost_Components'!$N$2:$N$27,MATCH(E56,'Cost_Components'!$A$2:$A$27,0)),"")</f>
      </c>
      <c r="AE56" s="20" t="str">
        <f>IFERROR(INDEX('Cost_Components'!$O$2:$O$27,MATCH(E56,'Cost_Components'!$A$2:$A$27,0)),"")</f>
      </c>
      <c r="AF56" s="85" t="n">
        <v>57117.0161871214</v>
      </c>
      <c r="AG56" s="86" t="n">
        <v>56962.5739985964</v>
      </c>
      <c r="AH56" s="87" t="str">
        <f>IF(H56="shared-count-once",COUNTIFS($A$2:$A$1353,A56,$B$2:$B$1353,B56,$E$2:$E$1353,E56),1)</f>
      </c>
    </row>
    <row r="57">
      <c r="A57" t="s">
        <v>186</v>
      </c>
      <c r="B57" s="59" t="n">
        <v>2028</v>
      </c>
      <c r="C57" t="s">
        <v>186</v>
      </c>
      <c r="D57" t="s">
        <v>190</v>
      </c>
      <c r="E57" s="60" t="s">
        <v>263</v>
      </c>
      <c r="F57" s="61" t="s">
        <v>264</v>
      </c>
      <c r="G57" s="62" t="s">
        <v>187</v>
      </c>
      <c r="H57" s="63" t="s">
        <v>195</v>
      </c>
      <c r="I57" s="64" t="s">
        <v>267</v>
      </c>
      <c r="J57" s="65" t="str">
        <f>IFERROR(INDEX('Cost_Components'!$K$2:$K$27,MATCH(E57,'Cost_Components'!$A$2:$A$27,0)),"")</f>
      </c>
      <c r="K57" s="66" t="str">
        <f>IF(OR(L57="",Z57="",AA57="",AB57=""),"",IF(B57&lt;AA57,L57,IF(B57&gt;AB57,Z57,L57+(Z57-L57)*MIN(MAX((B57-AA57+1)/MAX(AB57-AA57+1,1),0),1))))</f>
      </c>
      <c r="L57" s="67" t="str">
        <f>IFERROR(INDEX('Cost_Components'!$S$2:$S$27,MATCH(E57,'Cost_Components'!$A$2:$A$27,0)),"")</f>
      </c>
      <c r="M57" s="68" t="str">
        <f>IFERROR(INDEX('Cost_Components'!$L$2:$L$27,MATCH(E57,'Cost_Components'!$A$2:$A$27,0)),"")</f>
      </c>
      <c r="N57" s="69" t="str">
        <f>IFERROR(INDEX('Cost_Components'!$P$2:$P$27,MATCH(E57,'Cost_Components'!$A$2:$A$27,0)),"")</f>
      </c>
      <c r="O57" s="70" t="str">
        <f>AF57*J57</f>
      </c>
      <c r="P57" s="71" t="str">
        <f>AG57*J57</f>
      </c>
      <c r="Q57" s="72" t="str">
        <f>P57*L57*M57*N57</f>
      </c>
      <c r="R57" s="73" t="str">
        <f>O57*K57*M57*N57</f>
      </c>
      <c r="S57" s="74" t="str">
        <f>R57-Q57</f>
      </c>
      <c r="T57" s="20" t="str">
        <f>IFERROR(INDEX('Cost_Components'!$R$2:$R$27,MATCH(E57,'Cost_Components'!$A$2:$A$27,0)),"")</f>
      </c>
      <c r="U57" s="75" t="str">
        <f>IFERROR(INDEX('Cost_Components'!$Q$2:$Q$27,MATCH(E57,'Cost_Components'!$A$2:$A$27,0)),"")</f>
      </c>
      <c r="V57" s="76" t="str">
        <f>1/(1+'Calculation_Assumptions'!$B$5)^(B57-'Calculation_Assumptions'!$B$2)</f>
      </c>
      <c r="W57" s="77" t="str">
        <f>Q57*V57</f>
      </c>
      <c r="X57" s="78" t="str">
        <f>R57*V57</f>
      </c>
      <c r="Y57" s="79" t="str">
        <f>S57*V57</f>
      </c>
      <c r="Z57" s="80" t="str">
        <f>IFERROR(INDEX('Cost_Components'!$T$2:$T$27,MATCH(E57,'Cost_Components'!$A$2:$A$27,0)),"")</f>
      </c>
      <c r="AA57" s="81" t="str">
        <f>IFERROR(INDEX('Cost_Components'!$U$2:$U$27,MATCH(E57,'Cost_Components'!$A$2:$A$27,0)),"")</f>
      </c>
      <c r="AB57" s="82" t="str">
        <f>IFERROR(INDEX('Cost_Components'!$V$2:$V$27,MATCH(E57,'Cost_Components'!$A$2:$A$27,0)),"")</f>
      </c>
      <c r="AC57" s="83" t="str">
        <f>IFERROR(INDEX('Cost_Components'!$M$2:$M$27,MATCH(E57,'Cost_Components'!$A$2:$A$27,0)),"")</f>
      </c>
      <c r="AD57" s="84" t="str">
        <f>IFERROR(INDEX('Cost_Components'!$N$2:$N$27,MATCH(E57,'Cost_Components'!$A$2:$A$27,0)),"")</f>
      </c>
      <c r="AE57" s="20" t="str">
        <f>IFERROR(INDEX('Cost_Components'!$O$2:$O$27,MATCH(E57,'Cost_Components'!$A$2:$A$27,0)),"")</f>
      </c>
      <c r="AF57" s="85" t="n">
        <v>58991.0350090507</v>
      </c>
      <c r="AG57" s="86" t="n">
        <v>58744.4182134355</v>
      </c>
      <c r="AH57" s="87" t="str">
        <f>IF(H57="shared-count-once",COUNTIFS($A$2:$A$1353,A57,$B$2:$B$1353,B57,$E$2:$E$1353,E57),1)</f>
      </c>
    </row>
    <row r="58">
      <c r="A58" t="s">
        <v>186</v>
      </c>
      <c r="B58" s="59" t="n">
        <v>2029</v>
      </c>
      <c r="C58" t="s">
        <v>186</v>
      </c>
      <c r="D58" t="s">
        <v>190</v>
      </c>
      <c r="E58" s="60" t="s">
        <v>263</v>
      </c>
      <c r="F58" s="61" t="s">
        <v>264</v>
      </c>
      <c r="G58" s="62" t="s">
        <v>187</v>
      </c>
      <c r="H58" s="63" t="s">
        <v>195</v>
      </c>
      <c r="I58" s="64" t="s">
        <v>267</v>
      </c>
      <c r="J58" s="65" t="str">
        <f>IFERROR(INDEX('Cost_Components'!$K$2:$K$27,MATCH(E58,'Cost_Components'!$A$2:$A$27,0)),"")</f>
      </c>
      <c r="K58" s="66" t="str">
        <f>IF(OR(L58="",Z58="",AA58="",AB58=""),"",IF(B58&lt;AA58,L58,IF(B58&gt;AB58,Z58,L58+(Z58-L58)*MIN(MAX((B58-AA58+1)/MAX(AB58-AA58+1,1),0),1))))</f>
      </c>
      <c r="L58" s="67" t="str">
        <f>IFERROR(INDEX('Cost_Components'!$S$2:$S$27,MATCH(E58,'Cost_Components'!$A$2:$A$27,0)),"")</f>
      </c>
      <c r="M58" s="68" t="str">
        <f>IFERROR(INDEX('Cost_Components'!$L$2:$L$27,MATCH(E58,'Cost_Components'!$A$2:$A$27,0)),"")</f>
      </c>
      <c r="N58" s="69" t="str">
        <f>IFERROR(INDEX('Cost_Components'!$P$2:$P$27,MATCH(E58,'Cost_Components'!$A$2:$A$27,0)),"")</f>
      </c>
      <c r="O58" s="70" t="str">
        <f>AF58*J58</f>
      </c>
      <c r="P58" s="71" t="str">
        <f>AG58*J58</f>
      </c>
      <c r="Q58" s="72" t="str">
        <f>P58*L58*M58*N58</f>
      </c>
      <c r="R58" s="73" t="str">
        <f>O58*K58*M58*N58</f>
      </c>
      <c r="S58" s="74" t="str">
        <f>R58-Q58</f>
      </c>
      <c r="T58" s="20" t="str">
        <f>IFERROR(INDEX('Cost_Components'!$R$2:$R$27,MATCH(E58,'Cost_Components'!$A$2:$A$27,0)),"")</f>
      </c>
      <c r="U58" s="75" t="str">
        <f>IFERROR(INDEX('Cost_Components'!$Q$2:$Q$27,MATCH(E58,'Cost_Components'!$A$2:$A$27,0)),"")</f>
      </c>
      <c r="V58" s="76" t="str">
        <f>1/(1+'Calculation_Assumptions'!$B$5)^(B58-'Calculation_Assumptions'!$B$2)</f>
      </c>
      <c r="W58" s="77" t="str">
        <f>Q58*V58</f>
      </c>
      <c r="X58" s="78" t="str">
        <f>R58*V58</f>
      </c>
      <c r="Y58" s="79" t="str">
        <f>S58*V58</f>
      </c>
      <c r="Z58" s="80" t="str">
        <f>IFERROR(INDEX('Cost_Components'!$T$2:$T$27,MATCH(E58,'Cost_Components'!$A$2:$A$27,0)),"")</f>
      </c>
      <c r="AA58" s="81" t="str">
        <f>IFERROR(INDEX('Cost_Components'!$U$2:$U$27,MATCH(E58,'Cost_Components'!$A$2:$A$27,0)),"")</f>
      </c>
      <c r="AB58" s="82" t="str">
        <f>IFERROR(INDEX('Cost_Components'!$V$2:$V$27,MATCH(E58,'Cost_Components'!$A$2:$A$27,0)),"")</f>
      </c>
      <c r="AC58" s="83" t="str">
        <f>IFERROR(INDEX('Cost_Components'!$M$2:$M$27,MATCH(E58,'Cost_Components'!$A$2:$A$27,0)),"")</f>
      </c>
      <c r="AD58" s="84" t="str">
        <f>IFERROR(INDEX('Cost_Components'!$N$2:$N$27,MATCH(E58,'Cost_Components'!$A$2:$A$27,0)),"")</f>
      </c>
      <c r="AE58" s="20" t="str">
        <f>IFERROR(INDEX('Cost_Components'!$O$2:$O$27,MATCH(E58,'Cost_Components'!$A$2:$A$27,0)),"")</f>
      </c>
      <c r="AF58" s="85" t="n">
        <v>60852.9763360467</v>
      </c>
      <c r="AG58" s="86" t="n">
        <v>60497.4021807098</v>
      </c>
      <c r="AH58" s="87" t="str">
        <f>IF(H58="shared-count-once",COUNTIFS($A$2:$A$1353,A58,$B$2:$B$1353,B58,$E$2:$E$1353,E58),1)</f>
      </c>
    </row>
    <row r="59">
      <c r="A59" t="s">
        <v>186</v>
      </c>
      <c r="B59" s="59" t="n">
        <v>2030</v>
      </c>
      <c r="C59" t="s">
        <v>186</v>
      </c>
      <c r="D59" t="s">
        <v>190</v>
      </c>
      <c r="E59" s="60" t="s">
        <v>263</v>
      </c>
      <c r="F59" s="61" t="s">
        <v>264</v>
      </c>
      <c r="G59" s="62" t="s">
        <v>187</v>
      </c>
      <c r="H59" s="63" t="s">
        <v>195</v>
      </c>
      <c r="I59" s="64" t="s">
        <v>267</v>
      </c>
      <c r="J59" s="65" t="str">
        <f>IFERROR(INDEX('Cost_Components'!$K$2:$K$27,MATCH(E59,'Cost_Components'!$A$2:$A$27,0)),"")</f>
      </c>
      <c r="K59" s="66" t="str">
        <f>IF(OR(L59="",Z59="",AA59="",AB59=""),"",IF(B59&lt;AA59,L59,IF(B59&gt;AB59,Z59,L59+(Z59-L59)*MIN(MAX((B59-AA59+1)/MAX(AB59-AA59+1,1),0),1))))</f>
      </c>
      <c r="L59" s="67" t="str">
        <f>IFERROR(INDEX('Cost_Components'!$S$2:$S$27,MATCH(E59,'Cost_Components'!$A$2:$A$27,0)),"")</f>
      </c>
      <c r="M59" s="68" t="str">
        <f>IFERROR(INDEX('Cost_Components'!$L$2:$L$27,MATCH(E59,'Cost_Components'!$A$2:$A$27,0)),"")</f>
      </c>
      <c r="N59" s="69" t="str">
        <f>IFERROR(INDEX('Cost_Components'!$P$2:$P$27,MATCH(E59,'Cost_Components'!$A$2:$A$27,0)),"")</f>
      </c>
      <c r="O59" s="70" t="str">
        <f>AF59*J59</f>
      </c>
      <c r="P59" s="71" t="str">
        <f>AG59*J59</f>
      </c>
      <c r="Q59" s="72" t="str">
        <f>P59*L59*M59*N59</f>
      </c>
      <c r="R59" s="73" t="str">
        <f>O59*K59*M59*N59</f>
      </c>
      <c r="S59" s="74" t="str">
        <f>R59-Q59</f>
      </c>
      <c r="T59" s="20" t="str">
        <f>IFERROR(INDEX('Cost_Components'!$R$2:$R$27,MATCH(E59,'Cost_Components'!$A$2:$A$27,0)),"")</f>
      </c>
      <c r="U59" s="75" t="str">
        <f>IFERROR(INDEX('Cost_Components'!$Q$2:$Q$27,MATCH(E59,'Cost_Components'!$A$2:$A$27,0)),"")</f>
      </c>
      <c r="V59" s="76" t="str">
        <f>1/(1+'Calculation_Assumptions'!$B$5)^(B59-'Calculation_Assumptions'!$B$2)</f>
      </c>
      <c r="W59" s="77" t="str">
        <f>Q59*V59</f>
      </c>
      <c r="X59" s="78" t="str">
        <f>R59*V59</f>
      </c>
      <c r="Y59" s="79" t="str">
        <f>S59*V59</f>
      </c>
      <c r="Z59" s="80" t="str">
        <f>IFERROR(INDEX('Cost_Components'!$T$2:$T$27,MATCH(E59,'Cost_Components'!$A$2:$A$27,0)),"")</f>
      </c>
      <c r="AA59" s="81" t="str">
        <f>IFERROR(INDEX('Cost_Components'!$U$2:$U$27,MATCH(E59,'Cost_Components'!$A$2:$A$27,0)),"")</f>
      </c>
      <c r="AB59" s="82" t="str">
        <f>IFERROR(INDEX('Cost_Components'!$V$2:$V$27,MATCH(E59,'Cost_Components'!$A$2:$A$27,0)),"")</f>
      </c>
      <c r="AC59" s="83" t="str">
        <f>IFERROR(INDEX('Cost_Components'!$M$2:$M$27,MATCH(E59,'Cost_Components'!$A$2:$A$27,0)),"")</f>
      </c>
      <c r="AD59" s="84" t="str">
        <f>IFERROR(INDEX('Cost_Components'!$N$2:$N$27,MATCH(E59,'Cost_Components'!$A$2:$A$27,0)),"")</f>
      </c>
      <c r="AE59" s="20" t="str">
        <f>IFERROR(INDEX('Cost_Components'!$O$2:$O$27,MATCH(E59,'Cost_Components'!$A$2:$A$27,0)),"")</f>
      </c>
      <c r="AF59" s="85" t="n">
        <v>62711.9733986411</v>
      </c>
      <c r="AG59" s="86" t="n">
        <v>62232.0856056668</v>
      </c>
      <c r="AH59" s="87" t="str">
        <f>IF(H59="shared-count-once",COUNTIFS($A$2:$A$1353,A59,$B$2:$B$1353,B59,$E$2:$E$1353,E59),1)</f>
      </c>
    </row>
    <row r="60">
      <c r="A60" t="s">
        <v>186</v>
      </c>
      <c r="B60" s="59" t="n">
        <v>2031</v>
      </c>
      <c r="C60" t="s">
        <v>186</v>
      </c>
      <c r="D60" t="s">
        <v>190</v>
      </c>
      <c r="E60" s="60" t="s">
        <v>263</v>
      </c>
      <c r="F60" s="61" t="s">
        <v>264</v>
      </c>
      <c r="G60" s="62" t="s">
        <v>187</v>
      </c>
      <c r="H60" s="63" t="s">
        <v>195</v>
      </c>
      <c r="I60" s="64" t="s">
        <v>267</v>
      </c>
      <c r="J60" s="65" t="str">
        <f>IFERROR(INDEX('Cost_Components'!$K$2:$K$27,MATCH(E60,'Cost_Components'!$A$2:$A$27,0)),"")</f>
      </c>
      <c r="K60" s="66" t="str">
        <f>IF(OR(L60="",Z60="",AA60="",AB60=""),"",IF(B60&lt;AA60,L60,IF(B60&gt;AB60,Z60,L60+(Z60-L60)*MIN(MAX((B60-AA60+1)/MAX(AB60-AA60+1,1),0),1))))</f>
      </c>
      <c r="L60" s="67" t="str">
        <f>IFERROR(INDEX('Cost_Components'!$S$2:$S$27,MATCH(E60,'Cost_Components'!$A$2:$A$27,0)),"")</f>
      </c>
      <c r="M60" s="68" t="str">
        <f>IFERROR(INDEX('Cost_Components'!$L$2:$L$27,MATCH(E60,'Cost_Components'!$A$2:$A$27,0)),"")</f>
      </c>
      <c r="N60" s="69" t="str">
        <f>IFERROR(INDEX('Cost_Components'!$P$2:$P$27,MATCH(E60,'Cost_Components'!$A$2:$A$27,0)),"")</f>
      </c>
      <c r="O60" s="70" t="str">
        <f>AF60*J60</f>
      </c>
      <c r="P60" s="71" t="str">
        <f>AG60*J60</f>
      </c>
      <c r="Q60" s="72" t="str">
        <f>P60*L60*M60*N60</f>
      </c>
      <c r="R60" s="73" t="str">
        <f>O60*K60*M60*N60</f>
      </c>
      <c r="S60" s="74" t="str">
        <f>R60-Q60</f>
      </c>
      <c r="T60" s="20" t="str">
        <f>IFERROR(INDEX('Cost_Components'!$R$2:$R$27,MATCH(E60,'Cost_Components'!$A$2:$A$27,0)),"")</f>
      </c>
      <c r="U60" s="75" t="str">
        <f>IFERROR(INDEX('Cost_Components'!$Q$2:$Q$27,MATCH(E60,'Cost_Components'!$A$2:$A$27,0)),"")</f>
      </c>
      <c r="V60" s="76" t="str">
        <f>1/(1+'Calculation_Assumptions'!$B$5)^(B60-'Calculation_Assumptions'!$B$2)</f>
      </c>
      <c r="W60" s="77" t="str">
        <f>Q60*V60</f>
      </c>
      <c r="X60" s="78" t="str">
        <f>R60*V60</f>
      </c>
      <c r="Y60" s="79" t="str">
        <f>S60*V60</f>
      </c>
      <c r="Z60" s="80" t="str">
        <f>IFERROR(INDEX('Cost_Components'!$T$2:$T$27,MATCH(E60,'Cost_Components'!$A$2:$A$27,0)),"")</f>
      </c>
      <c r="AA60" s="81" t="str">
        <f>IFERROR(INDEX('Cost_Components'!$U$2:$U$27,MATCH(E60,'Cost_Components'!$A$2:$A$27,0)),"")</f>
      </c>
      <c r="AB60" s="82" t="str">
        <f>IFERROR(INDEX('Cost_Components'!$V$2:$V$27,MATCH(E60,'Cost_Components'!$A$2:$A$27,0)),"")</f>
      </c>
      <c r="AC60" s="83" t="str">
        <f>IFERROR(INDEX('Cost_Components'!$M$2:$M$27,MATCH(E60,'Cost_Components'!$A$2:$A$27,0)),"")</f>
      </c>
      <c r="AD60" s="84" t="str">
        <f>IFERROR(INDEX('Cost_Components'!$N$2:$N$27,MATCH(E60,'Cost_Components'!$A$2:$A$27,0)),"")</f>
      </c>
      <c r="AE60" s="20" t="str">
        <f>IFERROR(INDEX('Cost_Components'!$O$2:$O$27,MATCH(E60,'Cost_Components'!$A$2:$A$27,0)),"")</f>
      </c>
      <c r="AF60" s="85" t="n">
        <v>64573.4081271728</v>
      </c>
      <c r="AG60" s="86" t="n">
        <v>63955.0306375847</v>
      </c>
      <c r="AH60" s="87" t="str">
        <f>IF(H60="shared-count-once",COUNTIFS($A$2:$A$1353,A60,$B$2:$B$1353,B60,$E$2:$E$1353,E60),1)</f>
      </c>
    </row>
    <row r="61">
      <c r="A61" t="s">
        <v>186</v>
      </c>
      <c r="B61" s="59" t="n">
        <v>2032</v>
      </c>
      <c r="C61" t="s">
        <v>186</v>
      </c>
      <c r="D61" t="s">
        <v>190</v>
      </c>
      <c r="E61" s="60" t="s">
        <v>263</v>
      </c>
      <c r="F61" s="61" t="s">
        <v>264</v>
      </c>
      <c r="G61" s="62" t="s">
        <v>187</v>
      </c>
      <c r="H61" s="63" t="s">
        <v>195</v>
      </c>
      <c r="I61" s="64" t="s">
        <v>267</v>
      </c>
      <c r="J61" s="65" t="str">
        <f>IFERROR(INDEX('Cost_Components'!$K$2:$K$27,MATCH(E61,'Cost_Components'!$A$2:$A$27,0)),"")</f>
      </c>
      <c r="K61" s="66" t="str">
        <f>IF(OR(L61="",Z61="",AA61="",AB61=""),"",IF(B61&lt;AA61,L61,IF(B61&gt;AB61,Z61,L61+(Z61-L61)*MIN(MAX((B61-AA61+1)/MAX(AB61-AA61+1,1),0),1))))</f>
      </c>
      <c r="L61" s="67" t="str">
        <f>IFERROR(INDEX('Cost_Components'!$S$2:$S$27,MATCH(E61,'Cost_Components'!$A$2:$A$27,0)),"")</f>
      </c>
      <c r="M61" s="68" t="str">
        <f>IFERROR(INDEX('Cost_Components'!$L$2:$L$27,MATCH(E61,'Cost_Components'!$A$2:$A$27,0)),"")</f>
      </c>
      <c r="N61" s="69" t="str">
        <f>IFERROR(INDEX('Cost_Components'!$P$2:$P$27,MATCH(E61,'Cost_Components'!$A$2:$A$27,0)),"")</f>
      </c>
      <c r="O61" s="70" t="str">
        <f>AF61*J61</f>
      </c>
      <c r="P61" s="71" t="str">
        <f>AG61*J61</f>
      </c>
      <c r="Q61" s="72" t="str">
        <f>P61*L61*M61*N61</f>
      </c>
      <c r="R61" s="73" t="str">
        <f>O61*K61*M61*N61</f>
      </c>
      <c r="S61" s="74" t="str">
        <f>R61-Q61</f>
      </c>
      <c r="T61" s="20" t="str">
        <f>IFERROR(INDEX('Cost_Components'!$R$2:$R$27,MATCH(E61,'Cost_Components'!$A$2:$A$27,0)),"")</f>
      </c>
      <c r="U61" s="75" t="str">
        <f>IFERROR(INDEX('Cost_Components'!$Q$2:$Q$27,MATCH(E61,'Cost_Components'!$A$2:$A$27,0)),"")</f>
      </c>
      <c r="V61" s="76" t="str">
        <f>1/(1+'Calculation_Assumptions'!$B$5)^(B61-'Calculation_Assumptions'!$B$2)</f>
      </c>
      <c r="W61" s="77" t="str">
        <f>Q61*V61</f>
      </c>
      <c r="X61" s="78" t="str">
        <f>R61*V61</f>
      </c>
      <c r="Y61" s="79" t="str">
        <f>S61*V61</f>
      </c>
      <c r="Z61" s="80" t="str">
        <f>IFERROR(INDEX('Cost_Components'!$T$2:$T$27,MATCH(E61,'Cost_Components'!$A$2:$A$27,0)),"")</f>
      </c>
      <c r="AA61" s="81" t="str">
        <f>IFERROR(INDEX('Cost_Components'!$U$2:$U$27,MATCH(E61,'Cost_Components'!$A$2:$A$27,0)),"")</f>
      </c>
      <c r="AB61" s="82" t="str">
        <f>IFERROR(INDEX('Cost_Components'!$V$2:$V$27,MATCH(E61,'Cost_Components'!$A$2:$A$27,0)),"")</f>
      </c>
      <c r="AC61" s="83" t="str">
        <f>IFERROR(INDEX('Cost_Components'!$M$2:$M$27,MATCH(E61,'Cost_Components'!$A$2:$A$27,0)),"")</f>
      </c>
      <c r="AD61" s="84" t="str">
        <f>IFERROR(INDEX('Cost_Components'!$N$2:$N$27,MATCH(E61,'Cost_Components'!$A$2:$A$27,0)),"")</f>
      </c>
      <c r="AE61" s="20" t="str">
        <f>IFERROR(INDEX('Cost_Components'!$O$2:$O$27,MATCH(E61,'Cost_Components'!$A$2:$A$27,0)),"")</f>
      </c>
      <c r="AF61" s="85" t="n">
        <v>66460.8968472641</v>
      </c>
      <c r="AG61" s="86" t="n">
        <v>65690.8285007735</v>
      </c>
      <c r="AH61" s="87" t="str">
        <f>IF(H61="shared-count-once",COUNTIFS($A$2:$A$1353,A61,$B$2:$B$1353,B61,$E$2:$E$1353,E61),1)</f>
      </c>
    </row>
    <row r="62">
      <c r="A62" t="s">
        <v>186</v>
      </c>
      <c r="B62" s="59" t="n">
        <v>2033</v>
      </c>
      <c r="C62" t="s">
        <v>186</v>
      </c>
      <c r="D62" t="s">
        <v>190</v>
      </c>
      <c r="E62" s="60" t="s">
        <v>263</v>
      </c>
      <c r="F62" s="61" t="s">
        <v>264</v>
      </c>
      <c r="G62" s="62" t="s">
        <v>187</v>
      </c>
      <c r="H62" s="63" t="s">
        <v>195</v>
      </c>
      <c r="I62" s="64" t="s">
        <v>267</v>
      </c>
      <c r="J62" s="65" t="str">
        <f>IFERROR(INDEX('Cost_Components'!$K$2:$K$27,MATCH(E62,'Cost_Components'!$A$2:$A$27,0)),"")</f>
      </c>
      <c r="K62" s="66" t="str">
        <f>IF(OR(L62="",Z62="",AA62="",AB62=""),"",IF(B62&lt;AA62,L62,IF(B62&gt;AB62,Z62,L62+(Z62-L62)*MIN(MAX((B62-AA62+1)/MAX(AB62-AA62+1,1),0),1))))</f>
      </c>
      <c r="L62" s="67" t="str">
        <f>IFERROR(INDEX('Cost_Components'!$S$2:$S$27,MATCH(E62,'Cost_Components'!$A$2:$A$27,0)),"")</f>
      </c>
      <c r="M62" s="68" t="str">
        <f>IFERROR(INDEX('Cost_Components'!$L$2:$L$27,MATCH(E62,'Cost_Components'!$A$2:$A$27,0)),"")</f>
      </c>
      <c r="N62" s="69" t="str">
        <f>IFERROR(INDEX('Cost_Components'!$P$2:$P$27,MATCH(E62,'Cost_Components'!$A$2:$A$27,0)),"")</f>
      </c>
      <c r="O62" s="70" t="str">
        <f>AF62*J62</f>
      </c>
      <c r="P62" s="71" t="str">
        <f>AG62*J62</f>
      </c>
      <c r="Q62" s="72" t="str">
        <f>P62*L62*M62*N62</f>
      </c>
      <c r="R62" s="73" t="str">
        <f>O62*K62*M62*N62</f>
      </c>
      <c r="S62" s="74" t="str">
        <f>R62-Q62</f>
      </c>
      <c r="T62" s="20" t="str">
        <f>IFERROR(INDEX('Cost_Components'!$R$2:$R$27,MATCH(E62,'Cost_Components'!$A$2:$A$27,0)),"")</f>
      </c>
      <c r="U62" s="75" t="str">
        <f>IFERROR(INDEX('Cost_Components'!$Q$2:$Q$27,MATCH(E62,'Cost_Components'!$A$2:$A$27,0)),"")</f>
      </c>
      <c r="V62" s="76" t="str">
        <f>1/(1+'Calculation_Assumptions'!$B$5)^(B62-'Calculation_Assumptions'!$B$2)</f>
      </c>
      <c r="W62" s="77" t="str">
        <f>Q62*V62</f>
      </c>
      <c r="X62" s="78" t="str">
        <f>R62*V62</f>
      </c>
      <c r="Y62" s="79" t="str">
        <f>S62*V62</f>
      </c>
      <c r="Z62" s="80" t="str">
        <f>IFERROR(INDEX('Cost_Components'!$T$2:$T$27,MATCH(E62,'Cost_Components'!$A$2:$A$27,0)),"")</f>
      </c>
      <c r="AA62" s="81" t="str">
        <f>IFERROR(INDEX('Cost_Components'!$U$2:$U$27,MATCH(E62,'Cost_Components'!$A$2:$A$27,0)),"")</f>
      </c>
      <c r="AB62" s="82" t="str">
        <f>IFERROR(INDEX('Cost_Components'!$V$2:$V$27,MATCH(E62,'Cost_Components'!$A$2:$A$27,0)),"")</f>
      </c>
      <c r="AC62" s="83" t="str">
        <f>IFERROR(INDEX('Cost_Components'!$M$2:$M$27,MATCH(E62,'Cost_Components'!$A$2:$A$27,0)),"")</f>
      </c>
      <c r="AD62" s="84" t="str">
        <f>IFERROR(INDEX('Cost_Components'!$N$2:$N$27,MATCH(E62,'Cost_Components'!$A$2:$A$27,0)),"")</f>
      </c>
      <c r="AE62" s="20" t="str">
        <f>IFERROR(INDEX('Cost_Components'!$O$2:$O$27,MATCH(E62,'Cost_Components'!$A$2:$A$27,0)),"")</f>
      </c>
      <c r="AF62" s="85" t="n">
        <v>68391.6531351704</v>
      </c>
      <c r="AG62" s="86" t="n">
        <v>67457.3845673766</v>
      </c>
      <c r="AH62" s="87" t="str">
        <f>IF(H62="shared-count-once",COUNTIFS($A$2:$A$1353,A62,$B$2:$B$1353,B62,$E$2:$E$1353,E62),1)</f>
      </c>
    </row>
    <row r="63">
      <c r="A63" t="s">
        <v>186</v>
      </c>
      <c r="B63" s="59" t="n">
        <v>2034</v>
      </c>
      <c r="C63" t="s">
        <v>186</v>
      </c>
      <c r="D63" t="s">
        <v>190</v>
      </c>
      <c r="E63" s="60" t="s">
        <v>263</v>
      </c>
      <c r="F63" s="61" t="s">
        <v>264</v>
      </c>
      <c r="G63" s="62" t="s">
        <v>187</v>
      </c>
      <c r="H63" s="63" t="s">
        <v>195</v>
      </c>
      <c r="I63" s="64" t="s">
        <v>267</v>
      </c>
      <c r="J63" s="65" t="str">
        <f>IFERROR(INDEX('Cost_Components'!$K$2:$K$27,MATCH(E63,'Cost_Components'!$A$2:$A$27,0)),"")</f>
      </c>
      <c r="K63" s="66" t="str">
        <f>IF(OR(L63="",Z63="",AA63="",AB63=""),"",IF(B63&lt;AA63,L63,IF(B63&gt;AB63,Z63,L63+(Z63-L63)*MIN(MAX((B63-AA63+1)/MAX(AB63-AA63+1,1),0),1))))</f>
      </c>
      <c r="L63" s="67" t="str">
        <f>IFERROR(INDEX('Cost_Components'!$S$2:$S$27,MATCH(E63,'Cost_Components'!$A$2:$A$27,0)),"")</f>
      </c>
      <c r="M63" s="68" t="str">
        <f>IFERROR(INDEX('Cost_Components'!$L$2:$L$27,MATCH(E63,'Cost_Components'!$A$2:$A$27,0)),"")</f>
      </c>
      <c r="N63" s="69" t="str">
        <f>IFERROR(INDEX('Cost_Components'!$P$2:$P$27,MATCH(E63,'Cost_Components'!$A$2:$A$27,0)),"")</f>
      </c>
      <c r="O63" s="70" t="str">
        <f>AF63*J63</f>
      </c>
      <c r="P63" s="71" t="str">
        <f>AG63*J63</f>
      </c>
      <c r="Q63" s="72" t="str">
        <f>P63*L63*M63*N63</f>
      </c>
      <c r="R63" s="73" t="str">
        <f>O63*K63*M63*N63</f>
      </c>
      <c r="S63" s="74" t="str">
        <f>R63-Q63</f>
      </c>
      <c r="T63" s="20" t="str">
        <f>IFERROR(INDEX('Cost_Components'!$R$2:$R$27,MATCH(E63,'Cost_Components'!$A$2:$A$27,0)),"")</f>
      </c>
      <c r="U63" s="75" t="str">
        <f>IFERROR(INDEX('Cost_Components'!$Q$2:$Q$27,MATCH(E63,'Cost_Components'!$A$2:$A$27,0)),"")</f>
      </c>
      <c r="V63" s="76" t="str">
        <f>1/(1+'Calculation_Assumptions'!$B$5)^(B63-'Calculation_Assumptions'!$B$2)</f>
      </c>
      <c r="W63" s="77" t="str">
        <f>Q63*V63</f>
      </c>
      <c r="X63" s="78" t="str">
        <f>R63*V63</f>
      </c>
      <c r="Y63" s="79" t="str">
        <f>S63*V63</f>
      </c>
      <c r="Z63" s="80" t="str">
        <f>IFERROR(INDEX('Cost_Components'!$T$2:$T$27,MATCH(E63,'Cost_Components'!$A$2:$A$27,0)),"")</f>
      </c>
      <c r="AA63" s="81" t="str">
        <f>IFERROR(INDEX('Cost_Components'!$U$2:$U$27,MATCH(E63,'Cost_Components'!$A$2:$A$27,0)),"")</f>
      </c>
      <c r="AB63" s="82" t="str">
        <f>IFERROR(INDEX('Cost_Components'!$V$2:$V$27,MATCH(E63,'Cost_Components'!$A$2:$A$27,0)),"")</f>
      </c>
      <c r="AC63" s="83" t="str">
        <f>IFERROR(INDEX('Cost_Components'!$M$2:$M$27,MATCH(E63,'Cost_Components'!$A$2:$A$27,0)),"")</f>
      </c>
      <c r="AD63" s="84" t="str">
        <f>IFERROR(INDEX('Cost_Components'!$N$2:$N$27,MATCH(E63,'Cost_Components'!$A$2:$A$27,0)),"")</f>
      </c>
      <c r="AE63" s="20" t="str">
        <f>IFERROR(INDEX('Cost_Components'!$O$2:$O$27,MATCH(E63,'Cost_Components'!$A$2:$A$27,0)),"")</f>
      </c>
      <c r="AF63" s="85" t="n">
        <v>70375.6760838789</v>
      </c>
      <c r="AG63" s="86" t="n">
        <v>69265.1370682726</v>
      </c>
      <c r="AH63" s="87" t="str">
        <f>IF(H63="shared-count-once",COUNTIFS($A$2:$A$1353,A63,$B$2:$B$1353,B63,$E$2:$E$1353,E63),1)</f>
      </c>
    </row>
    <row r="64">
      <c r="A64" t="s">
        <v>186</v>
      </c>
      <c r="B64" s="59" t="n">
        <v>2035</v>
      </c>
      <c r="C64" t="s">
        <v>186</v>
      </c>
      <c r="D64" t="s">
        <v>190</v>
      </c>
      <c r="E64" s="60" t="s">
        <v>263</v>
      </c>
      <c r="F64" s="61" t="s">
        <v>264</v>
      </c>
      <c r="G64" s="62" t="s">
        <v>187</v>
      </c>
      <c r="H64" s="63" t="s">
        <v>195</v>
      </c>
      <c r="I64" s="64" t="s">
        <v>267</v>
      </c>
      <c r="J64" s="65" t="str">
        <f>IFERROR(INDEX('Cost_Components'!$K$2:$K$27,MATCH(E64,'Cost_Components'!$A$2:$A$27,0)),"")</f>
      </c>
      <c r="K64" s="66" t="str">
        <f>IF(OR(L64="",Z64="",AA64="",AB64=""),"",IF(B64&lt;AA64,L64,IF(B64&gt;AB64,Z64,L64+(Z64-L64)*MIN(MAX((B64-AA64+1)/MAX(AB64-AA64+1,1),0),1))))</f>
      </c>
      <c r="L64" s="67" t="str">
        <f>IFERROR(INDEX('Cost_Components'!$S$2:$S$27,MATCH(E64,'Cost_Components'!$A$2:$A$27,0)),"")</f>
      </c>
      <c r="M64" s="68" t="str">
        <f>IFERROR(INDEX('Cost_Components'!$L$2:$L$27,MATCH(E64,'Cost_Components'!$A$2:$A$27,0)),"")</f>
      </c>
      <c r="N64" s="69" t="str">
        <f>IFERROR(INDEX('Cost_Components'!$P$2:$P$27,MATCH(E64,'Cost_Components'!$A$2:$A$27,0)),"")</f>
      </c>
      <c r="O64" s="70" t="str">
        <f>AF64*J64</f>
      </c>
      <c r="P64" s="71" t="str">
        <f>AG64*J64</f>
      </c>
      <c r="Q64" s="72" t="str">
        <f>P64*L64*M64*N64</f>
      </c>
      <c r="R64" s="73" t="str">
        <f>O64*K64*M64*N64</f>
      </c>
      <c r="S64" s="74" t="str">
        <f>R64-Q64</f>
      </c>
      <c r="T64" s="20" t="str">
        <f>IFERROR(INDEX('Cost_Components'!$R$2:$R$27,MATCH(E64,'Cost_Components'!$A$2:$A$27,0)),"")</f>
      </c>
      <c r="U64" s="75" t="str">
        <f>IFERROR(INDEX('Cost_Components'!$Q$2:$Q$27,MATCH(E64,'Cost_Components'!$A$2:$A$27,0)),"")</f>
      </c>
      <c r="V64" s="76" t="str">
        <f>1/(1+'Calculation_Assumptions'!$B$5)^(B64-'Calculation_Assumptions'!$B$2)</f>
      </c>
      <c r="W64" s="77" t="str">
        <f>Q64*V64</f>
      </c>
      <c r="X64" s="78" t="str">
        <f>R64*V64</f>
      </c>
      <c r="Y64" s="79" t="str">
        <f>S64*V64</f>
      </c>
      <c r="Z64" s="80" t="str">
        <f>IFERROR(INDEX('Cost_Components'!$T$2:$T$27,MATCH(E64,'Cost_Components'!$A$2:$A$27,0)),"")</f>
      </c>
      <c r="AA64" s="81" t="str">
        <f>IFERROR(INDEX('Cost_Components'!$U$2:$U$27,MATCH(E64,'Cost_Components'!$A$2:$A$27,0)),"")</f>
      </c>
      <c r="AB64" s="82" t="str">
        <f>IFERROR(INDEX('Cost_Components'!$V$2:$V$27,MATCH(E64,'Cost_Components'!$A$2:$A$27,0)),"")</f>
      </c>
      <c r="AC64" s="83" t="str">
        <f>IFERROR(INDEX('Cost_Components'!$M$2:$M$27,MATCH(E64,'Cost_Components'!$A$2:$A$27,0)),"")</f>
      </c>
      <c r="AD64" s="84" t="str">
        <f>IFERROR(INDEX('Cost_Components'!$N$2:$N$27,MATCH(E64,'Cost_Components'!$A$2:$A$27,0)),"")</f>
      </c>
      <c r="AE64" s="20" t="str">
        <f>IFERROR(INDEX('Cost_Components'!$O$2:$O$27,MATCH(E64,'Cost_Components'!$A$2:$A$27,0)),"")</f>
      </c>
      <c r="AF64" s="85" t="n">
        <v>72433.4050502567</v>
      </c>
      <c r="AG64" s="86" t="n">
        <v>71134.820893731</v>
      </c>
      <c r="AH64" s="87" t="str">
        <f>IF(H64="shared-count-once",COUNTIFS($A$2:$A$1353,A64,$B$2:$B$1353,B64,$E$2:$E$1353,E64),1)</f>
      </c>
    </row>
    <row r="65">
      <c r="A65" t="s">
        <v>186</v>
      </c>
      <c r="B65" s="59" t="n">
        <v>2036</v>
      </c>
      <c r="C65" t="s">
        <v>186</v>
      </c>
      <c r="D65" t="s">
        <v>190</v>
      </c>
      <c r="E65" s="60" t="s">
        <v>263</v>
      </c>
      <c r="F65" s="61" t="s">
        <v>264</v>
      </c>
      <c r="G65" s="62" t="s">
        <v>187</v>
      </c>
      <c r="H65" s="63" t="s">
        <v>195</v>
      </c>
      <c r="I65" s="64" t="s">
        <v>267</v>
      </c>
      <c r="J65" s="65" t="str">
        <f>IFERROR(INDEX('Cost_Components'!$K$2:$K$27,MATCH(E65,'Cost_Components'!$A$2:$A$27,0)),"")</f>
      </c>
      <c r="K65" s="66" t="str">
        <f>IF(OR(L65="",Z65="",AA65="",AB65=""),"",IF(B65&lt;AA65,L65,IF(B65&gt;AB65,Z65,L65+(Z65-L65)*MIN(MAX((B65-AA65+1)/MAX(AB65-AA65+1,1),0),1))))</f>
      </c>
      <c r="L65" s="67" t="str">
        <f>IFERROR(INDEX('Cost_Components'!$S$2:$S$27,MATCH(E65,'Cost_Components'!$A$2:$A$27,0)),"")</f>
      </c>
      <c r="M65" s="68" t="str">
        <f>IFERROR(INDEX('Cost_Components'!$L$2:$L$27,MATCH(E65,'Cost_Components'!$A$2:$A$27,0)),"")</f>
      </c>
      <c r="N65" s="69" t="str">
        <f>IFERROR(INDEX('Cost_Components'!$P$2:$P$27,MATCH(E65,'Cost_Components'!$A$2:$A$27,0)),"")</f>
      </c>
      <c r="O65" s="70" t="str">
        <f>AF65*J65</f>
      </c>
      <c r="P65" s="71" t="str">
        <f>AG65*J65</f>
      </c>
      <c r="Q65" s="72" t="str">
        <f>P65*L65*M65*N65</f>
      </c>
      <c r="R65" s="73" t="str">
        <f>O65*K65*M65*N65</f>
      </c>
      <c r="S65" s="74" t="str">
        <f>R65-Q65</f>
      </c>
      <c r="T65" s="20" t="str">
        <f>IFERROR(INDEX('Cost_Components'!$R$2:$R$27,MATCH(E65,'Cost_Components'!$A$2:$A$27,0)),"")</f>
      </c>
      <c r="U65" s="75" t="str">
        <f>IFERROR(INDEX('Cost_Components'!$Q$2:$Q$27,MATCH(E65,'Cost_Components'!$A$2:$A$27,0)),"")</f>
      </c>
      <c r="V65" s="76" t="str">
        <f>1/(1+'Calculation_Assumptions'!$B$5)^(B65-'Calculation_Assumptions'!$B$2)</f>
      </c>
      <c r="W65" s="77" t="str">
        <f>Q65*V65</f>
      </c>
      <c r="X65" s="78" t="str">
        <f>R65*V65</f>
      </c>
      <c r="Y65" s="79" t="str">
        <f>S65*V65</f>
      </c>
      <c r="Z65" s="80" t="str">
        <f>IFERROR(INDEX('Cost_Components'!$T$2:$T$27,MATCH(E65,'Cost_Components'!$A$2:$A$27,0)),"")</f>
      </c>
      <c r="AA65" s="81" t="str">
        <f>IFERROR(INDEX('Cost_Components'!$U$2:$U$27,MATCH(E65,'Cost_Components'!$A$2:$A$27,0)),"")</f>
      </c>
      <c r="AB65" s="82" t="str">
        <f>IFERROR(INDEX('Cost_Components'!$V$2:$V$27,MATCH(E65,'Cost_Components'!$A$2:$A$27,0)),"")</f>
      </c>
      <c r="AC65" s="83" t="str">
        <f>IFERROR(INDEX('Cost_Components'!$M$2:$M$27,MATCH(E65,'Cost_Components'!$A$2:$A$27,0)),"")</f>
      </c>
      <c r="AD65" s="84" t="str">
        <f>IFERROR(INDEX('Cost_Components'!$N$2:$N$27,MATCH(E65,'Cost_Components'!$A$2:$A$27,0)),"")</f>
      </c>
      <c r="AE65" s="20" t="str">
        <f>IFERROR(INDEX('Cost_Components'!$O$2:$O$27,MATCH(E65,'Cost_Components'!$A$2:$A$27,0)),"")</f>
      </c>
      <c r="AF65" s="85" t="n">
        <v>74584.0608836312</v>
      </c>
      <c r="AG65" s="86" t="n">
        <v>73085.7133326109</v>
      </c>
      <c r="AH65" s="87" t="str">
        <f>IF(H65="shared-count-once",COUNTIFS($A$2:$A$1353,A65,$B$2:$B$1353,B65,$E$2:$E$1353,E65),1)</f>
      </c>
    </row>
    <row r="66">
      <c r="A66" t="s">
        <v>186</v>
      </c>
      <c r="B66" s="59" t="n">
        <v>2037</v>
      </c>
      <c r="C66" t="s">
        <v>186</v>
      </c>
      <c r="D66" t="s">
        <v>190</v>
      </c>
      <c r="E66" s="60" t="s">
        <v>263</v>
      </c>
      <c r="F66" s="61" t="s">
        <v>264</v>
      </c>
      <c r="G66" s="62" t="s">
        <v>187</v>
      </c>
      <c r="H66" s="63" t="s">
        <v>195</v>
      </c>
      <c r="I66" s="64" t="s">
        <v>267</v>
      </c>
      <c r="J66" s="65" t="str">
        <f>IFERROR(INDEX('Cost_Components'!$K$2:$K$27,MATCH(E66,'Cost_Components'!$A$2:$A$27,0)),"")</f>
      </c>
      <c r="K66" s="66" t="str">
        <f>IF(OR(L66="",Z66="",AA66="",AB66=""),"",IF(B66&lt;AA66,L66,IF(B66&gt;AB66,Z66,L66+(Z66-L66)*MIN(MAX((B66-AA66+1)/MAX(AB66-AA66+1,1),0),1))))</f>
      </c>
      <c r="L66" s="67" t="str">
        <f>IFERROR(INDEX('Cost_Components'!$S$2:$S$27,MATCH(E66,'Cost_Components'!$A$2:$A$27,0)),"")</f>
      </c>
      <c r="M66" s="68" t="str">
        <f>IFERROR(INDEX('Cost_Components'!$L$2:$L$27,MATCH(E66,'Cost_Components'!$A$2:$A$27,0)),"")</f>
      </c>
      <c r="N66" s="69" t="str">
        <f>IFERROR(INDEX('Cost_Components'!$P$2:$P$27,MATCH(E66,'Cost_Components'!$A$2:$A$27,0)),"")</f>
      </c>
      <c r="O66" s="70" t="str">
        <f>AF66*J66</f>
      </c>
      <c r="P66" s="71" t="str">
        <f>AG66*J66</f>
      </c>
      <c r="Q66" s="72" t="str">
        <f>P66*L66*M66*N66</f>
      </c>
      <c r="R66" s="73" t="str">
        <f>O66*K66*M66*N66</f>
      </c>
      <c r="S66" s="74" t="str">
        <f>R66-Q66</f>
      </c>
      <c r="T66" s="20" t="str">
        <f>IFERROR(INDEX('Cost_Components'!$R$2:$R$27,MATCH(E66,'Cost_Components'!$A$2:$A$27,0)),"")</f>
      </c>
      <c r="U66" s="75" t="str">
        <f>IFERROR(INDEX('Cost_Components'!$Q$2:$Q$27,MATCH(E66,'Cost_Components'!$A$2:$A$27,0)),"")</f>
      </c>
      <c r="V66" s="76" t="str">
        <f>1/(1+'Calculation_Assumptions'!$B$5)^(B66-'Calculation_Assumptions'!$B$2)</f>
      </c>
      <c r="W66" s="77" t="str">
        <f>Q66*V66</f>
      </c>
      <c r="X66" s="78" t="str">
        <f>R66*V66</f>
      </c>
      <c r="Y66" s="79" t="str">
        <f>S66*V66</f>
      </c>
      <c r="Z66" s="80" t="str">
        <f>IFERROR(INDEX('Cost_Components'!$T$2:$T$27,MATCH(E66,'Cost_Components'!$A$2:$A$27,0)),"")</f>
      </c>
      <c r="AA66" s="81" t="str">
        <f>IFERROR(INDEX('Cost_Components'!$U$2:$U$27,MATCH(E66,'Cost_Components'!$A$2:$A$27,0)),"")</f>
      </c>
      <c r="AB66" s="82" t="str">
        <f>IFERROR(INDEX('Cost_Components'!$V$2:$V$27,MATCH(E66,'Cost_Components'!$A$2:$A$27,0)),"")</f>
      </c>
      <c r="AC66" s="83" t="str">
        <f>IFERROR(INDEX('Cost_Components'!$M$2:$M$27,MATCH(E66,'Cost_Components'!$A$2:$A$27,0)),"")</f>
      </c>
      <c r="AD66" s="84" t="str">
        <f>IFERROR(INDEX('Cost_Components'!$N$2:$N$27,MATCH(E66,'Cost_Components'!$A$2:$A$27,0)),"")</f>
      </c>
      <c r="AE66" s="20" t="str">
        <f>IFERROR(INDEX('Cost_Components'!$O$2:$O$27,MATCH(E66,'Cost_Components'!$A$2:$A$27,0)),"")</f>
      </c>
      <c r="AF66" s="85" t="n">
        <v>76825.9300250831</v>
      </c>
      <c r="AG66" s="86" t="n">
        <v>75115.9966728239</v>
      </c>
      <c r="AH66" s="87" t="str">
        <f>IF(H66="shared-count-once",COUNTIFS($A$2:$A$1353,A66,$B$2:$B$1353,B66,$E$2:$E$1353,E66),1)</f>
      </c>
    </row>
    <row r="67">
      <c r="A67" t="s">
        <v>186</v>
      </c>
      <c r="B67" s="59" t="n">
        <v>2038</v>
      </c>
      <c r="C67" t="s">
        <v>186</v>
      </c>
      <c r="D67" t="s">
        <v>190</v>
      </c>
      <c r="E67" s="60" t="s">
        <v>263</v>
      </c>
      <c r="F67" s="61" t="s">
        <v>264</v>
      </c>
      <c r="G67" s="62" t="s">
        <v>187</v>
      </c>
      <c r="H67" s="63" t="s">
        <v>195</v>
      </c>
      <c r="I67" s="64" t="s">
        <v>267</v>
      </c>
      <c r="J67" s="65" t="str">
        <f>IFERROR(INDEX('Cost_Components'!$K$2:$K$27,MATCH(E67,'Cost_Components'!$A$2:$A$27,0)),"")</f>
      </c>
      <c r="K67" s="66" t="str">
        <f>IF(OR(L67="",Z67="",AA67="",AB67=""),"",IF(B67&lt;AA67,L67,IF(B67&gt;AB67,Z67,L67+(Z67-L67)*MIN(MAX((B67-AA67+1)/MAX(AB67-AA67+1,1),0),1))))</f>
      </c>
      <c r="L67" s="67" t="str">
        <f>IFERROR(INDEX('Cost_Components'!$S$2:$S$27,MATCH(E67,'Cost_Components'!$A$2:$A$27,0)),"")</f>
      </c>
      <c r="M67" s="68" t="str">
        <f>IFERROR(INDEX('Cost_Components'!$L$2:$L$27,MATCH(E67,'Cost_Components'!$A$2:$A$27,0)),"")</f>
      </c>
      <c r="N67" s="69" t="str">
        <f>IFERROR(INDEX('Cost_Components'!$P$2:$P$27,MATCH(E67,'Cost_Components'!$A$2:$A$27,0)),"")</f>
      </c>
      <c r="O67" s="70" t="str">
        <f>AF67*J67</f>
      </c>
      <c r="P67" s="71" t="str">
        <f>AG67*J67</f>
      </c>
      <c r="Q67" s="72" t="str">
        <f>P67*L67*M67*N67</f>
      </c>
      <c r="R67" s="73" t="str">
        <f>O67*K67*M67*N67</f>
      </c>
      <c r="S67" s="74" t="str">
        <f>R67-Q67</f>
      </c>
      <c r="T67" s="20" t="str">
        <f>IFERROR(INDEX('Cost_Components'!$R$2:$R$27,MATCH(E67,'Cost_Components'!$A$2:$A$27,0)),"")</f>
      </c>
      <c r="U67" s="75" t="str">
        <f>IFERROR(INDEX('Cost_Components'!$Q$2:$Q$27,MATCH(E67,'Cost_Components'!$A$2:$A$27,0)),"")</f>
      </c>
      <c r="V67" s="76" t="str">
        <f>1/(1+'Calculation_Assumptions'!$B$5)^(B67-'Calculation_Assumptions'!$B$2)</f>
      </c>
      <c r="W67" s="77" t="str">
        <f>Q67*V67</f>
      </c>
      <c r="X67" s="78" t="str">
        <f>R67*V67</f>
      </c>
      <c r="Y67" s="79" t="str">
        <f>S67*V67</f>
      </c>
      <c r="Z67" s="80" t="str">
        <f>IFERROR(INDEX('Cost_Components'!$T$2:$T$27,MATCH(E67,'Cost_Components'!$A$2:$A$27,0)),"")</f>
      </c>
      <c r="AA67" s="81" t="str">
        <f>IFERROR(INDEX('Cost_Components'!$U$2:$U$27,MATCH(E67,'Cost_Components'!$A$2:$A$27,0)),"")</f>
      </c>
      <c r="AB67" s="82" t="str">
        <f>IFERROR(INDEX('Cost_Components'!$V$2:$V$27,MATCH(E67,'Cost_Components'!$A$2:$A$27,0)),"")</f>
      </c>
      <c r="AC67" s="83" t="str">
        <f>IFERROR(INDEX('Cost_Components'!$M$2:$M$27,MATCH(E67,'Cost_Components'!$A$2:$A$27,0)),"")</f>
      </c>
      <c r="AD67" s="84" t="str">
        <f>IFERROR(INDEX('Cost_Components'!$N$2:$N$27,MATCH(E67,'Cost_Components'!$A$2:$A$27,0)),"")</f>
      </c>
      <c r="AE67" s="20" t="str">
        <f>IFERROR(INDEX('Cost_Components'!$O$2:$O$27,MATCH(E67,'Cost_Components'!$A$2:$A$27,0)),"")</f>
      </c>
      <c r="AF67" s="85" t="n">
        <v>79154.9148634989</v>
      </c>
      <c r="AG67" s="86" t="n">
        <v>77221.3928841648</v>
      </c>
      <c r="AH67" s="87" t="str">
        <f>IF(H67="shared-count-once",COUNTIFS($A$2:$A$1353,A67,$B$2:$B$1353,B67,$E$2:$E$1353,E67),1)</f>
      </c>
    </row>
    <row r="68">
      <c r="A68" t="s">
        <v>186</v>
      </c>
      <c r="B68" s="59" t="n">
        <v>2039</v>
      </c>
      <c r="C68" t="s">
        <v>186</v>
      </c>
      <c r="D68" t="s">
        <v>190</v>
      </c>
      <c r="E68" s="60" t="s">
        <v>263</v>
      </c>
      <c r="F68" s="61" t="s">
        <v>264</v>
      </c>
      <c r="G68" s="62" t="s">
        <v>187</v>
      </c>
      <c r="H68" s="63" t="s">
        <v>195</v>
      </c>
      <c r="I68" s="64" t="s">
        <v>267</v>
      </c>
      <c r="J68" s="65" t="str">
        <f>IFERROR(INDEX('Cost_Components'!$K$2:$K$27,MATCH(E68,'Cost_Components'!$A$2:$A$27,0)),"")</f>
      </c>
      <c r="K68" s="66" t="str">
        <f>IF(OR(L68="",Z68="",AA68="",AB68=""),"",IF(B68&lt;AA68,L68,IF(B68&gt;AB68,Z68,L68+(Z68-L68)*MIN(MAX((B68-AA68+1)/MAX(AB68-AA68+1,1),0),1))))</f>
      </c>
      <c r="L68" s="67" t="str">
        <f>IFERROR(INDEX('Cost_Components'!$S$2:$S$27,MATCH(E68,'Cost_Components'!$A$2:$A$27,0)),"")</f>
      </c>
      <c r="M68" s="68" t="str">
        <f>IFERROR(INDEX('Cost_Components'!$L$2:$L$27,MATCH(E68,'Cost_Components'!$A$2:$A$27,0)),"")</f>
      </c>
      <c r="N68" s="69" t="str">
        <f>IFERROR(INDEX('Cost_Components'!$P$2:$P$27,MATCH(E68,'Cost_Components'!$A$2:$A$27,0)),"")</f>
      </c>
      <c r="O68" s="70" t="str">
        <f>AF68*J68</f>
      </c>
      <c r="P68" s="71" t="str">
        <f>AG68*J68</f>
      </c>
      <c r="Q68" s="72" t="str">
        <f>P68*L68*M68*N68</f>
      </c>
      <c r="R68" s="73" t="str">
        <f>O68*K68*M68*N68</f>
      </c>
      <c r="S68" s="74" t="str">
        <f>R68-Q68</f>
      </c>
      <c r="T68" s="20" t="str">
        <f>IFERROR(INDEX('Cost_Components'!$R$2:$R$27,MATCH(E68,'Cost_Components'!$A$2:$A$27,0)),"")</f>
      </c>
      <c r="U68" s="75" t="str">
        <f>IFERROR(INDEX('Cost_Components'!$Q$2:$Q$27,MATCH(E68,'Cost_Components'!$A$2:$A$27,0)),"")</f>
      </c>
      <c r="V68" s="76" t="str">
        <f>1/(1+'Calculation_Assumptions'!$B$5)^(B68-'Calculation_Assumptions'!$B$2)</f>
      </c>
      <c r="W68" s="77" t="str">
        <f>Q68*V68</f>
      </c>
      <c r="X68" s="78" t="str">
        <f>R68*V68</f>
      </c>
      <c r="Y68" s="79" t="str">
        <f>S68*V68</f>
      </c>
      <c r="Z68" s="80" t="str">
        <f>IFERROR(INDEX('Cost_Components'!$T$2:$T$27,MATCH(E68,'Cost_Components'!$A$2:$A$27,0)),"")</f>
      </c>
      <c r="AA68" s="81" t="str">
        <f>IFERROR(INDEX('Cost_Components'!$U$2:$U$27,MATCH(E68,'Cost_Components'!$A$2:$A$27,0)),"")</f>
      </c>
      <c r="AB68" s="82" t="str">
        <f>IFERROR(INDEX('Cost_Components'!$V$2:$V$27,MATCH(E68,'Cost_Components'!$A$2:$A$27,0)),"")</f>
      </c>
      <c r="AC68" s="83" t="str">
        <f>IFERROR(INDEX('Cost_Components'!$M$2:$M$27,MATCH(E68,'Cost_Components'!$A$2:$A$27,0)),"")</f>
      </c>
      <c r="AD68" s="84" t="str">
        <f>IFERROR(INDEX('Cost_Components'!$N$2:$N$27,MATCH(E68,'Cost_Components'!$A$2:$A$27,0)),"")</f>
      </c>
      <c r="AE68" s="20" t="str">
        <f>IFERROR(INDEX('Cost_Components'!$O$2:$O$27,MATCH(E68,'Cost_Components'!$A$2:$A$27,0)),"")</f>
      </c>
      <c r="AF68" s="85" t="n">
        <v>81568.114182315</v>
      </c>
      <c r="AG68" s="86" t="n">
        <v>79398.7817120368</v>
      </c>
      <c r="AH68" s="87" t="str">
        <f>IF(H68="shared-count-once",COUNTIFS($A$2:$A$1353,A68,$B$2:$B$1353,B68,$E$2:$E$1353,E68),1)</f>
      </c>
    </row>
    <row r="69">
      <c r="A69" t="s">
        <v>186</v>
      </c>
      <c r="B69" s="59" t="n">
        <v>2040</v>
      </c>
      <c r="C69" t="s">
        <v>186</v>
      </c>
      <c r="D69" t="s">
        <v>190</v>
      </c>
      <c r="E69" s="60" t="s">
        <v>263</v>
      </c>
      <c r="F69" s="61" t="s">
        <v>264</v>
      </c>
      <c r="G69" s="62" t="s">
        <v>187</v>
      </c>
      <c r="H69" s="63" t="s">
        <v>195</v>
      </c>
      <c r="I69" s="64" t="s">
        <v>267</v>
      </c>
      <c r="J69" s="65" t="str">
        <f>IFERROR(INDEX('Cost_Components'!$K$2:$K$27,MATCH(E69,'Cost_Components'!$A$2:$A$27,0)),"")</f>
      </c>
      <c r="K69" s="66" t="str">
        <f>IF(OR(L69="",Z69="",AA69="",AB69=""),"",IF(B69&lt;AA69,L69,IF(B69&gt;AB69,Z69,L69+(Z69-L69)*MIN(MAX((B69-AA69+1)/MAX(AB69-AA69+1,1),0),1))))</f>
      </c>
      <c r="L69" s="67" t="str">
        <f>IFERROR(INDEX('Cost_Components'!$S$2:$S$27,MATCH(E69,'Cost_Components'!$A$2:$A$27,0)),"")</f>
      </c>
      <c r="M69" s="68" t="str">
        <f>IFERROR(INDEX('Cost_Components'!$L$2:$L$27,MATCH(E69,'Cost_Components'!$A$2:$A$27,0)),"")</f>
      </c>
      <c r="N69" s="69" t="str">
        <f>IFERROR(INDEX('Cost_Components'!$P$2:$P$27,MATCH(E69,'Cost_Components'!$A$2:$A$27,0)),"")</f>
      </c>
      <c r="O69" s="70" t="str">
        <f>AF69*J69</f>
      </c>
      <c r="P69" s="71" t="str">
        <f>AG69*J69</f>
      </c>
      <c r="Q69" s="72" t="str">
        <f>P69*L69*M69*N69</f>
      </c>
      <c r="R69" s="73" t="str">
        <f>O69*K69*M69*N69</f>
      </c>
      <c r="S69" s="74" t="str">
        <f>R69-Q69</f>
      </c>
      <c r="T69" s="20" t="str">
        <f>IFERROR(INDEX('Cost_Components'!$R$2:$R$27,MATCH(E69,'Cost_Components'!$A$2:$A$27,0)),"")</f>
      </c>
      <c r="U69" s="75" t="str">
        <f>IFERROR(INDEX('Cost_Components'!$Q$2:$Q$27,MATCH(E69,'Cost_Components'!$A$2:$A$27,0)),"")</f>
      </c>
      <c r="V69" s="76" t="str">
        <f>1/(1+'Calculation_Assumptions'!$B$5)^(B69-'Calculation_Assumptions'!$B$2)</f>
      </c>
      <c r="W69" s="77" t="str">
        <f>Q69*V69</f>
      </c>
      <c r="X69" s="78" t="str">
        <f>R69*V69</f>
      </c>
      <c r="Y69" s="79" t="str">
        <f>S69*V69</f>
      </c>
      <c r="Z69" s="80" t="str">
        <f>IFERROR(INDEX('Cost_Components'!$T$2:$T$27,MATCH(E69,'Cost_Components'!$A$2:$A$27,0)),"")</f>
      </c>
      <c r="AA69" s="81" t="str">
        <f>IFERROR(INDEX('Cost_Components'!$U$2:$U$27,MATCH(E69,'Cost_Components'!$A$2:$A$27,0)),"")</f>
      </c>
      <c r="AB69" s="82" t="str">
        <f>IFERROR(INDEX('Cost_Components'!$V$2:$V$27,MATCH(E69,'Cost_Components'!$A$2:$A$27,0)),"")</f>
      </c>
      <c r="AC69" s="83" t="str">
        <f>IFERROR(INDEX('Cost_Components'!$M$2:$M$27,MATCH(E69,'Cost_Components'!$A$2:$A$27,0)),"")</f>
      </c>
      <c r="AD69" s="84" t="str">
        <f>IFERROR(INDEX('Cost_Components'!$N$2:$N$27,MATCH(E69,'Cost_Components'!$A$2:$A$27,0)),"")</f>
      </c>
      <c r="AE69" s="20" t="str">
        <f>IFERROR(INDEX('Cost_Components'!$O$2:$O$27,MATCH(E69,'Cost_Components'!$A$2:$A$27,0)),"")</f>
      </c>
      <c r="AF69" s="85" t="n">
        <v>84080.5363689725</v>
      </c>
      <c r="AG69" s="86" t="n">
        <v>81663.0672757935</v>
      </c>
      <c r="AH69" s="87" t="str">
        <f>IF(H69="shared-count-once",COUNTIFS($A$2:$A$1353,A69,$B$2:$B$1353,B69,$E$2:$E$1353,E69),1)</f>
      </c>
    </row>
    <row r="70">
      <c r="A70" t="s">
        <v>186</v>
      </c>
      <c r="B70" s="59" t="n">
        <v>2041</v>
      </c>
      <c r="C70" t="s">
        <v>186</v>
      </c>
      <c r="D70" t="s">
        <v>190</v>
      </c>
      <c r="E70" s="60" t="s">
        <v>263</v>
      </c>
      <c r="F70" s="61" t="s">
        <v>264</v>
      </c>
      <c r="G70" s="62" t="s">
        <v>187</v>
      </c>
      <c r="H70" s="63" t="s">
        <v>195</v>
      </c>
      <c r="I70" s="64" t="s">
        <v>267</v>
      </c>
      <c r="J70" s="65" t="str">
        <f>IFERROR(INDEX('Cost_Components'!$K$2:$K$27,MATCH(E70,'Cost_Components'!$A$2:$A$27,0)),"")</f>
      </c>
      <c r="K70" s="66" t="str">
        <f>IF(OR(L70="",Z70="",AA70="",AB70=""),"",IF(B70&lt;AA70,L70,IF(B70&gt;AB70,Z70,L70+(Z70-L70)*MIN(MAX((B70-AA70+1)/MAX(AB70-AA70+1,1),0),1))))</f>
      </c>
      <c r="L70" s="67" t="str">
        <f>IFERROR(INDEX('Cost_Components'!$S$2:$S$27,MATCH(E70,'Cost_Components'!$A$2:$A$27,0)),"")</f>
      </c>
      <c r="M70" s="68" t="str">
        <f>IFERROR(INDEX('Cost_Components'!$L$2:$L$27,MATCH(E70,'Cost_Components'!$A$2:$A$27,0)),"")</f>
      </c>
      <c r="N70" s="69" t="str">
        <f>IFERROR(INDEX('Cost_Components'!$P$2:$P$27,MATCH(E70,'Cost_Components'!$A$2:$A$27,0)),"")</f>
      </c>
      <c r="O70" s="70" t="str">
        <f>AF70*J70</f>
      </c>
      <c r="P70" s="71" t="str">
        <f>AG70*J70</f>
      </c>
      <c r="Q70" s="72" t="str">
        <f>P70*L70*M70*N70</f>
      </c>
      <c r="R70" s="73" t="str">
        <f>O70*K70*M70*N70</f>
      </c>
      <c r="S70" s="74" t="str">
        <f>R70-Q70</f>
      </c>
      <c r="T70" s="20" t="str">
        <f>IFERROR(INDEX('Cost_Components'!$R$2:$R$27,MATCH(E70,'Cost_Components'!$A$2:$A$27,0)),"")</f>
      </c>
      <c r="U70" s="75" t="str">
        <f>IFERROR(INDEX('Cost_Components'!$Q$2:$Q$27,MATCH(E70,'Cost_Components'!$A$2:$A$27,0)),"")</f>
      </c>
      <c r="V70" s="76" t="str">
        <f>1/(1+'Calculation_Assumptions'!$B$5)^(B70-'Calculation_Assumptions'!$B$2)</f>
      </c>
      <c r="W70" s="77" t="str">
        <f>Q70*V70</f>
      </c>
      <c r="X70" s="78" t="str">
        <f>R70*V70</f>
      </c>
      <c r="Y70" s="79" t="str">
        <f>S70*V70</f>
      </c>
      <c r="Z70" s="80" t="str">
        <f>IFERROR(INDEX('Cost_Components'!$T$2:$T$27,MATCH(E70,'Cost_Components'!$A$2:$A$27,0)),"")</f>
      </c>
      <c r="AA70" s="81" t="str">
        <f>IFERROR(INDEX('Cost_Components'!$U$2:$U$27,MATCH(E70,'Cost_Components'!$A$2:$A$27,0)),"")</f>
      </c>
      <c r="AB70" s="82" t="str">
        <f>IFERROR(INDEX('Cost_Components'!$V$2:$V$27,MATCH(E70,'Cost_Components'!$A$2:$A$27,0)),"")</f>
      </c>
      <c r="AC70" s="83" t="str">
        <f>IFERROR(INDEX('Cost_Components'!$M$2:$M$27,MATCH(E70,'Cost_Components'!$A$2:$A$27,0)),"")</f>
      </c>
      <c r="AD70" s="84" t="str">
        <f>IFERROR(INDEX('Cost_Components'!$N$2:$N$27,MATCH(E70,'Cost_Components'!$A$2:$A$27,0)),"")</f>
      </c>
      <c r="AE70" s="20" t="str">
        <f>IFERROR(INDEX('Cost_Components'!$O$2:$O$27,MATCH(E70,'Cost_Components'!$A$2:$A$27,0)),"")</f>
      </c>
      <c r="AF70" s="85" t="n">
        <v>86706.1335052297</v>
      </c>
      <c r="AG70" s="86" t="n">
        <v>84027.6724738423</v>
      </c>
      <c r="AH70" s="87" t="str">
        <f>IF(H70="shared-count-once",COUNTIFS($A$2:$A$1353,A70,$B$2:$B$1353,B70,$E$2:$E$1353,E70),1)</f>
      </c>
    </row>
    <row r="71">
      <c r="A71" t="s">
        <v>186</v>
      </c>
      <c r="B71" s="59" t="n">
        <v>2042</v>
      </c>
      <c r="C71" t="s">
        <v>186</v>
      </c>
      <c r="D71" t="s">
        <v>190</v>
      </c>
      <c r="E71" s="60" t="s">
        <v>263</v>
      </c>
      <c r="F71" s="61" t="s">
        <v>264</v>
      </c>
      <c r="G71" s="62" t="s">
        <v>187</v>
      </c>
      <c r="H71" s="63" t="s">
        <v>195</v>
      </c>
      <c r="I71" s="64" t="s">
        <v>267</v>
      </c>
      <c r="J71" s="65" t="str">
        <f>IFERROR(INDEX('Cost_Components'!$K$2:$K$27,MATCH(E71,'Cost_Components'!$A$2:$A$27,0)),"")</f>
      </c>
      <c r="K71" s="66" t="str">
        <f>IF(OR(L71="",Z71="",AA71="",AB71=""),"",IF(B71&lt;AA71,L71,IF(B71&gt;AB71,Z71,L71+(Z71-L71)*MIN(MAX((B71-AA71+1)/MAX(AB71-AA71+1,1),0),1))))</f>
      </c>
      <c r="L71" s="67" t="str">
        <f>IFERROR(INDEX('Cost_Components'!$S$2:$S$27,MATCH(E71,'Cost_Components'!$A$2:$A$27,0)),"")</f>
      </c>
      <c r="M71" s="68" t="str">
        <f>IFERROR(INDEX('Cost_Components'!$L$2:$L$27,MATCH(E71,'Cost_Components'!$A$2:$A$27,0)),"")</f>
      </c>
      <c r="N71" s="69" t="str">
        <f>IFERROR(INDEX('Cost_Components'!$P$2:$P$27,MATCH(E71,'Cost_Components'!$A$2:$A$27,0)),"")</f>
      </c>
      <c r="O71" s="70" t="str">
        <f>AF71*J71</f>
      </c>
      <c r="P71" s="71" t="str">
        <f>AG71*J71</f>
      </c>
      <c r="Q71" s="72" t="str">
        <f>P71*L71*M71*N71</f>
      </c>
      <c r="R71" s="73" t="str">
        <f>O71*K71*M71*N71</f>
      </c>
      <c r="S71" s="74" t="str">
        <f>R71-Q71</f>
      </c>
      <c r="T71" s="20" t="str">
        <f>IFERROR(INDEX('Cost_Components'!$R$2:$R$27,MATCH(E71,'Cost_Components'!$A$2:$A$27,0)),"")</f>
      </c>
      <c r="U71" s="75" t="str">
        <f>IFERROR(INDEX('Cost_Components'!$Q$2:$Q$27,MATCH(E71,'Cost_Components'!$A$2:$A$27,0)),"")</f>
      </c>
      <c r="V71" s="76" t="str">
        <f>1/(1+'Calculation_Assumptions'!$B$5)^(B71-'Calculation_Assumptions'!$B$2)</f>
      </c>
      <c r="W71" s="77" t="str">
        <f>Q71*V71</f>
      </c>
      <c r="X71" s="78" t="str">
        <f>R71*V71</f>
      </c>
      <c r="Y71" s="79" t="str">
        <f>S71*V71</f>
      </c>
      <c r="Z71" s="80" t="str">
        <f>IFERROR(INDEX('Cost_Components'!$T$2:$T$27,MATCH(E71,'Cost_Components'!$A$2:$A$27,0)),"")</f>
      </c>
      <c r="AA71" s="81" t="str">
        <f>IFERROR(INDEX('Cost_Components'!$U$2:$U$27,MATCH(E71,'Cost_Components'!$A$2:$A$27,0)),"")</f>
      </c>
      <c r="AB71" s="82" t="str">
        <f>IFERROR(INDEX('Cost_Components'!$V$2:$V$27,MATCH(E71,'Cost_Components'!$A$2:$A$27,0)),"")</f>
      </c>
      <c r="AC71" s="83" t="str">
        <f>IFERROR(INDEX('Cost_Components'!$M$2:$M$27,MATCH(E71,'Cost_Components'!$A$2:$A$27,0)),"")</f>
      </c>
      <c r="AD71" s="84" t="str">
        <f>IFERROR(INDEX('Cost_Components'!$N$2:$N$27,MATCH(E71,'Cost_Components'!$A$2:$A$27,0)),"")</f>
      </c>
      <c r="AE71" s="20" t="str">
        <f>IFERROR(INDEX('Cost_Components'!$O$2:$O$27,MATCH(E71,'Cost_Components'!$A$2:$A$27,0)),"")</f>
      </c>
      <c r="AF71" s="85" t="n">
        <v>89432.962331744</v>
      </c>
      <c r="AG71" s="86" t="n">
        <v>86480.0878024371</v>
      </c>
      <c r="AH71" s="87" t="str">
        <f>IF(H71="shared-count-once",COUNTIFS($A$2:$A$1353,A71,$B$2:$B$1353,B71,$E$2:$E$1353,E71),1)</f>
      </c>
    </row>
    <row r="72">
      <c r="A72" t="s">
        <v>186</v>
      </c>
      <c r="B72" s="59" t="n">
        <v>2043</v>
      </c>
      <c r="C72" t="s">
        <v>186</v>
      </c>
      <c r="D72" t="s">
        <v>190</v>
      </c>
      <c r="E72" s="60" t="s">
        <v>263</v>
      </c>
      <c r="F72" s="61" t="s">
        <v>264</v>
      </c>
      <c r="G72" s="62" t="s">
        <v>187</v>
      </c>
      <c r="H72" s="63" t="s">
        <v>195</v>
      </c>
      <c r="I72" s="64" t="s">
        <v>267</v>
      </c>
      <c r="J72" s="65" t="str">
        <f>IFERROR(INDEX('Cost_Components'!$K$2:$K$27,MATCH(E72,'Cost_Components'!$A$2:$A$27,0)),"")</f>
      </c>
      <c r="K72" s="66" t="str">
        <f>IF(OR(L72="",Z72="",AA72="",AB72=""),"",IF(B72&lt;AA72,L72,IF(B72&gt;AB72,Z72,L72+(Z72-L72)*MIN(MAX((B72-AA72+1)/MAX(AB72-AA72+1,1),0),1))))</f>
      </c>
      <c r="L72" s="67" t="str">
        <f>IFERROR(INDEX('Cost_Components'!$S$2:$S$27,MATCH(E72,'Cost_Components'!$A$2:$A$27,0)),"")</f>
      </c>
      <c r="M72" s="68" t="str">
        <f>IFERROR(INDEX('Cost_Components'!$L$2:$L$27,MATCH(E72,'Cost_Components'!$A$2:$A$27,0)),"")</f>
      </c>
      <c r="N72" s="69" t="str">
        <f>IFERROR(INDEX('Cost_Components'!$P$2:$P$27,MATCH(E72,'Cost_Components'!$A$2:$A$27,0)),"")</f>
      </c>
      <c r="O72" s="70" t="str">
        <f>AF72*J72</f>
      </c>
      <c r="P72" s="71" t="str">
        <f>AG72*J72</f>
      </c>
      <c r="Q72" s="72" t="str">
        <f>P72*L72*M72*N72</f>
      </c>
      <c r="R72" s="73" t="str">
        <f>O72*K72*M72*N72</f>
      </c>
      <c r="S72" s="74" t="str">
        <f>R72-Q72</f>
      </c>
      <c r="T72" s="20" t="str">
        <f>IFERROR(INDEX('Cost_Components'!$R$2:$R$27,MATCH(E72,'Cost_Components'!$A$2:$A$27,0)),"")</f>
      </c>
      <c r="U72" s="75" t="str">
        <f>IFERROR(INDEX('Cost_Components'!$Q$2:$Q$27,MATCH(E72,'Cost_Components'!$A$2:$A$27,0)),"")</f>
      </c>
      <c r="V72" s="76" t="str">
        <f>1/(1+'Calculation_Assumptions'!$B$5)^(B72-'Calculation_Assumptions'!$B$2)</f>
      </c>
      <c r="W72" s="77" t="str">
        <f>Q72*V72</f>
      </c>
      <c r="X72" s="78" t="str">
        <f>R72*V72</f>
      </c>
      <c r="Y72" s="79" t="str">
        <f>S72*V72</f>
      </c>
      <c r="Z72" s="80" t="str">
        <f>IFERROR(INDEX('Cost_Components'!$T$2:$T$27,MATCH(E72,'Cost_Components'!$A$2:$A$27,0)),"")</f>
      </c>
      <c r="AA72" s="81" t="str">
        <f>IFERROR(INDEX('Cost_Components'!$U$2:$U$27,MATCH(E72,'Cost_Components'!$A$2:$A$27,0)),"")</f>
      </c>
      <c r="AB72" s="82" t="str">
        <f>IFERROR(INDEX('Cost_Components'!$V$2:$V$27,MATCH(E72,'Cost_Components'!$A$2:$A$27,0)),"")</f>
      </c>
      <c r="AC72" s="83" t="str">
        <f>IFERROR(INDEX('Cost_Components'!$M$2:$M$27,MATCH(E72,'Cost_Components'!$A$2:$A$27,0)),"")</f>
      </c>
      <c r="AD72" s="84" t="str">
        <f>IFERROR(INDEX('Cost_Components'!$N$2:$N$27,MATCH(E72,'Cost_Components'!$A$2:$A$27,0)),"")</f>
      </c>
      <c r="AE72" s="20" t="str">
        <f>IFERROR(INDEX('Cost_Components'!$O$2:$O$27,MATCH(E72,'Cost_Components'!$A$2:$A$27,0)),"")</f>
      </c>
      <c r="AF72" s="85" t="n">
        <v>92232.5552994276</v>
      </c>
      <c r="AG72" s="86" t="n">
        <v>88991.2939512088</v>
      </c>
      <c r="AH72" s="87" t="str">
        <f>IF(H72="shared-count-once",COUNTIFS($A$2:$A$1353,A72,$B$2:$B$1353,B72,$E$2:$E$1353,E72),1)</f>
      </c>
    </row>
    <row r="73">
      <c r="A73" t="s">
        <v>186</v>
      </c>
      <c r="B73" s="59" t="n">
        <v>2044</v>
      </c>
      <c r="C73" t="s">
        <v>186</v>
      </c>
      <c r="D73" t="s">
        <v>190</v>
      </c>
      <c r="E73" s="60" t="s">
        <v>263</v>
      </c>
      <c r="F73" s="61" t="s">
        <v>264</v>
      </c>
      <c r="G73" s="62" t="s">
        <v>187</v>
      </c>
      <c r="H73" s="63" t="s">
        <v>195</v>
      </c>
      <c r="I73" s="64" t="s">
        <v>267</v>
      </c>
      <c r="J73" s="65" t="str">
        <f>IFERROR(INDEX('Cost_Components'!$K$2:$K$27,MATCH(E73,'Cost_Components'!$A$2:$A$27,0)),"")</f>
      </c>
      <c r="K73" s="66" t="str">
        <f>IF(OR(L73="",Z73="",AA73="",AB73=""),"",IF(B73&lt;AA73,L73,IF(B73&gt;AB73,Z73,L73+(Z73-L73)*MIN(MAX((B73-AA73+1)/MAX(AB73-AA73+1,1),0),1))))</f>
      </c>
      <c r="L73" s="67" t="str">
        <f>IFERROR(INDEX('Cost_Components'!$S$2:$S$27,MATCH(E73,'Cost_Components'!$A$2:$A$27,0)),"")</f>
      </c>
      <c r="M73" s="68" t="str">
        <f>IFERROR(INDEX('Cost_Components'!$L$2:$L$27,MATCH(E73,'Cost_Components'!$A$2:$A$27,0)),"")</f>
      </c>
      <c r="N73" s="69" t="str">
        <f>IFERROR(INDEX('Cost_Components'!$P$2:$P$27,MATCH(E73,'Cost_Components'!$A$2:$A$27,0)),"")</f>
      </c>
      <c r="O73" s="70" t="str">
        <f>AF73*J73</f>
      </c>
      <c r="P73" s="71" t="str">
        <f>AG73*J73</f>
      </c>
      <c r="Q73" s="72" t="str">
        <f>P73*L73*M73*N73</f>
      </c>
      <c r="R73" s="73" t="str">
        <f>O73*K73*M73*N73</f>
      </c>
      <c r="S73" s="74" t="str">
        <f>R73-Q73</f>
      </c>
      <c r="T73" s="20" t="str">
        <f>IFERROR(INDEX('Cost_Components'!$R$2:$R$27,MATCH(E73,'Cost_Components'!$A$2:$A$27,0)),"")</f>
      </c>
      <c r="U73" s="75" t="str">
        <f>IFERROR(INDEX('Cost_Components'!$Q$2:$Q$27,MATCH(E73,'Cost_Components'!$A$2:$A$27,0)),"")</f>
      </c>
      <c r="V73" s="76" t="str">
        <f>1/(1+'Calculation_Assumptions'!$B$5)^(B73-'Calculation_Assumptions'!$B$2)</f>
      </c>
      <c r="W73" s="77" t="str">
        <f>Q73*V73</f>
      </c>
      <c r="X73" s="78" t="str">
        <f>R73*V73</f>
      </c>
      <c r="Y73" s="79" t="str">
        <f>S73*V73</f>
      </c>
      <c r="Z73" s="80" t="str">
        <f>IFERROR(INDEX('Cost_Components'!$T$2:$T$27,MATCH(E73,'Cost_Components'!$A$2:$A$27,0)),"")</f>
      </c>
      <c r="AA73" s="81" t="str">
        <f>IFERROR(INDEX('Cost_Components'!$U$2:$U$27,MATCH(E73,'Cost_Components'!$A$2:$A$27,0)),"")</f>
      </c>
      <c r="AB73" s="82" t="str">
        <f>IFERROR(INDEX('Cost_Components'!$V$2:$V$27,MATCH(E73,'Cost_Components'!$A$2:$A$27,0)),"")</f>
      </c>
      <c r="AC73" s="83" t="str">
        <f>IFERROR(INDEX('Cost_Components'!$M$2:$M$27,MATCH(E73,'Cost_Components'!$A$2:$A$27,0)),"")</f>
      </c>
      <c r="AD73" s="84" t="str">
        <f>IFERROR(INDEX('Cost_Components'!$N$2:$N$27,MATCH(E73,'Cost_Components'!$A$2:$A$27,0)),"")</f>
      </c>
      <c r="AE73" s="20" t="str">
        <f>IFERROR(INDEX('Cost_Components'!$O$2:$O$27,MATCH(E73,'Cost_Components'!$A$2:$A$27,0)),"")</f>
      </c>
      <c r="AF73" s="85" t="n">
        <v>95088.949389663</v>
      </c>
      <c r="AG73" s="86" t="n">
        <v>91545.0470671618</v>
      </c>
      <c r="AH73" s="87" t="str">
        <f>IF(H73="shared-count-once",COUNTIFS($A$2:$A$1353,A73,$B$2:$B$1353,B73,$E$2:$E$1353,E73),1)</f>
      </c>
    </row>
    <row r="74">
      <c r="A74" t="s">
        <v>186</v>
      </c>
      <c r="B74" s="59" t="n">
        <v>2045</v>
      </c>
      <c r="C74" t="s">
        <v>186</v>
      </c>
      <c r="D74" t="s">
        <v>190</v>
      </c>
      <c r="E74" s="60" t="s">
        <v>263</v>
      </c>
      <c r="F74" s="61" t="s">
        <v>264</v>
      </c>
      <c r="G74" s="62" t="s">
        <v>187</v>
      </c>
      <c r="H74" s="63" t="s">
        <v>195</v>
      </c>
      <c r="I74" s="64" t="s">
        <v>267</v>
      </c>
      <c r="J74" s="65" t="str">
        <f>IFERROR(INDEX('Cost_Components'!$K$2:$K$27,MATCH(E74,'Cost_Components'!$A$2:$A$27,0)),"")</f>
      </c>
      <c r="K74" s="66" t="str">
        <f>IF(OR(L74="",Z74="",AA74="",AB74=""),"",IF(B74&lt;AA74,L74,IF(B74&gt;AB74,Z74,L74+(Z74-L74)*MIN(MAX((B74-AA74+1)/MAX(AB74-AA74+1,1),0),1))))</f>
      </c>
      <c r="L74" s="67" t="str">
        <f>IFERROR(INDEX('Cost_Components'!$S$2:$S$27,MATCH(E74,'Cost_Components'!$A$2:$A$27,0)),"")</f>
      </c>
      <c r="M74" s="68" t="str">
        <f>IFERROR(INDEX('Cost_Components'!$L$2:$L$27,MATCH(E74,'Cost_Components'!$A$2:$A$27,0)),"")</f>
      </c>
      <c r="N74" s="69" t="str">
        <f>IFERROR(INDEX('Cost_Components'!$P$2:$P$27,MATCH(E74,'Cost_Components'!$A$2:$A$27,0)),"")</f>
      </c>
      <c r="O74" s="70" t="str">
        <f>AF74*J74</f>
      </c>
      <c r="P74" s="71" t="str">
        <f>AG74*J74</f>
      </c>
      <c r="Q74" s="72" t="str">
        <f>P74*L74*M74*N74</f>
      </c>
      <c r="R74" s="73" t="str">
        <f>O74*K74*M74*N74</f>
      </c>
      <c r="S74" s="74" t="str">
        <f>R74-Q74</f>
      </c>
      <c r="T74" s="20" t="str">
        <f>IFERROR(INDEX('Cost_Components'!$R$2:$R$27,MATCH(E74,'Cost_Components'!$A$2:$A$27,0)),"")</f>
      </c>
      <c r="U74" s="75" t="str">
        <f>IFERROR(INDEX('Cost_Components'!$Q$2:$Q$27,MATCH(E74,'Cost_Components'!$A$2:$A$27,0)),"")</f>
      </c>
      <c r="V74" s="76" t="str">
        <f>1/(1+'Calculation_Assumptions'!$B$5)^(B74-'Calculation_Assumptions'!$B$2)</f>
      </c>
      <c r="W74" s="77" t="str">
        <f>Q74*V74</f>
      </c>
      <c r="X74" s="78" t="str">
        <f>R74*V74</f>
      </c>
      <c r="Y74" s="79" t="str">
        <f>S74*V74</f>
      </c>
      <c r="Z74" s="80" t="str">
        <f>IFERROR(INDEX('Cost_Components'!$T$2:$T$27,MATCH(E74,'Cost_Components'!$A$2:$A$27,0)),"")</f>
      </c>
      <c r="AA74" s="81" t="str">
        <f>IFERROR(INDEX('Cost_Components'!$U$2:$U$27,MATCH(E74,'Cost_Components'!$A$2:$A$27,0)),"")</f>
      </c>
      <c r="AB74" s="82" t="str">
        <f>IFERROR(INDEX('Cost_Components'!$V$2:$V$27,MATCH(E74,'Cost_Components'!$A$2:$A$27,0)),"")</f>
      </c>
      <c r="AC74" s="83" t="str">
        <f>IFERROR(INDEX('Cost_Components'!$M$2:$M$27,MATCH(E74,'Cost_Components'!$A$2:$A$27,0)),"")</f>
      </c>
      <c r="AD74" s="84" t="str">
        <f>IFERROR(INDEX('Cost_Components'!$N$2:$N$27,MATCH(E74,'Cost_Components'!$A$2:$A$27,0)),"")</f>
      </c>
      <c r="AE74" s="20" t="str">
        <f>IFERROR(INDEX('Cost_Components'!$O$2:$O$27,MATCH(E74,'Cost_Components'!$A$2:$A$27,0)),"")</f>
      </c>
      <c r="AF74" s="85" t="n">
        <v>97983.4741309309</v>
      </c>
      <c r="AG74" s="86" t="n">
        <v>94122.9803438782</v>
      </c>
      <c r="AH74" s="87" t="str">
        <f>IF(H74="shared-count-once",COUNTIFS($A$2:$A$1353,A74,$B$2:$B$1353,B74,$E$2:$E$1353,E74),1)</f>
      </c>
    </row>
    <row r="75">
      <c r="A75" t="s">
        <v>186</v>
      </c>
      <c r="B75" s="59" t="n">
        <v>2046</v>
      </c>
      <c r="C75" t="s">
        <v>186</v>
      </c>
      <c r="D75" t="s">
        <v>190</v>
      </c>
      <c r="E75" s="60" t="s">
        <v>263</v>
      </c>
      <c r="F75" s="61" t="s">
        <v>264</v>
      </c>
      <c r="G75" s="62" t="s">
        <v>187</v>
      </c>
      <c r="H75" s="63" t="s">
        <v>195</v>
      </c>
      <c r="I75" s="64" t="s">
        <v>267</v>
      </c>
      <c r="J75" s="65" t="str">
        <f>IFERROR(INDEX('Cost_Components'!$K$2:$K$27,MATCH(E75,'Cost_Components'!$A$2:$A$27,0)),"")</f>
      </c>
      <c r="K75" s="66" t="str">
        <f>IF(OR(L75="",Z75="",AA75="",AB75=""),"",IF(B75&lt;AA75,L75,IF(B75&gt;AB75,Z75,L75+(Z75-L75)*MIN(MAX((B75-AA75+1)/MAX(AB75-AA75+1,1),0),1))))</f>
      </c>
      <c r="L75" s="67" t="str">
        <f>IFERROR(INDEX('Cost_Components'!$S$2:$S$27,MATCH(E75,'Cost_Components'!$A$2:$A$27,0)),"")</f>
      </c>
      <c r="M75" s="68" t="str">
        <f>IFERROR(INDEX('Cost_Components'!$L$2:$L$27,MATCH(E75,'Cost_Components'!$A$2:$A$27,0)),"")</f>
      </c>
      <c r="N75" s="69" t="str">
        <f>IFERROR(INDEX('Cost_Components'!$P$2:$P$27,MATCH(E75,'Cost_Components'!$A$2:$A$27,0)),"")</f>
      </c>
      <c r="O75" s="70" t="str">
        <f>AF75*J75</f>
      </c>
      <c r="P75" s="71" t="str">
        <f>AG75*J75</f>
      </c>
      <c r="Q75" s="72" t="str">
        <f>P75*L75*M75*N75</f>
      </c>
      <c r="R75" s="73" t="str">
        <f>O75*K75*M75*N75</f>
      </c>
      <c r="S75" s="74" t="str">
        <f>R75-Q75</f>
      </c>
      <c r="T75" s="20" t="str">
        <f>IFERROR(INDEX('Cost_Components'!$R$2:$R$27,MATCH(E75,'Cost_Components'!$A$2:$A$27,0)),"")</f>
      </c>
      <c r="U75" s="75" t="str">
        <f>IFERROR(INDEX('Cost_Components'!$Q$2:$Q$27,MATCH(E75,'Cost_Components'!$A$2:$A$27,0)),"")</f>
      </c>
      <c r="V75" s="76" t="str">
        <f>1/(1+'Calculation_Assumptions'!$B$5)^(B75-'Calculation_Assumptions'!$B$2)</f>
      </c>
      <c r="W75" s="77" t="str">
        <f>Q75*V75</f>
      </c>
      <c r="X75" s="78" t="str">
        <f>R75*V75</f>
      </c>
      <c r="Y75" s="79" t="str">
        <f>S75*V75</f>
      </c>
      <c r="Z75" s="80" t="str">
        <f>IFERROR(INDEX('Cost_Components'!$T$2:$T$27,MATCH(E75,'Cost_Components'!$A$2:$A$27,0)),"")</f>
      </c>
      <c r="AA75" s="81" t="str">
        <f>IFERROR(INDEX('Cost_Components'!$U$2:$U$27,MATCH(E75,'Cost_Components'!$A$2:$A$27,0)),"")</f>
      </c>
      <c r="AB75" s="82" t="str">
        <f>IFERROR(INDEX('Cost_Components'!$V$2:$V$27,MATCH(E75,'Cost_Components'!$A$2:$A$27,0)),"")</f>
      </c>
      <c r="AC75" s="83" t="str">
        <f>IFERROR(INDEX('Cost_Components'!$M$2:$M$27,MATCH(E75,'Cost_Components'!$A$2:$A$27,0)),"")</f>
      </c>
      <c r="AD75" s="84" t="str">
        <f>IFERROR(INDEX('Cost_Components'!$N$2:$N$27,MATCH(E75,'Cost_Components'!$A$2:$A$27,0)),"")</f>
      </c>
      <c r="AE75" s="20" t="str">
        <f>IFERROR(INDEX('Cost_Components'!$O$2:$O$27,MATCH(E75,'Cost_Components'!$A$2:$A$27,0)),"")</f>
      </c>
      <c r="AF75" s="85" t="n">
        <v>100901.389138834</v>
      </c>
      <c r="AG75" s="86" t="n">
        <v>96710.2383689652</v>
      </c>
      <c r="AH75" s="87" t="str">
        <f>IF(H75="shared-count-once",COUNTIFS($A$2:$A$1353,A75,$B$2:$B$1353,B75,$E$2:$E$1353,E75),1)</f>
      </c>
    </row>
    <row r="76">
      <c r="A76" t="s">
        <v>186</v>
      </c>
      <c r="B76" s="59" t="n">
        <v>2047</v>
      </c>
      <c r="C76" t="s">
        <v>186</v>
      </c>
      <c r="D76" t="s">
        <v>190</v>
      </c>
      <c r="E76" s="60" t="s">
        <v>263</v>
      </c>
      <c r="F76" s="61" t="s">
        <v>264</v>
      </c>
      <c r="G76" s="62" t="s">
        <v>187</v>
      </c>
      <c r="H76" s="63" t="s">
        <v>195</v>
      </c>
      <c r="I76" s="64" t="s">
        <v>267</v>
      </c>
      <c r="J76" s="65" t="str">
        <f>IFERROR(INDEX('Cost_Components'!$K$2:$K$27,MATCH(E76,'Cost_Components'!$A$2:$A$27,0)),"")</f>
      </c>
      <c r="K76" s="66" t="str">
        <f>IF(OR(L76="",Z76="",AA76="",AB76=""),"",IF(B76&lt;AA76,L76,IF(B76&gt;AB76,Z76,L76+(Z76-L76)*MIN(MAX((B76-AA76+1)/MAX(AB76-AA76+1,1),0),1))))</f>
      </c>
      <c r="L76" s="67" t="str">
        <f>IFERROR(INDEX('Cost_Components'!$S$2:$S$27,MATCH(E76,'Cost_Components'!$A$2:$A$27,0)),"")</f>
      </c>
      <c r="M76" s="68" t="str">
        <f>IFERROR(INDEX('Cost_Components'!$L$2:$L$27,MATCH(E76,'Cost_Components'!$A$2:$A$27,0)),"")</f>
      </c>
      <c r="N76" s="69" t="str">
        <f>IFERROR(INDEX('Cost_Components'!$P$2:$P$27,MATCH(E76,'Cost_Components'!$A$2:$A$27,0)),"")</f>
      </c>
      <c r="O76" s="70" t="str">
        <f>AF76*J76</f>
      </c>
      <c r="P76" s="71" t="str">
        <f>AG76*J76</f>
      </c>
      <c r="Q76" s="72" t="str">
        <f>P76*L76*M76*N76</f>
      </c>
      <c r="R76" s="73" t="str">
        <f>O76*K76*M76*N76</f>
      </c>
      <c r="S76" s="74" t="str">
        <f>R76-Q76</f>
      </c>
      <c r="T76" s="20" t="str">
        <f>IFERROR(INDEX('Cost_Components'!$R$2:$R$27,MATCH(E76,'Cost_Components'!$A$2:$A$27,0)),"")</f>
      </c>
      <c r="U76" s="75" t="str">
        <f>IFERROR(INDEX('Cost_Components'!$Q$2:$Q$27,MATCH(E76,'Cost_Components'!$A$2:$A$27,0)),"")</f>
      </c>
      <c r="V76" s="76" t="str">
        <f>1/(1+'Calculation_Assumptions'!$B$5)^(B76-'Calculation_Assumptions'!$B$2)</f>
      </c>
      <c r="W76" s="77" t="str">
        <f>Q76*V76</f>
      </c>
      <c r="X76" s="78" t="str">
        <f>R76*V76</f>
      </c>
      <c r="Y76" s="79" t="str">
        <f>S76*V76</f>
      </c>
      <c r="Z76" s="80" t="str">
        <f>IFERROR(INDEX('Cost_Components'!$T$2:$T$27,MATCH(E76,'Cost_Components'!$A$2:$A$27,0)),"")</f>
      </c>
      <c r="AA76" s="81" t="str">
        <f>IFERROR(INDEX('Cost_Components'!$U$2:$U$27,MATCH(E76,'Cost_Components'!$A$2:$A$27,0)),"")</f>
      </c>
      <c r="AB76" s="82" t="str">
        <f>IFERROR(INDEX('Cost_Components'!$V$2:$V$27,MATCH(E76,'Cost_Components'!$A$2:$A$27,0)),"")</f>
      </c>
      <c r="AC76" s="83" t="str">
        <f>IFERROR(INDEX('Cost_Components'!$M$2:$M$27,MATCH(E76,'Cost_Components'!$A$2:$A$27,0)),"")</f>
      </c>
      <c r="AD76" s="84" t="str">
        <f>IFERROR(INDEX('Cost_Components'!$N$2:$N$27,MATCH(E76,'Cost_Components'!$A$2:$A$27,0)),"")</f>
      </c>
      <c r="AE76" s="20" t="str">
        <f>IFERROR(INDEX('Cost_Components'!$O$2:$O$27,MATCH(E76,'Cost_Components'!$A$2:$A$27,0)),"")</f>
      </c>
      <c r="AF76" s="85" t="n">
        <v>103727.642533497</v>
      </c>
      <c r="AG76" s="86" t="n">
        <v>99192.121304842</v>
      </c>
      <c r="AH76" s="87" t="str">
        <f>IF(H76="shared-count-once",COUNTIFS($A$2:$A$1353,A76,$B$2:$B$1353,B76,$E$2:$E$1353,E76),1)</f>
      </c>
    </row>
    <row r="77">
      <c r="A77" t="s">
        <v>186</v>
      </c>
      <c r="B77" s="59" t="n">
        <v>2048</v>
      </c>
      <c r="C77" t="s">
        <v>186</v>
      </c>
      <c r="D77" t="s">
        <v>190</v>
      </c>
      <c r="E77" s="60" t="s">
        <v>263</v>
      </c>
      <c r="F77" s="61" t="s">
        <v>264</v>
      </c>
      <c r="G77" s="62" t="s">
        <v>187</v>
      </c>
      <c r="H77" s="63" t="s">
        <v>195</v>
      </c>
      <c r="I77" s="64" t="s">
        <v>267</v>
      </c>
      <c r="J77" s="65" t="str">
        <f>IFERROR(INDEX('Cost_Components'!$K$2:$K$27,MATCH(E77,'Cost_Components'!$A$2:$A$27,0)),"")</f>
      </c>
      <c r="K77" s="66" t="str">
        <f>IF(OR(L77="",Z77="",AA77="",AB77=""),"",IF(B77&lt;AA77,L77,IF(B77&gt;AB77,Z77,L77+(Z77-L77)*MIN(MAX((B77-AA77+1)/MAX(AB77-AA77+1,1),0),1))))</f>
      </c>
      <c r="L77" s="67" t="str">
        <f>IFERROR(INDEX('Cost_Components'!$S$2:$S$27,MATCH(E77,'Cost_Components'!$A$2:$A$27,0)),"")</f>
      </c>
      <c r="M77" s="68" t="str">
        <f>IFERROR(INDEX('Cost_Components'!$L$2:$L$27,MATCH(E77,'Cost_Components'!$A$2:$A$27,0)),"")</f>
      </c>
      <c r="N77" s="69" t="str">
        <f>IFERROR(INDEX('Cost_Components'!$P$2:$P$27,MATCH(E77,'Cost_Components'!$A$2:$A$27,0)),"")</f>
      </c>
      <c r="O77" s="70" t="str">
        <f>AF77*J77</f>
      </c>
      <c r="P77" s="71" t="str">
        <f>AG77*J77</f>
      </c>
      <c r="Q77" s="72" t="str">
        <f>P77*L77*M77*N77</f>
      </c>
      <c r="R77" s="73" t="str">
        <f>O77*K77*M77*N77</f>
      </c>
      <c r="S77" s="74" t="str">
        <f>R77-Q77</f>
      </c>
      <c r="T77" s="20" t="str">
        <f>IFERROR(INDEX('Cost_Components'!$R$2:$R$27,MATCH(E77,'Cost_Components'!$A$2:$A$27,0)),"")</f>
      </c>
      <c r="U77" s="75" t="str">
        <f>IFERROR(INDEX('Cost_Components'!$Q$2:$Q$27,MATCH(E77,'Cost_Components'!$A$2:$A$27,0)),"")</f>
      </c>
      <c r="V77" s="76" t="str">
        <f>1/(1+'Calculation_Assumptions'!$B$5)^(B77-'Calculation_Assumptions'!$B$2)</f>
      </c>
      <c r="W77" s="77" t="str">
        <f>Q77*V77</f>
      </c>
      <c r="X77" s="78" t="str">
        <f>R77*V77</f>
      </c>
      <c r="Y77" s="79" t="str">
        <f>S77*V77</f>
      </c>
      <c r="Z77" s="80" t="str">
        <f>IFERROR(INDEX('Cost_Components'!$T$2:$T$27,MATCH(E77,'Cost_Components'!$A$2:$A$27,0)),"")</f>
      </c>
      <c r="AA77" s="81" t="str">
        <f>IFERROR(INDEX('Cost_Components'!$U$2:$U$27,MATCH(E77,'Cost_Components'!$A$2:$A$27,0)),"")</f>
      </c>
      <c r="AB77" s="82" t="str">
        <f>IFERROR(INDEX('Cost_Components'!$V$2:$V$27,MATCH(E77,'Cost_Components'!$A$2:$A$27,0)),"")</f>
      </c>
      <c r="AC77" s="83" t="str">
        <f>IFERROR(INDEX('Cost_Components'!$M$2:$M$27,MATCH(E77,'Cost_Components'!$A$2:$A$27,0)),"")</f>
      </c>
      <c r="AD77" s="84" t="str">
        <f>IFERROR(INDEX('Cost_Components'!$N$2:$N$27,MATCH(E77,'Cost_Components'!$A$2:$A$27,0)),"")</f>
      </c>
      <c r="AE77" s="20" t="str">
        <f>IFERROR(INDEX('Cost_Components'!$O$2:$O$27,MATCH(E77,'Cost_Components'!$A$2:$A$27,0)),"")</f>
      </c>
      <c r="AF77" s="85" t="n">
        <v>106575.629407664</v>
      </c>
      <c r="AG77" s="86" t="n">
        <v>101683.216698398</v>
      </c>
      <c r="AH77" s="87" t="str">
        <f>IF(H77="shared-count-once",COUNTIFS($A$2:$A$1353,A77,$B$2:$B$1353,B77,$E$2:$E$1353,E77),1)</f>
      </c>
    </row>
    <row r="78">
      <c r="A78" t="s">
        <v>186</v>
      </c>
      <c r="B78" s="59" t="n">
        <v>2049</v>
      </c>
      <c r="C78" t="s">
        <v>186</v>
      </c>
      <c r="D78" t="s">
        <v>190</v>
      </c>
      <c r="E78" s="60" t="s">
        <v>263</v>
      </c>
      <c r="F78" s="61" t="s">
        <v>264</v>
      </c>
      <c r="G78" s="62" t="s">
        <v>187</v>
      </c>
      <c r="H78" s="63" t="s">
        <v>195</v>
      </c>
      <c r="I78" s="64" t="s">
        <v>267</v>
      </c>
      <c r="J78" s="65" t="str">
        <f>IFERROR(INDEX('Cost_Components'!$K$2:$K$27,MATCH(E78,'Cost_Components'!$A$2:$A$27,0)),"")</f>
      </c>
      <c r="K78" s="66" t="str">
        <f>IF(OR(L78="",Z78="",AA78="",AB78=""),"",IF(B78&lt;AA78,L78,IF(B78&gt;AB78,Z78,L78+(Z78-L78)*MIN(MAX((B78-AA78+1)/MAX(AB78-AA78+1,1),0),1))))</f>
      </c>
      <c r="L78" s="67" t="str">
        <f>IFERROR(INDEX('Cost_Components'!$S$2:$S$27,MATCH(E78,'Cost_Components'!$A$2:$A$27,0)),"")</f>
      </c>
      <c r="M78" s="68" t="str">
        <f>IFERROR(INDEX('Cost_Components'!$L$2:$L$27,MATCH(E78,'Cost_Components'!$A$2:$A$27,0)),"")</f>
      </c>
      <c r="N78" s="69" t="str">
        <f>IFERROR(INDEX('Cost_Components'!$P$2:$P$27,MATCH(E78,'Cost_Components'!$A$2:$A$27,0)),"")</f>
      </c>
      <c r="O78" s="70" t="str">
        <f>AF78*J78</f>
      </c>
      <c r="P78" s="71" t="str">
        <f>AG78*J78</f>
      </c>
      <c r="Q78" s="72" t="str">
        <f>P78*L78*M78*N78</f>
      </c>
      <c r="R78" s="73" t="str">
        <f>O78*K78*M78*N78</f>
      </c>
      <c r="S78" s="74" t="str">
        <f>R78-Q78</f>
      </c>
      <c r="T78" s="20" t="str">
        <f>IFERROR(INDEX('Cost_Components'!$R$2:$R$27,MATCH(E78,'Cost_Components'!$A$2:$A$27,0)),"")</f>
      </c>
      <c r="U78" s="75" t="str">
        <f>IFERROR(INDEX('Cost_Components'!$Q$2:$Q$27,MATCH(E78,'Cost_Components'!$A$2:$A$27,0)),"")</f>
      </c>
      <c r="V78" s="76" t="str">
        <f>1/(1+'Calculation_Assumptions'!$B$5)^(B78-'Calculation_Assumptions'!$B$2)</f>
      </c>
      <c r="W78" s="77" t="str">
        <f>Q78*V78</f>
      </c>
      <c r="X78" s="78" t="str">
        <f>R78*V78</f>
      </c>
      <c r="Y78" s="79" t="str">
        <f>S78*V78</f>
      </c>
      <c r="Z78" s="80" t="str">
        <f>IFERROR(INDEX('Cost_Components'!$T$2:$T$27,MATCH(E78,'Cost_Components'!$A$2:$A$27,0)),"")</f>
      </c>
      <c r="AA78" s="81" t="str">
        <f>IFERROR(INDEX('Cost_Components'!$U$2:$U$27,MATCH(E78,'Cost_Components'!$A$2:$A$27,0)),"")</f>
      </c>
      <c r="AB78" s="82" t="str">
        <f>IFERROR(INDEX('Cost_Components'!$V$2:$V$27,MATCH(E78,'Cost_Components'!$A$2:$A$27,0)),"")</f>
      </c>
      <c r="AC78" s="83" t="str">
        <f>IFERROR(INDEX('Cost_Components'!$M$2:$M$27,MATCH(E78,'Cost_Components'!$A$2:$A$27,0)),"")</f>
      </c>
      <c r="AD78" s="84" t="str">
        <f>IFERROR(INDEX('Cost_Components'!$N$2:$N$27,MATCH(E78,'Cost_Components'!$A$2:$A$27,0)),"")</f>
      </c>
      <c r="AE78" s="20" t="str">
        <f>IFERROR(INDEX('Cost_Components'!$O$2:$O$27,MATCH(E78,'Cost_Components'!$A$2:$A$27,0)),"")</f>
      </c>
      <c r="AF78" s="85" t="n">
        <v>109431.358698754</v>
      </c>
      <c r="AG78" s="86" t="n">
        <v>104169.606592369</v>
      </c>
      <c r="AH78" s="87" t="str">
        <f>IF(H78="shared-count-once",COUNTIFS($A$2:$A$1353,A78,$B$2:$B$1353,B78,$E$2:$E$1353,E78),1)</f>
      </c>
    </row>
    <row r="79">
      <c r="A79" t="s">
        <v>186</v>
      </c>
      <c r="B79" s="59" t="n">
        <v>2050</v>
      </c>
      <c r="C79" t="s">
        <v>186</v>
      </c>
      <c r="D79" t="s">
        <v>190</v>
      </c>
      <c r="E79" s="60" t="s">
        <v>263</v>
      </c>
      <c r="F79" s="61" t="s">
        <v>264</v>
      </c>
      <c r="G79" s="62" t="s">
        <v>187</v>
      </c>
      <c r="H79" s="63" t="s">
        <v>195</v>
      </c>
      <c r="I79" s="64" t="s">
        <v>267</v>
      </c>
      <c r="J79" s="65" t="str">
        <f>IFERROR(INDEX('Cost_Components'!$K$2:$K$27,MATCH(E79,'Cost_Components'!$A$2:$A$27,0)),"")</f>
      </c>
      <c r="K79" s="66" t="str">
        <f>IF(OR(L79="",Z79="",AA79="",AB79=""),"",IF(B79&lt;AA79,L79,IF(B79&gt;AB79,Z79,L79+(Z79-L79)*MIN(MAX((B79-AA79+1)/MAX(AB79-AA79+1,1),0),1))))</f>
      </c>
      <c r="L79" s="67" t="str">
        <f>IFERROR(INDEX('Cost_Components'!$S$2:$S$27,MATCH(E79,'Cost_Components'!$A$2:$A$27,0)),"")</f>
      </c>
      <c r="M79" s="68" t="str">
        <f>IFERROR(INDEX('Cost_Components'!$L$2:$L$27,MATCH(E79,'Cost_Components'!$A$2:$A$27,0)),"")</f>
      </c>
      <c r="N79" s="69" t="str">
        <f>IFERROR(INDEX('Cost_Components'!$P$2:$P$27,MATCH(E79,'Cost_Components'!$A$2:$A$27,0)),"")</f>
      </c>
      <c r="O79" s="70" t="str">
        <f>AF79*J79</f>
      </c>
      <c r="P79" s="71" t="str">
        <f>AG79*J79</f>
      </c>
      <c r="Q79" s="72" t="str">
        <f>P79*L79*M79*N79</f>
      </c>
      <c r="R79" s="73" t="str">
        <f>O79*K79*M79*N79</f>
      </c>
      <c r="S79" s="74" t="str">
        <f>R79-Q79</f>
      </c>
      <c r="T79" s="20" t="str">
        <f>IFERROR(INDEX('Cost_Components'!$R$2:$R$27,MATCH(E79,'Cost_Components'!$A$2:$A$27,0)),"")</f>
      </c>
      <c r="U79" s="75" t="str">
        <f>IFERROR(INDEX('Cost_Components'!$Q$2:$Q$27,MATCH(E79,'Cost_Components'!$A$2:$A$27,0)),"")</f>
      </c>
      <c r="V79" s="76" t="str">
        <f>1/(1+'Calculation_Assumptions'!$B$5)^(B79-'Calculation_Assumptions'!$B$2)</f>
      </c>
      <c r="W79" s="77" t="str">
        <f>Q79*V79</f>
      </c>
      <c r="X79" s="78" t="str">
        <f>R79*V79</f>
      </c>
      <c r="Y79" s="79" t="str">
        <f>S79*V79</f>
      </c>
      <c r="Z79" s="80" t="str">
        <f>IFERROR(INDEX('Cost_Components'!$T$2:$T$27,MATCH(E79,'Cost_Components'!$A$2:$A$27,0)),"")</f>
      </c>
      <c r="AA79" s="81" t="str">
        <f>IFERROR(INDEX('Cost_Components'!$U$2:$U$27,MATCH(E79,'Cost_Components'!$A$2:$A$27,0)),"")</f>
      </c>
      <c r="AB79" s="82" t="str">
        <f>IFERROR(INDEX('Cost_Components'!$V$2:$V$27,MATCH(E79,'Cost_Components'!$A$2:$A$27,0)),"")</f>
      </c>
      <c r="AC79" s="83" t="str">
        <f>IFERROR(INDEX('Cost_Components'!$M$2:$M$27,MATCH(E79,'Cost_Components'!$A$2:$A$27,0)),"")</f>
      </c>
      <c r="AD79" s="84" t="str">
        <f>IFERROR(INDEX('Cost_Components'!$N$2:$N$27,MATCH(E79,'Cost_Components'!$A$2:$A$27,0)),"")</f>
      </c>
      <c r="AE79" s="20" t="str">
        <f>IFERROR(INDEX('Cost_Components'!$O$2:$O$27,MATCH(E79,'Cost_Components'!$A$2:$A$27,0)),"")</f>
      </c>
      <c r="AF79" s="85" t="n">
        <v>112296.636550805</v>
      </c>
      <c r="AG79" s="86" t="n">
        <v>106653.813475881</v>
      </c>
      <c r="AH79" s="87" t="str">
        <f>IF(H79="shared-count-once",COUNTIFS($A$2:$A$1353,A79,$B$2:$B$1353,B79,$E$2:$E$1353,E79),1)</f>
      </c>
    </row>
    <row r="80">
      <c r="A80" t="s">
        <v>186</v>
      </c>
      <c r="B80" s="59" t="n">
        <v>2025</v>
      </c>
      <c r="C80" t="s">
        <v>186</v>
      </c>
      <c r="D80" t="s">
        <v>166</v>
      </c>
      <c r="E80" s="60" t="s">
        <v>268</v>
      </c>
      <c r="F80" s="61" t="s">
        <v>269</v>
      </c>
      <c r="G80" s="62" t="s">
        <v>196</v>
      </c>
      <c r="H80" s="63" t="s">
        <v>195</v>
      </c>
      <c r="I80" s="64" t="s">
        <v>267</v>
      </c>
      <c r="J80" s="65" t="str">
        <f>IFERROR(INDEX('Cost_Components'!$K$2:$K$27,MATCH(E80,'Cost_Components'!$A$2:$A$27,0)),"")</f>
      </c>
      <c r="K80" s="66" t="str">
        <f>IF(OR(L80="",Z80="",AA80="",AB80=""),"",IF(B80&lt;AA80,L80,IF(B80&gt;AB80,Z80,L80+(Z80-L80)*MIN(MAX((B80-AA80+1)/MAX(AB80-AA80+1,1),0),1))))</f>
      </c>
      <c r="L80" s="67" t="str">
        <f>IFERROR(INDEX('Cost_Components'!$S$2:$S$27,MATCH(E80,'Cost_Components'!$A$2:$A$27,0)),"")</f>
      </c>
      <c r="M80" s="68" t="str">
        <f>IFERROR(INDEX('Cost_Components'!$L$2:$L$27,MATCH(E80,'Cost_Components'!$A$2:$A$27,0)),"")</f>
      </c>
      <c r="N80" s="69" t="str">
        <f>IFERROR(INDEX('Cost_Components'!$P$2:$P$27,MATCH(E80,'Cost_Components'!$A$2:$A$27,0)),"")</f>
      </c>
      <c r="O80" s="70" t="str">
        <f>AF80*J80</f>
      </c>
      <c r="P80" s="71" t="str">
        <f>AG80*J80</f>
      </c>
      <c r="Q80" s="72" t="str">
        <f>P80*L80*M80*N80</f>
      </c>
      <c r="R80" s="73" t="str">
        <f>O80*K80*M80*N80</f>
      </c>
      <c r="S80" s="74" t="str">
        <f>R80-Q80</f>
      </c>
      <c r="T80" s="20" t="str">
        <f>IFERROR(INDEX('Cost_Components'!$R$2:$R$27,MATCH(E80,'Cost_Components'!$A$2:$A$27,0)),"")</f>
      </c>
      <c r="U80" s="75" t="str">
        <f>IFERROR(INDEX('Cost_Components'!$Q$2:$Q$27,MATCH(E80,'Cost_Components'!$A$2:$A$27,0)),"")</f>
      </c>
      <c r="V80" s="76" t="str">
        <f>1/(1+'Calculation_Assumptions'!$B$5)^(B80-'Calculation_Assumptions'!$B$2)</f>
      </c>
      <c r="W80" s="77" t="str">
        <f>Q80*V80</f>
      </c>
      <c r="X80" s="78" t="str">
        <f>R80*V80</f>
      </c>
      <c r="Y80" s="79" t="str">
        <f>S80*V80</f>
      </c>
      <c r="Z80" s="80" t="str">
        <f>IFERROR(INDEX('Cost_Components'!$T$2:$T$27,MATCH(E80,'Cost_Components'!$A$2:$A$27,0)),"")</f>
      </c>
      <c r="AA80" s="81" t="str">
        <f>IFERROR(INDEX('Cost_Components'!$U$2:$U$27,MATCH(E80,'Cost_Components'!$A$2:$A$27,0)),"")</f>
      </c>
      <c r="AB80" s="82" t="str">
        <f>IFERROR(INDEX('Cost_Components'!$V$2:$V$27,MATCH(E80,'Cost_Components'!$A$2:$A$27,0)),"")</f>
      </c>
      <c r="AC80" s="83" t="str">
        <f>IFERROR(INDEX('Cost_Components'!$M$2:$M$27,MATCH(E80,'Cost_Components'!$A$2:$A$27,0)),"")</f>
      </c>
      <c r="AD80" s="84" t="str">
        <f>IFERROR(INDEX('Cost_Components'!$N$2:$N$27,MATCH(E80,'Cost_Components'!$A$2:$A$27,0)),"")</f>
      </c>
      <c r="AE80" s="20" t="str">
        <f>IFERROR(INDEX('Cost_Components'!$O$2:$O$27,MATCH(E80,'Cost_Components'!$A$2:$A$27,0)),"")</f>
      </c>
      <c r="AF80" s="85" t="n">
        <v>448722.824720682</v>
      </c>
      <c r="AG80" s="86" t="n">
        <v>448478.89837514</v>
      </c>
      <c r="AH80" s="87" t="str">
        <f>IF(H80="shared-count-once",COUNTIFS($A$2:$A$1353,A80,$B$2:$B$1353,B80,$E$2:$E$1353,E80),1)</f>
      </c>
    </row>
    <row r="81">
      <c r="A81" t="s">
        <v>186</v>
      </c>
      <c r="B81" s="59" t="n">
        <v>2026</v>
      </c>
      <c r="C81" t="s">
        <v>186</v>
      </c>
      <c r="D81" t="s">
        <v>166</v>
      </c>
      <c r="E81" s="60" t="s">
        <v>268</v>
      </c>
      <c r="F81" s="61" t="s">
        <v>269</v>
      </c>
      <c r="G81" s="62" t="s">
        <v>196</v>
      </c>
      <c r="H81" s="63" t="s">
        <v>195</v>
      </c>
      <c r="I81" s="64" t="s">
        <v>267</v>
      </c>
      <c r="J81" s="65" t="str">
        <f>IFERROR(INDEX('Cost_Components'!$K$2:$K$27,MATCH(E81,'Cost_Components'!$A$2:$A$27,0)),"")</f>
      </c>
      <c r="K81" s="66" t="str">
        <f>IF(OR(L81="",Z81="",AA81="",AB81=""),"",IF(B81&lt;AA81,L81,IF(B81&gt;AB81,Z81,L81+(Z81-L81)*MIN(MAX((B81-AA81+1)/MAX(AB81-AA81+1,1),0),1))))</f>
      </c>
      <c r="L81" s="67" t="str">
        <f>IFERROR(INDEX('Cost_Components'!$S$2:$S$27,MATCH(E81,'Cost_Components'!$A$2:$A$27,0)),"")</f>
      </c>
      <c r="M81" s="68" t="str">
        <f>IFERROR(INDEX('Cost_Components'!$L$2:$L$27,MATCH(E81,'Cost_Components'!$A$2:$A$27,0)),"")</f>
      </c>
      <c r="N81" s="69" t="str">
        <f>IFERROR(INDEX('Cost_Components'!$P$2:$P$27,MATCH(E81,'Cost_Components'!$A$2:$A$27,0)),"")</f>
      </c>
      <c r="O81" s="70" t="str">
        <f>AF81*J81</f>
      </c>
      <c r="P81" s="71" t="str">
        <f>AG81*J81</f>
      </c>
      <c r="Q81" s="72" t="str">
        <f>P81*L81*M81*N81</f>
      </c>
      <c r="R81" s="73" t="str">
        <f>O81*K81*M81*N81</f>
      </c>
      <c r="S81" s="74" t="str">
        <f>R81-Q81</f>
      </c>
      <c r="T81" s="20" t="str">
        <f>IFERROR(INDEX('Cost_Components'!$R$2:$R$27,MATCH(E81,'Cost_Components'!$A$2:$A$27,0)),"")</f>
      </c>
      <c r="U81" s="75" t="str">
        <f>IFERROR(INDEX('Cost_Components'!$Q$2:$Q$27,MATCH(E81,'Cost_Components'!$A$2:$A$27,0)),"")</f>
      </c>
      <c r="V81" s="76" t="str">
        <f>1/(1+'Calculation_Assumptions'!$B$5)^(B81-'Calculation_Assumptions'!$B$2)</f>
      </c>
      <c r="W81" s="77" t="str">
        <f>Q81*V81</f>
      </c>
      <c r="X81" s="78" t="str">
        <f>R81*V81</f>
      </c>
      <c r="Y81" s="79" t="str">
        <f>S81*V81</f>
      </c>
      <c r="Z81" s="80" t="str">
        <f>IFERROR(INDEX('Cost_Components'!$T$2:$T$27,MATCH(E81,'Cost_Components'!$A$2:$A$27,0)),"")</f>
      </c>
      <c r="AA81" s="81" t="str">
        <f>IFERROR(INDEX('Cost_Components'!$U$2:$U$27,MATCH(E81,'Cost_Components'!$A$2:$A$27,0)),"")</f>
      </c>
      <c r="AB81" s="82" t="str">
        <f>IFERROR(INDEX('Cost_Components'!$V$2:$V$27,MATCH(E81,'Cost_Components'!$A$2:$A$27,0)),"")</f>
      </c>
      <c r="AC81" s="83" t="str">
        <f>IFERROR(INDEX('Cost_Components'!$M$2:$M$27,MATCH(E81,'Cost_Components'!$A$2:$A$27,0)),"")</f>
      </c>
      <c r="AD81" s="84" t="str">
        <f>IFERROR(INDEX('Cost_Components'!$N$2:$N$27,MATCH(E81,'Cost_Components'!$A$2:$A$27,0)),"")</f>
      </c>
      <c r="AE81" s="20" t="str">
        <f>IFERROR(INDEX('Cost_Components'!$O$2:$O$27,MATCH(E81,'Cost_Components'!$A$2:$A$27,0)),"")</f>
      </c>
      <c r="AF81" s="85" t="n">
        <v>467476.552410045</v>
      </c>
      <c r="AG81" s="86" t="n">
        <v>466784.814466804</v>
      </c>
      <c r="AH81" s="87" t="str">
        <f>IF(H81="shared-count-once",COUNTIFS($A$2:$A$1353,A81,$B$2:$B$1353,B81,$E$2:$E$1353,E81),1)</f>
      </c>
    </row>
    <row r="82">
      <c r="A82" t="s">
        <v>186</v>
      </c>
      <c r="B82" s="59" t="n">
        <v>2027</v>
      </c>
      <c r="C82" t="s">
        <v>186</v>
      </c>
      <c r="D82" t="s">
        <v>166</v>
      </c>
      <c r="E82" s="60" t="s">
        <v>268</v>
      </c>
      <c r="F82" s="61" t="s">
        <v>269</v>
      </c>
      <c r="G82" s="62" t="s">
        <v>196</v>
      </c>
      <c r="H82" s="63" t="s">
        <v>195</v>
      </c>
      <c r="I82" s="64" t="s">
        <v>267</v>
      </c>
      <c r="J82" s="65" t="str">
        <f>IFERROR(INDEX('Cost_Components'!$K$2:$K$27,MATCH(E82,'Cost_Components'!$A$2:$A$27,0)),"")</f>
      </c>
      <c r="K82" s="66" t="str">
        <f>IF(OR(L82="",Z82="",AA82="",AB82=""),"",IF(B82&lt;AA82,L82,IF(B82&gt;AB82,Z82,L82+(Z82-L82)*MIN(MAX((B82-AA82+1)/MAX(AB82-AA82+1,1),0),1))))</f>
      </c>
      <c r="L82" s="67" t="str">
        <f>IFERROR(INDEX('Cost_Components'!$S$2:$S$27,MATCH(E82,'Cost_Components'!$A$2:$A$27,0)),"")</f>
      </c>
      <c r="M82" s="68" t="str">
        <f>IFERROR(INDEX('Cost_Components'!$L$2:$L$27,MATCH(E82,'Cost_Components'!$A$2:$A$27,0)),"")</f>
      </c>
      <c r="N82" s="69" t="str">
        <f>IFERROR(INDEX('Cost_Components'!$P$2:$P$27,MATCH(E82,'Cost_Components'!$A$2:$A$27,0)),"")</f>
      </c>
      <c r="O82" s="70" t="str">
        <f>AF82*J82</f>
      </c>
      <c r="P82" s="71" t="str">
        <f>AG82*J82</f>
      </c>
      <c r="Q82" s="72" t="str">
        <f>P82*L82*M82*N82</f>
      </c>
      <c r="R82" s="73" t="str">
        <f>O82*K82*M82*N82</f>
      </c>
      <c r="S82" s="74" t="str">
        <f>R82-Q82</f>
      </c>
      <c r="T82" s="20" t="str">
        <f>IFERROR(INDEX('Cost_Components'!$R$2:$R$27,MATCH(E82,'Cost_Components'!$A$2:$A$27,0)),"")</f>
      </c>
      <c r="U82" s="75" t="str">
        <f>IFERROR(INDEX('Cost_Components'!$Q$2:$Q$27,MATCH(E82,'Cost_Components'!$A$2:$A$27,0)),"")</f>
      </c>
      <c r="V82" s="76" t="str">
        <f>1/(1+'Calculation_Assumptions'!$B$5)^(B82-'Calculation_Assumptions'!$B$2)</f>
      </c>
      <c r="W82" s="77" t="str">
        <f>Q82*V82</f>
      </c>
      <c r="X82" s="78" t="str">
        <f>R82*V82</f>
      </c>
      <c r="Y82" s="79" t="str">
        <f>S82*V82</f>
      </c>
      <c r="Z82" s="80" t="str">
        <f>IFERROR(INDEX('Cost_Components'!$T$2:$T$27,MATCH(E82,'Cost_Components'!$A$2:$A$27,0)),"")</f>
      </c>
      <c r="AA82" s="81" t="str">
        <f>IFERROR(INDEX('Cost_Components'!$U$2:$U$27,MATCH(E82,'Cost_Components'!$A$2:$A$27,0)),"")</f>
      </c>
      <c r="AB82" s="82" t="str">
        <f>IFERROR(INDEX('Cost_Components'!$V$2:$V$27,MATCH(E82,'Cost_Components'!$A$2:$A$27,0)),"")</f>
      </c>
      <c r="AC82" s="83" t="str">
        <f>IFERROR(INDEX('Cost_Components'!$M$2:$M$27,MATCH(E82,'Cost_Components'!$A$2:$A$27,0)),"")</f>
      </c>
      <c r="AD82" s="84" t="str">
        <f>IFERROR(INDEX('Cost_Components'!$N$2:$N$27,MATCH(E82,'Cost_Components'!$A$2:$A$27,0)),"")</f>
      </c>
      <c r="AE82" s="20" t="str">
        <f>IFERROR(INDEX('Cost_Components'!$O$2:$O$27,MATCH(E82,'Cost_Components'!$A$2:$A$27,0)),"")</f>
      </c>
      <c r="AF82" s="85" t="n">
        <v>482922.308810372</v>
      </c>
      <c r="AG82" s="86" t="n">
        <v>481614.310299758</v>
      </c>
      <c r="AH82" s="87" t="str">
        <f>IF(H82="shared-count-once",COUNTIFS($A$2:$A$1353,A82,$B$2:$B$1353,B82,$E$2:$E$1353,E82),1)</f>
      </c>
    </row>
    <row r="83">
      <c r="A83" t="s">
        <v>186</v>
      </c>
      <c r="B83" s="59" t="n">
        <v>2028</v>
      </c>
      <c r="C83" t="s">
        <v>186</v>
      </c>
      <c r="D83" t="s">
        <v>166</v>
      </c>
      <c r="E83" s="60" t="s">
        <v>268</v>
      </c>
      <c r="F83" s="61" t="s">
        <v>269</v>
      </c>
      <c r="G83" s="62" t="s">
        <v>196</v>
      </c>
      <c r="H83" s="63" t="s">
        <v>195</v>
      </c>
      <c r="I83" s="64" t="s">
        <v>267</v>
      </c>
      <c r="J83" s="65" t="str">
        <f>IFERROR(INDEX('Cost_Components'!$K$2:$K$27,MATCH(E83,'Cost_Components'!$A$2:$A$27,0)),"")</f>
      </c>
      <c r="K83" s="66" t="str">
        <f>IF(OR(L83="",Z83="",AA83="",AB83=""),"",IF(B83&lt;AA83,L83,IF(B83&gt;AB83,Z83,L83+(Z83-L83)*MIN(MAX((B83-AA83+1)/MAX(AB83-AA83+1,1),0),1))))</f>
      </c>
      <c r="L83" s="67" t="str">
        <f>IFERROR(INDEX('Cost_Components'!$S$2:$S$27,MATCH(E83,'Cost_Components'!$A$2:$A$27,0)),"")</f>
      </c>
      <c r="M83" s="68" t="str">
        <f>IFERROR(INDEX('Cost_Components'!$L$2:$L$27,MATCH(E83,'Cost_Components'!$A$2:$A$27,0)),"")</f>
      </c>
      <c r="N83" s="69" t="str">
        <f>IFERROR(INDEX('Cost_Components'!$P$2:$P$27,MATCH(E83,'Cost_Components'!$A$2:$A$27,0)),"")</f>
      </c>
      <c r="O83" s="70" t="str">
        <f>AF83*J83</f>
      </c>
      <c r="P83" s="71" t="str">
        <f>AG83*J83</f>
      </c>
      <c r="Q83" s="72" t="str">
        <f>P83*L83*M83*N83</f>
      </c>
      <c r="R83" s="73" t="str">
        <f>O83*K83*M83*N83</f>
      </c>
      <c r="S83" s="74" t="str">
        <f>R83-Q83</f>
      </c>
      <c r="T83" s="20" t="str">
        <f>IFERROR(INDEX('Cost_Components'!$R$2:$R$27,MATCH(E83,'Cost_Components'!$A$2:$A$27,0)),"")</f>
      </c>
      <c r="U83" s="75" t="str">
        <f>IFERROR(INDEX('Cost_Components'!$Q$2:$Q$27,MATCH(E83,'Cost_Components'!$A$2:$A$27,0)),"")</f>
      </c>
      <c r="V83" s="76" t="str">
        <f>1/(1+'Calculation_Assumptions'!$B$5)^(B83-'Calculation_Assumptions'!$B$2)</f>
      </c>
      <c r="W83" s="77" t="str">
        <f>Q83*V83</f>
      </c>
      <c r="X83" s="78" t="str">
        <f>R83*V83</f>
      </c>
      <c r="Y83" s="79" t="str">
        <f>S83*V83</f>
      </c>
      <c r="Z83" s="80" t="str">
        <f>IFERROR(INDEX('Cost_Components'!$T$2:$T$27,MATCH(E83,'Cost_Components'!$A$2:$A$27,0)),"")</f>
      </c>
      <c r="AA83" s="81" t="str">
        <f>IFERROR(INDEX('Cost_Components'!$U$2:$U$27,MATCH(E83,'Cost_Components'!$A$2:$A$27,0)),"")</f>
      </c>
      <c r="AB83" s="82" t="str">
        <f>IFERROR(INDEX('Cost_Components'!$V$2:$V$27,MATCH(E83,'Cost_Components'!$A$2:$A$27,0)),"")</f>
      </c>
      <c r="AC83" s="83" t="str">
        <f>IFERROR(INDEX('Cost_Components'!$M$2:$M$27,MATCH(E83,'Cost_Components'!$A$2:$A$27,0)),"")</f>
      </c>
      <c r="AD83" s="84" t="str">
        <f>IFERROR(INDEX('Cost_Components'!$N$2:$N$27,MATCH(E83,'Cost_Components'!$A$2:$A$27,0)),"")</f>
      </c>
      <c r="AE83" s="20" t="str">
        <f>IFERROR(INDEX('Cost_Components'!$O$2:$O$27,MATCH(E83,'Cost_Components'!$A$2:$A$27,0)),"")</f>
      </c>
      <c r="AF83" s="85" t="n">
        <v>496410.332865602</v>
      </c>
      <c r="AG83" s="86" t="n">
        <v>494345.788363417</v>
      </c>
      <c r="AH83" s="87" t="str">
        <f>IF(H83="shared-count-once",COUNTIFS($A$2:$A$1353,A83,$B$2:$B$1353,B83,$E$2:$E$1353,E83),1)</f>
      </c>
    </row>
    <row r="84">
      <c r="A84" t="s">
        <v>186</v>
      </c>
      <c r="B84" s="59" t="n">
        <v>2029</v>
      </c>
      <c r="C84" t="s">
        <v>186</v>
      </c>
      <c r="D84" t="s">
        <v>166</v>
      </c>
      <c r="E84" s="60" t="s">
        <v>268</v>
      </c>
      <c r="F84" s="61" t="s">
        <v>269</v>
      </c>
      <c r="G84" s="62" t="s">
        <v>196</v>
      </c>
      <c r="H84" s="63" t="s">
        <v>195</v>
      </c>
      <c r="I84" s="64" t="s">
        <v>267</v>
      </c>
      <c r="J84" s="65" t="str">
        <f>IFERROR(INDEX('Cost_Components'!$K$2:$K$27,MATCH(E84,'Cost_Components'!$A$2:$A$27,0)),"")</f>
      </c>
      <c r="K84" s="66" t="str">
        <f>IF(OR(L84="",Z84="",AA84="",AB84=""),"",IF(B84&lt;AA84,L84,IF(B84&gt;AB84,Z84,L84+(Z84-L84)*MIN(MAX((B84-AA84+1)/MAX(AB84-AA84+1,1),0),1))))</f>
      </c>
      <c r="L84" s="67" t="str">
        <f>IFERROR(INDEX('Cost_Components'!$S$2:$S$27,MATCH(E84,'Cost_Components'!$A$2:$A$27,0)),"")</f>
      </c>
      <c r="M84" s="68" t="str">
        <f>IFERROR(INDEX('Cost_Components'!$L$2:$L$27,MATCH(E84,'Cost_Components'!$A$2:$A$27,0)),"")</f>
      </c>
      <c r="N84" s="69" t="str">
        <f>IFERROR(INDEX('Cost_Components'!$P$2:$P$27,MATCH(E84,'Cost_Components'!$A$2:$A$27,0)),"")</f>
      </c>
      <c r="O84" s="70" t="str">
        <f>AF84*J84</f>
      </c>
      <c r="P84" s="71" t="str">
        <f>AG84*J84</f>
      </c>
      <c r="Q84" s="72" t="str">
        <f>P84*L84*M84*N84</f>
      </c>
      <c r="R84" s="73" t="str">
        <f>O84*K84*M84*N84</f>
      </c>
      <c r="S84" s="74" t="str">
        <f>R84-Q84</f>
      </c>
      <c r="T84" s="20" t="str">
        <f>IFERROR(INDEX('Cost_Components'!$R$2:$R$27,MATCH(E84,'Cost_Components'!$A$2:$A$27,0)),"")</f>
      </c>
      <c r="U84" s="75" t="str">
        <f>IFERROR(INDEX('Cost_Components'!$Q$2:$Q$27,MATCH(E84,'Cost_Components'!$A$2:$A$27,0)),"")</f>
      </c>
      <c r="V84" s="76" t="str">
        <f>1/(1+'Calculation_Assumptions'!$B$5)^(B84-'Calculation_Assumptions'!$B$2)</f>
      </c>
      <c r="W84" s="77" t="str">
        <f>Q84*V84</f>
      </c>
      <c r="X84" s="78" t="str">
        <f>R84*V84</f>
      </c>
      <c r="Y84" s="79" t="str">
        <f>S84*V84</f>
      </c>
      <c r="Z84" s="80" t="str">
        <f>IFERROR(INDEX('Cost_Components'!$T$2:$T$27,MATCH(E84,'Cost_Components'!$A$2:$A$27,0)),"")</f>
      </c>
      <c r="AA84" s="81" t="str">
        <f>IFERROR(INDEX('Cost_Components'!$U$2:$U$27,MATCH(E84,'Cost_Components'!$A$2:$A$27,0)),"")</f>
      </c>
      <c r="AB84" s="82" t="str">
        <f>IFERROR(INDEX('Cost_Components'!$V$2:$V$27,MATCH(E84,'Cost_Components'!$A$2:$A$27,0)),"")</f>
      </c>
      <c r="AC84" s="83" t="str">
        <f>IFERROR(INDEX('Cost_Components'!$M$2:$M$27,MATCH(E84,'Cost_Components'!$A$2:$A$27,0)),"")</f>
      </c>
      <c r="AD84" s="84" t="str">
        <f>IFERROR(INDEX('Cost_Components'!$N$2:$N$27,MATCH(E84,'Cost_Components'!$A$2:$A$27,0)),"")</f>
      </c>
      <c r="AE84" s="20" t="str">
        <f>IFERROR(INDEX('Cost_Components'!$O$2:$O$27,MATCH(E84,'Cost_Components'!$A$2:$A$27,0)),"")</f>
      </c>
      <c r="AF84" s="85" t="n">
        <v>508134.669850273</v>
      </c>
      <c r="AG84" s="86" t="n">
        <v>505191.380474151</v>
      </c>
      <c r="AH84" s="87" t="str">
        <f>IF(H84="shared-count-once",COUNTIFS($A$2:$A$1353,A84,$B$2:$B$1353,B84,$E$2:$E$1353,E84),1)</f>
      </c>
    </row>
    <row r="85">
      <c r="A85" t="s">
        <v>186</v>
      </c>
      <c r="B85" s="59" t="n">
        <v>2030</v>
      </c>
      <c r="C85" t="s">
        <v>186</v>
      </c>
      <c r="D85" t="s">
        <v>166</v>
      </c>
      <c r="E85" s="60" t="s">
        <v>268</v>
      </c>
      <c r="F85" s="61" t="s">
        <v>269</v>
      </c>
      <c r="G85" s="62" t="s">
        <v>196</v>
      </c>
      <c r="H85" s="63" t="s">
        <v>195</v>
      </c>
      <c r="I85" s="64" t="s">
        <v>267</v>
      </c>
      <c r="J85" s="65" t="str">
        <f>IFERROR(INDEX('Cost_Components'!$K$2:$K$27,MATCH(E85,'Cost_Components'!$A$2:$A$27,0)),"")</f>
      </c>
      <c r="K85" s="66" t="str">
        <f>IF(OR(L85="",Z85="",AA85="",AB85=""),"",IF(B85&lt;AA85,L85,IF(B85&gt;AB85,Z85,L85+(Z85-L85)*MIN(MAX((B85-AA85+1)/MAX(AB85-AA85+1,1),0),1))))</f>
      </c>
      <c r="L85" s="67" t="str">
        <f>IFERROR(INDEX('Cost_Components'!$S$2:$S$27,MATCH(E85,'Cost_Components'!$A$2:$A$27,0)),"")</f>
      </c>
      <c r="M85" s="68" t="str">
        <f>IFERROR(INDEX('Cost_Components'!$L$2:$L$27,MATCH(E85,'Cost_Components'!$A$2:$A$27,0)),"")</f>
      </c>
      <c r="N85" s="69" t="str">
        <f>IFERROR(INDEX('Cost_Components'!$P$2:$P$27,MATCH(E85,'Cost_Components'!$A$2:$A$27,0)),"")</f>
      </c>
      <c r="O85" s="70" t="str">
        <f>AF85*J85</f>
      </c>
      <c r="P85" s="71" t="str">
        <f>AG85*J85</f>
      </c>
      <c r="Q85" s="72" t="str">
        <f>P85*L85*M85*N85</f>
      </c>
      <c r="R85" s="73" t="str">
        <f>O85*K85*M85*N85</f>
      </c>
      <c r="S85" s="74" t="str">
        <f>R85-Q85</f>
      </c>
      <c r="T85" s="20" t="str">
        <f>IFERROR(INDEX('Cost_Components'!$R$2:$R$27,MATCH(E85,'Cost_Components'!$A$2:$A$27,0)),"")</f>
      </c>
      <c r="U85" s="75" t="str">
        <f>IFERROR(INDEX('Cost_Components'!$Q$2:$Q$27,MATCH(E85,'Cost_Components'!$A$2:$A$27,0)),"")</f>
      </c>
      <c r="V85" s="76" t="str">
        <f>1/(1+'Calculation_Assumptions'!$B$5)^(B85-'Calculation_Assumptions'!$B$2)</f>
      </c>
      <c r="W85" s="77" t="str">
        <f>Q85*V85</f>
      </c>
      <c r="X85" s="78" t="str">
        <f>R85*V85</f>
      </c>
      <c r="Y85" s="79" t="str">
        <f>S85*V85</f>
      </c>
      <c r="Z85" s="80" t="str">
        <f>IFERROR(INDEX('Cost_Components'!$T$2:$T$27,MATCH(E85,'Cost_Components'!$A$2:$A$27,0)),"")</f>
      </c>
      <c r="AA85" s="81" t="str">
        <f>IFERROR(INDEX('Cost_Components'!$U$2:$U$27,MATCH(E85,'Cost_Components'!$A$2:$A$27,0)),"")</f>
      </c>
      <c r="AB85" s="82" t="str">
        <f>IFERROR(INDEX('Cost_Components'!$V$2:$V$27,MATCH(E85,'Cost_Components'!$A$2:$A$27,0)),"")</f>
      </c>
      <c r="AC85" s="83" t="str">
        <f>IFERROR(INDEX('Cost_Components'!$M$2:$M$27,MATCH(E85,'Cost_Components'!$A$2:$A$27,0)),"")</f>
      </c>
      <c r="AD85" s="84" t="str">
        <f>IFERROR(INDEX('Cost_Components'!$N$2:$N$27,MATCH(E85,'Cost_Components'!$A$2:$A$27,0)),"")</f>
      </c>
      <c r="AE85" s="20" t="str">
        <f>IFERROR(INDEX('Cost_Components'!$O$2:$O$27,MATCH(E85,'Cost_Components'!$A$2:$A$27,0)),"")</f>
      </c>
      <c r="AF85" s="85" t="n">
        <v>519971.262145675</v>
      </c>
      <c r="AG85" s="86" t="n">
        <v>516054.92713886</v>
      </c>
      <c r="AH85" s="87" t="str">
        <f>IF(H85="shared-count-once",COUNTIFS($A$2:$A$1353,A85,$B$2:$B$1353,B85,$E$2:$E$1353,E85),1)</f>
      </c>
    </row>
    <row r="86">
      <c r="A86" t="s">
        <v>186</v>
      </c>
      <c r="B86" s="59" t="n">
        <v>2031</v>
      </c>
      <c r="C86" t="s">
        <v>186</v>
      </c>
      <c r="D86" t="s">
        <v>166</v>
      </c>
      <c r="E86" s="60" t="s">
        <v>268</v>
      </c>
      <c r="F86" s="61" t="s">
        <v>269</v>
      </c>
      <c r="G86" s="62" t="s">
        <v>196</v>
      </c>
      <c r="H86" s="63" t="s">
        <v>195</v>
      </c>
      <c r="I86" s="64" t="s">
        <v>267</v>
      </c>
      <c r="J86" s="65" t="str">
        <f>IFERROR(INDEX('Cost_Components'!$K$2:$K$27,MATCH(E86,'Cost_Components'!$A$2:$A$27,0)),"")</f>
      </c>
      <c r="K86" s="66" t="str">
        <f>IF(OR(L86="",Z86="",AA86="",AB86=""),"",IF(B86&lt;AA86,L86,IF(B86&gt;AB86,Z86,L86+(Z86-L86)*MIN(MAX((B86-AA86+1)/MAX(AB86-AA86+1,1),0),1))))</f>
      </c>
      <c r="L86" s="67" t="str">
        <f>IFERROR(INDEX('Cost_Components'!$S$2:$S$27,MATCH(E86,'Cost_Components'!$A$2:$A$27,0)),"")</f>
      </c>
      <c r="M86" s="68" t="str">
        <f>IFERROR(INDEX('Cost_Components'!$L$2:$L$27,MATCH(E86,'Cost_Components'!$A$2:$A$27,0)),"")</f>
      </c>
      <c r="N86" s="69" t="str">
        <f>IFERROR(INDEX('Cost_Components'!$P$2:$P$27,MATCH(E86,'Cost_Components'!$A$2:$A$27,0)),"")</f>
      </c>
      <c r="O86" s="70" t="str">
        <f>AF86*J86</f>
      </c>
      <c r="P86" s="71" t="str">
        <f>AG86*J86</f>
      </c>
      <c r="Q86" s="72" t="str">
        <f>P86*L86*M86*N86</f>
      </c>
      <c r="R86" s="73" t="str">
        <f>O86*K86*M86*N86</f>
      </c>
      <c r="S86" s="74" t="str">
        <f>R86-Q86</f>
      </c>
      <c r="T86" s="20" t="str">
        <f>IFERROR(INDEX('Cost_Components'!$R$2:$R$27,MATCH(E86,'Cost_Components'!$A$2:$A$27,0)),"")</f>
      </c>
      <c r="U86" s="75" t="str">
        <f>IFERROR(INDEX('Cost_Components'!$Q$2:$Q$27,MATCH(E86,'Cost_Components'!$A$2:$A$27,0)),"")</f>
      </c>
      <c r="V86" s="76" t="str">
        <f>1/(1+'Calculation_Assumptions'!$B$5)^(B86-'Calculation_Assumptions'!$B$2)</f>
      </c>
      <c r="W86" s="77" t="str">
        <f>Q86*V86</f>
      </c>
      <c r="X86" s="78" t="str">
        <f>R86*V86</f>
      </c>
      <c r="Y86" s="79" t="str">
        <f>S86*V86</f>
      </c>
      <c r="Z86" s="80" t="str">
        <f>IFERROR(INDEX('Cost_Components'!$T$2:$T$27,MATCH(E86,'Cost_Components'!$A$2:$A$27,0)),"")</f>
      </c>
      <c r="AA86" s="81" t="str">
        <f>IFERROR(INDEX('Cost_Components'!$U$2:$U$27,MATCH(E86,'Cost_Components'!$A$2:$A$27,0)),"")</f>
      </c>
      <c r="AB86" s="82" t="str">
        <f>IFERROR(INDEX('Cost_Components'!$V$2:$V$27,MATCH(E86,'Cost_Components'!$A$2:$A$27,0)),"")</f>
      </c>
      <c r="AC86" s="83" t="str">
        <f>IFERROR(INDEX('Cost_Components'!$M$2:$M$27,MATCH(E86,'Cost_Components'!$A$2:$A$27,0)),"")</f>
      </c>
      <c r="AD86" s="84" t="str">
        <f>IFERROR(INDEX('Cost_Components'!$N$2:$N$27,MATCH(E86,'Cost_Components'!$A$2:$A$27,0)),"")</f>
      </c>
      <c r="AE86" s="20" t="str">
        <f>IFERROR(INDEX('Cost_Components'!$O$2:$O$27,MATCH(E86,'Cost_Components'!$A$2:$A$27,0)),"")</f>
      </c>
      <c r="AF86" s="85" t="n">
        <v>532232.85164031</v>
      </c>
      <c r="AG86" s="86" t="n">
        <v>527258.82041239</v>
      </c>
      <c r="AH86" s="87" t="str">
        <f>IF(H86="shared-count-once",COUNTIFS($A$2:$A$1353,A86,$B$2:$B$1353,B86,$E$2:$E$1353,E86),1)</f>
      </c>
    </row>
    <row r="87">
      <c r="A87" t="s">
        <v>186</v>
      </c>
      <c r="B87" s="59" t="n">
        <v>2032</v>
      </c>
      <c r="C87" t="s">
        <v>186</v>
      </c>
      <c r="D87" t="s">
        <v>166</v>
      </c>
      <c r="E87" s="60" t="s">
        <v>268</v>
      </c>
      <c r="F87" s="61" t="s">
        <v>269</v>
      </c>
      <c r="G87" s="62" t="s">
        <v>196</v>
      </c>
      <c r="H87" s="63" t="s">
        <v>195</v>
      </c>
      <c r="I87" s="64" t="s">
        <v>267</v>
      </c>
      <c r="J87" s="65" t="str">
        <f>IFERROR(INDEX('Cost_Components'!$K$2:$K$27,MATCH(E87,'Cost_Components'!$A$2:$A$27,0)),"")</f>
      </c>
      <c r="K87" s="66" t="str">
        <f>IF(OR(L87="",Z87="",AA87="",AB87=""),"",IF(B87&lt;AA87,L87,IF(B87&gt;AB87,Z87,L87+(Z87-L87)*MIN(MAX((B87-AA87+1)/MAX(AB87-AA87+1,1),0),1))))</f>
      </c>
      <c r="L87" s="67" t="str">
        <f>IFERROR(INDEX('Cost_Components'!$S$2:$S$27,MATCH(E87,'Cost_Components'!$A$2:$A$27,0)),"")</f>
      </c>
      <c r="M87" s="68" t="str">
        <f>IFERROR(INDEX('Cost_Components'!$L$2:$L$27,MATCH(E87,'Cost_Components'!$A$2:$A$27,0)),"")</f>
      </c>
      <c r="N87" s="69" t="str">
        <f>IFERROR(INDEX('Cost_Components'!$P$2:$P$27,MATCH(E87,'Cost_Components'!$A$2:$A$27,0)),"")</f>
      </c>
      <c r="O87" s="70" t="str">
        <f>AF87*J87</f>
      </c>
      <c r="P87" s="71" t="str">
        <f>AG87*J87</f>
      </c>
      <c r="Q87" s="72" t="str">
        <f>P87*L87*M87*N87</f>
      </c>
      <c r="R87" s="73" t="str">
        <f>O87*K87*M87*N87</f>
      </c>
      <c r="S87" s="74" t="str">
        <f>R87-Q87</f>
      </c>
      <c r="T87" s="20" t="str">
        <f>IFERROR(INDEX('Cost_Components'!$R$2:$R$27,MATCH(E87,'Cost_Components'!$A$2:$A$27,0)),"")</f>
      </c>
      <c r="U87" s="75" t="str">
        <f>IFERROR(INDEX('Cost_Components'!$Q$2:$Q$27,MATCH(E87,'Cost_Components'!$A$2:$A$27,0)),"")</f>
      </c>
      <c r="V87" s="76" t="str">
        <f>1/(1+'Calculation_Assumptions'!$B$5)^(B87-'Calculation_Assumptions'!$B$2)</f>
      </c>
      <c r="W87" s="77" t="str">
        <f>Q87*V87</f>
      </c>
      <c r="X87" s="78" t="str">
        <f>R87*V87</f>
      </c>
      <c r="Y87" s="79" t="str">
        <f>S87*V87</f>
      </c>
      <c r="Z87" s="80" t="str">
        <f>IFERROR(INDEX('Cost_Components'!$T$2:$T$27,MATCH(E87,'Cost_Components'!$A$2:$A$27,0)),"")</f>
      </c>
      <c r="AA87" s="81" t="str">
        <f>IFERROR(INDEX('Cost_Components'!$U$2:$U$27,MATCH(E87,'Cost_Components'!$A$2:$A$27,0)),"")</f>
      </c>
      <c r="AB87" s="82" t="str">
        <f>IFERROR(INDEX('Cost_Components'!$V$2:$V$27,MATCH(E87,'Cost_Components'!$A$2:$A$27,0)),"")</f>
      </c>
      <c r="AC87" s="83" t="str">
        <f>IFERROR(INDEX('Cost_Components'!$M$2:$M$27,MATCH(E87,'Cost_Components'!$A$2:$A$27,0)),"")</f>
      </c>
      <c r="AD87" s="84" t="str">
        <f>IFERROR(INDEX('Cost_Components'!$N$2:$N$27,MATCH(E87,'Cost_Components'!$A$2:$A$27,0)),"")</f>
      </c>
      <c r="AE87" s="20" t="str">
        <f>IFERROR(INDEX('Cost_Components'!$O$2:$O$27,MATCH(E87,'Cost_Components'!$A$2:$A$27,0)),"")</f>
      </c>
      <c r="AF87" s="85" t="n">
        <v>544949.658572495</v>
      </c>
      <c r="AG87" s="86" t="n">
        <v>538838.193996299</v>
      </c>
      <c r="AH87" s="87" t="str">
        <f>IF(H87="shared-count-once",COUNTIFS($A$2:$A$1353,A87,$B$2:$B$1353,B87,$E$2:$E$1353,E87),1)</f>
      </c>
    </row>
    <row r="88">
      <c r="A88" t="s">
        <v>186</v>
      </c>
      <c r="B88" s="59" t="n">
        <v>2033</v>
      </c>
      <c r="C88" t="s">
        <v>186</v>
      </c>
      <c r="D88" t="s">
        <v>166</v>
      </c>
      <c r="E88" s="60" t="s">
        <v>268</v>
      </c>
      <c r="F88" s="61" t="s">
        <v>269</v>
      </c>
      <c r="G88" s="62" t="s">
        <v>196</v>
      </c>
      <c r="H88" s="63" t="s">
        <v>195</v>
      </c>
      <c r="I88" s="64" t="s">
        <v>267</v>
      </c>
      <c r="J88" s="65" t="str">
        <f>IFERROR(INDEX('Cost_Components'!$K$2:$K$27,MATCH(E88,'Cost_Components'!$A$2:$A$27,0)),"")</f>
      </c>
      <c r="K88" s="66" t="str">
        <f>IF(OR(L88="",Z88="",AA88="",AB88=""),"",IF(B88&lt;AA88,L88,IF(B88&gt;AB88,Z88,L88+(Z88-L88)*MIN(MAX((B88-AA88+1)/MAX(AB88-AA88+1,1),0),1))))</f>
      </c>
      <c r="L88" s="67" t="str">
        <f>IFERROR(INDEX('Cost_Components'!$S$2:$S$27,MATCH(E88,'Cost_Components'!$A$2:$A$27,0)),"")</f>
      </c>
      <c r="M88" s="68" t="str">
        <f>IFERROR(INDEX('Cost_Components'!$L$2:$L$27,MATCH(E88,'Cost_Components'!$A$2:$A$27,0)),"")</f>
      </c>
      <c r="N88" s="69" t="str">
        <f>IFERROR(INDEX('Cost_Components'!$P$2:$P$27,MATCH(E88,'Cost_Components'!$A$2:$A$27,0)),"")</f>
      </c>
      <c r="O88" s="70" t="str">
        <f>AF88*J88</f>
      </c>
      <c r="P88" s="71" t="str">
        <f>AG88*J88</f>
      </c>
      <c r="Q88" s="72" t="str">
        <f>P88*L88*M88*N88</f>
      </c>
      <c r="R88" s="73" t="str">
        <f>O88*K88*M88*N88</f>
      </c>
      <c r="S88" s="74" t="str">
        <f>R88-Q88</f>
      </c>
      <c r="T88" s="20" t="str">
        <f>IFERROR(INDEX('Cost_Components'!$R$2:$R$27,MATCH(E88,'Cost_Components'!$A$2:$A$27,0)),"")</f>
      </c>
      <c r="U88" s="75" t="str">
        <f>IFERROR(INDEX('Cost_Components'!$Q$2:$Q$27,MATCH(E88,'Cost_Components'!$A$2:$A$27,0)),"")</f>
      </c>
      <c r="V88" s="76" t="str">
        <f>1/(1+'Calculation_Assumptions'!$B$5)^(B88-'Calculation_Assumptions'!$B$2)</f>
      </c>
      <c r="W88" s="77" t="str">
        <f>Q88*V88</f>
      </c>
      <c r="X88" s="78" t="str">
        <f>R88*V88</f>
      </c>
      <c r="Y88" s="79" t="str">
        <f>S88*V88</f>
      </c>
      <c r="Z88" s="80" t="str">
        <f>IFERROR(INDEX('Cost_Components'!$T$2:$T$27,MATCH(E88,'Cost_Components'!$A$2:$A$27,0)),"")</f>
      </c>
      <c r="AA88" s="81" t="str">
        <f>IFERROR(INDEX('Cost_Components'!$U$2:$U$27,MATCH(E88,'Cost_Components'!$A$2:$A$27,0)),"")</f>
      </c>
      <c r="AB88" s="82" t="str">
        <f>IFERROR(INDEX('Cost_Components'!$V$2:$V$27,MATCH(E88,'Cost_Components'!$A$2:$A$27,0)),"")</f>
      </c>
      <c r="AC88" s="83" t="str">
        <f>IFERROR(INDEX('Cost_Components'!$M$2:$M$27,MATCH(E88,'Cost_Components'!$A$2:$A$27,0)),"")</f>
      </c>
      <c r="AD88" s="84" t="str">
        <f>IFERROR(INDEX('Cost_Components'!$N$2:$N$27,MATCH(E88,'Cost_Components'!$A$2:$A$27,0)),"")</f>
      </c>
      <c r="AE88" s="20" t="str">
        <f>IFERROR(INDEX('Cost_Components'!$O$2:$O$27,MATCH(E88,'Cost_Components'!$A$2:$A$27,0)),"")</f>
      </c>
      <c r="AF88" s="85" t="n">
        <v>558240.56452766</v>
      </c>
      <c r="AG88" s="86" t="n">
        <v>550915.137227313</v>
      </c>
      <c r="AH88" s="87" t="str">
        <f>IF(H88="shared-count-once",COUNTIFS($A$2:$A$1353,A88,$B$2:$B$1353,B88,$E$2:$E$1353,E88),1)</f>
      </c>
    </row>
    <row r="89">
      <c r="A89" t="s">
        <v>186</v>
      </c>
      <c r="B89" s="59" t="n">
        <v>2034</v>
      </c>
      <c r="C89" t="s">
        <v>186</v>
      </c>
      <c r="D89" t="s">
        <v>166</v>
      </c>
      <c r="E89" s="60" t="s">
        <v>268</v>
      </c>
      <c r="F89" s="61" t="s">
        <v>269</v>
      </c>
      <c r="G89" s="62" t="s">
        <v>196</v>
      </c>
      <c r="H89" s="63" t="s">
        <v>195</v>
      </c>
      <c r="I89" s="64" t="s">
        <v>267</v>
      </c>
      <c r="J89" s="65" t="str">
        <f>IFERROR(INDEX('Cost_Components'!$K$2:$K$27,MATCH(E89,'Cost_Components'!$A$2:$A$27,0)),"")</f>
      </c>
      <c r="K89" s="66" t="str">
        <f>IF(OR(L89="",Z89="",AA89="",AB89=""),"",IF(B89&lt;AA89,L89,IF(B89&gt;AB89,Z89,L89+(Z89-L89)*MIN(MAX((B89-AA89+1)/MAX(AB89-AA89+1,1),0),1))))</f>
      </c>
      <c r="L89" s="67" t="str">
        <f>IFERROR(INDEX('Cost_Components'!$S$2:$S$27,MATCH(E89,'Cost_Components'!$A$2:$A$27,0)),"")</f>
      </c>
      <c r="M89" s="68" t="str">
        <f>IFERROR(INDEX('Cost_Components'!$L$2:$L$27,MATCH(E89,'Cost_Components'!$A$2:$A$27,0)),"")</f>
      </c>
      <c r="N89" s="69" t="str">
        <f>IFERROR(INDEX('Cost_Components'!$P$2:$P$27,MATCH(E89,'Cost_Components'!$A$2:$A$27,0)),"")</f>
      </c>
      <c r="O89" s="70" t="str">
        <f>AF89*J89</f>
      </c>
      <c r="P89" s="71" t="str">
        <f>AG89*J89</f>
      </c>
      <c r="Q89" s="72" t="str">
        <f>P89*L89*M89*N89</f>
      </c>
      <c r="R89" s="73" t="str">
        <f>O89*K89*M89*N89</f>
      </c>
      <c r="S89" s="74" t="str">
        <f>R89-Q89</f>
      </c>
      <c r="T89" s="20" t="str">
        <f>IFERROR(INDEX('Cost_Components'!$R$2:$R$27,MATCH(E89,'Cost_Components'!$A$2:$A$27,0)),"")</f>
      </c>
      <c r="U89" s="75" t="str">
        <f>IFERROR(INDEX('Cost_Components'!$Q$2:$Q$27,MATCH(E89,'Cost_Components'!$A$2:$A$27,0)),"")</f>
      </c>
      <c r="V89" s="76" t="str">
        <f>1/(1+'Calculation_Assumptions'!$B$5)^(B89-'Calculation_Assumptions'!$B$2)</f>
      </c>
      <c r="W89" s="77" t="str">
        <f>Q89*V89</f>
      </c>
      <c r="X89" s="78" t="str">
        <f>R89*V89</f>
      </c>
      <c r="Y89" s="79" t="str">
        <f>S89*V89</f>
      </c>
      <c r="Z89" s="80" t="str">
        <f>IFERROR(INDEX('Cost_Components'!$T$2:$T$27,MATCH(E89,'Cost_Components'!$A$2:$A$27,0)),"")</f>
      </c>
      <c r="AA89" s="81" t="str">
        <f>IFERROR(INDEX('Cost_Components'!$U$2:$U$27,MATCH(E89,'Cost_Components'!$A$2:$A$27,0)),"")</f>
      </c>
      <c r="AB89" s="82" t="str">
        <f>IFERROR(INDEX('Cost_Components'!$V$2:$V$27,MATCH(E89,'Cost_Components'!$A$2:$A$27,0)),"")</f>
      </c>
      <c r="AC89" s="83" t="str">
        <f>IFERROR(INDEX('Cost_Components'!$M$2:$M$27,MATCH(E89,'Cost_Components'!$A$2:$A$27,0)),"")</f>
      </c>
      <c r="AD89" s="84" t="str">
        <f>IFERROR(INDEX('Cost_Components'!$N$2:$N$27,MATCH(E89,'Cost_Components'!$A$2:$A$27,0)),"")</f>
      </c>
      <c r="AE89" s="20" t="str">
        <f>IFERROR(INDEX('Cost_Components'!$O$2:$O$27,MATCH(E89,'Cost_Components'!$A$2:$A$27,0)),"")</f>
      </c>
      <c r="AF89" s="85" t="n">
        <v>571560.524637358</v>
      </c>
      <c r="AG89" s="86" t="n">
        <v>562945.263154292</v>
      </c>
      <c r="AH89" s="87" t="str">
        <f>IF(H89="shared-count-once",COUNTIFS($A$2:$A$1353,A89,$B$2:$B$1353,B89,$E$2:$E$1353,E89),1)</f>
      </c>
    </row>
    <row r="90">
      <c r="A90" t="s">
        <v>186</v>
      </c>
      <c r="B90" s="59" t="n">
        <v>2035</v>
      </c>
      <c r="C90" t="s">
        <v>186</v>
      </c>
      <c r="D90" t="s">
        <v>166</v>
      </c>
      <c r="E90" s="60" t="s">
        <v>268</v>
      </c>
      <c r="F90" s="61" t="s">
        <v>269</v>
      </c>
      <c r="G90" s="62" t="s">
        <v>196</v>
      </c>
      <c r="H90" s="63" t="s">
        <v>195</v>
      </c>
      <c r="I90" s="64" t="s">
        <v>267</v>
      </c>
      <c r="J90" s="65" t="str">
        <f>IFERROR(INDEX('Cost_Components'!$K$2:$K$27,MATCH(E90,'Cost_Components'!$A$2:$A$27,0)),"")</f>
      </c>
      <c r="K90" s="66" t="str">
        <f>IF(OR(L90="",Z90="",AA90="",AB90=""),"",IF(B90&lt;AA90,L90,IF(B90&gt;AB90,Z90,L90+(Z90-L90)*MIN(MAX((B90-AA90+1)/MAX(AB90-AA90+1,1),0),1))))</f>
      </c>
      <c r="L90" s="67" t="str">
        <f>IFERROR(INDEX('Cost_Components'!$S$2:$S$27,MATCH(E90,'Cost_Components'!$A$2:$A$27,0)),"")</f>
      </c>
      <c r="M90" s="68" t="str">
        <f>IFERROR(INDEX('Cost_Components'!$L$2:$L$27,MATCH(E90,'Cost_Components'!$A$2:$A$27,0)),"")</f>
      </c>
      <c r="N90" s="69" t="str">
        <f>IFERROR(INDEX('Cost_Components'!$P$2:$P$27,MATCH(E90,'Cost_Components'!$A$2:$A$27,0)),"")</f>
      </c>
      <c r="O90" s="70" t="str">
        <f>AF90*J90</f>
      </c>
      <c r="P90" s="71" t="str">
        <f>AG90*J90</f>
      </c>
      <c r="Q90" s="72" t="str">
        <f>P90*L90*M90*N90</f>
      </c>
      <c r="R90" s="73" t="str">
        <f>O90*K90*M90*N90</f>
      </c>
      <c r="S90" s="74" t="str">
        <f>R90-Q90</f>
      </c>
      <c r="T90" s="20" t="str">
        <f>IFERROR(INDEX('Cost_Components'!$R$2:$R$27,MATCH(E90,'Cost_Components'!$A$2:$A$27,0)),"")</f>
      </c>
      <c r="U90" s="75" t="str">
        <f>IFERROR(INDEX('Cost_Components'!$Q$2:$Q$27,MATCH(E90,'Cost_Components'!$A$2:$A$27,0)),"")</f>
      </c>
      <c r="V90" s="76" t="str">
        <f>1/(1+'Calculation_Assumptions'!$B$5)^(B90-'Calculation_Assumptions'!$B$2)</f>
      </c>
      <c r="W90" s="77" t="str">
        <f>Q90*V90</f>
      </c>
      <c r="X90" s="78" t="str">
        <f>R90*V90</f>
      </c>
      <c r="Y90" s="79" t="str">
        <f>S90*V90</f>
      </c>
      <c r="Z90" s="80" t="str">
        <f>IFERROR(INDEX('Cost_Components'!$T$2:$T$27,MATCH(E90,'Cost_Components'!$A$2:$A$27,0)),"")</f>
      </c>
      <c r="AA90" s="81" t="str">
        <f>IFERROR(INDEX('Cost_Components'!$U$2:$U$27,MATCH(E90,'Cost_Components'!$A$2:$A$27,0)),"")</f>
      </c>
      <c r="AB90" s="82" t="str">
        <f>IFERROR(INDEX('Cost_Components'!$V$2:$V$27,MATCH(E90,'Cost_Components'!$A$2:$A$27,0)),"")</f>
      </c>
      <c r="AC90" s="83" t="str">
        <f>IFERROR(INDEX('Cost_Components'!$M$2:$M$27,MATCH(E90,'Cost_Components'!$A$2:$A$27,0)),"")</f>
      </c>
      <c r="AD90" s="84" t="str">
        <f>IFERROR(INDEX('Cost_Components'!$N$2:$N$27,MATCH(E90,'Cost_Components'!$A$2:$A$27,0)),"")</f>
      </c>
      <c r="AE90" s="20" t="str">
        <f>IFERROR(INDEX('Cost_Components'!$O$2:$O$27,MATCH(E90,'Cost_Components'!$A$2:$A$27,0)),"")</f>
      </c>
      <c r="AF90" s="85" t="n">
        <v>585651.886231557</v>
      </c>
      <c r="AG90" s="86" t="n">
        <v>575676.013132482</v>
      </c>
      <c r="AH90" s="87" t="str">
        <f>IF(H90="shared-count-once",COUNTIFS($A$2:$A$1353,A90,$B$2:$B$1353,B90,$E$2:$E$1353,E90),1)</f>
      </c>
    </row>
    <row r="91">
      <c r="A91" t="s">
        <v>186</v>
      </c>
      <c r="B91" s="59" t="n">
        <v>2036</v>
      </c>
      <c r="C91" t="s">
        <v>186</v>
      </c>
      <c r="D91" t="s">
        <v>166</v>
      </c>
      <c r="E91" s="60" t="s">
        <v>268</v>
      </c>
      <c r="F91" s="61" t="s">
        <v>269</v>
      </c>
      <c r="G91" s="62" t="s">
        <v>196</v>
      </c>
      <c r="H91" s="63" t="s">
        <v>195</v>
      </c>
      <c r="I91" s="64" t="s">
        <v>267</v>
      </c>
      <c r="J91" s="65" t="str">
        <f>IFERROR(INDEX('Cost_Components'!$K$2:$K$27,MATCH(E91,'Cost_Components'!$A$2:$A$27,0)),"")</f>
      </c>
      <c r="K91" s="66" t="str">
        <f>IF(OR(L91="",Z91="",AA91="",AB91=""),"",IF(B91&lt;AA91,L91,IF(B91&gt;AB91,Z91,L91+(Z91-L91)*MIN(MAX((B91-AA91+1)/MAX(AB91-AA91+1,1),0),1))))</f>
      </c>
      <c r="L91" s="67" t="str">
        <f>IFERROR(INDEX('Cost_Components'!$S$2:$S$27,MATCH(E91,'Cost_Components'!$A$2:$A$27,0)),"")</f>
      </c>
      <c r="M91" s="68" t="str">
        <f>IFERROR(INDEX('Cost_Components'!$L$2:$L$27,MATCH(E91,'Cost_Components'!$A$2:$A$27,0)),"")</f>
      </c>
      <c r="N91" s="69" t="str">
        <f>IFERROR(INDEX('Cost_Components'!$P$2:$P$27,MATCH(E91,'Cost_Components'!$A$2:$A$27,0)),"")</f>
      </c>
      <c r="O91" s="70" t="str">
        <f>AF91*J91</f>
      </c>
      <c r="P91" s="71" t="str">
        <f>AG91*J91</f>
      </c>
      <c r="Q91" s="72" t="str">
        <f>P91*L91*M91*N91</f>
      </c>
      <c r="R91" s="73" t="str">
        <f>O91*K91*M91*N91</f>
      </c>
      <c r="S91" s="74" t="str">
        <f>R91-Q91</f>
      </c>
      <c r="T91" s="20" t="str">
        <f>IFERROR(INDEX('Cost_Components'!$R$2:$R$27,MATCH(E91,'Cost_Components'!$A$2:$A$27,0)),"")</f>
      </c>
      <c r="U91" s="75" t="str">
        <f>IFERROR(INDEX('Cost_Components'!$Q$2:$Q$27,MATCH(E91,'Cost_Components'!$A$2:$A$27,0)),"")</f>
      </c>
      <c r="V91" s="76" t="str">
        <f>1/(1+'Calculation_Assumptions'!$B$5)^(B91-'Calculation_Assumptions'!$B$2)</f>
      </c>
      <c r="W91" s="77" t="str">
        <f>Q91*V91</f>
      </c>
      <c r="X91" s="78" t="str">
        <f>R91*V91</f>
      </c>
      <c r="Y91" s="79" t="str">
        <f>S91*V91</f>
      </c>
      <c r="Z91" s="80" t="str">
        <f>IFERROR(INDEX('Cost_Components'!$T$2:$T$27,MATCH(E91,'Cost_Components'!$A$2:$A$27,0)),"")</f>
      </c>
      <c r="AA91" s="81" t="str">
        <f>IFERROR(INDEX('Cost_Components'!$U$2:$U$27,MATCH(E91,'Cost_Components'!$A$2:$A$27,0)),"")</f>
      </c>
      <c r="AB91" s="82" t="str">
        <f>IFERROR(INDEX('Cost_Components'!$V$2:$V$27,MATCH(E91,'Cost_Components'!$A$2:$A$27,0)),"")</f>
      </c>
      <c r="AC91" s="83" t="str">
        <f>IFERROR(INDEX('Cost_Components'!$M$2:$M$27,MATCH(E91,'Cost_Components'!$A$2:$A$27,0)),"")</f>
      </c>
      <c r="AD91" s="84" t="str">
        <f>IFERROR(INDEX('Cost_Components'!$N$2:$N$27,MATCH(E91,'Cost_Components'!$A$2:$A$27,0)),"")</f>
      </c>
      <c r="AE91" s="20" t="str">
        <f>IFERROR(INDEX('Cost_Components'!$O$2:$O$27,MATCH(E91,'Cost_Components'!$A$2:$A$27,0)),"")</f>
      </c>
      <c r="AF91" s="85" t="n">
        <v>600445.79162896</v>
      </c>
      <c r="AG91" s="86" t="n">
        <v>589036.334662854</v>
      </c>
      <c r="AH91" s="87" t="str">
        <f>IF(H91="shared-count-once",COUNTIFS($A$2:$A$1353,A91,$B$2:$B$1353,B91,$E$2:$E$1353,E91),1)</f>
      </c>
    </row>
    <row r="92">
      <c r="A92" t="s">
        <v>186</v>
      </c>
      <c r="B92" s="59" t="n">
        <v>2037</v>
      </c>
      <c r="C92" t="s">
        <v>186</v>
      </c>
      <c r="D92" t="s">
        <v>166</v>
      </c>
      <c r="E92" s="60" t="s">
        <v>268</v>
      </c>
      <c r="F92" s="61" t="s">
        <v>269</v>
      </c>
      <c r="G92" s="62" t="s">
        <v>196</v>
      </c>
      <c r="H92" s="63" t="s">
        <v>195</v>
      </c>
      <c r="I92" s="64" t="s">
        <v>267</v>
      </c>
      <c r="J92" s="65" t="str">
        <f>IFERROR(INDEX('Cost_Components'!$K$2:$K$27,MATCH(E92,'Cost_Components'!$A$2:$A$27,0)),"")</f>
      </c>
      <c r="K92" s="66" t="str">
        <f>IF(OR(L92="",Z92="",AA92="",AB92=""),"",IF(B92&lt;AA92,L92,IF(B92&gt;AB92,Z92,L92+(Z92-L92)*MIN(MAX((B92-AA92+1)/MAX(AB92-AA92+1,1),0),1))))</f>
      </c>
      <c r="L92" s="67" t="str">
        <f>IFERROR(INDEX('Cost_Components'!$S$2:$S$27,MATCH(E92,'Cost_Components'!$A$2:$A$27,0)),"")</f>
      </c>
      <c r="M92" s="68" t="str">
        <f>IFERROR(INDEX('Cost_Components'!$L$2:$L$27,MATCH(E92,'Cost_Components'!$A$2:$A$27,0)),"")</f>
      </c>
      <c r="N92" s="69" t="str">
        <f>IFERROR(INDEX('Cost_Components'!$P$2:$P$27,MATCH(E92,'Cost_Components'!$A$2:$A$27,0)),"")</f>
      </c>
      <c r="O92" s="70" t="str">
        <f>AF92*J92</f>
      </c>
      <c r="P92" s="71" t="str">
        <f>AG92*J92</f>
      </c>
      <c r="Q92" s="72" t="str">
        <f>P92*L92*M92*N92</f>
      </c>
      <c r="R92" s="73" t="str">
        <f>O92*K92*M92*N92</f>
      </c>
      <c r="S92" s="74" t="str">
        <f>R92-Q92</f>
      </c>
      <c r="T92" s="20" t="str">
        <f>IFERROR(INDEX('Cost_Components'!$R$2:$R$27,MATCH(E92,'Cost_Components'!$A$2:$A$27,0)),"")</f>
      </c>
      <c r="U92" s="75" t="str">
        <f>IFERROR(INDEX('Cost_Components'!$Q$2:$Q$27,MATCH(E92,'Cost_Components'!$A$2:$A$27,0)),"")</f>
      </c>
      <c r="V92" s="76" t="str">
        <f>1/(1+'Calculation_Assumptions'!$B$5)^(B92-'Calculation_Assumptions'!$B$2)</f>
      </c>
      <c r="W92" s="77" t="str">
        <f>Q92*V92</f>
      </c>
      <c r="X92" s="78" t="str">
        <f>R92*V92</f>
      </c>
      <c r="Y92" s="79" t="str">
        <f>S92*V92</f>
      </c>
      <c r="Z92" s="80" t="str">
        <f>IFERROR(INDEX('Cost_Components'!$T$2:$T$27,MATCH(E92,'Cost_Components'!$A$2:$A$27,0)),"")</f>
      </c>
      <c r="AA92" s="81" t="str">
        <f>IFERROR(INDEX('Cost_Components'!$U$2:$U$27,MATCH(E92,'Cost_Components'!$A$2:$A$27,0)),"")</f>
      </c>
      <c r="AB92" s="82" t="str">
        <f>IFERROR(INDEX('Cost_Components'!$V$2:$V$27,MATCH(E92,'Cost_Components'!$A$2:$A$27,0)),"")</f>
      </c>
      <c r="AC92" s="83" t="str">
        <f>IFERROR(INDEX('Cost_Components'!$M$2:$M$27,MATCH(E92,'Cost_Components'!$A$2:$A$27,0)),"")</f>
      </c>
      <c r="AD92" s="84" t="str">
        <f>IFERROR(INDEX('Cost_Components'!$N$2:$N$27,MATCH(E92,'Cost_Components'!$A$2:$A$27,0)),"")</f>
      </c>
      <c r="AE92" s="20" t="str">
        <f>IFERROR(INDEX('Cost_Components'!$O$2:$O$27,MATCH(E92,'Cost_Components'!$A$2:$A$27,0)),"")</f>
      </c>
      <c r="AF92" s="85" t="n">
        <v>615813.609228089</v>
      </c>
      <c r="AG92" s="86" t="n">
        <v>602896.994272446</v>
      </c>
      <c r="AH92" s="87" t="str">
        <f>IF(H92="shared-count-once",COUNTIFS($A$2:$A$1353,A92,$B$2:$B$1353,B92,$E$2:$E$1353,E92),1)</f>
      </c>
    </row>
    <row r="93">
      <c r="A93" t="s">
        <v>186</v>
      </c>
      <c r="B93" s="59" t="n">
        <v>2038</v>
      </c>
      <c r="C93" t="s">
        <v>186</v>
      </c>
      <c r="D93" t="s">
        <v>166</v>
      </c>
      <c r="E93" s="60" t="s">
        <v>268</v>
      </c>
      <c r="F93" s="61" t="s">
        <v>269</v>
      </c>
      <c r="G93" s="62" t="s">
        <v>196</v>
      </c>
      <c r="H93" s="63" t="s">
        <v>195</v>
      </c>
      <c r="I93" s="64" t="s">
        <v>267</v>
      </c>
      <c r="J93" s="65" t="str">
        <f>IFERROR(INDEX('Cost_Components'!$K$2:$K$27,MATCH(E93,'Cost_Components'!$A$2:$A$27,0)),"")</f>
      </c>
      <c r="K93" s="66" t="str">
        <f>IF(OR(L93="",Z93="",AA93="",AB93=""),"",IF(B93&lt;AA93,L93,IF(B93&gt;AB93,Z93,L93+(Z93-L93)*MIN(MAX((B93-AA93+1)/MAX(AB93-AA93+1,1),0),1))))</f>
      </c>
      <c r="L93" s="67" t="str">
        <f>IFERROR(INDEX('Cost_Components'!$S$2:$S$27,MATCH(E93,'Cost_Components'!$A$2:$A$27,0)),"")</f>
      </c>
      <c r="M93" s="68" t="str">
        <f>IFERROR(INDEX('Cost_Components'!$L$2:$L$27,MATCH(E93,'Cost_Components'!$A$2:$A$27,0)),"")</f>
      </c>
      <c r="N93" s="69" t="str">
        <f>IFERROR(INDEX('Cost_Components'!$P$2:$P$27,MATCH(E93,'Cost_Components'!$A$2:$A$27,0)),"")</f>
      </c>
      <c r="O93" s="70" t="str">
        <f>AF93*J93</f>
      </c>
      <c r="P93" s="71" t="str">
        <f>AG93*J93</f>
      </c>
      <c r="Q93" s="72" t="str">
        <f>P93*L93*M93*N93</f>
      </c>
      <c r="R93" s="73" t="str">
        <f>O93*K93*M93*N93</f>
      </c>
      <c r="S93" s="74" t="str">
        <f>R93-Q93</f>
      </c>
      <c r="T93" s="20" t="str">
        <f>IFERROR(INDEX('Cost_Components'!$R$2:$R$27,MATCH(E93,'Cost_Components'!$A$2:$A$27,0)),"")</f>
      </c>
      <c r="U93" s="75" t="str">
        <f>IFERROR(INDEX('Cost_Components'!$Q$2:$Q$27,MATCH(E93,'Cost_Components'!$A$2:$A$27,0)),"")</f>
      </c>
      <c r="V93" s="76" t="str">
        <f>1/(1+'Calculation_Assumptions'!$B$5)^(B93-'Calculation_Assumptions'!$B$2)</f>
      </c>
      <c r="W93" s="77" t="str">
        <f>Q93*V93</f>
      </c>
      <c r="X93" s="78" t="str">
        <f>R93*V93</f>
      </c>
      <c r="Y93" s="79" t="str">
        <f>S93*V93</f>
      </c>
      <c r="Z93" s="80" t="str">
        <f>IFERROR(INDEX('Cost_Components'!$T$2:$T$27,MATCH(E93,'Cost_Components'!$A$2:$A$27,0)),"")</f>
      </c>
      <c r="AA93" s="81" t="str">
        <f>IFERROR(INDEX('Cost_Components'!$U$2:$U$27,MATCH(E93,'Cost_Components'!$A$2:$A$27,0)),"")</f>
      </c>
      <c r="AB93" s="82" t="str">
        <f>IFERROR(INDEX('Cost_Components'!$V$2:$V$27,MATCH(E93,'Cost_Components'!$A$2:$A$27,0)),"")</f>
      </c>
      <c r="AC93" s="83" t="str">
        <f>IFERROR(INDEX('Cost_Components'!$M$2:$M$27,MATCH(E93,'Cost_Components'!$A$2:$A$27,0)),"")</f>
      </c>
      <c r="AD93" s="84" t="str">
        <f>IFERROR(INDEX('Cost_Components'!$N$2:$N$27,MATCH(E93,'Cost_Components'!$A$2:$A$27,0)),"")</f>
      </c>
      <c r="AE93" s="20" t="str">
        <f>IFERROR(INDEX('Cost_Components'!$O$2:$O$27,MATCH(E93,'Cost_Components'!$A$2:$A$27,0)),"")</f>
      </c>
      <c r="AF93" s="85" t="n">
        <v>631806.76918568</v>
      </c>
      <c r="AG93" s="86" t="n">
        <v>617309.427161682</v>
      </c>
      <c r="AH93" s="87" t="str">
        <f>IF(H93="shared-count-once",COUNTIFS($A$2:$A$1353,A93,$B$2:$B$1353,B93,$E$2:$E$1353,E93),1)</f>
      </c>
    </row>
    <row r="94">
      <c r="A94" t="s">
        <v>186</v>
      </c>
      <c r="B94" s="59" t="n">
        <v>2039</v>
      </c>
      <c r="C94" t="s">
        <v>186</v>
      </c>
      <c r="D94" t="s">
        <v>166</v>
      </c>
      <c r="E94" s="60" t="s">
        <v>268</v>
      </c>
      <c r="F94" s="61" t="s">
        <v>269</v>
      </c>
      <c r="G94" s="62" t="s">
        <v>196</v>
      </c>
      <c r="H94" s="63" t="s">
        <v>195</v>
      </c>
      <c r="I94" s="64" t="s">
        <v>267</v>
      </c>
      <c r="J94" s="65" t="str">
        <f>IFERROR(INDEX('Cost_Components'!$K$2:$K$27,MATCH(E94,'Cost_Components'!$A$2:$A$27,0)),"")</f>
      </c>
      <c r="K94" s="66" t="str">
        <f>IF(OR(L94="",Z94="",AA94="",AB94=""),"",IF(B94&lt;AA94,L94,IF(B94&gt;AB94,Z94,L94+(Z94-L94)*MIN(MAX((B94-AA94+1)/MAX(AB94-AA94+1,1),0),1))))</f>
      </c>
      <c r="L94" s="67" t="str">
        <f>IFERROR(INDEX('Cost_Components'!$S$2:$S$27,MATCH(E94,'Cost_Components'!$A$2:$A$27,0)),"")</f>
      </c>
      <c r="M94" s="68" t="str">
        <f>IFERROR(INDEX('Cost_Components'!$L$2:$L$27,MATCH(E94,'Cost_Components'!$A$2:$A$27,0)),"")</f>
      </c>
      <c r="N94" s="69" t="str">
        <f>IFERROR(INDEX('Cost_Components'!$P$2:$P$27,MATCH(E94,'Cost_Components'!$A$2:$A$27,0)),"")</f>
      </c>
      <c r="O94" s="70" t="str">
        <f>AF94*J94</f>
      </c>
      <c r="P94" s="71" t="str">
        <f>AG94*J94</f>
      </c>
      <c r="Q94" s="72" t="str">
        <f>P94*L94*M94*N94</f>
      </c>
      <c r="R94" s="73" t="str">
        <f>O94*K94*M94*N94</f>
      </c>
      <c r="S94" s="74" t="str">
        <f>R94-Q94</f>
      </c>
      <c r="T94" s="20" t="str">
        <f>IFERROR(INDEX('Cost_Components'!$R$2:$R$27,MATCH(E94,'Cost_Components'!$A$2:$A$27,0)),"")</f>
      </c>
      <c r="U94" s="75" t="str">
        <f>IFERROR(INDEX('Cost_Components'!$Q$2:$Q$27,MATCH(E94,'Cost_Components'!$A$2:$A$27,0)),"")</f>
      </c>
      <c r="V94" s="76" t="str">
        <f>1/(1+'Calculation_Assumptions'!$B$5)^(B94-'Calculation_Assumptions'!$B$2)</f>
      </c>
      <c r="W94" s="77" t="str">
        <f>Q94*V94</f>
      </c>
      <c r="X94" s="78" t="str">
        <f>R94*V94</f>
      </c>
      <c r="Y94" s="79" t="str">
        <f>S94*V94</f>
      </c>
      <c r="Z94" s="80" t="str">
        <f>IFERROR(INDEX('Cost_Components'!$T$2:$T$27,MATCH(E94,'Cost_Components'!$A$2:$A$27,0)),"")</f>
      </c>
      <c r="AA94" s="81" t="str">
        <f>IFERROR(INDEX('Cost_Components'!$U$2:$U$27,MATCH(E94,'Cost_Components'!$A$2:$A$27,0)),"")</f>
      </c>
      <c r="AB94" s="82" t="str">
        <f>IFERROR(INDEX('Cost_Components'!$V$2:$V$27,MATCH(E94,'Cost_Components'!$A$2:$A$27,0)),"")</f>
      </c>
      <c r="AC94" s="83" t="str">
        <f>IFERROR(INDEX('Cost_Components'!$M$2:$M$27,MATCH(E94,'Cost_Components'!$A$2:$A$27,0)),"")</f>
      </c>
      <c r="AD94" s="84" t="str">
        <f>IFERROR(INDEX('Cost_Components'!$N$2:$N$27,MATCH(E94,'Cost_Components'!$A$2:$A$27,0)),"")</f>
      </c>
      <c r="AE94" s="20" t="str">
        <f>IFERROR(INDEX('Cost_Components'!$O$2:$O$27,MATCH(E94,'Cost_Components'!$A$2:$A$27,0)),"")</f>
      </c>
      <c r="AF94" s="85" t="n">
        <v>647647.423700992</v>
      </c>
      <c r="AG94" s="86" t="n">
        <v>631494.66209286</v>
      </c>
      <c r="AH94" s="87" t="str">
        <f>IF(H94="shared-count-once",COUNTIFS($A$2:$A$1353,A94,$B$2:$B$1353,B94,$E$2:$E$1353,E94),1)</f>
      </c>
    </row>
    <row r="95">
      <c r="A95" t="s">
        <v>186</v>
      </c>
      <c r="B95" s="59" t="n">
        <v>2040</v>
      </c>
      <c r="C95" t="s">
        <v>186</v>
      </c>
      <c r="D95" t="s">
        <v>166</v>
      </c>
      <c r="E95" s="60" t="s">
        <v>268</v>
      </c>
      <c r="F95" s="61" t="s">
        <v>269</v>
      </c>
      <c r="G95" s="62" t="s">
        <v>196</v>
      </c>
      <c r="H95" s="63" t="s">
        <v>195</v>
      </c>
      <c r="I95" s="64" t="s">
        <v>267</v>
      </c>
      <c r="J95" s="65" t="str">
        <f>IFERROR(INDEX('Cost_Components'!$K$2:$K$27,MATCH(E95,'Cost_Components'!$A$2:$A$27,0)),"")</f>
      </c>
      <c r="K95" s="66" t="str">
        <f>IF(OR(L95="",Z95="",AA95="",AB95=""),"",IF(B95&lt;AA95,L95,IF(B95&gt;AB95,Z95,L95+(Z95-L95)*MIN(MAX((B95-AA95+1)/MAX(AB95-AA95+1,1),0),1))))</f>
      </c>
      <c r="L95" s="67" t="str">
        <f>IFERROR(INDEX('Cost_Components'!$S$2:$S$27,MATCH(E95,'Cost_Components'!$A$2:$A$27,0)),"")</f>
      </c>
      <c r="M95" s="68" t="str">
        <f>IFERROR(INDEX('Cost_Components'!$L$2:$L$27,MATCH(E95,'Cost_Components'!$A$2:$A$27,0)),"")</f>
      </c>
      <c r="N95" s="69" t="str">
        <f>IFERROR(INDEX('Cost_Components'!$P$2:$P$27,MATCH(E95,'Cost_Components'!$A$2:$A$27,0)),"")</f>
      </c>
      <c r="O95" s="70" t="str">
        <f>AF95*J95</f>
      </c>
      <c r="P95" s="71" t="str">
        <f>AG95*J95</f>
      </c>
      <c r="Q95" s="72" t="str">
        <f>P95*L95*M95*N95</f>
      </c>
      <c r="R95" s="73" t="str">
        <f>O95*K95*M95*N95</f>
      </c>
      <c r="S95" s="74" t="str">
        <f>R95-Q95</f>
      </c>
      <c r="T95" s="20" t="str">
        <f>IFERROR(INDEX('Cost_Components'!$R$2:$R$27,MATCH(E95,'Cost_Components'!$A$2:$A$27,0)),"")</f>
      </c>
      <c r="U95" s="75" t="str">
        <f>IFERROR(INDEX('Cost_Components'!$Q$2:$Q$27,MATCH(E95,'Cost_Components'!$A$2:$A$27,0)),"")</f>
      </c>
      <c r="V95" s="76" t="str">
        <f>1/(1+'Calculation_Assumptions'!$B$5)^(B95-'Calculation_Assumptions'!$B$2)</f>
      </c>
      <c r="W95" s="77" t="str">
        <f>Q95*V95</f>
      </c>
      <c r="X95" s="78" t="str">
        <f>R95*V95</f>
      </c>
      <c r="Y95" s="79" t="str">
        <f>S95*V95</f>
      </c>
      <c r="Z95" s="80" t="str">
        <f>IFERROR(INDEX('Cost_Components'!$T$2:$T$27,MATCH(E95,'Cost_Components'!$A$2:$A$27,0)),"")</f>
      </c>
      <c r="AA95" s="81" t="str">
        <f>IFERROR(INDEX('Cost_Components'!$U$2:$U$27,MATCH(E95,'Cost_Components'!$A$2:$A$27,0)),"")</f>
      </c>
      <c r="AB95" s="82" t="str">
        <f>IFERROR(INDEX('Cost_Components'!$V$2:$V$27,MATCH(E95,'Cost_Components'!$A$2:$A$27,0)),"")</f>
      </c>
      <c r="AC95" s="83" t="str">
        <f>IFERROR(INDEX('Cost_Components'!$M$2:$M$27,MATCH(E95,'Cost_Components'!$A$2:$A$27,0)),"")</f>
      </c>
      <c r="AD95" s="84" t="str">
        <f>IFERROR(INDEX('Cost_Components'!$N$2:$N$27,MATCH(E95,'Cost_Components'!$A$2:$A$27,0)),"")</f>
      </c>
      <c r="AE95" s="20" t="str">
        <f>IFERROR(INDEX('Cost_Components'!$O$2:$O$27,MATCH(E95,'Cost_Components'!$A$2:$A$27,0)),"")</f>
      </c>
      <c r="AF95" s="85" t="n">
        <v>663982.761681159</v>
      </c>
      <c r="AG95" s="86" t="n">
        <v>646103.245721349</v>
      </c>
      <c r="AH95" s="87" t="str">
        <f>IF(H95="shared-count-once",COUNTIFS($A$2:$A$1353,A95,$B$2:$B$1353,B95,$E$2:$E$1353,E95),1)</f>
      </c>
    </row>
    <row r="96">
      <c r="A96" t="s">
        <v>186</v>
      </c>
      <c r="B96" s="59" t="n">
        <v>2041</v>
      </c>
      <c r="C96" t="s">
        <v>186</v>
      </c>
      <c r="D96" t="s">
        <v>166</v>
      </c>
      <c r="E96" s="60" t="s">
        <v>268</v>
      </c>
      <c r="F96" s="61" t="s">
        <v>269</v>
      </c>
      <c r="G96" s="62" t="s">
        <v>196</v>
      </c>
      <c r="H96" s="63" t="s">
        <v>195</v>
      </c>
      <c r="I96" s="64" t="s">
        <v>267</v>
      </c>
      <c r="J96" s="65" t="str">
        <f>IFERROR(INDEX('Cost_Components'!$K$2:$K$27,MATCH(E96,'Cost_Components'!$A$2:$A$27,0)),"")</f>
      </c>
      <c r="K96" s="66" t="str">
        <f>IF(OR(L96="",Z96="",AA96="",AB96=""),"",IF(B96&lt;AA96,L96,IF(B96&gt;AB96,Z96,L96+(Z96-L96)*MIN(MAX((B96-AA96+1)/MAX(AB96-AA96+1,1),0),1))))</f>
      </c>
      <c r="L96" s="67" t="str">
        <f>IFERROR(INDEX('Cost_Components'!$S$2:$S$27,MATCH(E96,'Cost_Components'!$A$2:$A$27,0)),"")</f>
      </c>
      <c r="M96" s="68" t="str">
        <f>IFERROR(INDEX('Cost_Components'!$L$2:$L$27,MATCH(E96,'Cost_Components'!$A$2:$A$27,0)),"")</f>
      </c>
      <c r="N96" s="69" t="str">
        <f>IFERROR(INDEX('Cost_Components'!$P$2:$P$27,MATCH(E96,'Cost_Components'!$A$2:$A$27,0)),"")</f>
      </c>
      <c r="O96" s="70" t="str">
        <f>AF96*J96</f>
      </c>
      <c r="P96" s="71" t="str">
        <f>AG96*J96</f>
      </c>
      <c r="Q96" s="72" t="str">
        <f>P96*L96*M96*N96</f>
      </c>
      <c r="R96" s="73" t="str">
        <f>O96*K96*M96*N96</f>
      </c>
      <c r="S96" s="74" t="str">
        <f>R96-Q96</f>
      </c>
      <c r="T96" s="20" t="str">
        <f>IFERROR(INDEX('Cost_Components'!$R$2:$R$27,MATCH(E96,'Cost_Components'!$A$2:$A$27,0)),"")</f>
      </c>
      <c r="U96" s="75" t="str">
        <f>IFERROR(INDEX('Cost_Components'!$Q$2:$Q$27,MATCH(E96,'Cost_Components'!$A$2:$A$27,0)),"")</f>
      </c>
      <c r="V96" s="76" t="str">
        <f>1/(1+'Calculation_Assumptions'!$B$5)^(B96-'Calculation_Assumptions'!$B$2)</f>
      </c>
      <c r="W96" s="77" t="str">
        <f>Q96*V96</f>
      </c>
      <c r="X96" s="78" t="str">
        <f>R96*V96</f>
      </c>
      <c r="Y96" s="79" t="str">
        <f>S96*V96</f>
      </c>
      <c r="Z96" s="80" t="str">
        <f>IFERROR(INDEX('Cost_Components'!$T$2:$T$27,MATCH(E96,'Cost_Components'!$A$2:$A$27,0)),"")</f>
      </c>
      <c r="AA96" s="81" t="str">
        <f>IFERROR(INDEX('Cost_Components'!$U$2:$U$27,MATCH(E96,'Cost_Components'!$A$2:$A$27,0)),"")</f>
      </c>
      <c r="AB96" s="82" t="str">
        <f>IFERROR(INDEX('Cost_Components'!$V$2:$V$27,MATCH(E96,'Cost_Components'!$A$2:$A$27,0)),"")</f>
      </c>
      <c r="AC96" s="83" t="str">
        <f>IFERROR(INDEX('Cost_Components'!$M$2:$M$27,MATCH(E96,'Cost_Components'!$A$2:$A$27,0)),"")</f>
      </c>
      <c r="AD96" s="84" t="str">
        <f>IFERROR(INDEX('Cost_Components'!$N$2:$N$27,MATCH(E96,'Cost_Components'!$A$2:$A$27,0)),"")</f>
      </c>
      <c r="AE96" s="20" t="str">
        <f>IFERROR(INDEX('Cost_Components'!$O$2:$O$27,MATCH(E96,'Cost_Components'!$A$2:$A$27,0)),"")</f>
      </c>
      <c r="AF96" s="85" t="n">
        <v>680774.899860029</v>
      </c>
      <c r="AG96" s="86" t="n">
        <v>661097.35077381</v>
      </c>
      <c r="AH96" s="87" t="str">
        <f>IF(H96="shared-count-once",COUNTIFS($A$2:$A$1353,A96,$B$2:$B$1353,B96,$E$2:$E$1353,E96),1)</f>
      </c>
    </row>
    <row r="97">
      <c r="A97" t="s">
        <v>186</v>
      </c>
      <c r="B97" s="59" t="n">
        <v>2042</v>
      </c>
      <c r="C97" t="s">
        <v>186</v>
      </c>
      <c r="D97" t="s">
        <v>166</v>
      </c>
      <c r="E97" s="60" t="s">
        <v>268</v>
      </c>
      <c r="F97" s="61" t="s">
        <v>269</v>
      </c>
      <c r="G97" s="62" t="s">
        <v>196</v>
      </c>
      <c r="H97" s="63" t="s">
        <v>195</v>
      </c>
      <c r="I97" s="64" t="s">
        <v>267</v>
      </c>
      <c r="J97" s="65" t="str">
        <f>IFERROR(INDEX('Cost_Components'!$K$2:$K$27,MATCH(E97,'Cost_Components'!$A$2:$A$27,0)),"")</f>
      </c>
      <c r="K97" s="66" t="str">
        <f>IF(OR(L97="",Z97="",AA97="",AB97=""),"",IF(B97&lt;AA97,L97,IF(B97&gt;AB97,Z97,L97+(Z97-L97)*MIN(MAX((B97-AA97+1)/MAX(AB97-AA97+1,1),0),1))))</f>
      </c>
      <c r="L97" s="67" t="str">
        <f>IFERROR(INDEX('Cost_Components'!$S$2:$S$27,MATCH(E97,'Cost_Components'!$A$2:$A$27,0)),"")</f>
      </c>
      <c r="M97" s="68" t="str">
        <f>IFERROR(INDEX('Cost_Components'!$L$2:$L$27,MATCH(E97,'Cost_Components'!$A$2:$A$27,0)),"")</f>
      </c>
      <c r="N97" s="69" t="str">
        <f>IFERROR(INDEX('Cost_Components'!$P$2:$P$27,MATCH(E97,'Cost_Components'!$A$2:$A$27,0)),"")</f>
      </c>
      <c r="O97" s="70" t="str">
        <f>AF97*J97</f>
      </c>
      <c r="P97" s="71" t="str">
        <f>AG97*J97</f>
      </c>
      <c r="Q97" s="72" t="str">
        <f>P97*L97*M97*N97</f>
      </c>
      <c r="R97" s="73" t="str">
        <f>O97*K97*M97*N97</f>
      </c>
      <c r="S97" s="74" t="str">
        <f>R97-Q97</f>
      </c>
      <c r="T97" s="20" t="str">
        <f>IFERROR(INDEX('Cost_Components'!$R$2:$R$27,MATCH(E97,'Cost_Components'!$A$2:$A$27,0)),"")</f>
      </c>
      <c r="U97" s="75" t="str">
        <f>IFERROR(INDEX('Cost_Components'!$Q$2:$Q$27,MATCH(E97,'Cost_Components'!$A$2:$A$27,0)),"")</f>
      </c>
      <c r="V97" s="76" t="str">
        <f>1/(1+'Calculation_Assumptions'!$B$5)^(B97-'Calculation_Assumptions'!$B$2)</f>
      </c>
      <c r="W97" s="77" t="str">
        <f>Q97*V97</f>
      </c>
      <c r="X97" s="78" t="str">
        <f>R97*V97</f>
      </c>
      <c r="Y97" s="79" t="str">
        <f>S97*V97</f>
      </c>
      <c r="Z97" s="80" t="str">
        <f>IFERROR(INDEX('Cost_Components'!$T$2:$T$27,MATCH(E97,'Cost_Components'!$A$2:$A$27,0)),"")</f>
      </c>
      <c r="AA97" s="81" t="str">
        <f>IFERROR(INDEX('Cost_Components'!$U$2:$U$27,MATCH(E97,'Cost_Components'!$A$2:$A$27,0)),"")</f>
      </c>
      <c r="AB97" s="82" t="str">
        <f>IFERROR(INDEX('Cost_Components'!$V$2:$V$27,MATCH(E97,'Cost_Components'!$A$2:$A$27,0)),"")</f>
      </c>
      <c r="AC97" s="83" t="str">
        <f>IFERROR(INDEX('Cost_Components'!$M$2:$M$27,MATCH(E97,'Cost_Components'!$A$2:$A$27,0)),"")</f>
      </c>
      <c r="AD97" s="84" t="str">
        <f>IFERROR(INDEX('Cost_Components'!$N$2:$N$27,MATCH(E97,'Cost_Components'!$A$2:$A$27,0)),"")</f>
      </c>
      <c r="AE97" s="20" t="str">
        <f>IFERROR(INDEX('Cost_Components'!$O$2:$O$27,MATCH(E97,'Cost_Components'!$A$2:$A$27,0)),"")</f>
      </c>
      <c r="AF97" s="85" t="n">
        <v>697919.200131851</v>
      </c>
      <c r="AG97" s="86" t="n">
        <v>676373.405782993</v>
      </c>
      <c r="AH97" s="87" t="str">
        <f>IF(H97="shared-count-once",COUNTIFS($A$2:$A$1353,A97,$B$2:$B$1353,B97,$E$2:$E$1353,E97),1)</f>
      </c>
    </row>
    <row r="98">
      <c r="A98" t="s">
        <v>186</v>
      </c>
      <c r="B98" s="59" t="n">
        <v>2043</v>
      </c>
      <c r="C98" t="s">
        <v>186</v>
      </c>
      <c r="D98" t="s">
        <v>166</v>
      </c>
      <c r="E98" s="60" t="s">
        <v>268</v>
      </c>
      <c r="F98" s="61" t="s">
        <v>269</v>
      </c>
      <c r="G98" s="62" t="s">
        <v>196</v>
      </c>
      <c r="H98" s="63" t="s">
        <v>195</v>
      </c>
      <c r="I98" s="64" t="s">
        <v>267</v>
      </c>
      <c r="J98" s="65" t="str">
        <f>IFERROR(INDEX('Cost_Components'!$K$2:$K$27,MATCH(E98,'Cost_Components'!$A$2:$A$27,0)),"")</f>
      </c>
      <c r="K98" s="66" t="str">
        <f>IF(OR(L98="",Z98="",AA98="",AB98=""),"",IF(B98&lt;AA98,L98,IF(B98&gt;AB98,Z98,L98+(Z98-L98)*MIN(MAX((B98-AA98+1)/MAX(AB98-AA98+1,1),0),1))))</f>
      </c>
      <c r="L98" s="67" t="str">
        <f>IFERROR(INDEX('Cost_Components'!$S$2:$S$27,MATCH(E98,'Cost_Components'!$A$2:$A$27,0)),"")</f>
      </c>
      <c r="M98" s="68" t="str">
        <f>IFERROR(INDEX('Cost_Components'!$L$2:$L$27,MATCH(E98,'Cost_Components'!$A$2:$A$27,0)),"")</f>
      </c>
      <c r="N98" s="69" t="str">
        <f>IFERROR(INDEX('Cost_Components'!$P$2:$P$27,MATCH(E98,'Cost_Components'!$A$2:$A$27,0)),"")</f>
      </c>
      <c r="O98" s="70" t="str">
        <f>AF98*J98</f>
      </c>
      <c r="P98" s="71" t="str">
        <f>AG98*J98</f>
      </c>
      <c r="Q98" s="72" t="str">
        <f>P98*L98*M98*N98</f>
      </c>
      <c r="R98" s="73" t="str">
        <f>O98*K98*M98*N98</f>
      </c>
      <c r="S98" s="74" t="str">
        <f>R98-Q98</f>
      </c>
      <c r="T98" s="20" t="str">
        <f>IFERROR(INDEX('Cost_Components'!$R$2:$R$27,MATCH(E98,'Cost_Components'!$A$2:$A$27,0)),"")</f>
      </c>
      <c r="U98" s="75" t="str">
        <f>IFERROR(INDEX('Cost_Components'!$Q$2:$Q$27,MATCH(E98,'Cost_Components'!$A$2:$A$27,0)),"")</f>
      </c>
      <c r="V98" s="76" t="str">
        <f>1/(1+'Calculation_Assumptions'!$B$5)^(B98-'Calculation_Assumptions'!$B$2)</f>
      </c>
      <c r="W98" s="77" t="str">
        <f>Q98*V98</f>
      </c>
      <c r="X98" s="78" t="str">
        <f>R98*V98</f>
      </c>
      <c r="Y98" s="79" t="str">
        <f>S98*V98</f>
      </c>
      <c r="Z98" s="80" t="str">
        <f>IFERROR(INDEX('Cost_Components'!$T$2:$T$27,MATCH(E98,'Cost_Components'!$A$2:$A$27,0)),"")</f>
      </c>
      <c r="AA98" s="81" t="str">
        <f>IFERROR(INDEX('Cost_Components'!$U$2:$U$27,MATCH(E98,'Cost_Components'!$A$2:$A$27,0)),"")</f>
      </c>
      <c r="AB98" s="82" t="str">
        <f>IFERROR(INDEX('Cost_Components'!$V$2:$V$27,MATCH(E98,'Cost_Components'!$A$2:$A$27,0)),"")</f>
      </c>
      <c r="AC98" s="83" t="str">
        <f>IFERROR(INDEX('Cost_Components'!$M$2:$M$27,MATCH(E98,'Cost_Components'!$A$2:$A$27,0)),"")</f>
      </c>
      <c r="AD98" s="84" t="str">
        <f>IFERROR(INDEX('Cost_Components'!$N$2:$N$27,MATCH(E98,'Cost_Components'!$A$2:$A$27,0)),"")</f>
      </c>
      <c r="AE98" s="20" t="str">
        <f>IFERROR(INDEX('Cost_Components'!$O$2:$O$27,MATCH(E98,'Cost_Components'!$A$2:$A$27,0)),"")</f>
      </c>
      <c r="AF98" s="85" t="n">
        <v>715494.366299278</v>
      </c>
      <c r="AG98" s="86" t="n">
        <v>692011.846145533</v>
      </c>
      <c r="AH98" s="87" t="str">
        <f>IF(H98="shared-count-once",COUNTIFS($A$2:$A$1353,A98,$B$2:$B$1353,B98,$E$2:$E$1353,E98),1)</f>
      </c>
    </row>
    <row r="99">
      <c r="A99" t="s">
        <v>186</v>
      </c>
      <c r="B99" s="59" t="n">
        <v>2044</v>
      </c>
      <c r="C99" t="s">
        <v>186</v>
      </c>
      <c r="D99" t="s">
        <v>166</v>
      </c>
      <c r="E99" s="60" t="s">
        <v>268</v>
      </c>
      <c r="F99" s="61" t="s">
        <v>269</v>
      </c>
      <c r="G99" s="62" t="s">
        <v>196</v>
      </c>
      <c r="H99" s="63" t="s">
        <v>195</v>
      </c>
      <c r="I99" s="64" t="s">
        <v>267</v>
      </c>
      <c r="J99" s="65" t="str">
        <f>IFERROR(INDEX('Cost_Components'!$K$2:$K$27,MATCH(E99,'Cost_Components'!$A$2:$A$27,0)),"")</f>
      </c>
      <c r="K99" s="66" t="str">
        <f>IF(OR(L99="",Z99="",AA99="",AB99=""),"",IF(B99&lt;AA99,L99,IF(B99&gt;AB99,Z99,L99+(Z99-L99)*MIN(MAX((B99-AA99+1)/MAX(AB99-AA99+1,1),0),1))))</f>
      </c>
      <c r="L99" s="67" t="str">
        <f>IFERROR(INDEX('Cost_Components'!$S$2:$S$27,MATCH(E99,'Cost_Components'!$A$2:$A$27,0)),"")</f>
      </c>
      <c r="M99" s="68" t="str">
        <f>IFERROR(INDEX('Cost_Components'!$L$2:$L$27,MATCH(E99,'Cost_Components'!$A$2:$A$27,0)),"")</f>
      </c>
      <c r="N99" s="69" t="str">
        <f>IFERROR(INDEX('Cost_Components'!$P$2:$P$27,MATCH(E99,'Cost_Components'!$A$2:$A$27,0)),"")</f>
      </c>
      <c r="O99" s="70" t="str">
        <f>AF99*J99</f>
      </c>
      <c r="P99" s="71" t="str">
        <f>AG99*J99</f>
      </c>
      <c r="Q99" s="72" t="str">
        <f>P99*L99*M99*N99</f>
      </c>
      <c r="R99" s="73" t="str">
        <f>O99*K99*M99*N99</f>
      </c>
      <c r="S99" s="74" t="str">
        <f>R99-Q99</f>
      </c>
      <c r="T99" s="20" t="str">
        <f>IFERROR(INDEX('Cost_Components'!$R$2:$R$27,MATCH(E99,'Cost_Components'!$A$2:$A$27,0)),"")</f>
      </c>
      <c r="U99" s="75" t="str">
        <f>IFERROR(INDEX('Cost_Components'!$Q$2:$Q$27,MATCH(E99,'Cost_Components'!$A$2:$A$27,0)),"")</f>
      </c>
      <c r="V99" s="76" t="str">
        <f>1/(1+'Calculation_Assumptions'!$B$5)^(B99-'Calculation_Assumptions'!$B$2)</f>
      </c>
      <c r="W99" s="77" t="str">
        <f>Q99*V99</f>
      </c>
      <c r="X99" s="78" t="str">
        <f>R99*V99</f>
      </c>
      <c r="Y99" s="79" t="str">
        <f>S99*V99</f>
      </c>
      <c r="Z99" s="80" t="str">
        <f>IFERROR(INDEX('Cost_Components'!$T$2:$T$27,MATCH(E99,'Cost_Components'!$A$2:$A$27,0)),"")</f>
      </c>
      <c r="AA99" s="81" t="str">
        <f>IFERROR(INDEX('Cost_Components'!$U$2:$U$27,MATCH(E99,'Cost_Components'!$A$2:$A$27,0)),"")</f>
      </c>
      <c r="AB99" s="82" t="str">
        <f>IFERROR(INDEX('Cost_Components'!$V$2:$V$27,MATCH(E99,'Cost_Components'!$A$2:$A$27,0)),"")</f>
      </c>
      <c r="AC99" s="83" t="str">
        <f>IFERROR(INDEX('Cost_Components'!$M$2:$M$27,MATCH(E99,'Cost_Components'!$A$2:$A$27,0)),"")</f>
      </c>
      <c r="AD99" s="84" t="str">
        <f>IFERROR(INDEX('Cost_Components'!$N$2:$N$27,MATCH(E99,'Cost_Components'!$A$2:$A$27,0)),"")</f>
      </c>
      <c r="AE99" s="20" t="str">
        <f>IFERROR(INDEX('Cost_Components'!$O$2:$O$27,MATCH(E99,'Cost_Components'!$A$2:$A$27,0)),"")</f>
      </c>
      <c r="AF99" s="85" t="n">
        <v>732721.594464551</v>
      </c>
      <c r="AG99" s="86" t="n">
        <v>707234.188054573</v>
      </c>
      <c r="AH99" s="87" t="str">
        <f>IF(H99="shared-count-once",COUNTIFS($A$2:$A$1353,A99,$B$2:$B$1353,B99,$E$2:$E$1353,E99),1)</f>
      </c>
    </row>
    <row r="100">
      <c r="A100" t="s">
        <v>186</v>
      </c>
      <c r="B100" s="59" t="n">
        <v>2045</v>
      </c>
      <c r="C100" t="s">
        <v>186</v>
      </c>
      <c r="D100" t="s">
        <v>166</v>
      </c>
      <c r="E100" s="60" t="s">
        <v>268</v>
      </c>
      <c r="F100" s="61" t="s">
        <v>269</v>
      </c>
      <c r="G100" s="62" t="s">
        <v>196</v>
      </c>
      <c r="H100" s="63" t="s">
        <v>195</v>
      </c>
      <c r="I100" s="64" t="s">
        <v>267</v>
      </c>
      <c r="J100" s="65" t="str">
        <f>IFERROR(INDEX('Cost_Components'!$K$2:$K$27,MATCH(E100,'Cost_Components'!$A$2:$A$27,0)),"")</f>
      </c>
      <c r="K100" s="66" t="str">
        <f>IF(OR(L100="",Z100="",AA100="",AB100=""),"",IF(B100&lt;AA100,L100,IF(B100&gt;AB100,Z100,L100+(Z100-L100)*MIN(MAX((B100-AA100+1)/MAX(AB100-AA100+1,1),0),1))))</f>
      </c>
      <c r="L100" s="67" t="str">
        <f>IFERROR(INDEX('Cost_Components'!$S$2:$S$27,MATCH(E100,'Cost_Components'!$A$2:$A$27,0)),"")</f>
      </c>
      <c r="M100" s="68" t="str">
        <f>IFERROR(INDEX('Cost_Components'!$L$2:$L$27,MATCH(E100,'Cost_Components'!$A$2:$A$27,0)),"")</f>
      </c>
      <c r="N100" s="69" t="str">
        <f>IFERROR(INDEX('Cost_Components'!$P$2:$P$27,MATCH(E100,'Cost_Components'!$A$2:$A$27,0)),"")</f>
      </c>
      <c r="O100" s="70" t="str">
        <f>AF100*J100</f>
      </c>
      <c r="P100" s="71" t="str">
        <f>AG100*J100</f>
      </c>
      <c r="Q100" s="72" t="str">
        <f>P100*L100*M100*N100</f>
      </c>
      <c r="R100" s="73" t="str">
        <f>O100*K100*M100*N100</f>
      </c>
      <c r="S100" s="74" t="str">
        <f>R100-Q100</f>
      </c>
      <c r="T100" s="20" t="str">
        <f>IFERROR(INDEX('Cost_Components'!$R$2:$R$27,MATCH(E100,'Cost_Components'!$A$2:$A$27,0)),"")</f>
      </c>
      <c r="U100" s="75" t="str">
        <f>IFERROR(INDEX('Cost_Components'!$Q$2:$Q$27,MATCH(E100,'Cost_Components'!$A$2:$A$27,0)),"")</f>
      </c>
      <c r="V100" s="76" t="str">
        <f>1/(1+'Calculation_Assumptions'!$B$5)^(B100-'Calculation_Assumptions'!$B$2)</f>
      </c>
      <c r="W100" s="77" t="str">
        <f>Q100*V100</f>
      </c>
      <c r="X100" s="78" t="str">
        <f>R100*V100</f>
      </c>
      <c r="Y100" s="79" t="str">
        <f>S100*V100</f>
      </c>
      <c r="Z100" s="80" t="str">
        <f>IFERROR(INDEX('Cost_Components'!$T$2:$T$27,MATCH(E100,'Cost_Components'!$A$2:$A$27,0)),"")</f>
      </c>
      <c r="AA100" s="81" t="str">
        <f>IFERROR(INDEX('Cost_Components'!$U$2:$U$27,MATCH(E100,'Cost_Components'!$A$2:$A$27,0)),"")</f>
      </c>
      <c r="AB100" s="82" t="str">
        <f>IFERROR(INDEX('Cost_Components'!$V$2:$V$27,MATCH(E100,'Cost_Components'!$A$2:$A$27,0)),"")</f>
      </c>
      <c r="AC100" s="83" t="str">
        <f>IFERROR(INDEX('Cost_Components'!$M$2:$M$27,MATCH(E100,'Cost_Components'!$A$2:$A$27,0)),"")</f>
      </c>
      <c r="AD100" s="84" t="str">
        <f>IFERROR(INDEX('Cost_Components'!$N$2:$N$27,MATCH(E100,'Cost_Components'!$A$2:$A$27,0)),"")</f>
      </c>
      <c r="AE100" s="20" t="str">
        <f>IFERROR(INDEX('Cost_Components'!$O$2:$O$27,MATCH(E100,'Cost_Components'!$A$2:$A$27,0)),"")</f>
      </c>
      <c r="AF100" s="85" t="n">
        <v>750113.696855048</v>
      </c>
      <c r="AG100" s="86" t="n">
        <v>722555.372182865</v>
      </c>
      <c r="AH100" s="87" t="str">
        <f>IF(H100="shared-count-once",COUNTIFS($A$2:$A$1353,A100,$B$2:$B$1353,B100,$E$2:$E$1353,E100),1)</f>
      </c>
    </row>
    <row r="101">
      <c r="A101" t="s">
        <v>186</v>
      </c>
      <c r="B101" s="59" t="n">
        <v>2046</v>
      </c>
      <c r="C101" t="s">
        <v>186</v>
      </c>
      <c r="D101" t="s">
        <v>166</v>
      </c>
      <c r="E101" s="60" t="s">
        <v>268</v>
      </c>
      <c r="F101" s="61" t="s">
        <v>269</v>
      </c>
      <c r="G101" s="62" t="s">
        <v>196</v>
      </c>
      <c r="H101" s="63" t="s">
        <v>195</v>
      </c>
      <c r="I101" s="64" t="s">
        <v>267</v>
      </c>
      <c r="J101" s="65" t="str">
        <f>IFERROR(INDEX('Cost_Components'!$K$2:$K$27,MATCH(E101,'Cost_Components'!$A$2:$A$27,0)),"")</f>
      </c>
      <c r="K101" s="66" t="str">
        <f>IF(OR(L101="",Z101="",AA101="",AB101=""),"",IF(B101&lt;AA101,L101,IF(B101&gt;AB101,Z101,L101+(Z101-L101)*MIN(MAX((B101-AA101+1)/MAX(AB101-AA101+1,1),0),1))))</f>
      </c>
      <c r="L101" s="67" t="str">
        <f>IFERROR(INDEX('Cost_Components'!$S$2:$S$27,MATCH(E101,'Cost_Components'!$A$2:$A$27,0)),"")</f>
      </c>
      <c r="M101" s="68" t="str">
        <f>IFERROR(INDEX('Cost_Components'!$L$2:$L$27,MATCH(E101,'Cost_Components'!$A$2:$A$27,0)),"")</f>
      </c>
      <c r="N101" s="69" t="str">
        <f>IFERROR(INDEX('Cost_Components'!$P$2:$P$27,MATCH(E101,'Cost_Components'!$A$2:$A$27,0)),"")</f>
      </c>
      <c r="O101" s="70" t="str">
        <f>AF101*J101</f>
      </c>
      <c r="P101" s="71" t="str">
        <f>AG101*J101</f>
      </c>
      <c r="Q101" s="72" t="str">
        <f>P101*L101*M101*N101</f>
      </c>
      <c r="R101" s="73" t="str">
        <f>O101*K101*M101*N101</f>
      </c>
      <c r="S101" s="74" t="str">
        <f>R101-Q101</f>
      </c>
      <c r="T101" s="20" t="str">
        <f>IFERROR(INDEX('Cost_Components'!$R$2:$R$27,MATCH(E101,'Cost_Components'!$A$2:$A$27,0)),"")</f>
      </c>
      <c r="U101" s="75" t="str">
        <f>IFERROR(INDEX('Cost_Components'!$Q$2:$Q$27,MATCH(E101,'Cost_Components'!$A$2:$A$27,0)),"")</f>
      </c>
      <c r="V101" s="76" t="str">
        <f>1/(1+'Calculation_Assumptions'!$B$5)^(B101-'Calculation_Assumptions'!$B$2)</f>
      </c>
      <c r="W101" s="77" t="str">
        <f>Q101*V101</f>
      </c>
      <c r="X101" s="78" t="str">
        <f>R101*V101</f>
      </c>
      <c r="Y101" s="79" t="str">
        <f>S101*V101</f>
      </c>
      <c r="Z101" s="80" t="str">
        <f>IFERROR(INDEX('Cost_Components'!$T$2:$T$27,MATCH(E101,'Cost_Components'!$A$2:$A$27,0)),"")</f>
      </c>
      <c r="AA101" s="81" t="str">
        <f>IFERROR(INDEX('Cost_Components'!$U$2:$U$27,MATCH(E101,'Cost_Components'!$A$2:$A$27,0)),"")</f>
      </c>
      <c r="AB101" s="82" t="str">
        <f>IFERROR(INDEX('Cost_Components'!$V$2:$V$27,MATCH(E101,'Cost_Components'!$A$2:$A$27,0)),"")</f>
      </c>
      <c r="AC101" s="83" t="str">
        <f>IFERROR(INDEX('Cost_Components'!$M$2:$M$27,MATCH(E101,'Cost_Components'!$A$2:$A$27,0)),"")</f>
      </c>
      <c r="AD101" s="84" t="str">
        <f>IFERROR(INDEX('Cost_Components'!$N$2:$N$27,MATCH(E101,'Cost_Components'!$A$2:$A$27,0)),"")</f>
      </c>
      <c r="AE101" s="20" t="str">
        <f>IFERROR(INDEX('Cost_Components'!$O$2:$O$27,MATCH(E101,'Cost_Components'!$A$2:$A$27,0)),"")</f>
      </c>
      <c r="AF101" s="85" t="n">
        <v>767573.283534207</v>
      </c>
      <c r="AG101" s="86" t="n">
        <v>737879.853931334</v>
      </c>
      <c r="AH101" s="87" t="str">
        <f>IF(H101="shared-count-once",COUNTIFS($A$2:$A$1353,A101,$B$2:$B$1353,B101,$E$2:$E$1353,E101),1)</f>
      </c>
    </row>
    <row r="102">
      <c r="A102" t="s">
        <v>186</v>
      </c>
      <c r="B102" s="59" t="n">
        <v>2047</v>
      </c>
      <c r="C102" t="s">
        <v>186</v>
      </c>
      <c r="D102" t="s">
        <v>166</v>
      </c>
      <c r="E102" s="60" t="s">
        <v>268</v>
      </c>
      <c r="F102" s="61" t="s">
        <v>269</v>
      </c>
      <c r="G102" s="62" t="s">
        <v>196</v>
      </c>
      <c r="H102" s="63" t="s">
        <v>195</v>
      </c>
      <c r="I102" s="64" t="s">
        <v>267</v>
      </c>
      <c r="J102" s="65" t="str">
        <f>IFERROR(INDEX('Cost_Components'!$K$2:$K$27,MATCH(E102,'Cost_Components'!$A$2:$A$27,0)),"")</f>
      </c>
      <c r="K102" s="66" t="str">
        <f>IF(OR(L102="",Z102="",AA102="",AB102=""),"",IF(B102&lt;AA102,L102,IF(B102&gt;AB102,Z102,L102+(Z102-L102)*MIN(MAX((B102-AA102+1)/MAX(AB102-AA102+1,1),0),1))))</f>
      </c>
      <c r="L102" s="67" t="str">
        <f>IFERROR(INDEX('Cost_Components'!$S$2:$S$27,MATCH(E102,'Cost_Components'!$A$2:$A$27,0)),"")</f>
      </c>
      <c r="M102" s="68" t="str">
        <f>IFERROR(INDEX('Cost_Components'!$L$2:$L$27,MATCH(E102,'Cost_Components'!$A$2:$A$27,0)),"")</f>
      </c>
      <c r="N102" s="69" t="str">
        <f>IFERROR(INDEX('Cost_Components'!$P$2:$P$27,MATCH(E102,'Cost_Components'!$A$2:$A$27,0)),"")</f>
      </c>
      <c r="O102" s="70" t="str">
        <f>AF102*J102</f>
      </c>
      <c r="P102" s="71" t="str">
        <f>AG102*J102</f>
      </c>
      <c r="Q102" s="72" t="str">
        <f>P102*L102*M102*N102</f>
      </c>
      <c r="R102" s="73" t="str">
        <f>O102*K102*M102*N102</f>
      </c>
      <c r="S102" s="74" t="str">
        <f>R102-Q102</f>
      </c>
      <c r="T102" s="20" t="str">
        <f>IFERROR(INDEX('Cost_Components'!$R$2:$R$27,MATCH(E102,'Cost_Components'!$A$2:$A$27,0)),"")</f>
      </c>
      <c r="U102" s="75" t="str">
        <f>IFERROR(INDEX('Cost_Components'!$Q$2:$Q$27,MATCH(E102,'Cost_Components'!$A$2:$A$27,0)),"")</f>
      </c>
      <c r="V102" s="76" t="str">
        <f>1/(1+'Calculation_Assumptions'!$B$5)^(B102-'Calculation_Assumptions'!$B$2)</f>
      </c>
      <c r="W102" s="77" t="str">
        <f>Q102*V102</f>
      </c>
      <c r="X102" s="78" t="str">
        <f>R102*V102</f>
      </c>
      <c r="Y102" s="79" t="str">
        <f>S102*V102</f>
      </c>
      <c r="Z102" s="80" t="str">
        <f>IFERROR(INDEX('Cost_Components'!$T$2:$T$27,MATCH(E102,'Cost_Components'!$A$2:$A$27,0)),"")</f>
      </c>
      <c r="AA102" s="81" t="str">
        <f>IFERROR(INDEX('Cost_Components'!$U$2:$U$27,MATCH(E102,'Cost_Components'!$A$2:$A$27,0)),"")</f>
      </c>
      <c r="AB102" s="82" t="str">
        <f>IFERROR(INDEX('Cost_Components'!$V$2:$V$27,MATCH(E102,'Cost_Components'!$A$2:$A$27,0)),"")</f>
      </c>
      <c r="AC102" s="83" t="str">
        <f>IFERROR(INDEX('Cost_Components'!$M$2:$M$27,MATCH(E102,'Cost_Components'!$A$2:$A$27,0)),"")</f>
      </c>
      <c r="AD102" s="84" t="str">
        <f>IFERROR(INDEX('Cost_Components'!$N$2:$N$27,MATCH(E102,'Cost_Components'!$A$2:$A$27,0)),"")</f>
      </c>
      <c r="AE102" s="20" t="str">
        <f>IFERROR(INDEX('Cost_Components'!$O$2:$O$27,MATCH(E102,'Cost_Components'!$A$2:$A$27,0)),"")</f>
      </c>
      <c r="AF102" s="85" t="n">
        <v>785123.270106341</v>
      </c>
      <c r="AG102" s="86" t="n">
        <v>753233.18651991</v>
      </c>
      <c r="AH102" s="87" t="str">
        <f>IF(H102="shared-count-once",COUNTIFS($A$2:$A$1353,A102,$B$2:$B$1353,B102,$E$2:$E$1353,E102),1)</f>
      </c>
    </row>
    <row r="103">
      <c r="A103" t="s">
        <v>186</v>
      </c>
      <c r="B103" s="59" t="n">
        <v>2048</v>
      </c>
      <c r="C103" t="s">
        <v>186</v>
      </c>
      <c r="D103" t="s">
        <v>166</v>
      </c>
      <c r="E103" s="60" t="s">
        <v>268</v>
      </c>
      <c r="F103" s="61" t="s">
        <v>269</v>
      </c>
      <c r="G103" s="62" t="s">
        <v>196</v>
      </c>
      <c r="H103" s="63" t="s">
        <v>195</v>
      </c>
      <c r="I103" s="64" t="s">
        <v>267</v>
      </c>
      <c r="J103" s="65" t="str">
        <f>IFERROR(INDEX('Cost_Components'!$K$2:$K$27,MATCH(E103,'Cost_Components'!$A$2:$A$27,0)),"")</f>
      </c>
      <c r="K103" s="66" t="str">
        <f>IF(OR(L103="",Z103="",AA103="",AB103=""),"",IF(B103&lt;AA103,L103,IF(B103&gt;AB103,Z103,L103+(Z103-L103)*MIN(MAX((B103-AA103+1)/MAX(AB103-AA103+1,1),0),1))))</f>
      </c>
      <c r="L103" s="67" t="str">
        <f>IFERROR(INDEX('Cost_Components'!$S$2:$S$27,MATCH(E103,'Cost_Components'!$A$2:$A$27,0)),"")</f>
      </c>
      <c r="M103" s="68" t="str">
        <f>IFERROR(INDEX('Cost_Components'!$L$2:$L$27,MATCH(E103,'Cost_Components'!$A$2:$A$27,0)),"")</f>
      </c>
      <c r="N103" s="69" t="str">
        <f>IFERROR(INDEX('Cost_Components'!$P$2:$P$27,MATCH(E103,'Cost_Components'!$A$2:$A$27,0)),"")</f>
      </c>
      <c r="O103" s="70" t="str">
        <f>AF103*J103</f>
      </c>
      <c r="P103" s="71" t="str">
        <f>AG103*J103</f>
      </c>
      <c r="Q103" s="72" t="str">
        <f>P103*L103*M103*N103</f>
      </c>
      <c r="R103" s="73" t="str">
        <f>O103*K103*M103*N103</f>
      </c>
      <c r="S103" s="74" t="str">
        <f>R103-Q103</f>
      </c>
      <c r="T103" s="20" t="str">
        <f>IFERROR(INDEX('Cost_Components'!$R$2:$R$27,MATCH(E103,'Cost_Components'!$A$2:$A$27,0)),"")</f>
      </c>
      <c r="U103" s="75" t="str">
        <f>IFERROR(INDEX('Cost_Components'!$Q$2:$Q$27,MATCH(E103,'Cost_Components'!$A$2:$A$27,0)),"")</f>
      </c>
      <c r="V103" s="76" t="str">
        <f>1/(1+'Calculation_Assumptions'!$B$5)^(B103-'Calculation_Assumptions'!$B$2)</f>
      </c>
      <c r="W103" s="77" t="str">
        <f>Q103*V103</f>
      </c>
      <c r="X103" s="78" t="str">
        <f>R103*V103</f>
      </c>
      <c r="Y103" s="79" t="str">
        <f>S103*V103</f>
      </c>
      <c r="Z103" s="80" t="str">
        <f>IFERROR(INDEX('Cost_Components'!$T$2:$T$27,MATCH(E103,'Cost_Components'!$A$2:$A$27,0)),"")</f>
      </c>
      <c r="AA103" s="81" t="str">
        <f>IFERROR(INDEX('Cost_Components'!$U$2:$U$27,MATCH(E103,'Cost_Components'!$A$2:$A$27,0)),"")</f>
      </c>
      <c r="AB103" s="82" t="str">
        <f>IFERROR(INDEX('Cost_Components'!$V$2:$V$27,MATCH(E103,'Cost_Components'!$A$2:$A$27,0)),"")</f>
      </c>
      <c r="AC103" s="83" t="str">
        <f>IFERROR(INDEX('Cost_Components'!$M$2:$M$27,MATCH(E103,'Cost_Components'!$A$2:$A$27,0)),"")</f>
      </c>
      <c r="AD103" s="84" t="str">
        <f>IFERROR(INDEX('Cost_Components'!$N$2:$N$27,MATCH(E103,'Cost_Components'!$A$2:$A$27,0)),"")</f>
      </c>
      <c r="AE103" s="20" t="str">
        <f>IFERROR(INDEX('Cost_Components'!$O$2:$O$27,MATCH(E103,'Cost_Components'!$A$2:$A$27,0)),"")</f>
      </c>
      <c r="AF103" s="85" t="n">
        <v>802928.620638466</v>
      </c>
      <c r="AG103" s="86" t="n">
        <v>768783.336092168</v>
      </c>
      <c r="AH103" s="87" t="str">
        <f>IF(H103="shared-count-once",COUNTIFS($A$2:$A$1353,A103,$B$2:$B$1353,B103,$E$2:$E$1353,E103),1)</f>
      </c>
    </row>
    <row r="104">
      <c r="A104" t="s">
        <v>186</v>
      </c>
      <c r="B104" s="59" t="n">
        <v>2049</v>
      </c>
      <c r="C104" t="s">
        <v>186</v>
      </c>
      <c r="D104" t="s">
        <v>166</v>
      </c>
      <c r="E104" s="60" t="s">
        <v>268</v>
      </c>
      <c r="F104" s="61" t="s">
        <v>269</v>
      </c>
      <c r="G104" s="62" t="s">
        <v>196</v>
      </c>
      <c r="H104" s="63" t="s">
        <v>195</v>
      </c>
      <c r="I104" s="64" t="s">
        <v>267</v>
      </c>
      <c r="J104" s="65" t="str">
        <f>IFERROR(INDEX('Cost_Components'!$K$2:$K$27,MATCH(E104,'Cost_Components'!$A$2:$A$27,0)),"")</f>
      </c>
      <c r="K104" s="66" t="str">
        <f>IF(OR(L104="",Z104="",AA104="",AB104=""),"",IF(B104&lt;AA104,L104,IF(B104&gt;AB104,Z104,L104+(Z104-L104)*MIN(MAX((B104-AA104+1)/MAX(AB104-AA104+1,1),0),1))))</f>
      </c>
      <c r="L104" s="67" t="str">
        <f>IFERROR(INDEX('Cost_Components'!$S$2:$S$27,MATCH(E104,'Cost_Components'!$A$2:$A$27,0)),"")</f>
      </c>
      <c r="M104" s="68" t="str">
        <f>IFERROR(INDEX('Cost_Components'!$L$2:$L$27,MATCH(E104,'Cost_Components'!$A$2:$A$27,0)),"")</f>
      </c>
      <c r="N104" s="69" t="str">
        <f>IFERROR(INDEX('Cost_Components'!$P$2:$P$27,MATCH(E104,'Cost_Components'!$A$2:$A$27,0)),"")</f>
      </c>
      <c r="O104" s="70" t="str">
        <f>AF104*J104</f>
      </c>
      <c r="P104" s="71" t="str">
        <f>AG104*J104</f>
      </c>
      <c r="Q104" s="72" t="str">
        <f>P104*L104*M104*N104</f>
      </c>
      <c r="R104" s="73" t="str">
        <f>O104*K104*M104*N104</f>
      </c>
      <c r="S104" s="74" t="str">
        <f>R104-Q104</f>
      </c>
      <c r="T104" s="20" t="str">
        <f>IFERROR(INDEX('Cost_Components'!$R$2:$R$27,MATCH(E104,'Cost_Components'!$A$2:$A$27,0)),"")</f>
      </c>
      <c r="U104" s="75" t="str">
        <f>IFERROR(INDEX('Cost_Components'!$Q$2:$Q$27,MATCH(E104,'Cost_Components'!$A$2:$A$27,0)),"")</f>
      </c>
      <c r="V104" s="76" t="str">
        <f>1/(1+'Calculation_Assumptions'!$B$5)^(B104-'Calculation_Assumptions'!$B$2)</f>
      </c>
      <c r="W104" s="77" t="str">
        <f>Q104*V104</f>
      </c>
      <c r="X104" s="78" t="str">
        <f>R104*V104</f>
      </c>
      <c r="Y104" s="79" t="str">
        <f>S104*V104</f>
      </c>
      <c r="Z104" s="80" t="str">
        <f>IFERROR(INDEX('Cost_Components'!$T$2:$T$27,MATCH(E104,'Cost_Components'!$A$2:$A$27,0)),"")</f>
      </c>
      <c r="AA104" s="81" t="str">
        <f>IFERROR(INDEX('Cost_Components'!$U$2:$U$27,MATCH(E104,'Cost_Components'!$A$2:$A$27,0)),"")</f>
      </c>
      <c r="AB104" s="82" t="str">
        <f>IFERROR(INDEX('Cost_Components'!$V$2:$V$27,MATCH(E104,'Cost_Components'!$A$2:$A$27,0)),"")</f>
      </c>
      <c r="AC104" s="83" t="str">
        <f>IFERROR(INDEX('Cost_Components'!$M$2:$M$27,MATCH(E104,'Cost_Components'!$A$2:$A$27,0)),"")</f>
      </c>
      <c r="AD104" s="84" t="str">
        <f>IFERROR(INDEX('Cost_Components'!$N$2:$N$27,MATCH(E104,'Cost_Components'!$A$2:$A$27,0)),"")</f>
      </c>
      <c r="AE104" s="20" t="str">
        <f>IFERROR(INDEX('Cost_Components'!$O$2:$O$27,MATCH(E104,'Cost_Components'!$A$2:$A$27,0)),"")</f>
      </c>
      <c r="AF104" s="85" t="n">
        <v>820235.130986803</v>
      </c>
      <c r="AG104" s="86" t="n">
        <v>783775.538450204</v>
      </c>
      <c r="AH104" s="87" t="str">
        <f>IF(H104="shared-count-once",COUNTIFS($A$2:$A$1353,A104,$B$2:$B$1353,B104,$E$2:$E$1353,E104),1)</f>
      </c>
    </row>
    <row r="105">
      <c r="A105" t="s">
        <v>186</v>
      </c>
      <c r="B105" s="59" t="n">
        <v>2050</v>
      </c>
      <c r="C105" t="s">
        <v>186</v>
      </c>
      <c r="D105" t="s">
        <v>166</v>
      </c>
      <c r="E105" s="60" t="s">
        <v>268</v>
      </c>
      <c r="F105" s="61" t="s">
        <v>269</v>
      </c>
      <c r="G105" s="62" t="s">
        <v>196</v>
      </c>
      <c r="H105" s="63" t="s">
        <v>195</v>
      </c>
      <c r="I105" s="64" t="s">
        <v>267</v>
      </c>
      <c r="J105" s="65" t="str">
        <f>IFERROR(INDEX('Cost_Components'!$K$2:$K$27,MATCH(E105,'Cost_Components'!$A$2:$A$27,0)),"")</f>
      </c>
      <c r="K105" s="66" t="str">
        <f>IF(OR(L105="",Z105="",AA105="",AB105=""),"",IF(B105&lt;AA105,L105,IF(B105&gt;AB105,Z105,L105+(Z105-L105)*MIN(MAX((B105-AA105+1)/MAX(AB105-AA105+1,1),0),1))))</f>
      </c>
      <c r="L105" s="67" t="str">
        <f>IFERROR(INDEX('Cost_Components'!$S$2:$S$27,MATCH(E105,'Cost_Components'!$A$2:$A$27,0)),"")</f>
      </c>
      <c r="M105" s="68" t="str">
        <f>IFERROR(INDEX('Cost_Components'!$L$2:$L$27,MATCH(E105,'Cost_Components'!$A$2:$A$27,0)),"")</f>
      </c>
      <c r="N105" s="69" t="str">
        <f>IFERROR(INDEX('Cost_Components'!$P$2:$P$27,MATCH(E105,'Cost_Components'!$A$2:$A$27,0)),"")</f>
      </c>
      <c r="O105" s="70" t="str">
        <f>AF105*J105</f>
      </c>
      <c r="P105" s="71" t="str">
        <f>AG105*J105</f>
      </c>
      <c r="Q105" s="72" t="str">
        <f>P105*L105*M105*N105</f>
      </c>
      <c r="R105" s="73" t="str">
        <f>O105*K105*M105*N105</f>
      </c>
      <c r="S105" s="74" t="str">
        <f>R105-Q105</f>
      </c>
      <c r="T105" s="20" t="str">
        <f>IFERROR(INDEX('Cost_Components'!$R$2:$R$27,MATCH(E105,'Cost_Components'!$A$2:$A$27,0)),"")</f>
      </c>
      <c r="U105" s="75" t="str">
        <f>IFERROR(INDEX('Cost_Components'!$Q$2:$Q$27,MATCH(E105,'Cost_Components'!$A$2:$A$27,0)),"")</f>
      </c>
      <c r="V105" s="76" t="str">
        <f>1/(1+'Calculation_Assumptions'!$B$5)^(B105-'Calculation_Assumptions'!$B$2)</f>
      </c>
      <c r="W105" s="77" t="str">
        <f>Q105*V105</f>
      </c>
      <c r="X105" s="78" t="str">
        <f>R105*V105</f>
      </c>
      <c r="Y105" s="79" t="str">
        <f>S105*V105</f>
      </c>
      <c r="Z105" s="80" t="str">
        <f>IFERROR(INDEX('Cost_Components'!$T$2:$T$27,MATCH(E105,'Cost_Components'!$A$2:$A$27,0)),"")</f>
      </c>
      <c r="AA105" s="81" t="str">
        <f>IFERROR(INDEX('Cost_Components'!$U$2:$U$27,MATCH(E105,'Cost_Components'!$A$2:$A$27,0)),"")</f>
      </c>
      <c r="AB105" s="82" t="str">
        <f>IFERROR(INDEX('Cost_Components'!$V$2:$V$27,MATCH(E105,'Cost_Components'!$A$2:$A$27,0)),"")</f>
      </c>
      <c r="AC105" s="83" t="str">
        <f>IFERROR(INDEX('Cost_Components'!$M$2:$M$27,MATCH(E105,'Cost_Components'!$A$2:$A$27,0)),"")</f>
      </c>
      <c r="AD105" s="84" t="str">
        <f>IFERROR(INDEX('Cost_Components'!$N$2:$N$27,MATCH(E105,'Cost_Components'!$A$2:$A$27,0)),"")</f>
      </c>
      <c r="AE105" s="20" t="str">
        <f>IFERROR(INDEX('Cost_Components'!$O$2:$O$27,MATCH(E105,'Cost_Components'!$A$2:$A$27,0)),"")</f>
      </c>
      <c r="AF105" s="85" t="n">
        <v>837307.656223499</v>
      </c>
      <c r="AG105" s="86" t="n">
        <v>798478.813288951</v>
      </c>
      <c r="AH105" s="87" t="str">
        <f>IF(H105="shared-count-once",COUNTIFS($A$2:$A$1353,A105,$B$2:$B$1353,B105,$E$2:$E$1353,E105),1)</f>
      </c>
    </row>
    <row r="106">
      <c r="A106" t="s">
        <v>186</v>
      </c>
      <c r="B106" s="59" t="n">
        <v>2025</v>
      </c>
      <c r="C106" t="s">
        <v>186</v>
      </c>
      <c r="D106" t="s">
        <v>180</v>
      </c>
      <c r="E106" s="60" t="s">
        <v>270</v>
      </c>
      <c r="F106" s="61" t="s">
        <v>271</v>
      </c>
      <c r="G106" s="62" t="s">
        <v>198</v>
      </c>
      <c r="H106" s="63" t="s">
        <v>195</v>
      </c>
      <c r="I106" s="64" t="s">
        <v>267</v>
      </c>
      <c r="J106" s="65" t="str">
        <f>IFERROR(INDEX('Cost_Components'!$K$2:$K$27,MATCH(E106,'Cost_Components'!$A$2:$A$27,0)),"")</f>
      </c>
      <c r="K106" s="66" t="str">
        <f>IF(OR(L106="",Z106="",AA106="",AB106=""),"",IF(B106&lt;AA106,L106,IF(B106&gt;AB106,Z106,L106+(Z106-L106)*MIN(MAX((B106-AA106+1)/MAX(AB106-AA106+1,1),0),1))))</f>
      </c>
      <c r="L106" s="67" t="str">
        <f>IFERROR(INDEX('Cost_Components'!$S$2:$S$27,MATCH(E106,'Cost_Components'!$A$2:$A$27,0)),"")</f>
      </c>
      <c r="M106" s="68" t="str">
        <f>IFERROR(INDEX('Cost_Components'!$L$2:$L$27,MATCH(E106,'Cost_Components'!$A$2:$A$27,0)),"")</f>
      </c>
      <c r="N106" s="69" t="str">
        <f>IFERROR(INDEX('Cost_Components'!$P$2:$P$27,MATCH(E106,'Cost_Components'!$A$2:$A$27,0)),"")</f>
      </c>
      <c r="O106" s="70" t="str">
        <f>AF106*J106</f>
      </c>
      <c r="P106" s="71" t="str">
        <f>AG106*J106</f>
      </c>
      <c r="Q106" s="72" t="str">
        <f>P106*L106*M106*N106</f>
      </c>
      <c r="R106" s="73" t="str">
        <f>O106*K106*M106*N106</f>
      </c>
      <c r="S106" s="74" t="str">
        <f>R106-Q106</f>
      </c>
      <c r="T106" s="20" t="str">
        <f>IFERROR(INDEX('Cost_Components'!$R$2:$R$27,MATCH(E106,'Cost_Components'!$A$2:$A$27,0)),"")</f>
      </c>
      <c r="U106" s="75" t="str">
        <f>IFERROR(INDEX('Cost_Components'!$Q$2:$Q$27,MATCH(E106,'Cost_Components'!$A$2:$A$27,0)),"")</f>
      </c>
      <c r="V106" s="76" t="str">
        <f>1/(1+'Calculation_Assumptions'!$B$5)^(B106-'Calculation_Assumptions'!$B$2)</f>
      </c>
      <c r="W106" s="77" t="str">
        <f>Q106*V106</f>
      </c>
      <c r="X106" s="78" t="str">
        <f>R106*V106</f>
      </c>
      <c r="Y106" s="79" t="str">
        <f>S106*V106</f>
      </c>
      <c r="Z106" s="80" t="str">
        <f>IFERROR(INDEX('Cost_Components'!$T$2:$T$27,MATCH(E106,'Cost_Components'!$A$2:$A$27,0)),"")</f>
      </c>
      <c r="AA106" s="81" t="str">
        <f>IFERROR(INDEX('Cost_Components'!$U$2:$U$27,MATCH(E106,'Cost_Components'!$A$2:$A$27,0)),"")</f>
      </c>
      <c r="AB106" s="82" t="str">
        <f>IFERROR(INDEX('Cost_Components'!$V$2:$V$27,MATCH(E106,'Cost_Components'!$A$2:$A$27,0)),"")</f>
      </c>
      <c r="AC106" s="83" t="str">
        <f>IFERROR(INDEX('Cost_Components'!$M$2:$M$27,MATCH(E106,'Cost_Components'!$A$2:$A$27,0)),"")</f>
      </c>
      <c r="AD106" s="84" t="str">
        <f>IFERROR(INDEX('Cost_Components'!$N$2:$N$27,MATCH(E106,'Cost_Components'!$A$2:$A$27,0)),"")</f>
      </c>
      <c r="AE106" s="20" t="str">
        <f>IFERROR(INDEX('Cost_Components'!$O$2:$O$27,MATCH(E106,'Cost_Components'!$A$2:$A$27,0)),"")</f>
      </c>
      <c r="AF106" s="85" t="n">
        <v>4938645.72567453</v>
      </c>
      <c r="AG106" s="86" t="n">
        <v>4938586.08395776</v>
      </c>
      <c r="AH106" s="87" t="str">
        <f>IF(H106="shared-count-once",COUNTIFS($A$2:$A$1353,A106,$B$2:$B$1353,B106,$E$2:$E$1353,E106),1)</f>
      </c>
    </row>
    <row r="107">
      <c r="A107" t="s">
        <v>186</v>
      </c>
      <c r="B107" s="59" t="n">
        <v>2026</v>
      </c>
      <c r="C107" t="s">
        <v>186</v>
      </c>
      <c r="D107" t="s">
        <v>180</v>
      </c>
      <c r="E107" s="60" t="s">
        <v>270</v>
      </c>
      <c r="F107" s="61" t="s">
        <v>271</v>
      </c>
      <c r="G107" s="62" t="s">
        <v>198</v>
      </c>
      <c r="H107" s="63" t="s">
        <v>195</v>
      </c>
      <c r="I107" s="64" t="s">
        <v>267</v>
      </c>
      <c r="J107" s="65" t="str">
        <f>IFERROR(INDEX('Cost_Components'!$K$2:$K$27,MATCH(E107,'Cost_Components'!$A$2:$A$27,0)),"")</f>
      </c>
      <c r="K107" s="66" t="str">
        <f>IF(OR(L107="",Z107="",AA107="",AB107=""),"",IF(B107&lt;AA107,L107,IF(B107&gt;AB107,Z107,L107+(Z107-L107)*MIN(MAX((B107-AA107+1)/MAX(AB107-AA107+1,1),0),1))))</f>
      </c>
      <c r="L107" s="67" t="str">
        <f>IFERROR(INDEX('Cost_Components'!$S$2:$S$27,MATCH(E107,'Cost_Components'!$A$2:$A$27,0)),"")</f>
      </c>
      <c r="M107" s="68" t="str">
        <f>IFERROR(INDEX('Cost_Components'!$L$2:$L$27,MATCH(E107,'Cost_Components'!$A$2:$A$27,0)),"")</f>
      </c>
      <c r="N107" s="69" t="str">
        <f>IFERROR(INDEX('Cost_Components'!$P$2:$P$27,MATCH(E107,'Cost_Components'!$A$2:$A$27,0)),"")</f>
      </c>
      <c r="O107" s="70" t="str">
        <f>AF107*J107</f>
      </c>
      <c r="P107" s="71" t="str">
        <f>AG107*J107</f>
      </c>
      <c r="Q107" s="72" t="str">
        <f>P107*L107*M107*N107</f>
      </c>
      <c r="R107" s="73" t="str">
        <f>O107*K107*M107*N107</f>
      </c>
      <c r="S107" s="74" t="str">
        <f>R107-Q107</f>
      </c>
      <c r="T107" s="20" t="str">
        <f>IFERROR(INDEX('Cost_Components'!$R$2:$R$27,MATCH(E107,'Cost_Components'!$A$2:$A$27,0)),"")</f>
      </c>
      <c r="U107" s="75" t="str">
        <f>IFERROR(INDEX('Cost_Components'!$Q$2:$Q$27,MATCH(E107,'Cost_Components'!$A$2:$A$27,0)),"")</f>
      </c>
      <c r="V107" s="76" t="str">
        <f>1/(1+'Calculation_Assumptions'!$B$5)^(B107-'Calculation_Assumptions'!$B$2)</f>
      </c>
      <c r="W107" s="77" t="str">
        <f>Q107*V107</f>
      </c>
      <c r="X107" s="78" t="str">
        <f>R107*V107</f>
      </c>
      <c r="Y107" s="79" t="str">
        <f>S107*V107</f>
      </c>
      <c r="Z107" s="80" t="str">
        <f>IFERROR(INDEX('Cost_Components'!$T$2:$T$27,MATCH(E107,'Cost_Components'!$A$2:$A$27,0)),"")</f>
      </c>
      <c r="AA107" s="81" t="str">
        <f>IFERROR(INDEX('Cost_Components'!$U$2:$U$27,MATCH(E107,'Cost_Components'!$A$2:$A$27,0)),"")</f>
      </c>
      <c r="AB107" s="82" t="str">
        <f>IFERROR(INDEX('Cost_Components'!$V$2:$V$27,MATCH(E107,'Cost_Components'!$A$2:$A$27,0)),"")</f>
      </c>
      <c r="AC107" s="83" t="str">
        <f>IFERROR(INDEX('Cost_Components'!$M$2:$M$27,MATCH(E107,'Cost_Components'!$A$2:$A$27,0)),"")</f>
      </c>
      <c r="AD107" s="84" t="str">
        <f>IFERROR(INDEX('Cost_Components'!$N$2:$N$27,MATCH(E107,'Cost_Components'!$A$2:$A$27,0)),"")</f>
      </c>
      <c r="AE107" s="20" t="str">
        <f>IFERROR(INDEX('Cost_Components'!$O$2:$O$27,MATCH(E107,'Cost_Components'!$A$2:$A$27,0)),"")</f>
      </c>
      <c r="AF107" s="85" t="n">
        <v>5060052.01829068</v>
      </c>
      <c r="AG107" s="86" t="n">
        <v>5059876.23903272</v>
      </c>
      <c r="AH107" s="87" t="str">
        <f>IF(H107="shared-count-once",COUNTIFS($A$2:$A$1353,A107,$B$2:$B$1353,B107,$E$2:$E$1353,E107),1)</f>
      </c>
    </row>
    <row r="108">
      <c r="A108" t="s">
        <v>186</v>
      </c>
      <c r="B108" s="59" t="n">
        <v>2027</v>
      </c>
      <c r="C108" t="s">
        <v>186</v>
      </c>
      <c r="D108" t="s">
        <v>180</v>
      </c>
      <c r="E108" s="60" t="s">
        <v>270</v>
      </c>
      <c r="F108" s="61" t="s">
        <v>271</v>
      </c>
      <c r="G108" s="62" t="s">
        <v>198</v>
      </c>
      <c r="H108" s="63" t="s">
        <v>195</v>
      </c>
      <c r="I108" s="64" t="s">
        <v>267</v>
      </c>
      <c r="J108" s="65" t="str">
        <f>IFERROR(INDEX('Cost_Components'!$K$2:$K$27,MATCH(E108,'Cost_Components'!$A$2:$A$27,0)),"")</f>
      </c>
      <c r="K108" s="66" t="str">
        <f>IF(OR(L108="",Z108="",AA108="",AB108=""),"",IF(B108&lt;AA108,L108,IF(B108&gt;AB108,Z108,L108+(Z108-L108)*MIN(MAX((B108-AA108+1)/MAX(AB108-AA108+1,1),0),1))))</f>
      </c>
      <c r="L108" s="67" t="str">
        <f>IFERROR(INDEX('Cost_Components'!$S$2:$S$27,MATCH(E108,'Cost_Components'!$A$2:$A$27,0)),"")</f>
      </c>
      <c r="M108" s="68" t="str">
        <f>IFERROR(INDEX('Cost_Components'!$L$2:$L$27,MATCH(E108,'Cost_Components'!$A$2:$A$27,0)),"")</f>
      </c>
      <c r="N108" s="69" t="str">
        <f>IFERROR(INDEX('Cost_Components'!$P$2:$P$27,MATCH(E108,'Cost_Components'!$A$2:$A$27,0)),"")</f>
      </c>
      <c r="O108" s="70" t="str">
        <f>AF108*J108</f>
      </c>
      <c r="P108" s="71" t="str">
        <f>AG108*J108</f>
      </c>
      <c r="Q108" s="72" t="str">
        <f>P108*L108*M108*N108</f>
      </c>
      <c r="R108" s="73" t="str">
        <f>O108*K108*M108*N108</f>
      </c>
      <c r="S108" s="74" t="str">
        <f>R108-Q108</f>
      </c>
      <c r="T108" s="20" t="str">
        <f>IFERROR(INDEX('Cost_Components'!$R$2:$R$27,MATCH(E108,'Cost_Components'!$A$2:$A$27,0)),"")</f>
      </c>
      <c r="U108" s="75" t="str">
        <f>IFERROR(INDEX('Cost_Components'!$Q$2:$Q$27,MATCH(E108,'Cost_Components'!$A$2:$A$27,0)),"")</f>
      </c>
      <c r="V108" s="76" t="str">
        <f>1/(1+'Calculation_Assumptions'!$B$5)^(B108-'Calculation_Assumptions'!$B$2)</f>
      </c>
      <c r="W108" s="77" t="str">
        <f>Q108*V108</f>
      </c>
      <c r="X108" s="78" t="str">
        <f>R108*V108</f>
      </c>
      <c r="Y108" s="79" t="str">
        <f>S108*V108</f>
      </c>
      <c r="Z108" s="80" t="str">
        <f>IFERROR(INDEX('Cost_Components'!$T$2:$T$27,MATCH(E108,'Cost_Components'!$A$2:$A$27,0)),"")</f>
      </c>
      <c r="AA108" s="81" t="str">
        <f>IFERROR(INDEX('Cost_Components'!$U$2:$U$27,MATCH(E108,'Cost_Components'!$A$2:$A$27,0)),"")</f>
      </c>
      <c r="AB108" s="82" t="str">
        <f>IFERROR(INDEX('Cost_Components'!$V$2:$V$27,MATCH(E108,'Cost_Components'!$A$2:$A$27,0)),"")</f>
      </c>
      <c r="AC108" s="83" t="str">
        <f>IFERROR(INDEX('Cost_Components'!$M$2:$M$27,MATCH(E108,'Cost_Components'!$A$2:$A$27,0)),"")</f>
      </c>
      <c r="AD108" s="84" t="str">
        <f>IFERROR(INDEX('Cost_Components'!$N$2:$N$27,MATCH(E108,'Cost_Components'!$A$2:$A$27,0)),"")</f>
      </c>
      <c r="AE108" s="20" t="str">
        <f>IFERROR(INDEX('Cost_Components'!$O$2:$O$27,MATCH(E108,'Cost_Components'!$A$2:$A$27,0)),"")</f>
      </c>
      <c r="AF108" s="85" t="n">
        <v>5178252.88495527</v>
      </c>
      <c r="AG108" s="86" t="n">
        <v>5177908.34578341</v>
      </c>
      <c r="AH108" s="87" t="str">
        <f>IF(H108="shared-count-once",COUNTIFS($A$2:$A$1353,A108,$B$2:$B$1353,B108,$E$2:$E$1353,E108),1)</f>
      </c>
    </row>
    <row r="109">
      <c r="A109" t="s">
        <v>186</v>
      </c>
      <c r="B109" s="59" t="n">
        <v>2028</v>
      </c>
      <c r="C109" t="s">
        <v>186</v>
      </c>
      <c r="D109" t="s">
        <v>180</v>
      </c>
      <c r="E109" s="60" t="s">
        <v>270</v>
      </c>
      <c r="F109" s="61" t="s">
        <v>271</v>
      </c>
      <c r="G109" s="62" t="s">
        <v>198</v>
      </c>
      <c r="H109" s="63" t="s">
        <v>195</v>
      </c>
      <c r="I109" s="64" t="s">
        <v>267</v>
      </c>
      <c r="J109" s="65" t="str">
        <f>IFERROR(INDEX('Cost_Components'!$K$2:$K$27,MATCH(E109,'Cost_Components'!$A$2:$A$27,0)),"")</f>
      </c>
      <c r="K109" s="66" t="str">
        <f>IF(OR(L109="",Z109="",AA109="",AB109=""),"",IF(B109&lt;AA109,L109,IF(B109&gt;AB109,Z109,L109+(Z109-L109)*MIN(MAX((B109-AA109+1)/MAX(AB109-AA109+1,1),0),1))))</f>
      </c>
      <c r="L109" s="67" t="str">
        <f>IFERROR(INDEX('Cost_Components'!$S$2:$S$27,MATCH(E109,'Cost_Components'!$A$2:$A$27,0)),"")</f>
      </c>
      <c r="M109" s="68" t="str">
        <f>IFERROR(INDEX('Cost_Components'!$L$2:$L$27,MATCH(E109,'Cost_Components'!$A$2:$A$27,0)),"")</f>
      </c>
      <c r="N109" s="69" t="str">
        <f>IFERROR(INDEX('Cost_Components'!$P$2:$P$27,MATCH(E109,'Cost_Components'!$A$2:$A$27,0)),"")</f>
      </c>
      <c r="O109" s="70" t="str">
        <f>AF109*J109</f>
      </c>
      <c r="P109" s="71" t="str">
        <f>AG109*J109</f>
      </c>
      <c r="Q109" s="72" t="str">
        <f>P109*L109*M109*N109</f>
      </c>
      <c r="R109" s="73" t="str">
        <f>O109*K109*M109*N109</f>
      </c>
      <c r="S109" s="74" t="str">
        <f>R109-Q109</f>
      </c>
      <c r="T109" s="20" t="str">
        <f>IFERROR(INDEX('Cost_Components'!$R$2:$R$27,MATCH(E109,'Cost_Components'!$A$2:$A$27,0)),"")</f>
      </c>
      <c r="U109" s="75" t="str">
        <f>IFERROR(INDEX('Cost_Components'!$Q$2:$Q$27,MATCH(E109,'Cost_Components'!$A$2:$A$27,0)),"")</f>
      </c>
      <c r="V109" s="76" t="str">
        <f>1/(1+'Calculation_Assumptions'!$B$5)^(B109-'Calculation_Assumptions'!$B$2)</f>
      </c>
      <c r="W109" s="77" t="str">
        <f>Q109*V109</f>
      </c>
      <c r="X109" s="78" t="str">
        <f>R109*V109</f>
      </c>
      <c r="Y109" s="79" t="str">
        <f>S109*V109</f>
      </c>
      <c r="Z109" s="80" t="str">
        <f>IFERROR(INDEX('Cost_Components'!$T$2:$T$27,MATCH(E109,'Cost_Components'!$A$2:$A$27,0)),"")</f>
      </c>
      <c r="AA109" s="81" t="str">
        <f>IFERROR(INDEX('Cost_Components'!$U$2:$U$27,MATCH(E109,'Cost_Components'!$A$2:$A$27,0)),"")</f>
      </c>
      <c r="AB109" s="82" t="str">
        <f>IFERROR(INDEX('Cost_Components'!$V$2:$V$27,MATCH(E109,'Cost_Components'!$A$2:$A$27,0)),"")</f>
      </c>
      <c r="AC109" s="83" t="str">
        <f>IFERROR(INDEX('Cost_Components'!$M$2:$M$27,MATCH(E109,'Cost_Components'!$A$2:$A$27,0)),"")</f>
      </c>
      <c r="AD109" s="84" t="str">
        <f>IFERROR(INDEX('Cost_Components'!$N$2:$N$27,MATCH(E109,'Cost_Components'!$A$2:$A$27,0)),"")</f>
      </c>
      <c r="AE109" s="20" t="str">
        <f>IFERROR(INDEX('Cost_Components'!$O$2:$O$27,MATCH(E109,'Cost_Components'!$A$2:$A$27,0)),"")</f>
      </c>
      <c r="AF109" s="85" t="n">
        <v>5292924.5379266</v>
      </c>
      <c r="AG109" s="86" t="n">
        <v>5292362.05081189</v>
      </c>
      <c r="AH109" s="87" t="str">
        <f>IF(H109="shared-count-once",COUNTIFS($A$2:$A$1353,A109,$B$2:$B$1353,B109,$E$2:$E$1353,E109),1)</f>
      </c>
    </row>
    <row r="110">
      <c r="A110" t="s">
        <v>186</v>
      </c>
      <c r="B110" s="59" t="n">
        <v>2029</v>
      </c>
      <c r="C110" t="s">
        <v>186</v>
      </c>
      <c r="D110" t="s">
        <v>180</v>
      </c>
      <c r="E110" s="60" t="s">
        <v>270</v>
      </c>
      <c r="F110" s="61" t="s">
        <v>271</v>
      </c>
      <c r="G110" s="62" t="s">
        <v>198</v>
      </c>
      <c r="H110" s="63" t="s">
        <v>195</v>
      </c>
      <c r="I110" s="64" t="s">
        <v>267</v>
      </c>
      <c r="J110" s="65" t="str">
        <f>IFERROR(INDEX('Cost_Components'!$K$2:$K$27,MATCH(E110,'Cost_Components'!$A$2:$A$27,0)),"")</f>
      </c>
      <c r="K110" s="66" t="str">
        <f>IF(OR(L110="",Z110="",AA110="",AB110=""),"",IF(B110&lt;AA110,L110,IF(B110&gt;AB110,Z110,L110+(Z110-L110)*MIN(MAX((B110-AA110+1)/MAX(AB110-AA110+1,1),0),1))))</f>
      </c>
      <c r="L110" s="67" t="str">
        <f>IFERROR(INDEX('Cost_Components'!$S$2:$S$27,MATCH(E110,'Cost_Components'!$A$2:$A$27,0)),"")</f>
      </c>
      <c r="M110" s="68" t="str">
        <f>IFERROR(INDEX('Cost_Components'!$L$2:$L$27,MATCH(E110,'Cost_Components'!$A$2:$A$27,0)),"")</f>
      </c>
      <c r="N110" s="69" t="str">
        <f>IFERROR(INDEX('Cost_Components'!$P$2:$P$27,MATCH(E110,'Cost_Components'!$A$2:$A$27,0)),"")</f>
      </c>
      <c r="O110" s="70" t="str">
        <f>AF110*J110</f>
      </c>
      <c r="P110" s="71" t="str">
        <f>AG110*J110</f>
      </c>
      <c r="Q110" s="72" t="str">
        <f>P110*L110*M110*N110</f>
      </c>
      <c r="R110" s="73" t="str">
        <f>O110*K110*M110*N110</f>
      </c>
      <c r="S110" s="74" t="str">
        <f>R110-Q110</f>
      </c>
      <c r="T110" s="20" t="str">
        <f>IFERROR(INDEX('Cost_Components'!$R$2:$R$27,MATCH(E110,'Cost_Components'!$A$2:$A$27,0)),"")</f>
      </c>
      <c r="U110" s="75" t="str">
        <f>IFERROR(INDEX('Cost_Components'!$Q$2:$Q$27,MATCH(E110,'Cost_Components'!$A$2:$A$27,0)),"")</f>
      </c>
      <c r="V110" s="76" t="str">
        <f>1/(1+'Calculation_Assumptions'!$B$5)^(B110-'Calculation_Assumptions'!$B$2)</f>
      </c>
      <c r="W110" s="77" t="str">
        <f>Q110*V110</f>
      </c>
      <c r="X110" s="78" t="str">
        <f>R110*V110</f>
      </c>
      <c r="Y110" s="79" t="str">
        <f>S110*V110</f>
      </c>
      <c r="Z110" s="80" t="str">
        <f>IFERROR(INDEX('Cost_Components'!$T$2:$T$27,MATCH(E110,'Cost_Components'!$A$2:$A$27,0)),"")</f>
      </c>
      <c r="AA110" s="81" t="str">
        <f>IFERROR(INDEX('Cost_Components'!$U$2:$U$27,MATCH(E110,'Cost_Components'!$A$2:$A$27,0)),"")</f>
      </c>
      <c r="AB110" s="82" t="str">
        <f>IFERROR(INDEX('Cost_Components'!$V$2:$V$27,MATCH(E110,'Cost_Components'!$A$2:$A$27,0)),"")</f>
      </c>
      <c r="AC110" s="83" t="str">
        <f>IFERROR(INDEX('Cost_Components'!$M$2:$M$27,MATCH(E110,'Cost_Components'!$A$2:$A$27,0)),"")</f>
      </c>
      <c r="AD110" s="84" t="str">
        <f>IFERROR(INDEX('Cost_Components'!$N$2:$N$27,MATCH(E110,'Cost_Components'!$A$2:$A$27,0)),"")</f>
      </c>
      <c r="AE110" s="20" t="str">
        <f>IFERROR(INDEX('Cost_Components'!$O$2:$O$27,MATCH(E110,'Cost_Components'!$A$2:$A$27,0)),"")</f>
      </c>
      <c r="AF110" s="85" t="n">
        <v>5408452.65385958</v>
      </c>
      <c r="AG110" s="86" t="n">
        <v>5407624.20226317</v>
      </c>
      <c r="AH110" s="87" t="str">
        <f>IF(H110="shared-count-once",COUNTIFS($A$2:$A$1353,A110,$B$2:$B$1353,B110,$E$2:$E$1353,E110),1)</f>
      </c>
    </row>
    <row r="111">
      <c r="A111" t="s">
        <v>186</v>
      </c>
      <c r="B111" s="59" t="n">
        <v>2030</v>
      </c>
      <c r="C111" t="s">
        <v>186</v>
      </c>
      <c r="D111" t="s">
        <v>180</v>
      </c>
      <c r="E111" s="60" t="s">
        <v>270</v>
      </c>
      <c r="F111" s="61" t="s">
        <v>271</v>
      </c>
      <c r="G111" s="62" t="s">
        <v>198</v>
      </c>
      <c r="H111" s="63" t="s">
        <v>195</v>
      </c>
      <c r="I111" s="64" t="s">
        <v>267</v>
      </c>
      <c r="J111" s="65" t="str">
        <f>IFERROR(INDEX('Cost_Components'!$K$2:$K$27,MATCH(E111,'Cost_Components'!$A$2:$A$27,0)),"")</f>
      </c>
      <c r="K111" s="66" t="str">
        <f>IF(OR(L111="",Z111="",AA111="",AB111=""),"",IF(B111&lt;AA111,L111,IF(B111&gt;AB111,Z111,L111+(Z111-L111)*MIN(MAX((B111-AA111+1)/MAX(AB111-AA111+1,1),0),1))))</f>
      </c>
      <c r="L111" s="67" t="str">
        <f>IFERROR(INDEX('Cost_Components'!$S$2:$S$27,MATCH(E111,'Cost_Components'!$A$2:$A$27,0)),"")</f>
      </c>
      <c r="M111" s="68" t="str">
        <f>IFERROR(INDEX('Cost_Components'!$L$2:$L$27,MATCH(E111,'Cost_Components'!$A$2:$A$27,0)),"")</f>
      </c>
      <c r="N111" s="69" t="str">
        <f>IFERROR(INDEX('Cost_Components'!$P$2:$P$27,MATCH(E111,'Cost_Components'!$A$2:$A$27,0)),"")</f>
      </c>
      <c r="O111" s="70" t="str">
        <f>AF111*J111</f>
      </c>
      <c r="P111" s="71" t="str">
        <f>AG111*J111</f>
      </c>
      <c r="Q111" s="72" t="str">
        <f>P111*L111*M111*N111</f>
      </c>
      <c r="R111" s="73" t="str">
        <f>O111*K111*M111*N111</f>
      </c>
      <c r="S111" s="74" t="str">
        <f>R111-Q111</f>
      </c>
      <c r="T111" s="20" t="str">
        <f>IFERROR(INDEX('Cost_Components'!$R$2:$R$27,MATCH(E111,'Cost_Components'!$A$2:$A$27,0)),"")</f>
      </c>
      <c r="U111" s="75" t="str">
        <f>IFERROR(INDEX('Cost_Components'!$Q$2:$Q$27,MATCH(E111,'Cost_Components'!$A$2:$A$27,0)),"")</f>
      </c>
      <c r="V111" s="76" t="str">
        <f>1/(1+'Calculation_Assumptions'!$B$5)^(B111-'Calculation_Assumptions'!$B$2)</f>
      </c>
      <c r="W111" s="77" t="str">
        <f>Q111*V111</f>
      </c>
      <c r="X111" s="78" t="str">
        <f>R111*V111</f>
      </c>
      <c r="Y111" s="79" t="str">
        <f>S111*V111</f>
      </c>
      <c r="Z111" s="80" t="str">
        <f>IFERROR(INDEX('Cost_Components'!$T$2:$T$27,MATCH(E111,'Cost_Components'!$A$2:$A$27,0)),"")</f>
      </c>
      <c r="AA111" s="81" t="str">
        <f>IFERROR(INDEX('Cost_Components'!$U$2:$U$27,MATCH(E111,'Cost_Components'!$A$2:$A$27,0)),"")</f>
      </c>
      <c r="AB111" s="82" t="str">
        <f>IFERROR(INDEX('Cost_Components'!$V$2:$V$27,MATCH(E111,'Cost_Components'!$A$2:$A$27,0)),"")</f>
      </c>
      <c r="AC111" s="83" t="str">
        <f>IFERROR(INDEX('Cost_Components'!$M$2:$M$27,MATCH(E111,'Cost_Components'!$A$2:$A$27,0)),"")</f>
      </c>
      <c r="AD111" s="84" t="str">
        <f>IFERROR(INDEX('Cost_Components'!$N$2:$N$27,MATCH(E111,'Cost_Components'!$A$2:$A$27,0)),"")</f>
      </c>
      <c r="AE111" s="20" t="str">
        <f>IFERROR(INDEX('Cost_Components'!$O$2:$O$27,MATCH(E111,'Cost_Components'!$A$2:$A$27,0)),"")</f>
      </c>
      <c r="AF111" s="85" t="n">
        <v>5522983.53733588</v>
      </c>
      <c r="AG111" s="86" t="n">
        <v>5521846.50884352</v>
      </c>
      <c r="AH111" s="87" t="str">
        <f>IF(H111="shared-count-once",COUNTIFS($A$2:$A$1353,A111,$B$2:$B$1353,B111,$E$2:$E$1353,E111),1)</f>
      </c>
    </row>
    <row r="112">
      <c r="A112" t="s">
        <v>186</v>
      </c>
      <c r="B112" s="59" t="n">
        <v>2031</v>
      </c>
      <c r="C112" t="s">
        <v>186</v>
      </c>
      <c r="D112" t="s">
        <v>180</v>
      </c>
      <c r="E112" s="60" t="s">
        <v>270</v>
      </c>
      <c r="F112" s="61" t="s">
        <v>271</v>
      </c>
      <c r="G112" s="62" t="s">
        <v>198</v>
      </c>
      <c r="H112" s="63" t="s">
        <v>195</v>
      </c>
      <c r="I112" s="64" t="s">
        <v>267</v>
      </c>
      <c r="J112" s="65" t="str">
        <f>IFERROR(INDEX('Cost_Components'!$K$2:$K$27,MATCH(E112,'Cost_Components'!$A$2:$A$27,0)),"")</f>
      </c>
      <c r="K112" s="66" t="str">
        <f>IF(OR(L112="",Z112="",AA112="",AB112=""),"",IF(B112&lt;AA112,L112,IF(B112&gt;AB112,Z112,L112+(Z112-L112)*MIN(MAX((B112-AA112+1)/MAX(AB112-AA112+1,1),0),1))))</f>
      </c>
      <c r="L112" s="67" t="str">
        <f>IFERROR(INDEX('Cost_Components'!$S$2:$S$27,MATCH(E112,'Cost_Components'!$A$2:$A$27,0)),"")</f>
      </c>
      <c r="M112" s="68" t="str">
        <f>IFERROR(INDEX('Cost_Components'!$L$2:$L$27,MATCH(E112,'Cost_Components'!$A$2:$A$27,0)),"")</f>
      </c>
      <c r="N112" s="69" t="str">
        <f>IFERROR(INDEX('Cost_Components'!$P$2:$P$27,MATCH(E112,'Cost_Components'!$A$2:$A$27,0)),"")</f>
      </c>
      <c r="O112" s="70" t="str">
        <f>AF112*J112</f>
      </c>
      <c r="P112" s="71" t="str">
        <f>AG112*J112</f>
      </c>
      <c r="Q112" s="72" t="str">
        <f>P112*L112*M112*N112</f>
      </c>
      <c r="R112" s="73" t="str">
        <f>O112*K112*M112*N112</f>
      </c>
      <c r="S112" s="74" t="str">
        <f>R112-Q112</f>
      </c>
      <c r="T112" s="20" t="str">
        <f>IFERROR(INDEX('Cost_Components'!$R$2:$R$27,MATCH(E112,'Cost_Components'!$A$2:$A$27,0)),"")</f>
      </c>
      <c r="U112" s="75" t="str">
        <f>IFERROR(INDEX('Cost_Components'!$Q$2:$Q$27,MATCH(E112,'Cost_Components'!$A$2:$A$27,0)),"")</f>
      </c>
      <c r="V112" s="76" t="str">
        <f>1/(1+'Calculation_Assumptions'!$B$5)^(B112-'Calculation_Assumptions'!$B$2)</f>
      </c>
      <c r="W112" s="77" t="str">
        <f>Q112*V112</f>
      </c>
      <c r="X112" s="78" t="str">
        <f>R112*V112</f>
      </c>
      <c r="Y112" s="79" t="str">
        <f>S112*V112</f>
      </c>
      <c r="Z112" s="80" t="str">
        <f>IFERROR(INDEX('Cost_Components'!$T$2:$T$27,MATCH(E112,'Cost_Components'!$A$2:$A$27,0)),"")</f>
      </c>
      <c r="AA112" s="81" t="str">
        <f>IFERROR(INDEX('Cost_Components'!$U$2:$U$27,MATCH(E112,'Cost_Components'!$A$2:$A$27,0)),"")</f>
      </c>
      <c r="AB112" s="82" t="str">
        <f>IFERROR(INDEX('Cost_Components'!$V$2:$V$27,MATCH(E112,'Cost_Components'!$A$2:$A$27,0)),"")</f>
      </c>
      <c r="AC112" s="83" t="str">
        <f>IFERROR(INDEX('Cost_Components'!$M$2:$M$27,MATCH(E112,'Cost_Components'!$A$2:$A$27,0)),"")</f>
      </c>
      <c r="AD112" s="84" t="str">
        <f>IFERROR(INDEX('Cost_Components'!$N$2:$N$27,MATCH(E112,'Cost_Components'!$A$2:$A$27,0)),"")</f>
      </c>
      <c r="AE112" s="20" t="str">
        <f>IFERROR(INDEX('Cost_Components'!$O$2:$O$27,MATCH(E112,'Cost_Components'!$A$2:$A$27,0)),"")</f>
      </c>
      <c r="AF112" s="85" t="n">
        <v>5637380.41136168</v>
      </c>
      <c r="AG112" s="86" t="n">
        <v>5635894.28157856</v>
      </c>
      <c r="AH112" s="87" t="str">
        <f>IF(H112="shared-count-once",COUNTIFS($A$2:$A$1353,A112,$B$2:$B$1353,B112,$E$2:$E$1353,E112),1)</f>
      </c>
    </row>
    <row r="113">
      <c r="A113" t="s">
        <v>186</v>
      </c>
      <c r="B113" s="59" t="n">
        <v>2032</v>
      </c>
      <c r="C113" t="s">
        <v>186</v>
      </c>
      <c r="D113" t="s">
        <v>180</v>
      </c>
      <c r="E113" s="60" t="s">
        <v>270</v>
      </c>
      <c r="F113" s="61" t="s">
        <v>271</v>
      </c>
      <c r="G113" s="62" t="s">
        <v>198</v>
      </c>
      <c r="H113" s="63" t="s">
        <v>195</v>
      </c>
      <c r="I113" s="64" t="s">
        <v>267</v>
      </c>
      <c r="J113" s="65" t="str">
        <f>IFERROR(INDEX('Cost_Components'!$K$2:$K$27,MATCH(E113,'Cost_Components'!$A$2:$A$27,0)),"")</f>
      </c>
      <c r="K113" s="66" t="str">
        <f>IF(OR(L113="",Z113="",AA113="",AB113=""),"",IF(B113&lt;AA113,L113,IF(B113&gt;AB113,Z113,L113+(Z113-L113)*MIN(MAX((B113-AA113+1)/MAX(AB113-AA113+1,1),0),1))))</f>
      </c>
      <c r="L113" s="67" t="str">
        <f>IFERROR(INDEX('Cost_Components'!$S$2:$S$27,MATCH(E113,'Cost_Components'!$A$2:$A$27,0)),"")</f>
      </c>
      <c r="M113" s="68" t="str">
        <f>IFERROR(INDEX('Cost_Components'!$L$2:$L$27,MATCH(E113,'Cost_Components'!$A$2:$A$27,0)),"")</f>
      </c>
      <c r="N113" s="69" t="str">
        <f>IFERROR(INDEX('Cost_Components'!$P$2:$P$27,MATCH(E113,'Cost_Components'!$A$2:$A$27,0)),"")</f>
      </c>
      <c r="O113" s="70" t="str">
        <f>AF113*J113</f>
      </c>
      <c r="P113" s="71" t="str">
        <f>AG113*J113</f>
      </c>
      <c r="Q113" s="72" t="str">
        <f>P113*L113*M113*N113</f>
      </c>
      <c r="R113" s="73" t="str">
        <f>O113*K113*M113*N113</f>
      </c>
      <c r="S113" s="74" t="str">
        <f>R113-Q113</f>
      </c>
      <c r="T113" s="20" t="str">
        <f>IFERROR(INDEX('Cost_Components'!$R$2:$R$27,MATCH(E113,'Cost_Components'!$A$2:$A$27,0)),"")</f>
      </c>
      <c r="U113" s="75" t="str">
        <f>IFERROR(INDEX('Cost_Components'!$Q$2:$Q$27,MATCH(E113,'Cost_Components'!$A$2:$A$27,0)),"")</f>
      </c>
      <c r="V113" s="76" t="str">
        <f>1/(1+'Calculation_Assumptions'!$B$5)^(B113-'Calculation_Assumptions'!$B$2)</f>
      </c>
      <c r="W113" s="77" t="str">
        <f>Q113*V113</f>
      </c>
      <c r="X113" s="78" t="str">
        <f>R113*V113</f>
      </c>
      <c r="Y113" s="79" t="str">
        <f>S113*V113</f>
      </c>
      <c r="Z113" s="80" t="str">
        <f>IFERROR(INDEX('Cost_Components'!$T$2:$T$27,MATCH(E113,'Cost_Components'!$A$2:$A$27,0)),"")</f>
      </c>
      <c r="AA113" s="81" t="str">
        <f>IFERROR(INDEX('Cost_Components'!$U$2:$U$27,MATCH(E113,'Cost_Components'!$A$2:$A$27,0)),"")</f>
      </c>
      <c r="AB113" s="82" t="str">
        <f>IFERROR(INDEX('Cost_Components'!$V$2:$V$27,MATCH(E113,'Cost_Components'!$A$2:$A$27,0)),"")</f>
      </c>
      <c r="AC113" s="83" t="str">
        <f>IFERROR(INDEX('Cost_Components'!$M$2:$M$27,MATCH(E113,'Cost_Components'!$A$2:$A$27,0)),"")</f>
      </c>
      <c r="AD113" s="84" t="str">
        <f>IFERROR(INDEX('Cost_Components'!$N$2:$N$27,MATCH(E113,'Cost_Components'!$A$2:$A$27,0)),"")</f>
      </c>
      <c r="AE113" s="20" t="str">
        <f>IFERROR(INDEX('Cost_Components'!$O$2:$O$27,MATCH(E113,'Cost_Components'!$A$2:$A$27,0)),"")</f>
      </c>
      <c r="AF113" s="85" t="n">
        <v>5751635.44906378</v>
      </c>
      <c r="AG113" s="86" t="n">
        <v>5749760.92998007</v>
      </c>
      <c r="AH113" s="87" t="str">
        <f>IF(H113="shared-count-once",COUNTIFS($A$2:$A$1353,A113,$B$2:$B$1353,B113,$E$2:$E$1353,E113),1)</f>
      </c>
    </row>
    <row r="114">
      <c r="A114" t="s">
        <v>186</v>
      </c>
      <c r="B114" s="59" t="n">
        <v>2033</v>
      </c>
      <c r="C114" t="s">
        <v>186</v>
      </c>
      <c r="D114" t="s">
        <v>180</v>
      </c>
      <c r="E114" s="60" t="s">
        <v>270</v>
      </c>
      <c r="F114" s="61" t="s">
        <v>271</v>
      </c>
      <c r="G114" s="62" t="s">
        <v>198</v>
      </c>
      <c r="H114" s="63" t="s">
        <v>195</v>
      </c>
      <c r="I114" s="64" t="s">
        <v>267</v>
      </c>
      <c r="J114" s="65" t="str">
        <f>IFERROR(INDEX('Cost_Components'!$K$2:$K$27,MATCH(E114,'Cost_Components'!$A$2:$A$27,0)),"")</f>
      </c>
      <c r="K114" s="66" t="str">
        <f>IF(OR(L114="",Z114="",AA114="",AB114=""),"",IF(B114&lt;AA114,L114,IF(B114&gt;AB114,Z114,L114+(Z114-L114)*MIN(MAX((B114-AA114+1)/MAX(AB114-AA114+1,1),0),1))))</f>
      </c>
      <c r="L114" s="67" t="str">
        <f>IFERROR(INDEX('Cost_Components'!$S$2:$S$27,MATCH(E114,'Cost_Components'!$A$2:$A$27,0)),"")</f>
      </c>
      <c r="M114" s="68" t="str">
        <f>IFERROR(INDEX('Cost_Components'!$L$2:$L$27,MATCH(E114,'Cost_Components'!$A$2:$A$27,0)),"")</f>
      </c>
      <c r="N114" s="69" t="str">
        <f>IFERROR(INDEX('Cost_Components'!$P$2:$P$27,MATCH(E114,'Cost_Components'!$A$2:$A$27,0)),"")</f>
      </c>
      <c r="O114" s="70" t="str">
        <f>AF114*J114</f>
      </c>
      <c r="P114" s="71" t="str">
        <f>AG114*J114</f>
      </c>
      <c r="Q114" s="72" t="str">
        <f>P114*L114*M114*N114</f>
      </c>
      <c r="R114" s="73" t="str">
        <f>O114*K114*M114*N114</f>
      </c>
      <c r="S114" s="74" t="str">
        <f>R114-Q114</f>
      </c>
      <c r="T114" s="20" t="str">
        <f>IFERROR(INDEX('Cost_Components'!$R$2:$R$27,MATCH(E114,'Cost_Components'!$A$2:$A$27,0)),"")</f>
      </c>
      <c r="U114" s="75" t="str">
        <f>IFERROR(INDEX('Cost_Components'!$Q$2:$Q$27,MATCH(E114,'Cost_Components'!$A$2:$A$27,0)),"")</f>
      </c>
      <c r="V114" s="76" t="str">
        <f>1/(1+'Calculation_Assumptions'!$B$5)^(B114-'Calculation_Assumptions'!$B$2)</f>
      </c>
      <c r="W114" s="77" t="str">
        <f>Q114*V114</f>
      </c>
      <c r="X114" s="78" t="str">
        <f>R114*V114</f>
      </c>
      <c r="Y114" s="79" t="str">
        <f>S114*V114</f>
      </c>
      <c r="Z114" s="80" t="str">
        <f>IFERROR(INDEX('Cost_Components'!$T$2:$T$27,MATCH(E114,'Cost_Components'!$A$2:$A$27,0)),"")</f>
      </c>
      <c r="AA114" s="81" t="str">
        <f>IFERROR(INDEX('Cost_Components'!$U$2:$U$27,MATCH(E114,'Cost_Components'!$A$2:$A$27,0)),"")</f>
      </c>
      <c r="AB114" s="82" t="str">
        <f>IFERROR(INDEX('Cost_Components'!$V$2:$V$27,MATCH(E114,'Cost_Components'!$A$2:$A$27,0)),"")</f>
      </c>
      <c r="AC114" s="83" t="str">
        <f>IFERROR(INDEX('Cost_Components'!$M$2:$M$27,MATCH(E114,'Cost_Components'!$A$2:$A$27,0)),"")</f>
      </c>
      <c r="AD114" s="84" t="str">
        <f>IFERROR(INDEX('Cost_Components'!$N$2:$N$27,MATCH(E114,'Cost_Components'!$A$2:$A$27,0)),"")</f>
      </c>
      <c r="AE114" s="20" t="str">
        <f>IFERROR(INDEX('Cost_Components'!$O$2:$O$27,MATCH(E114,'Cost_Components'!$A$2:$A$27,0)),"")</f>
      </c>
      <c r="AF114" s="85" t="n">
        <v>5866447.68586483</v>
      </c>
      <c r="AG114" s="86" t="n">
        <v>5864146.54515379</v>
      </c>
      <c r="AH114" s="87" t="str">
        <f>IF(H114="shared-count-once",COUNTIFS($A$2:$A$1353,A114,$B$2:$B$1353,B114,$E$2:$E$1353,E114),1)</f>
      </c>
    </row>
    <row r="115">
      <c r="A115" t="s">
        <v>186</v>
      </c>
      <c r="B115" s="59" t="n">
        <v>2034</v>
      </c>
      <c r="C115" t="s">
        <v>186</v>
      </c>
      <c r="D115" t="s">
        <v>180</v>
      </c>
      <c r="E115" s="60" t="s">
        <v>270</v>
      </c>
      <c r="F115" s="61" t="s">
        <v>271</v>
      </c>
      <c r="G115" s="62" t="s">
        <v>198</v>
      </c>
      <c r="H115" s="63" t="s">
        <v>195</v>
      </c>
      <c r="I115" s="64" t="s">
        <v>267</v>
      </c>
      <c r="J115" s="65" t="str">
        <f>IFERROR(INDEX('Cost_Components'!$K$2:$K$27,MATCH(E115,'Cost_Components'!$A$2:$A$27,0)),"")</f>
      </c>
      <c r="K115" s="66" t="str">
        <f>IF(OR(L115="",Z115="",AA115="",AB115=""),"",IF(B115&lt;AA115,L115,IF(B115&gt;AB115,Z115,L115+(Z115-L115)*MIN(MAX((B115-AA115+1)/MAX(AB115-AA115+1,1),0),1))))</f>
      </c>
      <c r="L115" s="67" t="str">
        <f>IFERROR(INDEX('Cost_Components'!$S$2:$S$27,MATCH(E115,'Cost_Components'!$A$2:$A$27,0)),"")</f>
      </c>
      <c r="M115" s="68" t="str">
        <f>IFERROR(INDEX('Cost_Components'!$L$2:$L$27,MATCH(E115,'Cost_Components'!$A$2:$A$27,0)),"")</f>
      </c>
      <c r="N115" s="69" t="str">
        <f>IFERROR(INDEX('Cost_Components'!$P$2:$P$27,MATCH(E115,'Cost_Components'!$A$2:$A$27,0)),"")</f>
      </c>
      <c r="O115" s="70" t="str">
        <f>AF115*J115</f>
      </c>
      <c r="P115" s="71" t="str">
        <f>AG115*J115</f>
      </c>
      <c r="Q115" s="72" t="str">
        <f>P115*L115*M115*N115</f>
      </c>
      <c r="R115" s="73" t="str">
        <f>O115*K115*M115*N115</f>
      </c>
      <c r="S115" s="74" t="str">
        <f>R115-Q115</f>
      </c>
      <c r="T115" s="20" t="str">
        <f>IFERROR(INDEX('Cost_Components'!$R$2:$R$27,MATCH(E115,'Cost_Components'!$A$2:$A$27,0)),"")</f>
      </c>
      <c r="U115" s="75" t="str">
        <f>IFERROR(INDEX('Cost_Components'!$Q$2:$Q$27,MATCH(E115,'Cost_Components'!$A$2:$A$27,0)),"")</f>
      </c>
      <c r="V115" s="76" t="str">
        <f>1/(1+'Calculation_Assumptions'!$B$5)^(B115-'Calculation_Assumptions'!$B$2)</f>
      </c>
      <c r="W115" s="77" t="str">
        <f>Q115*V115</f>
      </c>
      <c r="X115" s="78" t="str">
        <f>R115*V115</f>
      </c>
      <c r="Y115" s="79" t="str">
        <f>S115*V115</f>
      </c>
      <c r="Z115" s="80" t="str">
        <f>IFERROR(INDEX('Cost_Components'!$T$2:$T$27,MATCH(E115,'Cost_Components'!$A$2:$A$27,0)),"")</f>
      </c>
      <c r="AA115" s="81" t="str">
        <f>IFERROR(INDEX('Cost_Components'!$U$2:$U$27,MATCH(E115,'Cost_Components'!$A$2:$A$27,0)),"")</f>
      </c>
      <c r="AB115" s="82" t="str">
        <f>IFERROR(INDEX('Cost_Components'!$V$2:$V$27,MATCH(E115,'Cost_Components'!$A$2:$A$27,0)),"")</f>
      </c>
      <c r="AC115" s="83" t="str">
        <f>IFERROR(INDEX('Cost_Components'!$M$2:$M$27,MATCH(E115,'Cost_Components'!$A$2:$A$27,0)),"")</f>
      </c>
      <c r="AD115" s="84" t="str">
        <f>IFERROR(INDEX('Cost_Components'!$N$2:$N$27,MATCH(E115,'Cost_Components'!$A$2:$A$27,0)),"")</f>
      </c>
      <c r="AE115" s="20" t="str">
        <f>IFERROR(INDEX('Cost_Components'!$O$2:$O$27,MATCH(E115,'Cost_Components'!$A$2:$A$27,0)),"")</f>
      </c>
      <c r="AF115" s="85" t="n">
        <v>5982600.24061531</v>
      </c>
      <c r="AG115" s="86" t="n">
        <v>5979832.51047759</v>
      </c>
      <c r="AH115" s="87" t="str">
        <f>IF(H115="shared-count-once",COUNTIFS($A$2:$A$1353,A115,$B$2:$B$1353,B115,$E$2:$E$1353,E115),1)</f>
      </c>
    </row>
    <row r="116">
      <c r="A116" t="s">
        <v>186</v>
      </c>
      <c r="B116" s="59" t="n">
        <v>2035</v>
      </c>
      <c r="C116" t="s">
        <v>186</v>
      </c>
      <c r="D116" t="s">
        <v>180</v>
      </c>
      <c r="E116" s="60" t="s">
        <v>270</v>
      </c>
      <c r="F116" s="61" t="s">
        <v>271</v>
      </c>
      <c r="G116" s="62" t="s">
        <v>198</v>
      </c>
      <c r="H116" s="63" t="s">
        <v>195</v>
      </c>
      <c r="I116" s="64" t="s">
        <v>267</v>
      </c>
      <c r="J116" s="65" t="str">
        <f>IFERROR(INDEX('Cost_Components'!$K$2:$K$27,MATCH(E116,'Cost_Components'!$A$2:$A$27,0)),"")</f>
      </c>
      <c r="K116" s="66" t="str">
        <f>IF(OR(L116="",Z116="",AA116="",AB116=""),"",IF(B116&lt;AA116,L116,IF(B116&gt;AB116,Z116,L116+(Z116-L116)*MIN(MAX((B116-AA116+1)/MAX(AB116-AA116+1,1),0),1))))</f>
      </c>
      <c r="L116" s="67" t="str">
        <f>IFERROR(INDEX('Cost_Components'!$S$2:$S$27,MATCH(E116,'Cost_Components'!$A$2:$A$27,0)),"")</f>
      </c>
      <c r="M116" s="68" t="str">
        <f>IFERROR(INDEX('Cost_Components'!$L$2:$L$27,MATCH(E116,'Cost_Components'!$A$2:$A$27,0)),"")</f>
      </c>
      <c r="N116" s="69" t="str">
        <f>IFERROR(INDEX('Cost_Components'!$P$2:$P$27,MATCH(E116,'Cost_Components'!$A$2:$A$27,0)),"")</f>
      </c>
      <c r="O116" s="70" t="str">
        <f>AF116*J116</f>
      </c>
      <c r="P116" s="71" t="str">
        <f>AG116*J116</f>
      </c>
      <c r="Q116" s="72" t="str">
        <f>P116*L116*M116*N116</f>
      </c>
      <c r="R116" s="73" t="str">
        <f>O116*K116*M116*N116</f>
      </c>
      <c r="S116" s="74" t="str">
        <f>R116-Q116</f>
      </c>
      <c r="T116" s="20" t="str">
        <f>IFERROR(INDEX('Cost_Components'!$R$2:$R$27,MATCH(E116,'Cost_Components'!$A$2:$A$27,0)),"")</f>
      </c>
      <c r="U116" s="75" t="str">
        <f>IFERROR(INDEX('Cost_Components'!$Q$2:$Q$27,MATCH(E116,'Cost_Components'!$A$2:$A$27,0)),"")</f>
      </c>
      <c r="V116" s="76" t="str">
        <f>1/(1+'Calculation_Assumptions'!$B$5)^(B116-'Calculation_Assumptions'!$B$2)</f>
      </c>
      <c r="W116" s="77" t="str">
        <f>Q116*V116</f>
      </c>
      <c r="X116" s="78" t="str">
        <f>R116*V116</f>
      </c>
      <c r="Y116" s="79" t="str">
        <f>S116*V116</f>
      </c>
      <c r="Z116" s="80" t="str">
        <f>IFERROR(INDEX('Cost_Components'!$T$2:$T$27,MATCH(E116,'Cost_Components'!$A$2:$A$27,0)),"")</f>
      </c>
      <c r="AA116" s="81" t="str">
        <f>IFERROR(INDEX('Cost_Components'!$U$2:$U$27,MATCH(E116,'Cost_Components'!$A$2:$A$27,0)),"")</f>
      </c>
      <c r="AB116" s="82" t="str">
        <f>IFERROR(INDEX('Cost_Components'!$V$2:$V$27,MATCH(E116,'Cost_Components'!$A$2:$A$27,0)),"")</f>
      </c>
      <c r="AC116" s="83" t="str">
        <f>IFERROR(INDEX('Cost_Components'!$M$2:$M$27,MATCH(E116,'Cost_Components'!$A$2:$A$27,0)),"")</f>
      </c>
      <c r="AD116" s="84" t="str">
        <f>IFERROR(INDEX('Cost_Components'!$N$2:$N$27,MATCH(E116,'Cost_Components'!$A$2:$A$27,0)),"")</f>
      </c>
      <c r="AE116" s="20" t="str">
        <f>IFERROR(INDEX('Cost_Components'!$O$2:$O$27,MATCH(E116,'Cost_Components'!$A$2:$A$27,0)),"")</f>
      </c>
      <c r="AF116" s="85" t="n">
        <v>6099431.47604961</v>
      </c>
      <c r="AG116" s="86" t="n">
        <v>6096161.90235007</v>
      </c>
      <c r="AH116" s="87" t="str">
        <f>IF(H116="shared-count-once",COUNTIFS($A$2:$A$1353,A116,$B$2:$B$1353,B116,$E$2:$E$1353,E116),1)</f>
      </c>
    </row>
    <row r="117">
      <c r="A117" t="s">
        <v>186</v>
      </c>
      <c r="B117" s="59" t="n">
        <v>2036</v>
      </c>
      <c r="C117" t="s">
        <v>186</v>
      </c>
      <c r="D117" t="s">
        <v>180</v>
      </c>
      <c r="E117" s="60" t="s">
        <v>270</v>
      </c>
      <c r="F117" s="61" t="s">
        <v>271</v>
      </c>
      <c r="G117" s="62" t="s">
        <v>198</v>
      </c>
      <c r="H117" s="63" t="s">
        <v>195</v>
      </c>
      <c r="I117" s="64" t="s">
        <v>267</v>
      </c>
      <c r="J117" s="65" t="str">
        <f>IFERROR(INDEX('Cost_Components'!$K$2:$K$27,MATCH(E117,'Cost_Components'!$A$2:$A$27,0)),"")</f>
      </c>
      <c r="K117" s="66" t="str">
        <f>IF(OR(L117="",Z117="",AA117="",AB117=""),"",IF(B117&lt;AA117,L117,IF(B117&gt;AB117,Z117,L117+(Z117-L117)*MIN(MAX((B117-AA117+1)/MAX(AB117-AA117+1,1),0),1))))</f>
      </c>
      <c r="L117" s="67" t="str">
        <f>IFERROR(INDEX('Cost_Components'!$S$2:$S$27,MATCH(E117,'Cost_Components'!$A$2:$A$27,0)),"")</f>
      </c>
      <c r="M117" s="68" t="str">
        <f>IFERROR(INDEX('Cost_Components'!$L$2:$L$27,MATCH(E117,'Cost_Components'!$A$2:$A$27,0)),"")</f>
      </c>
      <c r="N117" s="69" t="str">
        <f>IFERROR(INDEX('Cost_Components'!$P$2:$P$27,MATCH(E117,'Cost_Components'!$A$2:$A$27,0)),"")</f>
      </c>
      <c r="O117" s="70" t="str">
        <f>AF117*J117</f>
      </c>
      <c r="P117" s="71" t="str">
        <f>AG117*J117</f>
      </c>
      <c r="Q117" s="72" t="str">
        <f>P117*L117*M117*N117</f>
      </c>
      <c r="R117" s="73" t="str">
        <f>O117*K117*M117*N117</f>
      </c>
      <c r="S117" s="74" t="str">
        <f>R117-Q117</f>
      </c>
      <c r="T117" s="20" t="str">
        <f>IFERROR(INDEX('Cost_Components'!$R$2:$R$27,MATCH(E117,'Cost_Components'!$A$2:$A$27,0)),"")</f>
      </c>
      <c r="U117" s="75" t="str">
        <f>IFERROR(INDEX('Cost_Components'!$Q$2:$Q$27,MATCH(E117,'Cost_Components'!$A$2:$A$27,0)),"")</f>
      </c>
      <c r="V117" s="76" t="str">
        <f>1/(1+'Calculation_Assumptions'!$B$5)^(B117-'Calculation_Assumptions'!$B$2)</f>
      </c>
      <c r="W117" s="77" t="str">
        <f>Q117*V117</f>
      </c>
      <c r="X117" s="78" t="str">
        <f>R117*V117</f>
      </c>
      <c r="Y117" s="79" t="str">
        <f>S117*V117</f>
      </c>
      <c r="Z117" s="80" t="str">
        <f>IFERROR(INDEX('Cost_Components'!$T$2:$T$27,MATCH(E117,'Cost_Components'!$A$2:$A$27,0)),"")</f>
      </c>
      <c r="AA117" s="81" t="str">
        <f>IFERROR(INDEX('Cost_Components'!$U$2:$U$27,MATCH(E117,'Cost_Components'!$A$2:$A$27,0)),"")</f>
      </c>
      <c r="AB117" s="82" t="str">
        <f>IFERROR(INDEX('Cost_Components'!$V$2:$V$27,MATCH(E117,'Cost_Components'!$A$2:$A$27,0)),"")</f>
      </c>
      <c r="AC117" s="83" t="str">
        <f>IFERROR(INDEX('Cost_Components'!$M$2:$M$27,MATCH(E117,'Cost_Components'!$A$2:$A$27,0)),"")</f>
      </c>
      <c r="AD117" s="84" t="str">
        <f>IFERROR(INDEX('Cost_Components'!$N$2:$N$27,MATCH(E117,'Cost_Components'!$A$2:$A$27,0)),"")</f>
      </c>
      <c r="AE117" s="20" t="str">
        <f>IFERROR(INDEX('Cost_Components'!$O$2:$O$27,MATCH(E117,'Cost_Components'!$A$2:$A$27,0)),"")</f>
      </c>
      <c r="AF117" s="85" t="n">
        <v>6216738.22591561</v>
      </c>
      <c r="AG117" s="86" t="n">
        <v>6212931.28695398</v>
      </c>
      <c r="AH117" s="87" t="str">
        <f>IF(H117="shared-count-once",COUNTIFS($A$2:$A$1353,A117,$B$2:$B$1353,B117,$E$2:$E$1353,E117),1)</f>
      </c>
    </row>
    <row r="118">
      <c r="A118" t="s">
        <v>186</v>
      </c>
      <c r="B118" s="59" t="n">
        <v>2037</v>
      </c>
      <c r="C118" t="s">
        <v>186</v>
      </c>
      <c r="D118" t="s">
        <v>180</v>
      </c>
      <c r="E118" s="60" t="s">
        <v>270</v>
      </c>
      <c r="F118" s="61" t="s">
        <v>271</v>
      </c>
      <c r="G118" s="62" t="s">
        <v>198</v>
      </c>
      <c r="H118" s="63" t="s">
        <v>195</v>
      </c>
      <c r="I118" s="64" t="s">
        <v>267</v>
      </c>
      <c r="J118" s="65" t="str">
        <f>IFERROR(INDEX('Cost_Components'!$K$2:$K$27,MATCH(E118,'Cost_Components'!$A$2:$A$27,0)),"")</f>
      </c>
      <c r="K118" s="66" t="str">
        <f>IF(OR(L118="",Z118="",AA118="",AB118=""),"",IF(B118&lt;AA118,L118,IF(B118&gt;AB118,Z118,L118+(Z118-L118)*MIN(MAX((B118-AA118+1)/MAX(AB118-AA118+1,1),0),1))))</f>
      </c>
      <c r="L118" s="67" t="str">
        <f>IFERROR(INDEX('Cost_Components'!$S$2:$S$27,MATCH(E118,'Cost_Components'!$A$2:$A$27,0)),"")</f>
      </c>
      <c r="M118" s="68" t="str">
        <f>IFERROR(INDEX('Cost_Components'!$L$2:$L$27,MATCH(E118,'Cost_Components'!$A$2:$A$27,0)),"")</f>
      </c>
      <c r="N118" s="69" t="str">
        <f>IFERROR(INDEX('Cost_Components'!$P$2:$P$27,MATCH(E118,'Cost_Components'!$A$2:$A$27,0)),"")</f>
      </c>
      <c r="O118" s="70" t="str">
        <f>AF118*J118</f>
      </c>
      <c r="P118" s="71" t="str">
        <f>AG118*J118</f>
      </c>
      <c r="Q118" s="72" t="str">
        <f>P118*L118*M118*N118</f>
      </c>
      <c r="R118" s="73" t="str">
        <f>O118*K118*M118*N118</f>
      </c>
      <c r="S118" s="74" t="str">
        <f>R118-Q118</f>
      </c>
      <c r="T118" s="20" t="str">
        <f>IFERROR(INDEX('Cost_Components'!$R$2:$R$27,MATCH(E118,'Cost_Components'!$A$2:$A$27,0)),"")</f>
      </c>
      <c r="U118" s="75" t="str">
        <f>IFERROR(INDEX('Cost_Components'!$Q$2:$Q$27,MATCH(E118,'Cost_Components'!$A$2:$A$27,0)),"")</f>
      </c>
      <c r="V118" s="76" t="str">
        <f>1/(1+'Calculation_Assumptions'!$B$5)^(B118-'Calculation_Assumptions'!$B$2)</f>
      </c>
      <c r="W118" s="77" t="str">
        <f>Q118*V118</f>
      </c>
      <c r="X118" s="78" t="str">
        <f>R118*V118</f>
      </c>
      <c r="Y118" s="79" t="str">
        <f>S118*V118</f>
      </c>
      <c r="Z118" s="80" t="str">
        <f>IFERROR(INDEX('Cost_Components'!$T$2:$T$27,MATCH(E118,'Cost_Components'!$A$2:$A$27,0)),"")</f>
      </c>
      <c r="AA118" s="81" t="str">
        <f>IFERROR(INDEX('Cost_Components'!$U$2:$U$27,MATCH(E118,'Cost_Components'!$A$2:$A$27,0)),"")</f>
      </c>
      <c r="AB118" s="82" t="str">
        <f>IFERROR(INDEX('Cost_Components'!$V$2:$V$27,MATCH(E118,'Cost_Components'!$A$2:$A$27,0)),"")</f>
      </c>
      <c r="AC118" s="83" t="str">
        <f>IFERROR(INDEX('Cost_Components'!$M$2:$M$27,MATCH(E118,'Cost_Components'!$A$2:$A$27,0)),"")</f>
      </c>
      <c r="AD118" s="84" t="str">
        <f>IFERROR(INDEX('Cost_Components'!$N$2:$N$27,MATCH(E118,'Cost_Components'!$A$2:$A$27,0)),"")</f>
      </c>
      <c r="AE118" s="20" t="str">
        <f>IFERROR(INDEX('Cost_Components'!$O$2:$O$27,MATCH(E118,'Cost_Components'!$A$2:$A$27,0)),"")</f>
      </c>
      <c r="AF118" s="85" t="n">
        <v>6334395.42732429</v>
      </c>
      <c r="AG118" s="86" t="n">
        <v>6330015.78836299</v>
      </c>
      <c r="AH118" s="87" t="str">
        <f>IF(H118="shared-count-once",COUNTIFS($A$2:$A$1353,A118,$B$2:$B$1353,B118,$E$2:$E$1353,E118),1)</f>
      </c>
    </row>
    <row r="119">
      <c r="A119" t="s">
        <v>186</v>
      </c>
      <c r="B119" s="59" t="n">
        <v>2038</v>
      </c>
      <c r="C119" t="s">
        <v>186</v>
      </c>
      <c r="D119" t="s">
        <v>180</v>
      </c>
      <c r="E119" s="60" t="s">
        <v>270</v>
      </c>
      <c r="F119" s="61" t="s">
        <v>271</v>
      </c>
      <c r="G119" s="62" t="s">
        <v>198</v>
      </c>
      <c r="H119" s="63" t="s">
        <v>195</v>
      </c>
      <c r="I119" s="64" t="s">
        <v>267</v>
      </c>
      <c r="J119" s="65" t="str">
        <f>IFERROR(INDEX('Cost_Components'!$K$2:$K$27,MATCH(E119,'Cost_Components'!$A$2:$A$27,0)),"")</f>
      </c>
      <c r="K119" s="66" t="str">
        <f>IF(OR(L119="",Z119="",AA119="",AB119=""),"",IF(B119&lt;AA119,L119,IF(B119&gt;AB119,Z119,L119+(Z119-L119)*MIN(MAX((B119-AA119+1)/MAX(AB119-AA119+1,1),0),1))))</f>
      </c>
      <c r="L119" s="67" t="str">
        <f>IFERROR(INDEX('Cost_Components'!$S$2:$S$27,MATCH(E119,'Cost_Components'!$A$2:$A$27,0)),"")</f>
      </c>
      <c r="M119" s="68" t="str">
        <f>IFERROR(INDEX('Cost_Components'!$L$2:$L$27,MATCH(E119,'Cost_Components'!$A$2:$A$27,0)),"")</f>
      </c>
      <c r="N119" s="69" t="str">
        <f>IFERROR(INDEX('Cost_Components'!$P$2:$P$27,MATCH(E119,'Cost_Components'!$A$2:$A$27,0)),"")</f>
      </c>
      <c r="O119" s="70" t="str">
        <f>AF119*J119</f>
      </c>
      <c r="P119" s="71" t="str">
        <f>AG119*J119</f>
      </c>
      <c r="Q119" s="72" t="str">
        <f>P119*L119*M119*N119</f>
      </c>
      <c r="R119" s="73" t="str">
        <f>O119*K119*M119*N119</f>
      </c>
      <c r="S119" s="74" t="str">
        <f>R119-Q119</f>
      </c>
      <c r="T119" s="20" t="str">
        <f>IFERROR(INDEX('Cost_Components'!$R$2:$R$27,MATCH(E119,'Cost_Components'!$A$2:$A$27,0)),"")</f>
      </c>
      <c r="U119" s="75" t="str">
        <f>IFERROR(INDEX('Cost_Components'!$Q$2:$Q$27,MATCH(E119,'Cost_Components'!$A$2:$A$27,0)),"")</f>
      </c>
      <c r="V119" s="76" t="str">
        <f>1/(1+'Calculation_Assumptions'!$B$5)^(B119-'Calculation_Assumptions'!$B$2)</f>
      </c>
      <c r="W119" s="77" t="str">
        <f>Q119*V119</f>
      </c>
      <c r="X119" s="78" t="str">
        <f>R119*V119</f>
      </c>
      <c r="Y119" s="79" t="str">
        <f>S119*V119</f>
      </c>
      <c r="Z119" s="80" t="str">
        <f>IFERROR(INDEX('Cost_Components'!$T$2:$T$27,MATCH(E119,'Cost_Components'!$A$2:$A$27,0)),"")</f>
      </c>
      <c r="AA119" s="81" t="str">
        <f>IFERROR(INDEX('Cost_Components'!$U$2:$U$27,MATCH(E119,'Cost_Components'!$A$2:$A$27,0)),"")</f>
      </c>
      <c r="AB119" s="82" t="str">
        <f>IFERROR(INDEX('Cost_Components'!$V$2:$V$27,MATCH(E119,'Cost_Components'!$A$2:$A$27,0)),"")</f>
      </c>
      <c r="AC119" s="83" t="str">
        <f>IFERROR(INDEX('Cost_Components'!$M$2:$M$27,MATCH(E119,'Cost_Components'!$A$2:$A$27,0)),"")</f>
      </c>
      <c r="AD119" s="84" t="str">
        <f>IFERROR(INDEX('Cost_Components'!$N$2:$N$27,MATCH(E119,'Cost_Components'!$A$2:$A$27,0)),"")</f>
      </c>
      <c r="AE119" s="20" t="str">
        <f>IFERROR(INDEX('Cost_Components'!$O$2:$O$27,MATCH(E119,'Cost_Components'!$A$2:$A$27,0)),"")</f>
      </c>
      <c r="AF119" s="85" t="n">
        <v>6452500.28873628</v>
      </c>
      <c r="AG119" s="86" t="n">
        <v>6447512.9889023</v>
      </c>
      <c r="AH119" s="87" t="str">
        <f>IF(H119="shared-count-once",COUNTIFS($A$2:$A$1353,A119,$B$2:$B$1353,B119,$E$2:$E$1353,E119),1)</f>
      </c>
    </row>
    <row r="120">
      <c r="A120" t="s">
        <v>186</v>
      </c>
      <c r="B120" s="59" t="n">
        <v>2039</v>
      </c>
      <c r="C120" t="s">
        <v>186</v>
      </c>
      <c r="D120" t="s">
        <v>180</v>
      </c>
      <c r="E120" s="60" t="s">
        <v>270</v>
      </c>
      <c r="F120" s="61" t="s">
        <v>271</v>
      </c>
      <c r="G120" s="62" t="s">
        <v>198</v>
      </c>
      <c r="H120" s="63" t="s">
        <v>195</v>
      </c>
      <c r="I120" s="64" t="s">
        <v>267</v>
      </c>
      <c r="J120" s="65" t="str">
        <f>IFERROR(INDEX('Cost_Components'!$K$2:$K$27,MATCH(E120,'Cost_Components'!$A$2:$A$27,0)),"")</f>
      </c>
      <c r="K120" s="66" t="str">
        <f>IF(OR(L120="",Z120="",AA120="",AB120=""),"",IF(B120&lt;AA120,L120,IF(B120&gt;AB120,Z120,L120+(Z120-L120)*MIN(MAX((B120-AA120+1)/MAX(AB120-AA120+1,1),0),1))))</f>
      </c>
      <c r="L120" s="67" t="str">
        <f>IFERROR(INDEX('Cost_Components'!$S$2:$S$27,MATCH(E120,'Cost_Components'!$A$2:$A$27,0)),"")</f>
      </c>
      <c r="M120" s="68" t="str">
        <f>IFERROR(INDEX('Cost_Components'!$L$2:$L$27,MATCH(E120,'Cost_Components'!$A$2:$A$27,0)),"")</f>
      </c>
      <c r="N120" s="69" t="str">
        <f>IFERROR(INDEX('Cost_Components'!$P$2:$P$27,MATCH(E120,'Cost_Components'!$A$2:$A$27,0)),"")</f>
      </c>
      <c r="O120" s="70" t="str">
        <f>AF120*J120</f>
      </c>
      <c r="P120" s="71" t="str">
        <f>AG120*J120</f>
      </c>
      <c r="Q120" s="72" t="str">
        <f>P120*L120*M120*N120</f>
      </c>
      <c r="R120" s="73" t="str">
        <f>O120*K120*M120*N120</f>
      </c>
      <c r="S120" s="74" t="str">
        <f>R120-Q120</f>
      </c>
      <c r="T120" s="20" t="str">
        <f>IFERROR(INDEX('Cost_Components'!$R$2:$R$27,MATCH(E120,'Cost_Components'!$A$2:$A$27,0)),"")</f>
      </c>
      <c r="U120" s="75" t="str">
        <f>IFERROR(INDEX('Cost_Components'!$Q$2:$Q$27,MATCH(E120,'Cost_Components'!$A$2:$A$27,0)),"")</f>
      </c>
      <c r="V120" s="76" t="str">
        <f>1/(1+'Calculation_Assumptions'!$B$5)^(B120-'Calculation_Assumptions'!$B$2)</f>
      </c>
      <c r="W120" s="77" t="str">
        <f>Q120*V120</f>
      </c>
      <c r="X120" s="78" t="str">
        <f>R120*V120</f>
      </c>
      <c r="Y120" s="79" t="str">
        <f>S120*V120</f>
      </c>
      <c r="Z120" s="80" t="str">
        <f>IFERROR(INDEX('Cost_Components'!$T$2:$T$27,MATCH(E120,'Cost_Components'!$A$2:$A$27,0)),"")</f>
      </c>
      <c r="AA120" s="81" t="str">
        <f>IFERROR(INDEX('Cost_Components'!$U$2:$U$27,MATCH(E120,'Cost_Components'!$A$2:$A$27,0)),"")</f>
      </c>
      <c r="AB120" s="82" t="str">
        <f>IFERROR(INDEX('Cost_Components'!$V$2:$V$27,MATCH(E120,'Cost_Components'!$A$2:$A$27,0)),"")</f>
      </c>
      <c r="AC120" s="83" t="str">
        <f>IFERROR(INDEX('Cost_Components'!$M$2:$M$27,MATCH(E120,'Cost_Components'!$A$2:$A$27,0)),"")</f>
      </c>
      <c r="AD120" s="84" t="str">
        <f>IFERROR(INDEX('Cost_Components'!$N$2:$N$27,MATCH(E120,'Cost_Components'!$A$2:$A$27,0)),"")</f>
      </c>
      <c r="AE120" s="20" t="str">
        <f>IFERROR(INDEX('Cost_Components'!$O$2:$O$27,MATCH(E120,'Cost_Components'!$A$2:$A$27,0)),"")</f>
      </c>
      <c r="AF120" s="85" t="n">
        <v>6569704.6962268</v>
      </c>
      <c r="AG120" s="86" t="n">
        <v>6564073.62283021</v>
      </c>
      <c r="AH120" s="87" t="str">
        <f>IF(H120="shared-count-once",COUNTIFS($A$2:$A$1353,A120,$B$2:$B$1353,B120,$E$2:$E$1353,E120),1)</f>
      </c>
    </row>
    <row r="121">
      <c r="A121" t="s">
        <v>186</v>
      </c>
      <c r="B121" s="59" t="n">
        <v>2040</v>
      </c>
      <c r="C121" t="s">
        <v>186</v>
      </c>
      <c r="D121" t="s">
        <v>180</v>
      </c>
      <c r="E121" s="60" t="s">
        <v>270</v>
      </c>
      <c r="F121" s="61" t="s">
        <v>271</v>
      </c>
      <c r="G121" s="62" t="s">
        <v>198</v>
      </c>
      <c r="H121" s="63" t="s">
        <v>195</v>
      </c>
      <c r="I121" s="64" t="s">
        <v>267</v>
      </c>
      <c r="J121" s="65" t="str">
        <f>IFERROR(INDEX('Cost_Components'!$K$2:$K$27,MATCH(E121,'Cost_Components'!$A$2:$A$27,0)),"")</f>
      </c>
      <c r="K121" s="66" t="str">
        <f>IF(OR(L121="",Z121="",AA121="",AB121=""),"",IF(B121&lt;AA121,L121,IF(B121&gt;AB121,Z121,L121+(Z121-L121)*MIN(MAX((B121-AA121+1)/MAX(AB121-AA121+1,1),0),1))))</f>
      </c>
      <c r="L121" s="67" t="str">
        <f>IFERROR(INDEX('Cost_Components'!$S$2:$S$27,MATCH(E121,'Cost_Components'!$A$2:$A$27,0)),"")</f>
      </c>
      <c r="M121" s="68" t="str">
        <f>IFERROR(INDEX('Cost_Components'!$L$2:$L$27,MATCH(E121,'Cost_Components'!$A$2:$A$27,0)),"")</f>
      </c>
      <c r="N121" s="69" t="str">
        <f>IFERROR(INDEX('Cost_Components'!$P$2:$P$27,MATCH(E121,'Cost_Components'!$A$2:$A$27,0)),"")</f>
      </c>
      <c r="O121" s="70" t="str">
        <f>AF121*J121</f>
      </c>
      <c r="P121" s="71" t="str">
        <f>AG121*J121</f>
      </c>
      <c r="Q121" s="72" t="str">
        <f>P121*L121*M121*N121</f>
      </c>
      <c r="R121" s="73" t="str">
        <f>O121*K121*M121*N121</f>
      </c>
      <c r="S121" s="74" t="str">
        <f>R121-Q121</f>
      </c>
      <c r="T121" s="20" t="str">
        <f>IFERROR(INDEX('Cost_Components'!$R$2:$R$27,MATCH(E121,'Cost_Components'!$A$2:$A$27,0)),"")</f>
      </c>
      <c r="U121" s="75" t="str">
        <f>IFERROR(INDEX('Cost_Components'!$Q$2:$Q$27,MATCH(E121,'Cost_Components'!$A$2:$A$27,0)),"")</f>
      </c>
      <c r="V121" s="76" t="str">
        <f>1/(1+'Calculation_Assumptions'!$B$5)^(B121-'Calculation_Assumptions'!$B$2)</f>
      </c>
      <c r="W121" s="77" t="str">
        <f>Q121*V121</f>
      </c>
      <c r="X121" s="78" t="str">
        <f>R121*V121</f>
      </c>
      <c r="Y121" s="79" t="str">
        <f>S121*V121</f>
      </c>
      <c r="Z121" s="80" t="str">
        <f>IFERROR(INDEX('Cost_Components'!$T$2:$T$27,MATCH(E121,'Cost_Components'!$A$2:$A$27,0)),"")</f>
      </c>
      <c r="AA121" s="81" t="str">
        <f>IFERROR(INDEX('Cost_Components'!$U$2:$U$27,MATCH(E121,'Cost_Components'!$A$2:$A$27,0)),"")</f>
      </c>
      <c r="AB121" s="82" t="str">
        <f>IFERROR(INDEX('Cost_Components'!$V$2:$V$27,MATCH(E121,'Cost_Components'!$A$2:$A$27,0)),"")</f>
      </c>
      <c r="AC121" s="83" t="str">
        <f>IFERROR(INDEX('Cost_Components'!$M$2:$M$27,MATCH(E121,'Cost_Components'!$A$2:$A$27,0)),"")</f>
      </c>
      <c r="AD121" s="84" t="str">
        <f>IFERROR(INDEX('Cost_Components'!$N$2:$N$27,MATCH(E121,'Cost_Components'!$A$2:$A$27,0)),"")</f>
      </c>
      <c r="AE121" s="20" t="str">
        <f>IFERROR(INDEX('Cost_Components'!$O$2:$O$27,MATCH(E121,'Cost_Components'!$A$2:$A$27,0)),"")</f>
      </c>
      <c r="AF121" s="85" t="n">
        <v>6686947.65158007</v>
      </c>
      <c r="AG121" s="86" t="n">
        <v>6680640.99764336</v>
      </c>
      <c r="AH121" s="87" t="str">
        <f>IF(H121="shared-count-once",COUNTIFS($A$2:$A$1353,A121,$B$2:$B$1353,B121,$E$2:$E$1353,E121),1)</f>
      </c>
    </row>
    <row r="122">
      <c r="A122" t="s">
        <v>186</v>
      </c>
      <c r="B122" s="59" t="n">
        <v>2041</v>
      </c>
      <c r="C122" t="s">
        <v>186</v>
      </c>
      <c r="D122" t="s">
        <v>180</v>
      </c>
      <c r="E122" s="60" t="s">
        <v>270</v>
      </c>
      <c r="F122" s="61" t="s">
        <v>271</v>
      </c>
      <c r="G122" s="62" t="s">
        <v>198</v>
      </c>
      <c r="H122" s="63" t="s">
        <v>195</v>
      </c>
      <c r="I122" s="64" t="s">
        <v>267</v>
      </c>
      <c r="J122" s="65" t="str">
        <f>IFERROR(INDEX('Cost_Components'!$K$2:$K$27,MATCH(E122,'Cost_Components'!$A$2:$A$27,0)),"")</f>
      </c>
      <c r="K122" s="66" t="str">
        <f>IF(OR(L122="",Z122="",AA122="",AB122=""),"",IF(B122&lt;AA122,L122,IF(B122&gt;AB122,Z122,L122+(Z122-L122)*MIN(MAX((B122-AA122+1)/MAX(AB122-AA122+1,1),0),1))))</f>
      </c>
      <c r="L122" s="67" t="str">
        <f>IFERROR(INDEX('Cost_Components'!$S$2:$S$27,MATCH(E122,'Cost_Components'!$A$2:$A$27,0)),"")</f>
      </c>
      <c r="M122" s="68" t="str">
        <f>IFERROR(INDEX('Cost_Components'!$L$2:$L$27,MATCH(E122,'Cost_Components'!$A$2:$A$27,0)),"")</f>
      </c>
      <c r="N122" s="69" t="str">
        <f>IFERROR(INDEX('Cost_Components'!$P$2:$P$27,MATCH(E122,'Cost_Components'!$A$2:$A$27,0)),"")</f>
      </c>
      <c r="O122" s="70" t="str">
        <f>AF122*J122</f>
      </c>
      <c r="P122" s="71" t="str">
        <f>AG122*J122</f>
      </c>
      <c r="Q122" s="72" t="str">
        <f>P122*L122*M122*N122</f>
      </c>
      <c r="R122" s="73" t="str">
        <f>O122*K122*M122*N122</f>
      </c>
      <c r="S122" s="74" t="str">
        <f>R122-Q122</f>
      </c>
      <c r="T122" s="20" t="str">
        <f>IFERROR(INDEX('Cost_Components'!$R$2:$R$27,MATCH(E122,'Cost_Components'!$A$2:$A$27,0)),"")</f>
      </c>
      <c r="U122" s="75" t="str">
        <f>IFERROR(INDEX('Cost_Components'!$Q$2:$Q$27,MATCH(E122,'Cost_Components'!$A$2:$A$27,0)),"")</f>
      </c>
      <c r="V122" s="76" t="str">
        <f>1/(1+'Calculation_Assumptions'!$B$5)^(B122-'Calculation_Assumptions'!$B$2)</f>
      </c>
      <c r="W122" s="77" t="str">
        <f>Q122*V122</f>
      </c>
      <c r="X122" s="78" t="str">
        <f>R122*V122</f>
      </c>
      <c r="Y122" s="79" t="str">
        <f>S122*V122</f>
      </c>
      <c r="Z122" s="80" t="str">
        <f>IFERROR(INDEX('Cost_Components'!$T$2:$T$27,MATCH(E122,'Cost_Components'!$A$2:$A$27,0)),"")</f>
      </c>
      <c r="AA122" s="81" t="str">
        <f>IFERROR(INDEX('Cost_Components'!$U$2:$U$27,MATCH(E122,'Cost_Components'!$A$2:$A$27,0)),"")</f>
      </c>
      <c r="AB122" s="82" t="str">
        <f>IFERROR(INDEX('Cost_Components'!$V$2:$V$27,MATCH(E122,'Cost_Components'!$A$2:$A$27,0)),"")</f>
      </c>
      <c r="AC122" s="83" t="str">
        <f>IFERROR(INDEX('Cost_Components'!$M$2:$M$27,MATCH(E122,'Cost_Components'!$A$2:$A$27,0)),"")</f>
      </c>
      <c r="AD122" s="84" t="str">
        <f>IFERROR(INDEX('Cost_Components'!$N$2:$N$27,MATCH(E122,'Cost_Components'!$A$2:$A$27,0)),"")</f>
      </c>
      <c r="AE122" s="20" t="str">
        <f>IFERROR(INDEX('Cost_Components'!$O$2:$O$27,MATCH(E122,'Cost_Components'!$A$2:$A$27,0)),"")</f>
      </c>
      <c r="AF122" s="85" t="n">
        <v>6803973.29524916</v>
      </c>
      <c r="AG122" s="86" t="n">
        <v>6796959.57831694</v>
      </c>
      <c r="AH122" s="87" t="str">
        <f>IF(H122="shared-count-once",COUNTIFS($A$2:$A$1353,A122,$B$2:$B$1353,B122,$E$2:$E$1353,E122),1)</f>
      </c>
    </row>
    <row r="123">
      <c r="A123" t="s">
        <v>186</v>
      </c>
      <c r="B123" s="59" t="n">
        <v>2042</v>
      </c>
      <c r="C123" t="s">
        <v>186</v>
      </c>
      <c r="D123" t="s">
        <v>180</v>
      </c>
      <c r="E123" s="60" t="s">
        <v>270</v>
      </c>
      <c r="F123" s="61" t="s">
        <v>271</v>
      </c>
      <c r="G123" s="62" t="s">
        <v>198</v>
      </c>
      <c r="H123" s="63" t="s">
        <v>195</v>
      </c>
      <c r="I123" s="64" t="s">
        <v>267</v>
      </c>
      <c r="J123" s="65" t="str">
        <f>IFERROR(INDEX('Cost_Components'!$K$2:$K$27,MATCH(E123,'Cost_Components'!$A$2:$A$27,0)),"")</f>
      </c>
      <c r="K123" s="66" t="str">
        <f>IF(OR(L123="",Z123="",AA123="",AB123=""),"",IF(B123&lt;AA123,L123,IF(B123&gt;AB123,Z123,L123+(Z123-L123)*MIN(MAX((B123-AA123+1)/MAX(AB123-AA123+1,1),0),1))))</f>
      </c>
      <c r="L123" s="67" t="str">
        <f>IFERROR(INDEX('Cost_Components'!$S$2:$S$27,MATCH(E123,'Cost_Components'!$A$2:$A$27,0)),"")</f>
      </c>
      <c r="M123" s="68" t="str">
        <f>IFERROR(INDEX('Cost_Components'!$L$2:$L$27,MATCH(E123,'Cost_Components'!$A$2:$A$27,0)),"")</f>
      </c>
      <c r="N123" s="69" t="str">
        <f>IFERROR(INDEX('Cost_Components'!$P$2:$P$27,MATCH(E123,'Cost_Components'!$A$2:$A$27,0)),"")</f>
      </c>
      <c r="O123" s="70" t="str">
        <f>AF123*J123</f>
      </c>
      <c r="P123" s="71" t="str">
        <f>AG123*J123</f>
      </c>
      <c r="Q123" s="72" t="str">
        <f>P123*L123*M123*N123</f>
      </c>
      <c r="R123" s="73" t="str">
        <f>O123*K123*M123*N123</f>
      </c>
      <c r="S123" s="74" t="str">
        <f>R123-Q123</f>
      </c>
      <c r="T123" s="20" t="str">
        <f>IFERROR(INDEX('Cost_Components'!$R$2:$R$27,MATCH(E123,'Cost_Components'!$A$2:$A$27,0)),"")</f>
      </c>
      <c r="U123" s="75" t="str">
        <f>IFERROR(INDEX('Cost_Components'!$Q$2:$Q$27,MATCH(E123,'Cost_Components'!$A$2:$A$27,0)),"")</f>
      </c>
      <c r="V123" s="76" t="str">
        <f>1/(1+'Calculation_Assumptions'!$B$5)^(B123-'Calculation_Assumptions'!$B$2)</f>
      </c>
      <c r="W123" s="77" t="str">
        <f>Q123*V123</f>
      </c>
      <c r="X123" s="78" t="str">
        <f>R123*V123</f>
      </c>
      <c r="Y123" s="79" t="str">
        <f>S123*V123</f>
      </c>
      <c r="Z123" s="80" t="str">
        <f>IFERROR(INDEX('Cost_Components'!$T$2:$T$27,MATCH(E123,'Cost_Components'!$A$2:$A$27,0)),"")</f>
      </c>
      <c r="AA123" s="81" t="str">
        <f>IFERROR(INDEX('Cost_Components'!$U$2:$U$27,MATCH(E123,'Cost_Components'!$A$2:$A$27,0)),"")</f>
      </c>
      <c r="AB123" s="82" t="str">
        <f>IFERROR(INDEX('Cost_Components'!$V$2:$V$27,MATCH(E123,'Cost_Components'!$A$2:$A$27,0)),"")</f>
      </c>
      <c r="AC123" s="83" t="str">
        <f>IFERROR(INDEX('Cost_Components'!$M$2:$M$27,MATCH(E123,'Cost_Components'!$A$2:$A$27,0)),"")</f>
      </c>
      <c r="AD123" s="84" t="str">
        <f>IFERROR(INDEX('Cost_Components'!$N$2:$N$27,MATCH(E123,'Cost_Components'!$A$2:$A$27,0)),"")</f>
      </c>
      <c r="AE123" s="20" t="str">
        <f>IFERROR(INDEX('Cost_Components'!$O$2:$O$27,MATCH(E123,'Cost_Components'!$A$2:$A$27,0)),"")</f>
      </c>
      <c r="AF123" s="85" t="n">
        <v>6920851.36268518</v>
      </c>
      <c r="AG123" s="86" t="n">
        <v>6913099.8808547</v>
      </c>
      <c r="AH123" s="87" t="str">
        <f>IF(H123="shared-count-once",COUNTIFS($A$2:$A$1353,A123,$B$2:$B$1353,B123,$E$2:$E$1353,E123),1)</f>
      </c>
    </row>
    <row r="124">
      <c r="A124" t="s">
        <v>186</v>
      </c>
      <c r="B124" s="59" t="n">
        <v>2043</v>
      </c>
      <c r="C124" t="s">
        <v>186</v>
      </c>
      <c r="D124" t="s">
        <v>180</v>
      </c>
      <c r="E124" s="60" t="s">
        <v>270</v>
      </c>
      <c r="F124" s="61" t="s">
        <v>271</v>
      </c>
      <c r="G124" s="62" t="s">
        <v>198</v>
      </c>
      <c r="H124" s="63" t="s">
        <v>195</v>
      </c>
      <c r="I124" s="64" t="s">
        <v>267</v>
      </c>
      <c r="J124" s="65" t="str">
        <f>IFERROR(INDEX('Cost_Components'!$K$2:$K$27,MATCH(E124,'Cost_Components'!$A$2:$A$27,0)),"")</f>
      </c>
      <c r="K124" s="66" t="str">
        <f>IF(OR(L124="",Z124="",AA124="",AB124=""),"",IF(B124&lt;AA124,L124,IF(B124&gt;AB124,Z124,L124+(Z124-L124)*MIN(MAX((B124-AA124+1)/MAX(AB124-AA124+1,1),0),1))))</f>
      </c>
      <c r="L124" s="67" t="str">
        <f>IFERROR(INDEX('Cost_Components'!$S$2:$S$27,MATCH(E124,'Cost_Components'!$A$2:$A$27,0)),"")</f>
      </c>
      <c r="M124" s="68" t="str">
        <f>IFERROR(INDEX('Cost_Components'!$L$2:$L$27,MATCH(E124,'Cost_Components'!$A$2:$A$27,0)),"")</f>
      </c>
      <c r="N124" s="69" t="str">
        <f>IFERROR(INDEX('Cost_Components'!$P$2:$P$27,MATCH(E124,'Cost_Components'!$A$2:$A$27,0)),"")</f>
      </c>
      <c r="O124" s="70" t="str">
        <f>AF124*J124</f>
      </c>
      <c r="P124" s="71" t="str">
        <f>AG124*J124</f>
      </c>
      <c r="Q124" s="72" t="str">
        <f>P124*L124*M124*N124</f>
      </c>
      <c r="R124" s="73" t="str">
        <f>O124*K124*M124*N124</f>
      </c>
      <c r="S124" s="74" t="str">
        <f>R124-Q124</f>
      </c>
      <c r="T124" s="20" t="str">
        <f>IFERROR(INDEX('Cost_Components'!$R$2:$R$27,MATCH(E124,'Cost_Components'!$A$2:$A$27,0)),"")</f>
      </c>
      <c r="U124" s="75" t="str">
        <f>IFERROR(INDEX('Cost_Components'!$Q$2:$Q$27,MATCH(E124,'Cost_Components'!$A$2:$A$27,0)),"")</f>
      </c>
      <c r="V124" s="76" t="str">
        <f>1/(1+'Calculation_Assumptions'!$B$5)^(B124-'Calculation_Assumptions'!$B$2)</f>
      </c>
      <c r="W124" s="77" t="str">
        <f>Q124*V124</f>
      </c>
      <c r="X124" s="78" t="str">
        <f>R124*V124</f>
      </c>
      <c r="Y124" s="79" t="str">
        <f>S124*V124</f>
      </c>
      <c r="Z124" s="80" t="str">
        <f>IFERROR(INDEX('Cost_Components'!$T$2:$T$27,MATCH(E124,'Cost_Components'!$A$2:$A$27,0)),"")</f>
      </c>
      <c r="AA124" s="81" t="str">
        <f>IFERROR(INDEX('Cost_Components'!$U$2:$U$27,MATCH(E124,'Cost_Components'!$A$2:$A$27,0)),"")</f>
      </c>
      <c r="AB124" s="82" t="str">
        <f>IFERROR(INDEX('Cost_Components'!$V$2:$V$27,MATCH(E124,'Cost_Components'!$A$2:$A$27,0)),"")</f>
      </c>
      <c r="AC124" s="83" t="str">
        <f>IFERROR(INDEX('Cost_Components'!$M$2:$M$27,MATCH(E124,'Cost_Components'!$A$2:$A$27,0)),"")</f>
      </c>
      <c r="AD124" s="84" t="str">
        <f>IFERROR(INDEX('Cost_Components'!$N$2:$N$27,MATCH(E124,'Cost_Components'!$A$2:$A$27,0)),"")</f>
      </c>
      <c r="AE124" s="20" t="str">
        <f>IFERROR(INDEX('Cost_Components'!$O$2:$O$27,MATCH(E124,'Cost_Components'!$A$2:$A$27,0)),"")</f>
      </c>
      <c r="AF124" s="85" t="n">
        <v>7036839.50332649</v>
      </c>
      <c r="AG124" s="86" t="n">
        <v>7028320.53609466</v>
      </c>
      <c r="AH124" s="87" t="str">
        <f>IF(H124="shared-count-once",COUNTIFS($A$2:$A$1353,A124,$B$2:$B$1353,B124,$E$2:$E$1353,E124),1)</f>
      </c>
    </row>
    <row r="125">
      <c r="A125" t="s">
        <v>186</v>
      </c>
      <c r="B125" s="59" t="n">
        <v>2044</v>
      </c>
      <c r="C125" t="s">
        <v>186</v>
      </c>
      <c r="D125" t="s">
        <v>180</v>
      </c>
      <c r="E125" s="60" t="s">
        <v>270</v>
      </c>
      <c r="F125" s="61" t="s">
        <v>271</v>
      </c>
      <c r="G125" s="62" t="s">
        <v>198</v>
      </c>
      <c r="H125" s="63" t="s">
        <v>195</v>
      </c>
      <c r="I125" s="64" t="s">
        <v>267</v>
      </c>
      <c r="J125" s="65" t="str">
        <f>IFERROR(INDEX('Cost_Components'!$K$2:$K$27,MATCH(E125,'Cost_Components'!$A$2:$A$27,0)),"")</f>
      </c>
      <c r="K125" s="66" t="str">
        <f>IF(OR(L125="",Z125="",AA125="",AB125=""),"",IF(B125&lt;AA125,L125,IF(B125&gt;AB125,Z125,L125+(Z125-L125)*MIN(MAX((B125-AA125+1)/MAX(AB125-AA125+1,1),0),1))))</f>
      </c>
      <c r="L125" s="67" t="str">
        <f>IFERROR(INDEX('Cost_Components'!$S$2:$S$27,MATCH(E125,'Cost_Components'!$A$2:$A$27,0)),"")</f>
      </c>
      <c r="M125" s="68" t="str">
        <f>IFERROR(INDEX('Cost_Components'!$L$2:$L$27,MATCH(E125,'Cost_Components'!$A$2:$A$27,0)),"")</f>
      </c>
      <c r="N125" s="69" t="str">
        <f>IFERROR(INDEX('Cost_Components'!$P$2:$P$27,MATCH(E125,'Cost_Components'!$A$2:$A$27,0)),"")</f>
      </c>
      <c r="O125" s="70" t="str">
        <f>AF125*J125</f>
      </c>
      <c r="P125" s="71" t="str">
        <f>AG125*J125</f>
      </c>
      <c r="Q125" s="72" t="str">
        <f>P125*L125*M125*N125</f>
      </c>
      <c r="R125" s="73" t="str">
        <f>O125*K125*M125*N125</f>
      </c>
      <c r="S125" s="74" t="str">
        <f>R125-Q125</f>
      </c>
      <c r="T125" s="20" t="str">
        <f>IFERROR(INDEX('Cost_Components'!$R$2:$R$27,MATCH(E125,'Cost_Components'!$A$2:$A$27,0)),"")</f>
      </c>
      <c r="U125" s="75" t="str">
        <f>IFERROR(INDEX('Cost_Components'!$Q$2:$Q$27,MATCH(E125,'Cost_Components'!$A$2:$A$27,0)),"")</f>
      </c>
      <c r="V125" s="76" t="str">
        <f>1/(1+'Calculation_Assumptions'!$B$5)^(B125-'Calculation_Assumptions'!$B$2)</f>
      </c>
      <c r="W125" s="77" t="str">
        <f>Q125*V125</f>
      </c>
      <c r="X125" s="78" t="str">
        <f>R125*V125</f>
      </c>
      <c r="Y125" s="79" t="str">
        <f>S125*V125</f>
      </c>
      <c r="Z125" s="80" t="str">
        <f>IFERROR(INDEX('Cost_Components'!$T$2:$T$27,MATCH(E125,'Cost_Components'!$A$2:$A$27,0)),"")</f>
      </c>
      <c r="AA125" s="81" t="str">
        <f>IFERROR(INDEX('Cost_Components'!$U$2:$U$27,MATCH(E125,'Cost_Components'!$A$2:$A$27,0)),"")</f>
      </c>
      <c r="AB125" s="82" t="str">
        <f>IFERROR(INDEX('Cost_Components'!$V$2:$V$27,MATCH(E125,'Cost_Components'!$A$2:$A$27,0)),"")</f>
      </c>
      <c r="AC125" s="83" t="str">
        <f>IFERROR(INDEX('Cost_Components'!$M$2:$M$27,MATCH(E125,'Cost_Components'!$A$2:$A$27,0)),"")</f>
      </c>
      <c r="AD125" s="84" t="str">
        <f>IFERROR(INDEX('Cost_Components'!$N$2:$N$27,MATCH(E125,'Cost_Components'!$A$2:$A$27,0)),"")</f>
      </c>
      <c r="AE125" s="20" t="str">
        <f>IFERROR(INDEX('Cost_Components'!$O$2:$O$27,MATCH(E125,'Cost_Components'!$A$2:$A$27,0)),"")</f>
      </c>
      <c r="AF125" s="85" t="n">
        <v>7147939.45266242</v>
      </c>
      <c r="AG125" s="86" t="n">
        <v>7138623.97835749</v>
      </c>
      <c r="AH125" s="87" t="str">
        <f>IF(H125="shared-count-once",COUNTIFS($A$2:$A$1353,A125,$B$2:$B$1353,B125,$E$2:$E$1353,E125),1)</f>
      </c>
    </row>
    <row r="126">
      <c r="A126" t="s">
        <v>186</v>
      </c>
      <c r="B126" s="59" t="n">
        <v>2045</v>
      </c>
      <c r="C126" t="s">
        <v>186</v>
      </c>
      <c r="D126" t="s">
        <v>180</v>
      </c>
      <c r="E126" s="60" t="s">
        <v>270</v>
      </c>
      <c r="F126" s="61" t="s">
        <v>271</v>
      </c>
      <c r="G126" s="62" t="s">
        <v>198</v>
      </c>
      <c r="H126" s="63" t="s">
        <v>195</v>
      </c>
      <c r="I126" s="64" t="s">
        <v>267</v>
      </c>
      <c r="J126" s="65" t="str">
        <f>IFERROR(INDEX('Cost_Components'!$K$2:$K$27,MATCH(E126,'Cost_Components'!$A$2:$A$27,0)),"")</f>
      </c>
      <c r="K126" s="66" t="str">
        <f>IF(OR(L126="",Z126="",AA126="",AB126=""),"",IF(B126&lt;AA126,L126,IF(B126&gt;AB126,Z126,L126+(Z126-L126)*MIN(MAX((B126-AA126+1)/MAX(AB126-AA126+1,1),0),1))))</f>
      </c>
      <c r="L126" s="67" t="str">
        <f>IFERROR(INDEX('Cost_Components'!$S$2:$S$27,MATCH(E126,'Cost_Components'!$A$2:$A$27,0)),"")</f>
      </c>
      <c r="M126" s="68" t="str">
        <f>IFERROR(INDEX('Cost_Components'!$L$2:$L$27,MATCH(E126,'Cost_Components'!$A$2:$A$27,0)),"")</f>
      </c>
      <c r="N126" s="69" t="str">
        <f>IFERROR(INDEX('Cost_Components'!$P$2:$P$27,MATCH(E126,'Cost_Components'!$A$2:$A$27,0)),"")</f>
      </c>
      <c r="O126" s="70" t="str">
        <f>AF126*J126</f>
      </c>
      <c r="P126" s="71" t="str">
        <f>AG126*J126</f>
      </c>
      <c r="Q126" s="72" t="str">
        <f>P126*L126*M126*N126</f>
      </c>
      <c r="R126" s="73" t="str">
        <f>O126*K126*M126*N126</f>
      </c>
      <c r="S126" s="74" t="str">
        <f>R126-Q126</f>
      </c>
      <c r="T126" s="20" t="str">
        <f>IFERROR(INDEX('Cost_Components'!$R$2:$R$27,MATCH(E126,'Cost_Components'!$A$2:$A$27,0)),"")</f>
      </c>
      <c r="U126" s="75" t="str">
        <f>IFERROR(INDEX('Cost_Components'!$Q$2:$Q$27,MATCH(E126,'Cost_Components'!$A$2:$A$27,0)),"")</f>
      </c>
      <c r="V126" s="76" t="str">
        <f>1/(1+'Calculation_Assumptions'!$B$5)^(B126-'Calculation_Assumptions'!$B$2)</f>
      </c>
      <c r="W126" s="77" t="str">
        <f>Q126*V126</f>
      </c>
      <c r="X126" s="78" t="str">
        <f>R126*V126</f>
      </c>
      <c r="Y126" s="79" t="str">
        <f>S126*V126</f>
      </c>
      <c r="Z126" s="80" t="str">
        <f>IFERROR(INDEX('Cost_Components'!$T$2:$T$27,MATCH(E126,'Cost_Components'!$A$2:$A$27,0)),"")</f>
      </c>
      <c r="AA126" s="81" t="str">
        <f>IFERROR(INDEX('Cost_Components'!$U$2:$U$27,MATCH(E126,'Cost_Components'!$A$2:$A$27,0)),"")</f>
      </c>
      <c r="AB126" s="82" t="str">
        <f>IFERROR(INDEX('Cost_Components'!$V$2:$V$27,MATCH(E126,'Cost_Components'!$A$2:$A$27,0)),"")</f>
      </c>
      <c r="AC126" s="83" t="str">
        <f>IFERROR(INDEX('Cost_Components'!$M$2:$M$27,MATCH(E126,'Cost_Components'!$A$2:$A$27,0)),"")</f>
      </c>
      <c r="AD126" s="84" t="str">
        <f>IFERROR(INDEX('Cost_Components'!$N$2:$N$27,MATCH(E126,'Cost_Components'!$A$2:$A$27,0)),"")</f>
      </c>
      <c r="AE126" s="20" t="str">
        <f>IFERROR(INDEX('Cost_Components'!$O$2:$O$27,MATCH(E126,'Cost_Components'!$A$2:$A$27,0)),"")</f>
      </c>
      <c r="AF126" s="85" t="n">
        <v>7256918.04411343</v>
      </c>
      <c r="AG126" s="86" t="n">
        <v>7246779.83544231</v>
      </c>
      <c r="AH126" s="87" t="str">
        <f>IF(H126="shared-count-once",COUNTIFS($A$2:$A$1353,A126,$B$2:$B$1353,B126,$E$2:$E$1353,E126),1)</f>
      </c>
    </row>
    <row r="127">
      <c r="A127" t="s">
        <v>186</v>
      </c>
      <c r="B127" s="59" t="n">
        <v>2046</v>
      </c>
      <c r="C127" t="s">
        <v>186</v>
      </c>
      <c r="D127" t="s">
        <v>180</v>
      </c>
      <c r="E127" s="60" t="s">
        <v>270</v>
      </c>
      <c r="F127" s="61" t="s">
        <v>271</v>
      </c>
      <c r="G127" s="62" t="s">
        <v>198</v>
      </c>
      <c r="H127" s="63" t="s">
        <v>195</v>
      </c>
      <c r="I127" s="64" t="s">
        <v>267</v>
      </c>
      <c r="J127" s="65" t="str">
        <f>IFERROR(INDEX('Cost_Components'!$K$2:$K$27,MATCH(E127,'Cost_Components'!$A$2:$A$27,0)),"")</f>
      </c>
      <c r="K127" s="66" t="str">
        <f>IF(OR(L127="",Z127="",AA127="",AB127=""),"",IF(B127&lt;AA127,L127,IF(B127&gt;AB127,Z127,L127+(Z127-L127)*MIN(MAX((B127-AA127+1)/MAX(AB127-AA127+1,1),0),1))))</f>
      </c>
      <c r="L127" s="67" t="str">
        <f>IFERROR(INDEX('Cost_Components'!$S$2:$S$27,MATCH(E127,'Cost_Components'!$A$2:$A$27,0)),"")</f>
      </c>
      <c r="M127" s="68" t="str">
        <f>IFERROR(INDEX('Cost_Components'!$L$2:$L$27,MATCH(E127,'Cost_Components'!$A$2:$A$27,0)),"")</f>
      </c>
      <c r="N127" s="69" t="str">
        <f>IFERROR(INDEX('Cost_Components'!$P$2:$P$27,MATCH(E127,'Cost_Components'!$A$2:$A$27,0)),"")</f>
      </c>
      <c r="O127" s="70" t="str">
        <f>AF127*J127</f>
      </c>
      <c r="P127" s="71" t="str">
        <f>AG127*J127</f>
      </c>
      <c r="Q127" s="72" t="str">
        <f>P127*L127*M127*N127</f>
      </c>
      <c r="R127" s="73" t="str">
        <f>O127*K127*M127*N127</f>
      </c>
      <c r="S127" s="74" t="str">
        <f>R127-Q127</f>
      </c>
      <c r="T127" s="20" t="str">
        <f>IFERROR(INDEX('Cost_Components'!$R$2:$R$27,MATCH(E127,'Cost_Components'!$A$2:$A$27,0)),"")</f>
      </c>
      <c r="U127" s="75" t="str">
        <f>IFERROR(INDEX('Cost_Components'!$Q$2:$Q$27,MATCH(E127,'Cost_Components'!$A$2:$A$27,0)),"")</f>
      </c>
      <c r="V127" s="76" t="str">
        <f>1/(1+'Calculation_Assumptions'!$B$5)^(B127-'Calculation_Assumptions'!$B$2)</f>
      </c>
      <c r="W127" s="77" t="str">
        <f>Q127*V127</f>
      </c>
      <c r="X127" s="78" t="str">
        <f>R127*V127</f>
      </c>
      <c r="Y127" s="79" t="str">
        <f>S127*V127</f>
      </c>
      <c r="Z127" s="80" t="str">
        <f>IFERROR(INDEX('Cost_Components'!$T$2:$T$27,MATCH(E127,'Cost_Components'!$A$2:$A$27,0)),"")</f>
      </c>
      <c r="AA127" s="81" t="str">
        <f>IFERROR(INDEX('Cost_Components'!$U$2:$U$27,MATCH(E127,'Cost_Components'!$A$2:$A$27,0)),"")</f>
      </c>
      <c r="AB127" s="82" t="str">
        <f>IFERROR(INDEX('Cost_Components'!$V$2:$V$27,MATCH(E127,'Cost_Components'!$A$2:$A$27,0)),"")</f>
      </c>
      <c r="AC127" s="83" t="str">
        <f>IFERROR(INDEX('Cost_Components'!$M$2:$M$27,MATCH(E127,'Cost_Components'!$A$2:$A$27,0)),"")</f>
      </c>
      <c r="AD127" s="84" t="str">
        <f>IFERROR(INDEX('Cost_Components'!$N$2:$N$27,MATCH(E127,'Cost_Components'!$A$2:$A$27,0)),"")</f>
      </c>
      <c r="AE127" s="20" t="str">
        <f>IFERROR(INDEX('Cost_Components'!$O$2:$O$27,MATCH(E127,'Cost_Components'!$A$2:$A$27,0)),"")</f>
      </c>
      <c r="AF127" s="85" t="n">
        <v>7363657.34516938</v>
      </c>
      <c r="AG127" s="86" t="n">
        <v>7352671.00291986</v>
      </c>
      <c r="AH127" s="87" t="str">
        <f>IF(H127="shared-count-once",COUNTIFS($A$2:$A$1353,A127,$B$2:$B$1353,B127,$E$2:$E$1353,E127),1)</f>
      </c>
    </row>
    <row r="128">
      <c r="A128" t="s">
        <v>186</v>
      </c>
      <c r="B128" s="59" t="n">
        <v>2047</v>
      </c>
      <c r="C128" t="s">
        <v>186</v>
      </c>
      <c r="D128" t="s">
        <v>180</v>
      </c>
      <c r="E128" s="60" t="s">
        <v>270</v>
      </c>
      <c r="F128" s="61" t="s">
        <v>271</v>
      </c>
      <c r="G128" s="62" t="s">
        <v>198</v>
      </c>
      <c r="H128" s="63" t="s">
        <v>195</v>
      </c>
      <c r="I128" s="64" t="s">
        <v>267</v>
      </c>
      <c r="J128" s="65" t="str">
        <f>IFERROR(INDEX('Cost_Components'!$K$2:$K$27,MATCH(E128,'Cost_Components'!$A$2:$A$27,0)),"")</f>
      </c>
      <c r="K128" s="66" t="str">
        <f>IF(OR(L128="",Z128="",AA128="",AB128=""),"",IF(B128&lt;AA128,L128,IF(B128&gt;AB128,Z128,L128+(Z128-L128)*MIN(MAX((B128-AA128+1)/MAX(AB128-AA128+1,1),0),1))))</f>
      </c>
      <c r="L128" s="67" t="str">
        <f>IFERROR(INDEX('Cost_Components'!$S$2:$S$27,MATCH(E128,'Cost_Components'!$A$2:$A$27,0)),"")</f>
      </c>
      <c r="M128" s="68" t="str">
        <f>IFERROR(INDEX('Cost_Components'!$L$2:$L$27,MATCH(E128,'Cost_Components'!$A$2:$A$27,0)),"")</f>
      </c>
      <c r="N128" s="69" t="str">
        <f>IFERROR(INDEX('Cost_Components'!$P$2:$P$27,MATCH(E128,'Cost_Components'!$A$2:$A$27,0)),"")</f>
      </c>
      <c r="O128" s="70" t="str">
        <f>AF128*J128</f>
      </c>
      <c r="P128" s="71" t="str">
        <f>AG128*J128</f>
      </c>
      <c r="Q128" s="72" t="str">
        <f>P128*L128*M128*N128</f>
      </c>
      <c r="R128" s="73" t="str">
        <f>O128*K128*M128*N128</f>
      </c>
      <c r="S128" s="74" t="str">
        <f>R128-Q128</f>
      </c>
      <c r="T128" s="20" t="str">
        <f>IFERROR(INDEX('Cost_Components'!$R$2:$R$27,MATCH(E128,'Cost_Components'!$A$2:$A$27,0)),"")</f>
      </c>
      <c r="U128" s="75" t="str">
        <f>IFERROR(INDEX('Cost_Components'!$Q$2:$Q$27,MATCH(E128,'Cost_Components'!$A$2:$A$27,0)),"")</f>
      </c>
      <c r="V128" s="76" t="str">
        <f>1/(1+'Calculation_Assumptions'!$B$5)^(B128-'Calculation_Assumptions'!$B$2)</f>
      </c>
      <c r="W128" s="77" t="str">
        <f>Q128*V128</f>
      </c>
      <c r="X128" s="78" t="str">
        <f>R128*V128</f>
      </c>
      <c r="Y128" s="79" t="str">
        <f>S128*V128</f>
      </c>
      <c r="Z128" s="80" t="str">
        <f>IFERROR(INDEX('Cost_Components'!$T$2:$T$27,MATCH(E128,'Cost_Components'!$A$2:$A$27,0)),"")</f>
      </c>
      <c r="AA128" s="81" t="str">
        <f>IFERROR(INDEX('Cost_Components'!$U$2:$U$27,MATCH(E128,'Cost_Components'!$A$2:$A$27,0)),"")</f>
      </c>
      <c r="AB128" s="82" t="str">
        <f>IFERROR(INDEX('Cost_Components'!$V$2:$V$27,MATCH(E128,'Cost_Components'!$A$2:$A$27,0)),"")</f>
      </c>
      <c r="AC128" s="83" t="str">
        <f>IFERROR(INDEX('Cost_Components'!$M$2:$M$27,MATCH(E128,'Cost_Components'!$A$2:$A$27,0)),"")</f>
      </c>
      <c r="AD128" s="84" t="str">
        <f>IFERROR(INDEX('Cost_Components'!$N$2:$N$27,MATCH(E128,'Cost_Components'!$A$2:$A$27,0)),"")</f>
      </c>
      <c r="AE128" s="20" t="str">
        <f>IFERROR(INDEX('Cost_Components'!$O$2:$O$27,MATCH(E128,'Cost_Components'!$A$2:$A$27,0)),"")</f>
      </c>
      <c r="AF128" s="85" t="n">
        <v>7467353.16957857</v>
      </c>
      <c r="AG128" s="86" t="n">
        <v>7455494.40605094</v>
      </c>
      <c r="AH128" s="87" t="str">
        <f>IF(H128="shared-count-once",COUNTIFS($A$2:$A$1353,A128,$B$2:$B$1353,B128,$E$2:$E$1353,E128),1)</f>
      </c>
    </row>
    <row r="129">
      <c r="A129" t="s">
        <v>186</v>
      </c>
      <c r="B129" s="59" t="n">
        <v>2048</v>
      </c>
      <c r="C129" t="s">
        <v>186</v>
      </c>
      <c r="D129" t="s">
        <v>180</v>
      </c>
      <c r="E129" s="60" t="s">
        <v>270</v>
      </c>
      <c r="F129" s="61" t="s">
        <v>271</v>
      </c>
      <c r="G129" s="62" t="s">
        <v>198</v>
      </c>
      <c r="H129" s="63" t="s">
        <v>195</v>
      </c>
      <c r="I129" s="64" t="s">
        <v>267</v>
      </c>
      <c r="J129" s="65" t="str">
        <f>IFERROR(INDEX('Cost_Components'!$K$2:$K$27,MATCH(E129,'Cost_Components'!$A$2:$A$27,0)),"")</f>
      </c>
      <c r="K129" s="66" t="str">
        <f>IF(OR(L129="",Z129="",AA129="",AB129=""),"",IF(B129&lt;AA129,L129,IF(B129&gt;AB129,Z129,L129+(Z129-L129)*MIN(MAX((B129-AA129+1)/MAX(AB129-AA129+1,1),0),1))))</f>
      </c>
      <c r="L129" s="67" t="str">
        <f>IFERROR(INDEX('Cost_Components'!$S$2:$S$27,MATCH(E129,'Cost_Components'!$A$2:$A$27,0)),"")</f>
      </c>
      <c r="M129" s="68" t="str">
        <f>IFERROR(INDEX('Cost_Components'!$L$2:$L$27,MATCH(E129,'Cost_Components'!$A$2:$A$27,0)),"")</f>
      </c>
      <c r="N129" s="69" t="str">
        <f>IFERROR(INDEX('Cost_Components'!$P$2:$P$27,MATCH(E129,'Cost_Components'!$A$2:$A$27,0)),"")</f>
      </c>
      <c r="O129" s="70" t="str">
        <f>AF129*J129</f>
      </c>
      <c r="P129" s="71" t="str">
        <f>AG129*J129</f>
      </c>
      <c r="Q129" s="72" t="str">
        <f>P129*L129*M129*N129</f>
      </c>
      <c r="R129" s="73" t="str">
        <f>O129*K129*M129*N129</f>
      </c>
      <c r="S129" s="74" t="str">
        <f>R129-Q129</f>
      </c>
      <c r="T129" s="20" t="str">
        <f>IFERROR(INDEX('Cost_Components'!$R$2:$R$27,MATCH(E129,'Cost_Components'!$A$2:$A$27,0)),"")</f>
      </c>
      <c r="U129" s="75" t="str">
        <f>IFERROR(INDEX('Cost_Components'!$Q$2:$Q$27,MATCH(E129,'Cost_Components'!$A$2:$A$27,0)),"")</f>
      </c>
      <c r="V129" s="76" t="str">
        <f>1/(1+'Calculation_Assumptions'!$B$5)^(B129-'Calculation_Assumptions'!$B$2)</f>
      </c>
      <c r="W129" s="77" t="str">
        <f>Q129*V129</f>
      </c>
      <c r="X129" s="78" t="str">
        <f>R129*V129</f>
      </c>
      <c r="Y129" s="79" t="str">
        <f>S129*V129</f>
      </c>
      <c r="Z129" s="80" t="str">
        <f>IFERROR(INDEX('Cost_Components'!$T$2:$T$27,MATCH(E129,'Cost_Components'!$A$2:$A$27,0)),"")</f>
      </c>
      <c r="AA129" s="81" t="str">
        <f>IFERROR(INDEX('Cost_Components'!$U$2:$U$27,MATCH(E129,'Cost_Components'!$A$2:$A$27,0)),"")</f>
      </c>
      <c r="AB129" s="82" t="str">
        <f>IFERROR(INDEX('Cost_Components'!$V$2:$V$27,MATCH(E129,'Cost_Components'!$A$2:$A$27,0)),"")</f>
      </c>
      <c r="AC129" s="83" t="str">
        <f>IFERROR(INDEX('Cost_Components'!$M$2:$M$27,MATCH(E129,'Cost_Components'!$A$2:$A$27,0)),"")</f>
      </c>
      <c r="AD129" s="84" t="str">
        <f>IFERROR(INDEX('Cost_Components'!$N$2:$N$27,MATCH(E129,'Cost_Components'!$A$2:$A$27,0)),"")</f>
      </c>
      <c r="AE129" s="20" t="str">
        <f>IFERROR(INDEX('Cost_Components'!$O$2:$O$27,MATCH(E129,'Cost_Components'!$A$2:$A$27,0)),"")</f>
      </c>
      <c r="AF129" s="85" t="n">
        <v>7569213.19282535</v>
      </c>
      <c r="AG129" s="86" t="n">
        <v>7556459.2432584</v>
      </c>
      <c r="AH129" s="87" t="str">
        <f>IF(H129="shared-count-once",COUNTIFS($A$2:$A$1353,A129,$B$2:$B$1353,B129,$E$2:$E$1353,E129),1)</f>
      </c>
    </row>
    <row r="130">
      <c r="A130" t="s">
        <v>186</v>
      </c>
      <c r="B130" s="59" t="n">
        <v>2049</v>
      </c>
      <c r="C130" t="s">
        <v>186</v>
      </c>
      <c r="D130" t="s">
        <v>180</v>
      </c>
      <c r="E130" s="60" t="s">
        <v>270</v>
      </c>
      <c r="F130" s="61" t="s">
        <v>271</v>
      </c>
      <c r="G130" s="62" t="s">
        <v>198</v>
      </c>
      <c r="H130" s="63" t="s">
        <v>195</v>
      </c>
      <c r="I130" s="64" t="s">
        <v>267</v>
      </c>
      <c r="J130" s="65" t="str">
        <f>IFERROR(INDEX('Cost_Components'!$K$2:$K$27,MATCH(E130,'Cost_Components'!$A$2:$A$27,0)),"")</f>
      </c>
      <c r="K130" s="66" t="str">
        <f>IF(OR(L130="",Z130="",AA130="",AB130=""),"",IF(B130&lt;AA130,L130,IF(B130&gt;AB130,Z130,L130+(Z130-L130)*MIN(MAX((B130-AA130+1)/MAX(AB130-AA130+1,1),0),1))))</f>
      </c>
      <c r="L130" s="67" t="str">
        <f>IFERROR(INDEX('Cost_Components'!$S$2:$S$27,MATCH(E130,'Cost_Components'!$A$2:$A$27,0)),"")</f>
      </c>
      <c r="M130" s="68" t="str">
        <f>IFERROR(INDEX('Cost_Components'!$L$2:$L$27,MATCH(E130,'Cost_Components'!$A$2:$A$27,0)),"")</f>
      </c>
      <c r="N130" s="69" t="str">
        <f>IFERROR(INDEX('Cost_Components'!$P$2:$P$27,MATCH(E130,'Cost_Components'!$A$2:$A$27,0)),"")</f>
      </c>
      <c r="O130" s="70" t="str">
        <f>AF130*J130</f>
      </c>
      <c r="P130" s="71" t="str">
        <f>AG130*J130</f>
      </c>
      <c r="Q130" s="72" t="str">
        <f>P130*L130*M130*N130</f>
      </c>
      <c r="R130" s="73" t="str">
        <f>O130*K130*M130*N130</f>
      </c>
      <c r="S130" s="74" t="str">
        <f>R130-Q130</f>
      </c>
      <c r="T130" s="20" t="str">
        <f>IFERROR(INDEX('Cost_Components'!$R$2:$R$27,MATCH(E130,'Cost_Components'!$A$2:$A$27,0)),"")</f>
      </c>
      <c r="U130" s="75" t="str">
        <f>IFERROR(INDEX('Cost_Components'!$Q$2:$Q$27,MATCH(E130,'Cost_Components'!$A$2:$A$27,0)),"")</f>
      </c>
      <c r="V130" s="76" t="str">
        <f>1/(1+'Calculation_Assumptions'!$B$5)^(B130-'Calculation_Assumptions'!$B$2)</f>
      </c>
      <c r="W130" s="77" t="str">
        <f>Q130*V130</f>
      </c>
      <c r="X130" s="78" t="str">
        <f>R130*V130</f>
      </c>
      <c r="Y130" s="79" t="str">
        <f>S130*V130</f>
      </c>
      <c r="Z130" s="80" t="str">
        <f>IFERROR(INDEX('Cost_Components'!$T$2:$T$27,MATCH(E130,'Cost_Components'!$A$2:$A$27,0)),"")</f>
      </c>
      <c r="AA130" s="81" t="str">
        <f>IFERROR(INDEX('Cost_Components'!$U$2:$U$27,MATCH(E130,'Cost_Components'!$A$2:$A$27,0)),"")</f>
      </c>
      <c r="AB130" s="82" t="str">
        <f>IFERROR(INDEX('Cost_Components'!$V$2:$V$27,MATCH(E130,'Cost_Components'!$A$2:$A$27,0)),"")</f>
      </c>
      <c r="AC130" s="83" t="str">
        <f>IFERROR(INDEX('Cost_Components'!$M$2:$M$27,MATCH(E130,'Cost_Components'!$A$2:$A$27,0)),"")</f>
      </c>
      <c r="AD130" s="84" t="str">
        <f>IFERROR(INDEX('Cost_Components'!$N$2:$N$27,MATCH(E130,'Cost_Components'!$A$2:$A$27,0)),"")</f>
      </c>
      <c r="AE130" s="20" t="str">
        <f>IFERROR(INDEX('Cost_Components'!$O$2:$O$27,MATCH(E130,'Cost_Components'!$A$2:$A$27,0)),"")</f>
      </c>
      <c r="AF130" s="85" t="n">
        <v>7666215.37720446</v>
      </c>
      <c r="AG130" s="86" t="n">
        <v>7652544.64203908</v>
      </c>
      <c r="AH130" s="87" t="str">
        <f>IF(H130="shared-count-once",COUNTIFS($A$2:$A$1353,A130,$B$2:$B$1353,B130,$E$2:$E$1353,E130),1)</f>
      </c>
    </row>
    <row r="131">
      <c r="A131" t="s">
        <v>186</v>
      </c>
      <c r="B131" s="59" t="n">
        <v>2050</v>
      </c>
      <c r="C131" t="s">
        <v>186</v>
      </c>
      <c r="D131" t="s">
        <v>180</v>
      </c>
      <c r="E131" s="60" t="s">
        <v>270</v>
      </c>
      <c r="F131" s="61" t="s">
        <v>271</v>
      </c>
      <c r="G131" s="62" t="s">
        <v>198</v>
      </c>
      <c r="H131" s="63" t="s">
        <v>195</v>
      </c>
      <c r="I131" s="64" t="s">
        <v>267</v>
      </c>
      <c r="J131" s="65" t="str">
        <f>IFERROR(INDEX('Cost_Components'!$K$2:$K$27,MATCH(E131,'Cost_Components'!$A$2:$A$27,0)),"")</f>
      </c>
      <c r="K131" s="66" t="str">
        <f>IF(OR(L131="",Z131="",AA131="",AB131=""),"",IF(B131&lt;AA131,L131,IF(B131&gt;AB131,Z131,L131+(Z131-L131)*MIN(MAX((B131-AA131+1)/MAX(AB131-AA131+1,1),0),1))))</f>
      </c>
      <c r="L131" s="67" t="str">
        <f>IFERROR(INDEX('Cost_Components'!$S$2:$S$27,MATCH(E131,'Cost_Components'!$A$2:$A$27,0)),"")</f>
      </c>
      <c r="M131" s="68" t="str">
        <f>IFERROR(INDEX('Cost_Components'!$L$2:$L$27,MATCH(E131,'Cost_Components'!$A$2:$A$27,0)),"")</f>
      </c>
      <c r="N131" s="69" t="str">
        <f>IFERROR(INDEX('Cost_Components'!$P$2:$P$27,MATCH(E131,'Cost_Components'!$A$2:$A$27,0)),"")</f>
      </c>
      <c r="O131" s="70" t="str">
        <f>AF131*J131</f>
      </c>
      <c r="P131" s="71" t="str">
        <f>AG131*J131</f>
      </c>
      <c r="Q131" s="72" t="str">
        <f>P131*L131*M131*N131</f>
      </c>
      <c r="R131" s="73" t="str">
        <f>O131*K131*M131*N131</f>
      </c>
      <c r="S131" s="74" t="str">
        <f>R131-Q131</f>
      </c>
      <c r="T131" s="20" t="str">
        <f>IFERROR(INDEX('Cost_Components'!$R$2:$R$27,MATCH(E131,'Cost_Components'!$A$2:$A$27,0)),"")</f>
      </c>
      <c r="U131" s="75" t="str">
        <f>IFERROR(INDEX('Cost_Components'!$Q$2:$Q$27,MATCH(E131,'Cost_Components'!$A$2:$A$27,0)),"")</f>
      </c>
      <c r="V131" s="76" t="str">
        <f>1/(1+'Calculation_Assumptions'!$B$5)^(B131-'Calculation_Assumptions'!$B$2)</f>
      </c>
      <c r="W131" s="77" t="str">
        <f>Q131*V131</f>
      </c>
      <c r="X131" s="78" t="str">
        <f>R131*V131</f>
      </c>
      <c r="Y131" s="79" t="str">
        <f>S131*V131</f>
      </c>
      <c r="Z131" s="80" t="str">
        <f>IFERROR(INDEX('Cost_Components'!$T$2:$T$27,MATCH(E131,'Cost_Components'!$A$2:$A$27,0)),"")</f>
      </c>
      <c r="AA131" s="81" t="str">
        <f>IFERROR(INDEX('Cost_Components'!$U$2:$U$27,MATCH(E131,'Cost_Components'!$A$2:$A$27,0)),"")</f>
      </c>
      <c r="AB131" s="82" t="str">
        <f>IFERROR(INDEX('Cost_Components'!$V$2:$V$27,MATCH(E131,'Cost_Components'!$A$2:$A$27,0)),"")</f>
      </c>
      <c r="AC131" s="83" t="str">
        <f>IFERROR(INDEX('Cost_Components'!$M$2:$M$27,MATCH(E131,'Cost_Components'!$A$2:$A$27,0)),"")</f>
      </c>
      <c r="AD131" s="84" t="str">
        <f>IFERROR(INDEX('Cost_Components'!$N$2:$N$27,MATCH(E131,'Cost_Components'!$A$2:$A$27,0)),"")</f>
      </c>
      <c r="AE131" s="20" t="str">
        <f>IFERROR(INDEX('Cost_Components'!$O$2:$O$27,MATCH(E131,'Cost_Components'!$A$2:$A$27,0)),"")</f>
      </c>
      <c r="AF131" s="85" t="n">
        <v>7760939.61626206</v>
      </c>
      <c r="AG131" s="86" t="n">
        <v>7746332.78496876</v>
      </c>
      <c r="AH131" s="87" t="str">
        <f>IF(H131="shared-count-once",COUNTIFS($A$2:$A$1353,A131,$B$2:$B$1353,B131,$E$2:$E$1353,E131),1)</f>
      </c>
    </row>
    <row r="132">
      <c r="A132" t="s">
        <v>200</v>
      </c>
      <c r="B132" s="59" t="n">
        <v>2025</v>
      </c>
      <c r="C132" t="s">
        <v>200</v>
      </c>
      <c r="D132" t="s">
        <v>190</v>
      </c>
      <c r="E132" s="60" t="s">
        <v>272</v>
      </c>
      <c r="F132" s="61" t="s">
        <v>273</v>
      </c>
      <c r="G132" s="62" t="s">
        <v>201</v>
      </c>
      <c r="H132" s="63" t="s">
        <v>195</v>
      </c>
      <c r="I132" s="64" t="s">
        <v>267</v>
      </c>
      <c r="J132" s="65" t="str">
        <f>IFERROR(INDEX('Cost_Components'!$K$2:$K$27,MATCH(E132,'Cost_Components'!$A$2:$A$27,0)),"")</f>
      </c>
      <c r="K132" s="66" t="str">
        <f>IF(OR(L132="",Z132="",AA132="",AB132=""),"",IF(B132&lt;AA132,L132,IF(B132&gt;AB132,Z132,L132+(Z132-L132)*MIN(MAX((B132-AA132+1)/MAX(AB132-AA132+1,1),0),1))))</f>
      </c>
      <c r="L132" s="67" t="str">
        <f>IFERROR(INDEX('Cost_Components'!$S$2:$S$27,MATCH(E132,'Cost_Components'!$A$2:$A$27,0)),"")</f>
      </c>
      <c r="M132" s="68" t="str">
        <f>IFERROR(INDEX('Cost_Components'!$L$2:$L$27,MATCH(E132,'Cost_Components'!$A$2:$A$27,0)),"")</f>
      </c>
      <c r="N132" s="69" t="str">
        <f>IFERROR(INDEX('Cost_Components'!$P$2:$P$27,MATCH(E132,'Cost_Components'!$A$2:$A$27,0)),"")</f>
      </c>
      <c r="O132" s="70" t="str">
        <f>AF132*J132</f>
      </c>
      <c r="P132" s="71" t="str">
        <f>AG132*J132</f>
      </c>
      <c r="Q132" s="72" t="str">
        <f>P132*L132*M132*N132</f>
      </c>
      <c r="R132" s="73" t="str">
        <f>O132*K132*M132*N132</f>
      </c>
      <c r="S132" s="74" t="str">
        <f>R132-Q132</f>
      </c>
      <c r="T132" s="20" t="str">
        <f>IFERROR(INDEX('Cost_Components'!$R$2:$R$27,MATCH(E132,'Cost_Components'!$A$2:$A$27,0)),"")</f>
      </c>
      <c r="U132" s="75" t="str">
        <f>IFERROR(INDEX('Cost_Components'!$Q$2:$Q$27,MATCH(E132,'Cost_Components'!$A$2:$A$27,0)),"")</f>
      </c>
      <c r="V132" s="76" t="str">
        <f>1/(1+'Calculation_Assumptions'!$B$5)^(B132-'Calculation_Assumptions'!$B$2)</f>
      </c>
      <c r="W132" s="77" t="str">
        <f>Q132*V132</f>
      </c>
      <c r="X132" s="78" t="str">
        <f>R132*V132</f>
      </c>
      <c r="Y132" s="79" t="str">
        <f>S132*V132</f>
      </c>
      <c r="Z132" s="80" t="str">
        <f>IFERROR(INDEX('Cost_Components'!$T$2:$T$27,MATCH(E132,'Cost_Components'!$A$2:$A$27,0)),"")</f>
      </c>
      <c r="AA132" s="81" t="str">
        <f>IFERROR(INDEX('Cost_Components'!$U$2:$U$27,MATCH(E132,'Cost_Components'!$A$2:$A$27,0)),"")</f>
      </c>
      <c r="AB132" s="82" t="str">
        <f>IFERROR(INDEX('Cost_Components'!$V$2:$V$27,MATCH(E132,'Cost_Components'!$A$2:$A$27,0)),"")</f>
      </c>
      <c r="AC132" s="83" t="str">
        <f>IFERROR(INDEX('Cost_Components'!$M$2:$M$27,MATCH(E132,'Cost_Components'!$A$2:$A$27,0)),"")</f>
      </c>
      <c r="AD132" s="84" t="str">
        <f>IFERROR(INDEX('Cost_Components'!$N$2:$N$27,MATCH(E132,'Cost_Components'!$A$2:$A$27,0)),"")</f>
      </c>
      <c r="AE132" s="20" t="str">
        <f>IFERROR(INDEX('Cost_Components'!$O$2:$O$27,MATCH(E132,'Cost_Components'!$A$2:$A$27,0)),"")</f>
      </c>
      <c r="AF132" s="85" t="n">
        <v>77992.7551845655</v>
      </c>
      <c r="AG132" s="86" t="n">
        <v>77935.3711028968</v>
      </c>
      <c r="AH132" s="87" t="str">
        <f>IF(H132="shared-count-once",COUNTIFS($A$2:$A$1353,A132,$B$2:$B$1353,B132,$E$2:$E$1353,E132),1)</f>
      </c>
    </row>
    <row r="133">
      <c r="A133" t="s">
        <v>200</v>
      </c>
      <c r="B133" s="59" t="n">
        <v>2026</v>
      </c>
      <c r="C133" t="s">
        <v>200</v>
      </c>
      <c r="D133" t="s">
        <v>190</v>
      </c>
      <c r="E133" s="60" t="s">
        <v>272</v>
      </c>
      <c r="F133" s="61" t="s">
        <v>273</v>
      </c>
      <c r="G133" s="62" t="s">
        <v>201</v>
      </c>
      <c r="H133" s="63" t="s">
        <v>195</v>
      </c>
      <c r="I133" s="64" t="s">
        <v>267</v>
      </c>
      <c r="J133" s="65" t="str">
        <f>IFERROR(INDEX('Cost_Components'!$K$2:$K$27,MATCH(E133,'Cost_Components'!$A$2:$A$27,0)),"")</f>
      </c>
      <c r="K133" s="66" t="str">
        <f>IF(OR(L133="",Z133="",AA133="",AB133=""),"",IF(B133&lt;AA133,L133,IF(B133&gt;AB133,Z133,L133+(Z133-L133)*MIN(MAX((B133-AA133+1)/MAX(AB133-AA133+1,1),0),1))))</f>
      </c>
      <c r="L133" s="67" t="str">
        <f>IFERROR(INDEX('Cost_Components'!$S$2:$S$27,MATCH(E133,'Cost_Components'!$A$2:$A$27,0)),"")</f>
      </c>
      <c r="M133" s="68" t="str">
        <f>IFERROR(INDEX('Cost_Components'!$L$2:$L$27,MATCH(E133,'Cost_Components'!$A$2:$A$27,0)),"")</f>
      </c>
      <c r="N133" s="69" t="str">
        <f>IFERROR(INDEX('Cost_Components'!$P$2:$P$27,MATCH(E133,'Cost_Components'!$A$2:$A$27,0)),"")</f>
      </c>
      <c r="O133" s="70" t="str">
        <f>AF133*J133</f>
      </c>
      <c r="P133" s="71" t="str">
        <f>AG133*J133</f>
      </c>
      <c r="Q133" s="72" t="str">
        <f>P133*L133*M133*N133</f>
      </c>
      <c r="R133" s="73" t="str">
        <f>O133*K133*M133*N133</f>
      </c>
      <c r="S133" s="74" t="str">
        <f>R133-Q133</f>
      </c>
      <c r="T133" s="20" t="str">
        <f>IFERROR(INDEX('Cost_Components'!$R$2:$R$27,MATCH(E133,'Cost_Components'!$A$2:$A$27,0)),"")</f>
      </c>
      <c r="U133" s="75" t="str">
        <f>IFERROR(INDEX('Cost_Components'!$Q$2:$Q$27,MATCH(E133,'Cost_Components'!$A$2:$A$27,0)),"")</f>
      </c>
      <c r="V133" s="76" t="str">
        <f>1/(1+'Calculation_Assumptions'!$B$5)^(B133-'Calculation_Assumptions'!$B$2)</f>
      </c>
      <c r="W133" s="77" t="str">
        <f>Q133*V133</f>
      </c>
      <c r="X133" s="78" t="str">
        <f>R133*V133</f>
      </c>
      <c r="Y133" s="79" t="str">
        <f>S133*V133</f>
      </c>
      <c r="Z133" s="80" t="str">
        <f>IFERROR(INDEX('Cost_Components'!$T$2:$T$27,MATCH(E133,'Cost_Components'!$A$2:$A$27,0)),"")</f>
      </c>
      <c r="AA133" s="81" t="str">
        <f>IFERROR(INDEX('Cost_Components'!$U$2:$U$27,MATCH(E133,'Cost_Components'!$A$2:$A$27,0)),"")</f>
      </c>
      <c r="AB133" s="82" t="str">
        <f>IFERROR(INDEX('Cost_Components'!$V$2:$V$27,MATCH(E133,'Cost_Components'!$A$2:$A$27,0)),"")</f>
      </c>
      <c r="AC133" s="83" t="str">
        <f>IFERROR(INDEX('Cost_Components'!$M$2:$M$27,MATCH(E133,'Cost_Components'!$A$2:$A$27,0)),"")</f>
      </c>
      <c r="AD133" s="84" t="str">
        <f>IFERROR(INDEX('Cost_Components'!$N$2:$N$27,MATCH(E133,'Cost_Components'!$A$2:$A$27,0)),"")</f>
      </c>
      <c r="AE133" s="20" t="str">
        <f>IFERROR(INDEX('Cost_Components'!$O$2:$O$27,MATCH(E133,'Cost_Components'!$A$2:$A$27,0)),"")</f>
      </c>
      <c r="AF133" s="85" t="n">
        <v>79688.894202964</v>
      </c>
      <c r="AG133" s="86" t="n">
        <v>79525.5974379108</v>
      </c>
      <c r="AH133" s="87" t="str">
        <f>IF(H133="shared-count-once",COUNTIFS($A$2:$A$1353,A133,$B$2:$B$1353,B133,$E$2:$E$1353,E133),1)</f>
      </c>
    </row>
    <row r="134">
      <c r="A134" t="s">
        <v>200</v>
      </c>
      <c r="B134" s="59" t="n">
        <v>2027</v>
      </c>
      <c r="C134" t="s">
        <v>200</v>
      </c>
      <c r="D134" t="s">
        <v>190</v>
      </c>
      <c r="E134" s="60" t="s">
        <v>272</v>
      </c>
      <c r="F134" s="61" t="s">
        <v>273</v>
      </c>
      <c r="G134" s="62" t="s">
        <v>201</v>
      </c>
      <c r="H134" s="63" t="s">
        <v>195</v>
      </c>
      <c r="I134" s="64" t="s">
        <v>267</v>
      </c>
      <c r="J134" s="65" t="str">
        <f>IFERROR(INDEX('Cost_Components'!$K$2:$K$27,MATCH(E134,'Cost_Components'!$A$2:$A$27,0)),"")</f>
      </c>
      <c r="K134" s="66" t="str">
        <f>IF(OR(L134="",Z134="",AA134="",AB134=""),"",IF(B134&lt;AA134,L134,IF(B134&gt;AB134,Z134,L134+(Z134-L134)*MIN(MAX((B134-AA134+1)/MAX(AB134-AA134+1,1),0),1))))</f>
      </c>
      <c r="L134" s="67" t="str">
        <f>IFERROR(INDEX('Cost_Components'!$S$2:$S$27,MATCH(E134,'Cost_Components'!$A$2:$A$27,0)),"")</f>
      </c>
      <c r="M134" s="68" t="str">
        <f>IFERROR(INDEX('Cost_Components'!$L$2:$L$27,MATCH(E134,'Cost_Components'!$A$2:$A$27,0)),"")</f>
      </c>
      <c r="N134" s="69" t="str">
        <f>IFERROR(INDEX('Cost_Components'!$P$2:$P$27,MATCH(E134,'Cost_Components'!$A$2:$A$27,0)),"")</f>
      </c>
      <c r="O134" s="70" t="str">
        <f>AF134*J134</f>
      </c>
      <c r="P134" s="71" t="str">
        <f>AG134*J134</f>
      </c>
      <c r="Q134" s="72" t="str">
        <f>P134*L134*M134*N134</f>
      </c>
      <c r="R134" s="73" t="str">
        <f>O134*K134*M134*N134</f>
      </c>
      <c r="S134" s="74" t="str">
        <f>R134-Q134</f>
      </c>
      <c r="T134" s="20" t="str">
        <f>IFERROR(INDEX('Cost_Components'!$R$2:$R$27,MATCH(E134,'Cost_Components'!$A$2:$A$27,0)),"")</f>
      </c>
      <c r="U134" s="75" t="str">
        <f>IFERROR(INDEX('Cost_Components'!$Q$2:$Q$27,MATCH(E134,'Cost_Components'!$A$2:$A$27,0)),"")</f>
      </c>
      <c r="V134" s="76" t="str">
        <f>1/(1+'Calculation_Assumptions'!$B$5)^(B134-'Calculation_Assumptions'!$B$2)</f>
      </c>
      <c r="W134" s="77" t="str">
        <f>Q134*V134</f>
      </c>
      <c r="X134" s="78" t="str">
        <f>R134*V134</f>
      </c>
      <c r="Y134" s="79" t="str">
        <f>S134*V134</f>
      </c>
      <c r="Z134" s="80" t="str">
        <f>IFERROR(INDEX('Cost_Components'!$T$2:$T$27,MATCH(E134,'Cost_Components'!$A$2:$A$27,0)),"")</f>
      </c>
      <c r="AA134" s="81" t="str">
        <f>IFERROR(INDEX('Cost_Components'!$U$2:$U$27,MATCH(E134,'Cost_Components'!$A$2:$A$27,0)),"")</f>
      </c>
      <c r="AB134" s="82" t="str">
        <f>IFERROR(INDEX('Cost_Components'!$V$2:$V$27,MATCH(E134,'Cost_Components'!$A$2:$A$27,0)),"")</f>
      </c>
      <c r="AC134" s="83" t="str">
        <f>IFERROR(INDEX('Cost_Components'!$M$2:$M$27,MATCH(E134,'Cost_Components'!$A$2:$A$27,0)),"")</f>
      </c>
      <c r="AD134" s="84" t="str">
        <f>IFERROR(INDEX('Cost_Components'!$N$2:$N$27,MATCH(E134,'Cost_Components'!$A$2:$A$27,0)),"")</f>
      </c>
      <c r="AE134" s="20" t="str">
        <f>IFERROR(INDEX('Cost_Components'!$O$2:$O$27,MATCH(E134,'Cost_Components'!$A$2:$A$27,0)),"")</f>
      </c>
      <c r="AF134" s="85" t="n">
        <v>81388.2948761224</v>
      </c>
      <c r="AG134" s="86" t="n">
        <v>81076.9036397701</v>
      </c>
      <c r="AH134" s="87" t="str">
        <f>IF(H134="shared-count-once",COUNTIFS($A$2:$A$1353,A134,$B$2:$B$1353,B134,$E$2:$E$1353,E134),1)</f>
      </c>
    </row>
    <row r="135">
      <c r="A135" t="s">
        <v>200</v>
      </c>
      <c r="B135" s="59" t="n">
        <v>2028</v>
      </c>
      <c r="C135" t="s">
        <v>200</v>
      </c>
      <c r="D135" t="s">
        <v>190</v>
      </c>
      <c r="E135" s="60" t="s">
        <v>272</v>
      </c>
      <c r="F135" s="61" t="s">
        <v>273</v>
      </c>
      <c r="G135" s="62" t="s">
        <v>201</v>
      </c>
      <c r="H135" s="63" t="s">
        <v>195</v>
      </c>
      <c r="I135" s="64" t="s">
        <v>267</v>
      </c>
      <c r="J135" s="65" t="str">
        <f>IFERROR(INDEX('Cost_Components'!$K$2:$K$27,MATCH(E135,'Cost_Components'!$A$2:$A$27,0)),"")</f>
      </c>
      <c r="K135" s="66" t="str">
        <f>IF(OR(L135="",Z135="",AA135="",AB135=""),"",IF(B135&lt;AA135,L135,IF(B135&gt;AB135,Z135,L135+(Z135-L135)*MIN(MAX((B135-AA135+1)/MAX(AB135-AA135+1,1),0),1))))</f>
      </c>
      <c r="L135" s="67" t="str">
        <f>IFERROR(INDEX('Cost_Components'!$S$2:$S$27,MATCH(E135,'Cost_Components'!$A$2:$A$27,0)),"")</f>
      </c>
      <c r="M135" s="68" t="str">
        <f>IFERROR(INDEX('Cost_Components'!$L$2:$L$27,MATCH(E135,'Cost_Components'!$A$2:$A$27,0)),"")</f>
      </c>
      <c r="N135" s="69" t="str">
        <f>IFERROR(INDEX('Cost_Components'!$P$2:$P$27,MATCH(E135,'Cost_Components'!$A$2:$A$27,0)),"")</f>
      </c>
      <c r="O135" s="70" t="str">
        <f>AF135*J135</f>
      </c>
      <c r="P135" s="71" t="str">
        <f>AG135*J135</f>
      </c>
      <c r="Q135" s="72" t="str">
        <f>P135*L135*M135*N135</f>
      </c>
      <c r="R135" s="73" t="str">
        <f>O135*K135*M135*N135</f>
      </c>
      <c r="S135" s="74" t="str">
        <f>R135-Q135</f>
      </c>
      <c r="T135" s="20" t="str">
        <f>IFERROR(INDEX('Cost_Components'!$R$2:$R$27,MATCH(E135,'Cost_Components'!$A$2:$A$27,0)),"")</f>
      </c>
      <c r="U135" s="75" t="str">
        <f>IFERROR(INDEX('Cost_Components'!$Q$2:$Q$27,MATCH(E135,'Cost_Components'!$A$2:$A$27,0)),"")</f>
      </c>
      <c r="V135" s="76" t="str">
        <f>1/(1+'Calculation_Assumptions'!$B$5)^(B135-'Calculation_Assumptions'!$B$2)</f>
      </c>
      <c r="W135" s="77" t="str">
        <f>Q135*V135</f>
      </c>
      <c r="X135" s="78" t="str">
        <f>R135*V135</f>
      </c>
      <c r="Y135" s="79" t="str">
        <f>S135*V135</f>
      </c>
      <c r="Z135" s="80" t="str">
        <f>IFERROR(INDEX('Cost_Components'!$T$2:$T$27,MATCH(E135,'Cost_Components'!$A$2:$A$27,0)),"")</f>
      </c>
      <c r="AA135" s="81" t="str">
        <f>IFERROR(INDEX('Cost_Components'!$U$2:$U$27,MATCH(E135,'Cost_Components'!$A$2:$A$27,0)),"")</f>
      </c>
      <c r="AB135" s="82" t="str">
        <f>IFERROR(INDEX('Cost_Components'!$V$2:$V$27,MATCH(E135,'Cost_Components'!$A$2:$A$27,0)),"")</f>
      </c>
      <c r="AC135" s="83" t="str">
        <f>IFERROR(INDEX('Cost_Components'!$M$2:$M$27,MATCH(E135,'Cost_Components'!$A$2:$A$27,0)),"")</f>
      </c>
      <c r="AD135" s="84" t="str">
        <f>IFERROR(INDEX('Cost_Components'!$N$2:$N$27,MATCH(E135,'Cost_Components'!$A$2:$A$27,0)),"")</f>
      </c>
      <c r="AE135" s="20" t="str">
        <f>IFERROR(INDEX('Cost_Components'!$O$2:$O$27,MATCH(E135,'Cost_Components'!$A$2:$A$27,0)),"")</f>
      </c>
      <c r="AF135" s="85" t="n">
        <v>83098.9083411533</v>
      </c>
      <c r="AG135" s="86" t="n">
        <v>82601.8932700429</v>
      </c>
      <c r="AH135" s="87" t="str">
        <f>IF(H135="shared-count-once",COUNTIFS($A$2:$A$1353,A135,$B$2:$B$1353,B135,$E$2:$E$1353,E135),1)</f>
      </c>
    </row>
    <row r="136">
      <c r="A136" t="s">
        <v>200</v>
      </c>
      <c r="B136" s="59" t="n">
        <v>2029</v>
      </c>
      <c r="C136" t="s">
        <v>200</v>
      </c>
      <c r="D136" t="s">
        <v>190</v>
      </c>
      <c r="E136" s="60" t="s">
        <v>272</v>
      </c>
      <c r="F136" s="61" t="s">
        <v>273</v>
      </c>
      <c r="G136" s="62" t="s">
        <v>201</v>
      </c>
      <c r="H136" s="63" t="s">
        <v>195</v>
      </c>
      <c r="I136" s="64" t="s">
        <v>267</v>
      </c>
      <c r="J136" s="65" t="str">
        <f>IFERROR(INDEX('Cost_Components'!$K$2:$K$27,MATCH(E136,'Cost_Components'!$A$2:$A$27,0)),"")</f>
      </c>
      <c r="K136" s="66" t="str">
        <f>IF(OR(L136="",Z136="",AA136="",AB136=""),"",IF(B136&lt;AA136,L136,IF(B136&gt;AB136,Z136,L136+(Z136-L136)*MIN(MAX((B136-AA136+1)/MAX(AB136-AA136+1,1),0),1))))</f>
      </c>
      <c r="L136" s="67" t="str">
        <f>IFERROR(INDEX('Cost_Components'!$S$2:$S$27,MATCH(E136,'Cost_Components'!$A$2:$A$27,0)),"")</f>
      </c>
      <c r="M136" s="68" t="str">
        <f>IFERROR(INDEX('Cost_Components'!$L$2:$L$27,MATCH(E136,'Cost_Components'!$A$2:$A$27,0)),"")</f>
      </c>
      <c r="N136" s="69" t="str">
        <f>IFERROR(INDEX('Cost_Components'!$P$2:$P$27,MATCH(E136,'Cost_Components'!$A$2:$A$27,0)),"")</f>
      </c>
      <c r="O136" s="70" t="str">
        <f>AF136*J136</f>
      </c>
      <c r="P136" s="71" t="str">
        <f>AG136*J136</f>
      </c>
      <c r="Q136" s="72" t="str">
        <f>P136*L136*M136*N136</f>
      </c>
      <c r="R136" s="73" t="str">
        <f>O136*K136*M136*N136</f>
      </c>
      <c r="S136" s="74" t="str">
        <f>R136-Q136</f>
      </c>
      <c r="T136" s="20" t="str">
        <f>IFERROR(INDEX('Cost_Components'!$R$2:$R$27,MATCH(E136,'Cost_Components'!$A$2:$A$27,0)),"")</f>
      </c>
      <c r="U136" s="75" t="str">
        <f>IFERROR(INDEX('Cost_Components'!$Q$2:$Q$27,MATCH(E136,'Cost_Components'!$A$2:$A$27,0)),"")</f>
      </c>
      <c r="V136" s="76" t="str">
        <f>1/(1+'Calculation_Assumptions'!$B$5)^(B136-'Calculation_Assumptions'!$B$2)</f>
      </c>
      <c r="W136" s="77" t="str">
        <f>Q136*V136</f>
      </c>
      <c r="X136" s="78" t="str">
        <f>R136*V136</f>
      </c>
      <c r="Y136" s="79" t="str">
        <f>S136*V136</f>
      </c>
      <c r="Z136" s="80" t="str">
        <f>IFERROR(INDEX('Cost_Components'!$T$2:$T$27,MATCH(E136,'Cost_Components'!$A$2:$A$27,0)),"")</f>
      </c>
      <c r="AA136" s="81" t="str">
        <f>IFERROR(INDEX('Cost_Components'!$U$2:$U$27,MATCH(E136,'Cost_Components'!$A$2:$A$27,0)),"")</f>
      </c>
      <c r="AB136" s="82" t="str">
        <f>IFERROR(INDEX('Cost_Components'!$V$2:$V$27,MATCH(E136,'Cost_Components'!$A$2:$A$27,0)),"")</f>
      </c>
      <c r="AC136" s="83" t="str">
        <f>IFERROR(INDEX('Cost_Components'!$M$2:$M$27,MATCH(E136,'Cost_Components'!$A$2:$A$27,0)),"")</f>
      </c>
      <c r="AD136" s="84" t="str">
        <f>IFERROR(INDEX('Cost_Components'!$N$2:$N$27,MATCH(E136,'Cost_Components'!$A$2:$A$27,0)),"")</f>
      </c>
      <c r="AE136" s="20" t="str">
        <f>IFERROR(INDEX('Cost_Components'!$O$2:$O$27,MATCH(E136,'Cost_Components'!$A$2:$A$27,0)),"")</f>
      </c>
      <c r="AF136" s="85" t="n">
        <v>84831.2466668274</v>
      </c>
      <c r="AG136" s="86" t="n">
        <v>84114.5100443056</v>
      </c>
      <c r="AH136" s="87" t="str">
        <f>IF(H136="shared-count-once",COUNTIFS($A$2:$A$1353,A136,$B$2:$B$1353,B136,$E$2:$E$1353,E136),1)</f>
      </c>
    </row>
    <row r="137">
      <c r="A137" t="s">
        <v>200</v>
      </c>
      <c r="B137" s="59" t="n">
        <v>2030</v>
      </c>
      <c r="C137" t="s">
        <v>200</v>
      </c>
      <c r="D137" t="s">
        <v>190</v>
      </c>
      <c r="E137" s="60" t="s">
        <v>272</v>
      </c>
      <c r="F137" s="61" t="s">
        <v>273</v>
      </c>
      <c r="G137" s="62" t="s">
        <v>201</v>
      </c>
      <c r="H137" s="63" t="s">
        <v>195</v>
      </c>
      <c r="I137" s="64" t="s">
        <v>267</v>
      </c>
      <c r="J137" s="65" t="str">
        <f>IFERROR(INDEX('Cost_Components'!$K$2:$K$27,MATCH(E137,'Cost_Components'!$A$2:$A$27,0)),"")</f>
      </c>
      <c r="K137" s="66" t="str">
        <f>IF(OR(L137="",Z137="",AA137="",AB137=""),"",IF(B137&lt;AA137,L137,IF(B137&gt;AB137,Z137,L137+(Z137-L137)*MIN(MAX((B137-AA137+1)/MAX(AB137-AA137+1,1),0),1))))</f>
      </c>
      <c r="L137" s="67" t="str">
        <f>IFERROR(INDEX('Cost_Components'!$S$2:$S$27,MATCH(E137,'Cost_Components'!$A$2:$A$27,0)),"")</f>
      </c>
      <c r="M137" s="68" t="str">
        <f>IFERROR(INDEX('Cost_Components'!$L$2:$L$27,MATCH(E137,'Cost_Components'!$A$2:$A$27,0)),"")</f>
      </c>
      <c r="N137" s="69" t="str">
        <f>IFERROR(INDEX('Cost_Components'!$P$2:$P$27,MATCH(E137,'Cost_Components'!$A$2:$A$27,0)),"")</f>
      </c>
      <c r="O137" s="70" t="str">
        <f>AF137*J137</f>
      </c>
      <c r="P137" s="71" t="str">
        <f>AG137*J137</f>
      </c>
      <c r="Q137" s="72" t="str">
        <f>P137*L137*M137*N137</f>
      </c>
      <c r="R137" s="73" t="str">
        <f>O137*K137*M137*N137</f>
      </c>
      <c r="S137" s="74" t="str">
        <f>R137-Q137</f>
      </c>
      <c r="T137" s="20" t="str">
        <f>IFERROR(INDEX('Cost_Components'!$R$2:$R$27,MATCH(E137,'Cost_Components'!$A$2:$A$27,0)),"")</f>
      </c>
      <c r="U137" s="75" t="str">
        <f>IFERROR(INDEX('Cost_Components'!$Q$2:$Q$27,MATCH(E137,'Cost_Components'!$A$2:$A$27,0)),"")</f>
      </c>
      <c r="V137" s="76" t="str">
        <f>1/(1+'Calculation_Assumptions'!$B$5)^(B137-'Calculation_Assumptions'!$B$2)</f>
      </c>
      <c r="W137" s="77" t="str">
        <f>Q137*V137</f>
      </c>
      <c r="X137" s="78" t="str">
        <f>R137*V137</f>
      </c>
      <c r="Y137" s="79" t="str">
        <f>S137*V137</f>
      </c>
      <c r="Z137" s="80" t="str">
        <f>IFERROR(INDEX('Cost_Components'!$T$2:$T$27,MATCH(E137,'Cost_Components'!$A$2:$A$27,0)),"")</f>
      </c>
      <c r="AA137" s="81" t="str">
        <f>IFERROR(INDEX('Cost_Components'!$U$2:$U$27,MATCH(E137,'Cost_Components'!$A$2:$A$27,0)),"")</f>
      </c>
      <c r="AB137" s="82" t="str">
        <f>IFERROR(INDEX('Cost_Components'!$V$2:$V$27,MATCH(E137,'Cost_Components'!$A$2:$A$27,0)),"")</f>
      </c>
      <c r="AC137" s="83" t="str">
        <f>IFERROR(INDEX('Cost_Components'!$M$2:$M$27,MATCH(E137,'Cost_Components'!$A$2:$A$27,0)),"")</f>
      </c>
      <c r="AD137" s="84" t="str">
        <f>IFERROR(INDEX('Cost_Components'!$N$2:$N$27,MATCH(E137,'Cost_Components'!$A$2:$A$27,0)),"")</f>
      </c>
      <c r="AE137" s="20" t="str">
        <f>IFERROR(INDEX('Cost_Components'!$O$2:$O$27,MATCH(E137,'Cost_Components'!$A$2:$A$27,0)),"")</f>
      </c>
      <c r="AF137" s="85" t="n">
        <v>86592.2462471987</v>
      </c>
      <c r="AG137" s="86" t="n">
        <v>85624.1727982227</v>
      </c>
      <c r="AH137" s="87" t="str">
        <f>IF(H137="shared-count-once",COUNTIFS($A$2:$A$1353,A137,$B$2:$B$1353,B137,$E$2:$E$1353,E137),1)</f>
      </c>
    </row>
    <row r="138">
      <c r="A138" t="s">
        <v>200</v>
      </c>
      <c r="B138" s="59" t="n">
        <v>2031</v>
      </c>
      <c r="C138" t="s">
        <v>200</v>
      </c>
      <c r="D138" t="s">
        <v>190</v>
      </c>
      <c r="E138" s="60" t="s">
        <v>272</v>
      </c>
      <c r="F138" s="61" t="s">
        <v>273</v>
      </c>
      <c r="G138" s="62" t="s">
        <v>201</v>
      </c>
      <c r="H138" s="63" t="s">
        <v>195</v>
      </c>
      <c r="I138" s="64" t="s">
        <v>267</v>
      </c>
      <c r="J138" s="65" t="str">
        <f>IFERROR(INDEX('Cost_Components'!$K$2:$K$27,MATCH(E138,'Cost_Components'!$A$2:$A$27,0)),"")</f>
      </c>
      <c r="K138" s="66" t="str">
        <f>IF(OR(L138="",Z138="",AA138="",AB138=""),"",IF(B138&lt;AA138,L138,IF(B138&gt;AB138,Z138,L138+(Z138-L138)*MIN(MAX((B138-AA138+1)/MAX(AB138-AA138+1,1),0),1))))</f>
      </c>
      <c r="L138" s="67" t="str">
        <f>IFERROR(INDEX('Cost_Components'!$S$2:$S$27,MATCH(E138,'Cost_Components'!$A$2:$A$27,0)),"")</f>
      </c>
      <c r="M138" s="68" t="str">
        <f>IFERROR(INDEX('Cost_Components'!$L$2:$L$27,MATCH(E138,'Cost_Components'!$A$2:$A$27,0)),"")</f>
      </c>
      <c r="N138" s="69" t="str">
        <f>IFERROR(INDEX('Cost_Components'!$P$2:$P$27,MATCH(E138,'Cost_Components'!$A$2:$A$27,0)),"")</f>
      </c>
      <c r="O138" s="70" t="str">
        <f>AF138*J138</f>
      </c>
      <c r="P138" s="71" t="str">
        <f>AG138*J138</f>
      </c>
      <c r="Q138" s="72" t="str">
        <f>P138*L138*M138*N138</f>
      </c>
      <c r="R138" s="73" t="str">
        <f>O138*K138*M138*N138</f>
      </c>
      <c r="S138" s="74" t="str">
        <f>R138-Q138</f>
      </c>
      <c r="T138" s="20" t="str">
        <f>IFERROR(INDEX('Cost_Components'!$R$2:$R$27,MATCH(E138,'Cost_Components'!$A$2:$A$27,0)),"")</f>
      </c>
      <c r="U138" s="75" t="str">
        <f>IFERROR(INDEX('Cost_Components'!$Q$2:$Q$27,MATCH(E138,'Cost_Components'!$A$2:$A$27,0)),"")</f>
      </c>
      <c r="V138" s="76" t="str">
        <f>1/(1+'Calculation_Assumptions'!$B$5)^(B138-'Calculation_Assumptions'!$B$2)</f>
      </c>
      <c r="W138" s="77" t="str">
        <f>Q138*V138</f>
      </c>
      <c r="X138" s="78" t="str">
        <f>R138*V138</f>
      </c>
      <c r="Y138" s="79" t="str">
        <f>S138*V138</f>
      </c>
      <c r="Z138" s="80" t="str">
        <f>IFERROR(INDEX('Cost_Components'!$T$2:$T$27,MATCH(E138,'Cost_Components'!$A$2:$A$27,0)),"")</f>
      </c>
      <c r="AA138" s="81" t="str">
        <f>IFERROR(INDEX('Cost_Components'!$U$2:$U$27,MATCH(E138,'Cost_Components'!$A$2:$A$27,0)),"")</f>
      </c>
      <c r="AB138" s="82" t="str">
        <f>IFERROR(INDEX('Cost_Components'!$V$2:$V$27,MATCH(E138,'Cost_Components'!$A$2:$A$27,0)),"")</f>
      </c>
      <c r="AC138" s="83" t="str">
        <f>IFERROR(INDEX('Cost_Components'!$M$2:$M$27,MATCH(E138,'Cost_Components'!$A$2:$A$27,0)),"")</f>
      </c>
      <c r="AD138" s="84" t="str">
        <f>IFERROR(INDEX('Cost_Components'!$N$2:$N$27,MATCH(E138,'Cost_Components'!$A$2:$A$27,0)),"")</f>
      </c>
      <c r="AE138" s="20" t="str">
        <f>IFERROR(INDEX('Cost_Components'!$O$2:$O$27,MATCH(E138,'Cost_Components'!$A$2:$A$27,0)),"")</f>
      </c>
      <c r="AF138" s="85" t="n">
        <v>88395.7390873097</v>
      </c>
      <c r="AG138" s="86" t="n">
        <v>87146.4468739637</v>
      </c>
      <c r="AH138" s="87" t="str">
        <f>IF(H138="shared-count-once",COUNTIFS($A$2:$A$1353,A138,$B$2:$B$1353,B138,$E$2:$E$1353,E138),1)</f>
      </c>
    </row>
    <row r="139">
      <c r="A139" t="s">
        <v>200</v>
      </c>
      <c r="B139" s="59" t="n">
        <v>2032</v>
      </c>
      <c r="C139" t="s">
        <v>200</v>
      </c>
      <c r="D139" t="s">
        <v>190</v>
      </c>
      <c r="E139" s="60" t="s">
        <v>272</v>
      </c>
      <c r="F139" s="61" t="s">
        <v>273</v>
      </c>
      <c r="G139" s="62" t="s">
        <v>201</v>
      </c>
      <c r="H139" s="63" t="s">
        <v>195</v>
      </c>
      <c r="I139" s="64" t="s">
        <v>267</v>
      </c>
      <c r="J139" s="65" t="str">
        <f>IFERROR(INDEX('Cost_Components'!$K$2:$K$27,MATCH(E139,'Cost_Components'!$A$2:$A$27,0)),"")</f>
      </c>
      <c r="K139" s="66" t="str">
        <f>IF(OR(L139="",Z139="",AA139="",AB139=""),"",IF(B139&lt;AA139,L139,IF(B139&gt;AB139,Z139,L139+(Z139-L139)*MIN(MAX((B139-AA139+1)/MAX(AB139-AA139+1,1),0),1))))</f>
      </c>
      <c r="L139" s="67" t="str">
        <f>IFERROR(INDEX('Cost_Components'!$S$2:$S$27,MATCH(E139,'Cost_Components'!$A$2:$A$27,0)),"")</f>
      </c>
      <c r="M139" s="68" t="str">
        <f>IFERROR(INDEX('Cost_Components'!$L$2:$L$27,MATCH(E139,'Cost_Components'!$A$2:$A$27,0)),"")</f>
      </c>
      <c r="N139" s="69" t="str">
        <f>IFERROR(INDEX('Cost_Components'!$P$2:$P$27,MATCH(E139,'Cost_Components'!$A$2:$A$27,0)),"")</f>
      </c>
      <c r="O139" s="70" t="str">
        <f>AF139*J139</f>
      </c>
      <c r="P139" s="71" t="str">
        <f>AG139*J139</f>
      </c>
      <c r="Q139" s="72" t="str">
        <f>P139*L139*M139*N139</f>
      </c>
      <c r="R139" s="73" t="str">
        <f>O139*K139*M139*N139</f>
      </c>
      <c r="S139" s="74" t="str">
        <f>R139-Q139</f>
      </c>
      <c r="T139" s="20" t="str">
        <f>IFERROR(INDEX('Cost_Components'!$R$2:$R$27,MATCH(E139,'Cost_Components'!$A$2:$A$27,0)),"")</f>
      </c>
      <c r="U139" s="75" t="str">
        <f>IFERROR(INDEX('Cost_Components'!$Q$2:$Q$27,MATCH(E139,'Cost_Components'!$A$2:$A$27,0)),"")</f>
      </c>
      <c r="V139" s="76" t="str">
        <f>1/(1+'Calculation_Assumptions'!$B$5)^(B139-'Calculation_Assumptions'!$B$2)</f>
      </c>
      <c r="W139" s="77" t="str">
        <f>Q139*V139</f>
      </c>
      <c r="X139" s="78" t="str">
        <f>R139*V139</f>
      </c>
      <c r="Y139" s="79" t="str">
        <f>S139*V139</f>
      </c>
      <c r="Z139" s="80" t="str">
        <f>IFERROR(INDEX('Cost_Components'!$T$2:$T$27,MATCH(E139,'Cost_Components'!$A$2:$A$27,0)),"")</f>
      </c>
      <c r="AA139" s="81" t="str">
        <f>IFERROR(INDEX('Cost_Components'!$U$2:$U$27,MATCH(E139,'Cost_Components'!$A$2:$A$27,0)),"")</f>
      </c>
      <c r="AB139" s="82" t="str">
        <f>IFERROR(INDEX('Cost_Components'!$V$2:$V$27,MATCH(E139,'Cost_Components'!$A$2:$A$27,0)),"")</f>
      </c>
      <c r="AC139" s="83" t="str">
        <f>IFERROR(INDEX('Cost_Components'!$M$2:$M$27,MATCH(E139,'Cost_Components'!$A$2:$A$27,0)),"")</f>
      </c>
      <c r="AD139" s="84" t="str">
        <f>IFERROR(INDEX('Cost_Components'!$N$2:$N$27,MATCH(E139,'Cost_Components'!$A$2:$A$27,0)),"")</f>
      </c>
      <c r="AE139" s="20" t="str">
        <f>IFERROR(INDEX('Cost_Components'!$O$2:$O$27,MATCH(E139,'Cost_Components'!$A$2:$A$27,0)),"")</f>
      </c>
      <c r="AF139" s="85" t="n">
        <v>90254.588490742</v>
      </c>
      <c r="AG139" s="86" t="n">
        <v>88695.9957981069</v>
      </c>
      <c r="AH139" s="87" t="str">
        <f>IF(H139="shared-count-once",COUNTIFS($A$2:$A$1353,A139,$B$2:$B$1353,B139,$E$2:$E$1353,E139),1)</f>
      </c>
    </row>
    <row r="140">
      <c r="A140" t="s">
        <v>200</v>
      </c>
      <c r="B140" s="59" t="n">
        <v>2033</v>
      </c>
      <c r="C140" t="s">
        <v>200</v>
      </c>
      <c r="D140" t="s">
        <v>190</v>
      </c>
      <c r="E140" s="60" t="s">
        <v>272</v>
      </c>
      <c r="F140" s="61" t="s">
        <v>273</v>
      </c>
      <c r="G140" s="62" t="s">
        <v>201</v>
      </c>
      <c r="H140" s="63" t="s">
        <v>195</v>
      </c>
      <c r="I140" s="64" t="s">
        <v>267</v>
      </c>
      <c r="J140" s="65" t="str">
        <f>IFERROR(INDEX('Cost_Components'!$K$2:$K$27,MATCH(E140,'Cost_Components'!$A$2:$A$27,0)),"")</f>
      </c>
      <c r="K140" s="66" t="str">
        <f>IF(OR(L140="",Z140="",AA140="",AB140=""),"",IF(B140&lt;AA140,L140,IF(B140&gt;AB140,Z140,L140+(Z140-L140)*MIN(MAX((B140-AA140+1)/MAX(AB140-AA140+1,1),0),1))))</f>
      </c>
      <c r="L140" s="67" t="str">
        <f>IFERROR(INDEX('Cost_Components'!$S$2:$S$27,MATCH(E140,'Cost_Components'!$A$2:$A$27,0)),"")</f>
      </c>
      <c r="M140" s="68" t="str">
        <f>IFERROR(INDEX('Cost_Components'!$L$2:$L$27,MATCH(E140,'Cost_Components'!$A$2:$A$27,0)),"")</f>
      </c>
      <c r="N140" s="69" t="str">
        <f>IFERROR(INDEX('Cost_Components'!$P$2:$P$27,MATCH(E140,'Cost_Components'!$A$2:$A$27,0)),"")</f>
      </c>
      <c r="O140" s="70" t="str">
        <f>AF140*J140</f>
      </c>
      <c r="P140" s="71" t="str">
        <f>AG140*J140</f>
      </c>
      <c r="Q140" s="72" t="str">
        <f>P140*L140*M140*N140</f>
      </c>
      <c r="R140" s="73" t="str">
        <f>O140*K140*M140*N140</f>
      </c>
      <c r="S140" s="74" t="str">
        <f>R140-Q140</f>
      </c>
      <c r="T140" s="20" t="str">
        <f>IFERROR(INDEX('Cost_Components'!$R$2:$R$27,MATCH(E140,'Cost_Components'!$A$2:$A$27,0)),"")</f>
      </c>
      <c r="U140" s="75" t="str">
        <f>IFERROR(INDEX('Cost_Components'!$Q$2:$Q$27,MATCH(E140,'Cost_Components'!$A$2:$A$27,0)),"")</f>
      </c>
      <c r="V140" s="76" t="str">
        <f>1/(1+'Calculation_Assumptions'!$B$5)^(B140-'Calculation_Assumptions'!$B$2)</f>
      </c>
      <c r="W140" s="77" t="str">
        <f>Q140*V140</f>
      </c>
      <c r="X140" s="78" t="str">
        <f>R140*V140</f>
      </c>
      <c r="Y140" s="79" t="str">
        <f>S140*V140</f>
      </c>
      <c r="Z140" s="80" t="str">
        <f>IFERROR(INDEX('Cost_Components'!$T$2:$T$27,MATCH(E140,'Cost_Components'!$A$2:$A$27,0)),"")</f>
      </c>
      <c r="AA140" s="81" t="str">
        <f>IFERROR(INDEX('Cost_Components'!$U$2:$U$27,MATCH(E140,'Cost_Components'!$A$2:$A$27,0)),"")</f>
      </c>
      <c r="AB140" s="82" t="str">
        <f>IFERROR(INDEX('Cost_Components'!$V$2:$V$27,MATCH(E140,'Cost_Components'!$A$2:$A$27,0)),"")</f>
      </c>
      <c r="AC140" s="83" t="str">
        <f>IFERROR(INDEX('Cost_Components'!$M$2:$M$27,MATCH(E140,'Cost_Components'!$A$2:$A$27,0)),"")</f>
      </c>
      <c r="AD140" s="84" t="str">
        <f>IFERROR(INDEX('Cost_Components'!$N$2:$N$27,MATCH(E140,'Cost_Components'!$A$2:$A$27,0)),"")</f>
      </c>
      <c r="AE140" s="20" t="str">
        <f>IFERROR(INDEX('Cost_Components'!$O$2:$O$27,MATCH(E140,'Cost_Components'!$A$2:$A$27,0)),"")</f>
      </c>
      <c r="AF140" s="85" t="n">
        <v>92178.6484518117</v>
      </c>
      <c r="AG140" s="86" t="n">
        <v>90284.4762528307</v>
      </c>
      <c r="AH140" s="87" t="str">
        <f>IF(H140="shared-count-once",COUNTIFS($A$2:$A$1353,A140,$B$2:$B$1353,B140,$E$2:$E$1353,E140),1)</f>
      </c>
    </row>
    <row r="141">
      <c r="A141" t="s">
        <v>200</v>
      </c>
      <c r="B141" s="59" t="n">
        <v>2034</v>
      </c>
      <c r="C141" t="s">
        <v>200</v>
      </c>
      <c r="D141" t="s">
        <v>190</v>
      </c>
      <c r="E141" s="60" t="s">
        <v>272</v>
      </c>
      <c r="F141" s="61" t="s">
        <v>273</v>
      </c>
      <c r="G141" s="62" t="s">
        <v>201</v>
      </c>
      <c r="H141" s="63" t="s">
        <v>195</v>
      </c>
      <c r="I141" s="64" t="s">
        <v>267</v>
      </c>
      <c r="J141" s="65" t="str">
        <f>IFERROR(INDEX('Cost_Components'!$K$2:$K$27,MATCH(E141,'Cost_Components'!$A$2:$A$27,0)),"")</f>
      </c>
      <c r="K141" s="66" t="str">
        <f>IF(OR(L141="",Z141="",AA141="",AB141=""),"",IF(B141&lt;AA141,L141,IF(B141&gt;AB141,Z141,L141+(Z141-L141)*MIN(MAX((B141-AA141+1)/MAX(AB141-AA141+1,1),0),1))))</f>
      </c>
      <c r="L141" s="67" t="str">
        <f>IFERROR(INDEX('Cost_Components'!$S$2:$S$27,MATCH(E141,'Cost_Components'!$A$2:$A$27,0)),"")</f>
      </c>
      <c r="M141" s="68" t="str">
        <f>IFERROR(INDEX('Cost_Components'!$L$2:$L$27,MATCH(E141,'Cost_Components'!$A$2:$A$27,0)),"")</f>
      </c>
      <c r="N141" s="69" t="str">
        <f>IFERROR(INDEX('Cost_Components'!$P$2:$P$27,MATCH(E141,'Cost_Components'!$A$2:$A$27,0)),"")</f>
      </c>
      <c r="O141" s="70" t="str">
        <f>AF141*J141</f>
      </c>
      <c r="P141" s="71" t="str">
        <f>AG141*J141</f>
      </c>
      <c r="Q141" s="72" t="str">
        <f>P141*L141*M141*N141</f>
      </c>
      <c r="R141" s="73" t="str">
        <f>O141*K141*M141*N141</f>
      </c>
      <c r="S141" s="74" t="str">
        <f>R141-Q141</f>
      </c>
      <c r="T141" s="20" t="str">
        <f>IFERROR(INDEX('Cost_Components'!$R$2:$R$27,MATCH(E141,'Cost_Components'!$A$2:$A$27,0)),"")</f>
      </c>
      <c r="U141" s="75" t="str">
        <f>IFERROR(INDEX('Cost_Components'!$Q$2:$Q$27,MATCH(E141,'Cost_Components'!$A$2:$A$27,0)),"")</f>
      </c>
      <c r="V141" s="76" t="str">
        <f>1/(1+'Calculation_Assumptions'!$B$5)^(B141-'Calculation_Assumptions'!$B$2)</f>
      </c>
      <c r="W141" s="77" t="str">
        <f>Q141*V141</f>
      </c>
      <c r="X141" s="78" t="str">
        <f>R141*V141</f>
      </c>
      <c r="Y141" s="79" t="str">
        <f>S141*V141</f>
      </c>
      <c r="Z141" s="80" t="str">
        <f>IFERROR(INDEX('Cost_Components'!$T$2:$T$27,MATCH(E141,'Cost_Components'!$A$2:$A$27,0)),"")</f>
      </c>
      <c r="AA141" s="81" t="str">
        <f>IFERROR(INDEX('Cost_Components'!$U$2:$U$27,MATCH(E141,'Cost_Components'!$A$2:$A$27,0)),"")</f>
      </c>
      <c r="AB141" s="82" t="str">
        <f>IFERROR(INDEX('Cost_Components'!$V$2:$V$27,MATCH(E141,'Cost_Components'!$A$2:$A$27,0)),"")</f>
      </c>
      <c r="AC141" s="83" t="str">
        <f>IFERROR(INDEX('Cost_Components'!$M$2:$M$27,MATCH(E141,'Cost_Components'!$A$2:$A$27,0)),"")</f>
      </c>
      <c r="AD141" s="84" t="str">
        <f>IFERROR(INDEX('Cost_Components'!$N$2:$N$27,MATCH(E141,'Cost_Components'!$A$2:$A$27,0)),"")</f>
      </c>
      <c r="AE141" s="20" t="str">
        <f>IFERROR(INDEX('Cost_Components'!$O$2:$O$27,MATCH(E141,'Cost_Components'!$A$2:$A$27,0)),"")</f>
      </c>
      <c r="AF141" s="85" t="n">
        <v>94169.7784714544</v>
      </c>
      <c r="AG141" s="86" t="n">
        <v>91915.1700532053</v>
      </c>
      <c r="AH141" s="87" t="str">
        <f>IF(H141="shared-count-once",COUNTIFS($A$2:$A$1353,A141,$B$2:$B$1353,B141,$E$2:$E$1353,E141),1)</f>
      </c>
    </row>
    <row r="142">
      <c r="A142" t="s">
        <v>200</v>
      </c>
      <c r="B142" s="59" t="n">
        <v>2035</v>
      </c>
      <c r="C142" t="s">
        <v>200</v>
      </c>
      <c r="D142" t="s">
        <v>190</v>
      </c>
      <c r="E142" s="60" t="s">
        <v>272</v>
      </c>
      <c r="F142" s="61" t="s">
        <v>273</v>
      </c>
      <c r="G142" s="62" t="s">
        <v>201</v>
      </c>
      <c r="H142" s="63" t="s">
        <v>195</v>
      </c>
      <c r="I142" s="64" t="s">
        <v>267</v>
      </c>
      <c r="J142" s="65" t="str">
        <f>IFERROR(INDEX('Cost_Components'!$K$2:$K$27,MATCH(E142,'Cost_Components'!$A$2:$A$27,0)),"")</f>
      </c>
      <c r="K142" s="66" t="str">
        <f>IF(OR(L142="",Z142="",AA142="",AB142=""),"",IF(B142&lt;AA142,L142,IF(B142&gt;AB142,Z142,L142+(Z142-L142)*MIN(MAX((B142-AA142+1)/MAX(AB142-AA142+1,1),0),1))))</f>
      </c>
      <c r="L142" s="67" t="str">
        <f>IFERROR(INDEX('Cost_Components'!$S$2:$S$27,MATCH(E142,'Cost_Components'!$A$2:$A$27,0)),"")</f>
      </c>
      <c r="M142" s="68" t="str">
        <f>IFERROR(INDEX('Cost_Components'!$L$2:$L$27,MATCH(E142,'Cost_Components'!$A$2:$A$27,0)),"")</f>
      </c>
      <c r="N142" s="69" t="str">
        <f>IFERROR(INDEX('Cost_Components'!$P$2:$P$27,MATCH(E142,'Cost_Components'!$A$2:$A$27,0)),"")</f>
      </c>
      <c r="O142" s="70" t="str">
        <f>AF142*J142</f>
      </c>
      <c r="P142" s="71" t="str">
        <f>AG142*J142</f>
      </c>
      <c r="Q142" s="72" t="str">
        <f>P142*L142*M142*N142</f>
      </c>
      <c r="R142" s="73" t="str">
        <f>O142*K142*M142*N142</f>
      </c>
      <c r="S142" s="74" t="str">
        <f>R142-Q142</f>
      </c>
      <c r="T142" s="20" t="str">
        <f>IFERROR(INDEX('Cost_Components'!$R$2:$R$27,MATCH(E142,'Cost_Components'!$A$2:$A$27,0)),"")</f>
      </c>
      <c r="U142" s="75" t="str">
        <f>IFERROR(INDEX('Cost_Components'!$Q$2:$Q$27,MATCH(E142,'Cost_Components'!$A$2:$A$27,0)),"")</f>
      </c>
      <c r="V142" s="76" t="str">
        <f>1/(1+'Calculation_Assumptions'!$B$5)^(B142-'Calculation_Assumptions'!$B$2)</f>
      </c>
      <c r="W142" s="77" t="str">
        <f>Q142*V142</f>
      </c>
      <c r="X142" s="78" t="str">
        <f>R142*V142</f>
      </c>
      <c r="Y142" s="79" t="str">
        <f>S142*V142</f>
      </c>
      <c r="Z142" s="80" t="str">
        <f>IFERROR(INDEX('Cost_Components'!$T$2:$T$27,MATCH(E142,'Cost_Components'!$A$2:$A$27,0)),"")</f>
      </c>
      <c r="AA142" s="81" t="str">
        <f>IFERROR(INDEX('Cost_Components'!$U$2:$U$27,MATCH(E142,'Cost_Components'!$A$2:$A$27,0)),"")</f>
      </c>
      <c r="AB142" s="82" t="str">
        <f>IFERROR(INDEX('Cost_Components'!$V$2:$V$27,MATCH(E142,'Cost_Components'!$A$2:$A$27,0)),"")</f>
      </c>
      <c r="AC142" s="83" t="str">
        <f>IFERROR(INDEX('Cost_Components'!$M$2:$M$27,MATCH(E142,'Cost_Components'!$A$2:$A$27,0)),"")</f>
      </c>
      <c r="AD142" s="84" t="str">
        <f>IFERROR(INDEX('Cost_Components'!$N$2:$N$27,MATCH(E142,'Cost_Components'!$A$2:$A$27,0)),"")</f>
      </c>
      <c r="AE142" s="20" t="str">
        <f>IFERROR(INDEX('Cost_Components'!$O$2:$O$27,MATCH(E142,'Cost_Components'!$A$2:$A$27,0)),"")</f>
      </c>
      <c r="AF142" s="85" t="n">
        <v>96235.4346621619</v>
      </c>
      <c r="AG142" s="86" t="n">
        <v>93596.9100615363</v>
      </c>
      <c r="AH142" s="87" t="str">
        <f>IF(H142="shared-count-once",COUNTIFS($A$2:$A$1353,A142,$B$2:$B$1353,B142,$E$2:$E$1353,E142),1)</f>
      </c>
    </row>
    <row r="143">
      <c r="A143" t="s">
        <v>200</v>
      </c>
      <c r="B143" s="59" t="n">
        <v>2036</v>
      </c>
      <c r="C143" t="s">
        <v>200</v>
      </c>
      <c r="D143" t="s">
        <v>190</v>
      </c>
      <c r="E143" s="60" t="s">
        <v>272</v>
      </c>
      <c r="F143" s="61" t="s">
        <v>273</v>
      </c>
      <c r="G143" s="62" t="s">
        <v>201</v>
      </c>
      <c r="H143" s="63" t="s">
        <v>195</v>
      </c>
      <c r="I143" s="64" t="s">
        <v>267</v>
      </c>
      <c r="J143" s="65" t="str">
        <f>IFERROR(INDEX('Cost_Components'!$K$2:$K$27,MATCH(E143,'Cost_Components'!$A$2:$A$27,0)),"")</f>
      </c>
      <c r="K143" s="66" t="str">
        <f>IF(OR(L143="",Z143="",AA143="",AB143=""),"",IF(B143&lt;AA143,L143,IF(B143&gt;AB143,Z143,L143+(Z143-L143)*MIN(MAX((B143-AA143+1)/MAX(AB143-AA143+1,1),0),1))))</f>
      </c>
      <c r="L143" s="67" t="str">
        <f>IFERROR(INDEX('Cost_Components'!$S$2:$S$27,MATCH(E143,'Cost_Components'!$A$2:$A$27,0)),"")</f>
      </c>
      <c r="M143" s="68" t="str">
        <f>IFERROR(INDEX('Cost_Components'!$L$2:$L$27,MATCH(E143,'Cost_Components'!$A$2:$A$27,0)),"")</f>
      </c>
      <c r="N143" s="69" t="str">
        <f>IFERROR(INDEX('Cost_Components'!$P$2:$P$27,MATCH(E143,'Cost_Components'!$A$2:$A$27,0)),"")</f>
      </c>
      <c r="O143" s="70" t="str">
        <f>AF143*J143</f>
      </c>
      <c r="P143" s="71" t="str">
        <f>AG143*J143</f>
      </c>
      <c r="Q143" s="72" t="str">
        <f>P143*L143*M143*N143</f>
      </c>
      <c r="R143" s="73" t="str">
        <f>O143*K143*M143*N143</f>
      </c>
      <c r="S143" s="74" t="str">
        <f>R143-Q143</f>
      </c>
      <c r="T143" s="20" t="str">
        <f>IFERROR(INDEX('Cost_Components'!$R$2:$R$27,MATCH(E143,'Cost_Components'!$A$2:$A$27,0)),"")</f>
      </c>
      <c r="U143" s="75" t="str">
        <f>IFERROR(INDEX('Cost_Components'!$Q$2:$Q$27,MATCH(E143,'Cost_Components'!$A$2:$A$27,0)),"")</f>
      </c>
      <c r="V143" s="76" t="str">
        <f>1/(1+'Calculation_Assumptions'!$B$5)^(B143-'Calculation_Assumptions'!$B$2)</f>
      </c>
      <c r="W143" s="77" t="str">
        <f>Q143*V143</f>
      </c>
      <c r="X143" s="78" t="str">
        <f>R143*V143</f>
      </c>
      <c r="Y143" s="79" t="str">
        <f>S143*V143</f>
      </c>
      <c r="Z143" s="80" t="str">
        <f>IFERROR(INDEX('Cost_Components'!$T$2:$T$27,MATCH(E143,'Cost_Components'!$A$2:$A$27,0)),"")</f>
      </c>
      <c r="AA143" s="81" t="str">
        <f>IFERROR(INDEX('Cost_Components'!$U$2:$U$27,MATCH(E143,'Cost_Components'!$A$2:$A$27,0)),"")</f>
      </c>
      <c r="AB143" s="82" t="str">
        <f>IFERROR(INDEX('Cost_Components'!$V$2:$V$27,MATCH(E143,'Cost_Components'!$A$2:$A$27,0)),"")</f>
      </c>
      <c r="AC143" s="83" t="str">
        <f>IFERROR(INDEX('Cost_Components'!$M$2:$M$27,MATCH(E143,'Cost_Components'!$A$2:$A$27,0)),"")</f>
      </c>
      <c r="AD143" s="84" t="str">
        <f>IFERROR(INDEX('Cost_Components'!$N$2:$N$27,MATCH(E143,'Cost_Components'!$A$2:$A$27,0)),"")</f>
      </c>
      <c r="AE143" s="20" t="str">
        <f>IFERROR(INDEX('Cost_Components'!$O$2:$O$27,MATCH(E143,'Cost_Components'!$A$2:$A$27,0)),"")</f>
      </c>
      <c r="AF143" s="85" t="n">
        <v>98381.103681591</v>
      </c>
      <c r="AG143" s="86" t="n">
        <v>95335.6352226668</v>
      </c>
      <c r="AH143" s="87" t="str">
        <f>IF(H143="shared-count-once",COUNTIFS($A$2:$A$1353,A143,$B$2:$B$1353,B143,$E$2:$E$1353,E143),1)</f>
      </c>
    </row>
    <row r="144">
      <c r="A144" t="s">
        <v>200</v>
      </c>
      <c r="B144" s="59" t="n">
        <v>2037</v>
      </c>
      <c r="C144" t="s">
        <v>200</v>
      </c>
      <c r="D144" t="s">
        <v>190</v>
      </c>
      <c r="E144" s="60" t="s">
        <v>272</v>
      </c>
      <c r="F144" s="61" t="s">
        <v>273</v>
      </c>
      <c r="G144" s="62" t="s">
        <v>201</v>
      </c>
      <c r="H144" s="63" t="s">
        <v>195</v>
      </c>
      <c r="I144" s="64" t="s">
        <v>267</v>
      </c>
      <c r="J144" s="65" t="str">
        <f>IFERROR(INDEX('Cost_Components'!$K$2:$K$27,MATCH(E144,'Cost_Components'!$A$2:$A$27,0)),"")</f>
      </c>
      <c r="K144" s="66" t="str">
        <f>IF(OR(L144="",Z144="",AA144="",AB144=""),"",IF(B144&lt;AA144,L144,IF(B144&gt;AB144,Z144,L144+(Z144-L144)*MIN(MAX((B144-AA144+1)/MAX(AB144-AA144+1,1),0),1))))</f>
      </c>
      <c r="L144" s="67" t="str">
        <f>IFERROR(INDEX('Cost_Components'!$S$2:$S$27,MATCH(E144,'Cost_Components'!$A$2:$A$27,0)),"")</f>
      </c>
      <c r="M144" s="68" t="str">
        <f>IFERROR(INDEX('Cost_Components'!$L$2:$L$27,MATCH(E144,'Cost_Components'!$A$2:$A$27,0)),"")</f>
      </c>
      <c r="N144" s="69" t="str">
        <f>IFERROR(INDEX('Cost_Components'!$P$2:$P$27,MATCH(E144,'Cost_Components'!$A$2:$A$27,0)),"")</f>
      </c>
      <c r="O144" s="70" t="str">
        <f>AF144*J144</f>
      </c>
      <c r="P144" s="71" t="str">
        <f>AG144*J144</f>
      </c>
      <c r="Q144" s="72" t="str">
        <f>P144*L144*M144*N144</f>
      </c>
      <c r="R144" s="73" t="str">
        <f>O144*K144*M144*N144</f>
      </c>
      <c r="S144" s="74" t="str">
        <f>R144-Q144</f>
      </c>
      <c r="T144" s="20" t="str">
        <f>IFERROR(INDEX('Cost_Components'!$R$2:$R$27,MATCH(E144,'Cost_Components'!$A$2:$A$27,0)),"")</f>
      </c>
      <c r="U144" s="75" t="str">
        <f>IFERROR(INDEX('Cost_Components'!$Q$2:$Q$27,MATCH(E144,'Cost_Components'!$A$2:$A$27,0)),"")</f>
      </c>
      <c r="V144" s="76" t="str">
        <f>1/(1+'Calculation_Assumptions'!$B$5)^(B144-'Calculation_Assumptions'!$B$2)</f>
      </c>
      <c r="W144" s="77" t="str">
        <f>Q144*V144</f>
      </c>
      <c r="X144" s="78" t="str">
        <f>R144*V144</f>
      </c>
      <c r="Y144" s="79" t="str">
        <f>S144*V144</f>
      </c>
      <c r="Z144" s="80" t="str">
        <f>IFERROR(INDEX('Cost_Components'!$T$2:$T$27,MATCH(E144,'Cost_Components'!$A$2:$A$27,0)),"")</f>
      </c>
      <c r="AA144" s="81" t="str">
        <f>IFERROR(INDEX('Cost_Components'!$U$2:$U$27,MATCH(E144,'Cost_Components'!$A$2:$A$27,0)),"")</f>
      </c>
      <c r="AB144" s="82" t="str">
        <f>IFERROR(INDEX('Cost_Components'!$V$2:$V$27,MATCH(E144,'Cost_Components'!$A$2:$A$27,0)),"")</f>
      </c>
      <c r="AC144" s="83" t="str">
        <f>IFERROR(INDEX('Cost_Components'!$M$2:$M$27,MATCH(E144,'Cost_Components'!$A$2:$A$27,0)),"")</f>
      </c>
      <c r="AD144" s="84" t="str">
        <f>IFERROR(INDEX('Cost_Components'!$N$2:$N$27,MATCH(E144,'Cost_Components'!$A$2:$A$27,0)),"")</f>
      </c>
      <c r="AE144" s="20" t="str">
        <f>IFERROR(INDEX('Cost_Components'!$O$2:$O$27,MATCH(E144,'Cost_Components'!$A$2:$A$27,0)),"")</f>
      </c>
      <c r="AF144" s="85" t="n">
        <v>100611.081658285</v>
      </c>
      <c r="AG144" s="86" t="n">
        <v>97136.1570592132</v>
      </c>
      <c r="AH144" s="87" t="str">
        <f>IF(H144="shared-count-once",COUNTIFS($A$2:$A$1353,A144,$B$2:$B$1353,B144,$E$2:$E$1353,E144),1)</f>
      </c>
    </row>
    <row r="145">
      <c r="A145" t="s">
        <v>200</v>
      </c>
      <c r="B145" s="59" t="n">
        <v>2038</v>
      </c>
      <c r="C145" t="s">
        <v>200</v>
      </c>
      <c r="D145" t="s">
        <v>190</v>
      </c>
      <c r="E145" s="60" t="s">
        <v>272</v>
      </c>
      <c r="F145" s="61" t="s">
        <v>273</v>
      </c>
      <c r="G145" s="62" t="s">
        <v>201</v>
      </c>
      <c r="H145" s="63" t="s">
        <v>195</v>
      </c>
      <c r="I145" s="64" t="s">
        <v>267</v>
      </c>
      <c r="J145" s="65" t="str">
        <f>IFERROR(INDEX('Cost_Components'!$K$2:$K$27,MATCH(E145,'Cost_Components'!$A$2:$A$27,0)),"")</f>
      </c>
      <c r="K145" s="66" t="str">
        <f>IF(OR(L145="",Z145="",AA145="",AB145=""),"",IF(B145&lt;AA145,L145,IF(B145&gt;AB145,Z145,L145+(Z145-L145)*MIN(MAX((B145-AA145+1)/MAX(AB145-AA145+1,1),0),1))))</f>
      </c>
      <c r="L145" s="67" t="str">
        <f>IFERROR(INDEX('Cost_Components'!$S$2:$S$27,MATCH(E145,'Cost_Components'!$A$2:$A$27,0)),"")</f>
      </c>
      <c r="M145" s="68" t="str">
        <f>IFERROR(INDEX('Cost_Components'!$L$2:$L$27,MATCH(E145,'Cost_Components'!$A$2:$A$27,0)),"")</f>
      </c>
      <c r="N145" s="69" t="str">
        <f>IFERROR(INDEX('Cost_Components'!$P$2:$P$27,MATCH(E145,'Cost_Components'!$A$2:$A$27,0)),"")</f>
      </c>
      <c r="O145" s="70" t="str">
        <f>AF145*J145</f>
      </c>
      <c r="P145" s="71" t="str">
        <f>AG145*J145</f>
      </c>
      <c r="Q145" s="72" t="str">
        <f>P145*L145*M145*N145</f>
      </c>
      <c r="R145" s="73" t="str">
        <f>O145*K145*M145*N145</f>
      </c>
      <c r="S145" s="74" t="str">
        <f>R145-Q145</f>
      </c>
      <c r="T145" s="20" t="str">
        <f>IFERROR(INDEX('Cost_Components'!$R$2:$R$27,MATCH(E145,'Cost_Components'!$A$2:$A$27,0)),"")</f>
      </c>
      <c r="U145" s="75" t="str">
        <f>IFERROR(INDEX('Cost_Components'!$Q$2:$Q$27,MATCH(E145,'Cost_Components'!$A$2:$A$27,0)),"")</f>
      </c>
      <c r="V145" s="76" t="str">
        <f>1/(1+'Calculation_Assumptions'!$B$5)^(B145-'Calculation_Assumptions'!$B$2)</f>
      </c>
      <c r="W145" s="77" t="str">
        <f>Q145*V145</f>
      </c>
      <c r="X145" s="78" t="str">
        <f>R145*V145</f>
      </c>
      <c r="Y145" s="79" t="str">
        <f>S145*V145</f>
      </c>
      <c r="Z145" s="80" t="str">
        <f>IFERROR(INDEX('Cost_Components'!$T$2:$T$27,MATCH(E145,'Cost_Components'!$A$2:$A$27,0)),"")</f>
      </c>
      <c r="AA145" s="81" t="str">
        <f>IFERROR(INDEX('Cost_Components'!$U$2:$U$27,MATCH(E145,'Cost_Components'!$A$2:$A$27,0)),"")</f>
      </c>
      <c r="AB145" s="82" t="str">
        <f>IFERROR(INDEX('Cost_Components'!$V$2:$V$27,MATCH(E145,'Cost_Components'!$A$2:$A$27,0)),"")</f>
      </c>
      <c r="AC145" s="83" t="str">
        <f>IFERROR(INDEX('Cost_Components'!$M$2:$M$27,MATCH(E145,'Cost_Components'!$A$2:$A$27,0)),"")</f>
      </c>
      <c r="AD145" s="84" t="str">
        <f>IFERROR(INDEX('Cost_Components'!$N$2:$N$27,MATCH(E145,'Cost_Components'!$A$2:$A$27,0)),"")</f>
      </c>
      <c r="AE145" s="20" t="str">
        <f>IFERROR(INDEX('Cost_Components'!$O$2:$O$27,MATCH(E145,'Cost_Components'!$A$2:$A$27,0)),"")</f>
      </c>
      <c r="AF145" s="85" t="n">
        <v>102924.377380418</v>
      </c>
      <c r="AG145" s="86" t="n">
        <v>98998.0143549304</v>
      </c>
      <c r="AH145" s="87" t="str">
        <f>IF(H145="shared-count-once",COUNTIFS($A$2:$A$1353,A145,$B$2:$B$1353,B145,$E$2:$E$1353,E145),1)</f>
      </c>
    </row>
    <row r="146">
      <c r="A146" t="s">
        <v>200</v>
      </c>
      <c r="B146" s="59" t="n">
        <v>2039</v>
      </c>
      <c r="C146" t="s">
        <v>200</v>
      </c>
      <c r="D146" t="s">
        <v>190</v>
      </c>
      <c r="E146" s="60" t="s">
        <v>272</v>
      </c>
      <c r="F146" s="61" t="s">
        <v>273</v>
      </c>
      <c r="G146" s="62" t="s">
        <v>201</v>
      </c>
      <c r="H146" s="63" t="s">
        <v>195</v>
      </c>
      <c r="I146" s="64" t="s">
        <v>267</v>
      </c>
      <c r="J146" s="65" t="str">
        <f>IFERROR(INDEX('Cost_Components'!$K$2:$K$27,MATCH(E146,'Cost_Components'!$A$2:$A$27,0)),"")</f>
      </c>
      <c r="K146" s="66" t="str">
        <f>IF(OR(L146="",Z146="",AA146="",AB146=""),"",IF(B146&lt;AA146,L146,IF(B146&gt;AB146,Z146,L146+(Z146-L146)*MIN(MAX((B146-AA146+1)/MAX(AB146-AA146+1,1),0),1))))</f>
      </c>
      <c r="L146" s="67" t="str">
        <f>IFERROR(INDEX('Cost_Components'!$S$2:$S$27,MATCH(E146,'Cost_Components'!$A$2:$A$27,0)),"")</f>
      </c>
      <c r="M146" s="68" t="str">
        <f>IFERROR(INDEX('Cost_Components'!$L$2:$L$27,MATCH(E146,'Cost_Components'!$A$2:$A$27,0)),"")</f>
      </c>
      <c r="N146" s="69" t="str">
        <f>IFERROR(INDEX('Cost_Components'!$P$2:$P$27,MATCH(E146,'Cost_Components'!$A$2:$A$27,0)),"")</f>
      </c>
      <c r="O146" s="70" t="str">
        <f>AF146*J146</f>
      </c>
      <c r="P146" s="71" t="str">
        <f>AG146*J146</f>
      </c>
      <c r="Q146" s="72" t="str">
        <f>P146*L146*M146*N146</f>
      </c>
      <c r="R146" s="73" t="str">
        <f>O146*K146*M146*N146</f>
      </c>
      <c r="S146" s="74" t="str">
        <f>R146-Q146</f>
      </c>
      <c r="T146" s="20" t="str">
        <f>IFERROR(INDEX('Cost_Components'!$R$2:$R$27,MATCH(E146,'Cost_Components'!$A$2:$A$27,0)),"")</f>
      </c>
      <c r="U146" s="75" t="str">
        <f>IFERROR(INDEX('Cost_Components'!$Q$2:$Q$27,MATCH(E146,'Cost_Components'!$A$2:$A$27,0)),"")</f>
      </c>
      <c r="V146" s="76" t="str">
        <f>1/(1+'Calculation_Assumptions'!$B$5)^(B146-'Calculation_Assumptions'!$B$2)</f>
      </c>
      <c r="W146" s="77" t="str">
        <f>Q146*V146</f>
      </c>
      <c r="X146" s="78" t="str">
        <f>R146*V146</f>
      </c>
      <c r="Y146" s="79" t="str">
        <f>S146*V146</f>
      </c>
      <c r="Z146" s="80" t="str">
        <f>IFERROR(INDEX('Cost_Components'!$T$2:$T$27,MATCH(E146,'Cost_Components'!$A$2:$A$27,0)),"")</f>
      </c>
      <c r="AA146" s="81" t="str">
        <f>IFERROR(INDEX('Cost_Components'!$U$2:$U$27,MATCH(E146,'Cost_Components'!$A$2:$A$27,0)),"")</f>
      </c>
      <c r="AB146" s="82" t="str">
        <f>IFERROR(INDEX('Cost_Components'!$V$2:$V$27,MATCH(E146,'Cost_Components'!$A$2:$A$27,0)),"")</f>
      </c>
      <c r="AC146" s="83" t="str">
        <f>IFERROR(INDEX('Cost_Components'!$M$2:$M$27,MATCH(E146,'Cost_Components'!$A$2:$A$27,0)),"")</f>
      </c>
      <c r="AD146" s="84" t="str">
        <f>IFERROR(INDEX('Cost_Components'!$N$2:$N$27,MATCH(E146,'Cost_Components'!$A$2:$A$27,0)),"")</f>
      </c>
      <c r="AE146" s="20" t="str">
        <f>IFERROR(INDEX('Cost_Components'!$O$2:$O$27,MATCH(E146,'Cost_Components'!$A$2:$A$27,0)),"")</f>
      </c>
      <c r="AF146" s="85" t="n">
        <v>105325.3864422</v>
      </c>
      <c r="AG146" s="86" t="n">
        <v>100926.209893404</v>
      </c>
      <c r="AH146" s="87" t="str">
        <f>IF(H146="shared-count-once",COUNTIFS($A$2:$A$1353,A146,$B$2:$B$1353,B146,$E$2:$E$1353,E146),1)</f>
      </c>
    </row>
    <row r="147">
      <c r="A147" t="s">
        <v>200</v>
      </c>
      <c r="B147" s="59" t="n">
        <v>2040</v>
      </c>
      <c r="C147" t="s">
        <v>200</v>
      </c>
      <c r="D147" t="s">
        <v>190</v>
      </c>
      <c r="E147" s="60" t="s">
        <v>272</v>
      </c>
      <c r="F147" s="61" t="s">
        <v>273</v>
      </c>
      <c r="G147" s="62" t="s">
        <v>201</v>
      </c>
      <c r="H147" s="63" t="s">
        <v>195</v>
      </c>
      <c r="I147" s="64" t="s">
        <v>267</v>
      </c>
      <c r="J147" s="65" t="str">
        <f>IFERROR(INDEX('Cost_Components'!$K$2:$K$27,MATCH(E147,'Cost_Components'!$A$2:$A$27,0)),"")</f>
      </c>
      <c r="K147" s="66" t="str">
        <f>IF(OR(L147="",Z147="",AA147="",AB147=""),"",IF(B147&lt;AA147,L147,IF(B147&gt;AB147,Z147,L147+(Z147-L147)*MIN(MAX((B147-AA147+1)/MAX(AB147-AA147+1,1),0),1))))</f>
      </c>
      <c r="L147" s="67" t="str">
        <f>IFERROR(INDEX('Cost_Components'!$S$2:$S$27,MATCH(E147,'Cost_Components'!$A$2:$A$27,0)),"")</f>
      </c>
      <c r="M147" s="68" t="str">
        <f>IFERROR(INDEX('Cost_Components'!$L$2:$L$27,MATCH(E147,'Cost_Components'!$A$2:$A$27,0)),"")</f>
      </c>
      <c r="N147" s="69" t="str">
        <f>IFERROR(INDEX('Cost_Components'!$P$2:$P$27,MATCH(E147,'Cost_Components'!$A$2:$A$27,0)),"")</f>
      </c>
      <c r="O147" s="70" t="str">
        <f>AF147*J147</f>
      </c>
      <c r="P147" s="71" t="str">
        <f>AG147*J147</f>
      </c>
      <c r="Q147" s="72" t="str">
        <f>P147*L147*M147*N147</f>
      </c>
      <c r="R147" s="73" t="str">
        <f>O147*K147*M147*N147</f>
      </c>
      <c r="S147" s="74" t="str">
        <f>R147-Q147</f>
      </c>
      <c r="T147" s="20" t="str">
        <f>IFERROR(INDEX('Cost_Components'!$R$2:$R$27,MATCH(E147,'Cost_Components'!$A$2:$A$27,0)),"")</f>
      </c>
      <c r="U147" s="75" t="str">
        <f>IFERROR(INDEX('Cost_Components'!$Q$2:$Q$27,MATCH(E147,'Cost_Components'!$A$2:$A$27,0)),"")</f>
      </c>
      <c r="V147" s="76" t="str">
        <f>1/(1+'Calculation_Assumptions'!$B$5)^(B147-'Calculation_Assumptions'!$B$2)</f>
      </c>
      <c r="W147" s="77" t="str">
        <f>Q147*V147</f>
      </c>
      <c r="X147" s="78" t="str">
        <f>R147*V147</f>
      </c>
      <c r="Y147" s="79" t="str">
        <f>S147*V147</f>
      </c>
      <c r="Z147" s="80" t="str">
        <f>IFERROR(INDEX('Cost_Components'!$T$2:$T$27,MATCH(E147,'Cost_Components'!$A$2:$A$27,0)),"")</f>
      </c>
      <c r="AA147" s="81" t="str">
        <f>IFERROR(INDEX('Cost_Components'!$U$2:$U$27,MATCH(E147,'Cost_Components'!$A$2:$A$27,0)),"")</f>
      </c>
      <c r="AB147" s="82" t="str">
        <f>IFERROR(INDEX('Cost_Components'!$V$2:$V$27,MATCH(E147,'Cost_Components'!$A$2:$A$27,0)),"")</f>
      </c>
      <c r="AC147" s="83" t="str">
        <f>IFERROR(INDEX('Cost_Components'!$M$2:$M$27,MATCH(E147,'Cost_Components'!$A$2:$A$27,0)),"")</f>
      </c>
      <c r="AD147" s="84" t="str">
        <f>IFERROR(INDEX('Cost_Components'!$N$2:$N$27,MATCH(E147,'Cost_Components'!$A$2:$A$27,0)),"")</f>
      </c>
      <c r="AE147" s="20" t="str">
        <f>IFERROR(INDEX('Cost_Components'!$O$2:$O$27,MATCH(E147,'Cost_Components'!$A$2:$A$27,0)),"")</f>
      </c>
      <c r="AF147" s="85" t="n">
        <v>107825.411834588</v>
      </c>
      <c r="AG147" s="86" t="n">
        <v>102933.12938022</v>
      </c>
      <c r="AH147" s="87" t="str">
        <f>IF(H147="shared-count-once",COUNTIFS($A$2:$A$1353,A147,$B$2:$B$1353,B147,$E$2:$E$1353,E147),1)</f>
      </c>
    </row>
    <row r="148">
      <c r="A148" t="s">
        <v>200</v>
      </c>
      <c r="B148" s="59" t="n">
        <v>2041</v>
      </c>
      <c r="C148" t="s">
        <v>200</v>
      </c>
      <c r="D148" t="s">
        <v>190</v>
      </c>
      <c r="E148" s="60" t="s">
        <v>272</v>
      </c>
      <c r="F148" s="61" t="s">
        <v>273</v>
      </c>
      <c r="G148" s="62" t="s">
        <v>201</v>
      </c>
      <c r="H148" s="63" t="s">
        <v>195</v>
      </c>
      <c r="I148" s="64" t="s">
        <v>267</v>
      </c>
      <c r="J148" s="65" t="str">
        <f>IFERROR(INDEX('Cost_Components'!$K$2:$K$27,MATCH(E148,'Cost_Components'!$A$2:$A$27,0)),"")</f>
      </c>
      <c r="K148" s="66" t="str">
        <f>IF(OR(L148="",Z148="",AA148="",AB148=""),"",IF(B148&lt;AA148,L148,IF(B148&gt;AB148,Z148,L148+(Z148-L148)*MIN(MAX((B148-AA148+1)/MAX(AB148-AA148+1,1),0),1))))</f>
      </c>
      <c r="L148" s="67" t="str">
        <f>IFERROR(INDEX('Cost_Components'!$S$2:$S$27,MATCH(E148,'Cost_Components'!$A$2:$A$27,0)),"")</f>
      </c>
      <c r="M148" s="68" t="str">
        <f>IFERROR(INDEX('Cost_Components'!$L$2:$L$27,MATCH(E148,'Cost_Components'!$A$2:$A$27,0)),"")</f>
      </c>
      <c r="N148" s="69" t="str">
        <f>IFERROR(INDEX('Cost_Components'!$P$2:$P$27,MATCH(E148,'Cost_Components'!$A$2:$A$27,0)),"")</f>
      </c>
      <c r="O148" s="70" t="str">
        <f>AF148*J148</f>
      </c>
      <c r="P148" s="71" t="str">
        <f>AG148*J148</f>
      </c>
      <c r="Q148" s="72" t="str">
        <f>P148*L148*M148*N148</f>
      </c>
      <c r="R148" s="73" t="str">
        <f>O148*K148*M148*N148</f>
      </c>
      <c r="S148" s="74" t="str">
        <f>R148-Q148</f>
      </c>
      <c r="T148" s="20" t="str">
        <f>IFERROR(INDEX('Cost_Components'!$R$2:$R$27,MATCH(E148,'Cost_Components'!$A$2:$A$27,0)),"")</f>
      </c>
      <c r="U148" s="75" t="str">
        <f>IFERROR(INDEX('Cost_Components'!$Q$2:$Q$27,MATCH(E148,'Cost_Components'!$A$2:$A$27,0)),"")</f>
      </c>
      <c r="V148" s="76" t="str">
        <f>1/(1+'Calculation_Assumptions'!$B$5)^(B148-'Calculation_Assumptions'!$B$2)</f>
      </c>
      <c r="W148" s="77" t="str">
        <f>Q148*V148</f>
      </c>
      <c r="X148" s="78" t="str">
        <f>R148*V148</f>
      </c>
      <c r="Y148" s="79" t="str">
        <f>S148*V148</f>
      </c>
      <c r="Z148" s="80" t="str">
        <f>IFERROR(INDEX('Cost_Components'!$T$2:$T$27,MATCH(E148,'Cost_Components'!$A$2:$A$27,0)),"")</f>
      </c>
      <c r="AA148" s="81" t="str">
        <f>IFERROR(INDEX('Cost_Components'!$U$2:$U$27,MATCH(E148,'Cost_Components'!$A$2:$A$27,0)),"")</f>
      </c>
      <c r="AB148" s="82" t="str">
        <f>IFERROR(INDEX('Cost_Components'!$V$2:$V$27,MATCH(E148,'Cost_Components'!$A$2:$A$27,0)),"")</f>
      </c>
      <c r="AC148" s="83" t="str">
        <f>IFERROR(INDEX('Cost_Components'!$M$2:$M$27,MATCH(E148,'Cost_Components'!$A$2:$A$27,0)),"")</f>
      </c>
      <c r="AD148" s="84" t="str">
        <f>IFERROR(INDEX('Cost_Components'!$N$2:$N$27,MATCH(E148,'Cost_Components'!$A$2:$A$27,0)),"")</f>
      </c>
      <c r="AE148" s="20" t="str">
        <f>IFERROR(INDEX('Cost_Components'!$O$2:$O$27,MATCH(E148,'Cost_Components'!$A$2:$A$27,0)),"")</f>
      </c>
      <c r="AF148" s="85" t="n">
        <v>110423.968661541</v>
      </c>
      <c r="AG148" s="86" t="n">
        <v>105017.945173141</v>
      </c>
      <c r="AH148" s="87" t="str">
        <f>IF(H148="shared-count-once",COUNTIFS($A$2:$A$1353,A148,$B$2:$B$1353,B148,$E$2:$E$1353,E148),1)</f>
      </c>
    </row>
    <row r="149">
      <c r="A149" t="s">
        <v>200</v>
      </c>
      <c r="B149" s="59" t="n">
        <v>2042</v>
      </c>
      <c r="C149" t="s">
        <v>200</v>
      </c>
      <c r="D149" t="s">
        <v>190</v>
      </c>
      <c r="E149" s="60" t="s">
        <v>272</v>
      </c>
      <c r="F149" s="61" t="s">
        <v>273</v>
      </c>
      <c r="G149" s="62" t="s">
        <v>201</v>
      </c>
      <c r="H149" s="63" t="s">
        <v>195</v>
      </c>
      <c r="I149" s="64" t="s">
        <v>267</v>
      </c>
      <c r="J149" s="65" t="str">
        <f>IFERROR(INDEX('Cost_Components'!$K$2:$K$27,MATCH(E149,'Cost_Components'!$A$2:$A$27,0)),"")</f>
      </c>
      <c r="K149" s="66" t="str">
        <f>IF(OR(L149="",Z149="",AA149="",AB149=""),"",IF(B149&lt;AA149,L149,IF(B149&gt;AB149,Z149,L149+(Z149-L149)*MIN(MAX((B149-AA149+1)/MAX(AB149-AA149+1,1),0),1))))</f>
      </c>
      <c r="L149" s="67" t="str">
        <f>IFERROR(INDEX('Cost_Components'!$S$2:$S$27,MATCH(E149,'Cost_Components'!$A$2:$A$27,0)),"")</f>
      </c>
      <c r="M149" s="68" t="str">
        <f>IFERROR(INDEX('Cost_Components'!$L$2:$L$27,MATCH(E149,'Cost_Components'!$A$2:$A$27,0)),"")</f>
      </c>
      <c r="N149" s="69" t="str">
        <f>IFERROR(INDEX('Cost_Components'!$P$2:$P$27,MATCH(E149,'Cost_Components'!$A$2:$A$27,0)),"")</f>
      </c>
      <c r="O149" s="70" t="str">
        <f>AF149*J149</f>
      </c>
      <c r="P149" s="71" t="str">
        <f>AG149*J149</f>
      </c>
      <c r="Q149" s="72" t="str">
        <f>P149*L149*M149*N149</f>
      </c>
      <c r="R149" s="73" t="str">
        <f>O149*K149*M149*N149</f>
      </c>
      <c r="S149" s="74" t="str">
        <f>R149-Q149</f>
      </c>
      <c r="T149" s="20" t="str">
        <f>IFERROR(INDEX('Cost_Components'!$R$2:$R$27,MATCH(E149,'Cost_Components'!$A$2:$A$27,0)),"")</f>
      </c>
      <c r="U149" s="75" t="str">
        <f>IFERROR(INDEX('Cost_Components'!$Q$2:$Q$27,MATCH(E149,'Cost_Components'!$A$2:$A$27,0)),"")</f>
      </c>
      <c r="V149" s="76" t="str">
        <f>1/(1+'Calculation_Assumptions'!$B$5)^(B149-'Calculation_Assumptions'!$B$2)</f>
      </c>
      <c r="W149" s="77" t="str">
        <f>Q149*V149</f>
      </c>
      <c r="X149" s="78" t="str">
        <f>R149*V149</f>
      </c>
      <c r="Y149" s="79" t="str">
        <f>S149*V149</f>
      </c>
      <c r="Z149" s="80" t="str">
        <f>IFERROR(INDEX('Cost_Components'!$T$2:$T$27,MATCH(E149,'Cost_Components'!$A$2:$A$27,0)),"")</f>
      </c>
      <c r="AA149" s="81" t="str">
        <f>IFERROR(INDEX('Cost_Components'!$U$2:$U$27,MATCH(E149,'Cost_Components'!$A$2:$A$27,0)),"")</f>
      </c>
      <c r="AB149" s="82" t="str">
        <f>IFERROR(INDEX('Cost_Components'!$V$2:$V$27,MATCH(E149,'Cost_Components'!$A$2:$A$27,0)),"")</f>
      </c>
      <c r="AC149" s="83" t="str">
        <f>IFERROR(INDEX('Cost_Components'!$M$2:$M$27,MATCH(E149,'Cost_Components'!$A$2:$A$27,0)),"")</f>
      </c>
      <c r="AD149" s="84" t="str">
        <f>IFERROR(INDEX('Cost_Components'!$N$2:$N$27,MATCH(E149,'Cost_Components'!$A$2:$A$27,0)),"")</f>
      </c>
      <c r="AE149" s="20" t="str">
        <f>IFERROR(INDEX('Cost_Components'!$O$2:$O$27,MATCH(E149,'Cost_Components'!$A$2:$A$27,0)),"")</f>
      </c>
      <c r="AF149" s="85" t="n">
        <v>113116.814448138</v>
      </c>
      <c r="AG149" s="86" t="n">
        <v>107176.827813899</v>
      </c>
      <c r="AH149" s="87" t="str">
        <f>IF(H149="shared-count-once",COUNTIFS($A$2:$A$1353,A149,$B$2:$B$1353,B149,$E$2:$E$1353,E149),1)</f>
      </c>
    </row>
    <row r="150">
      <c r="A150" t="s">
        <v>200</v>
      </c>
      <c r="B150" s="59" t="n">
        <v>2043</v>
      </c>
      <c r="C150" t="s">
        <v>200</v>
      </c>
      <c r="D150" t="s">
        <v>190</v>
      </c>
      <c r="E150" s="60" t="s">
        <v>272</v>
      </c>
      <c r="F150" s="61" t="s">
        <v>273</v>
      </c>
      <c r="G150" s="62" t="s">
        <v>201</v>
      </c>
      <c r="H150" s="63" t="s">
        <v>195</v>
      </c>
      <c r="I150" s="64" t="s">
        <v>267</v>
      </c>
      <c r="J150" s="65" t="str">
        <f>IFERROR(INDEX('Cost_Components'!$K$2:$K$27,MATCH(E150,'Cost_Components'!$A$2:$A$27,0)),"")</f>
      </c>
      <c r="K150" s="66" t="str">
        <f>IF(OR(L150="",Z150="",AA150="",AB150=""),"",IF(B150&lt;AA150,L150,IF(B150&gt;AB150,Z150,L150+(Z150-L150)*MIN(MAX((B150-AA150+1)/MAX(AB150-AA150+1,1),0),1))))</f>
      </c>
      <c r="L150" s="67" t="str">
        <f>IFERROR(INDEX('Cost_Components'!$S$2:$S$27,MATCH(E150,'Cost_Components'!$A$2:$A$27,0)),"")</f>
      </c>
      <c r="M150" s="68" t="str">
        <f>IFERROR(INDEX('Cost_Components'!$L$2:$L$27,MATCH(E150,'Cost_Components'!$A$2:$A$27,0)),"")</f>
      </c>
      <c r="N150" s="69" t="str">
        <f>IFERROR(INDEX('Cost_Components'!$P$2:$P$27,MATCH(E150,'Cost_Components'!$A$2:$A$27,0)),"")</f>
      </c>
      <c r="O150" s="70" t="str">
        <f>AF150*J150</f>
      </c>
      <c r="P150" s="71" t="str">
        <f>AG150*J150</f>
      </c>
      <c r="Q150" s="72" t="str">
        <f>P150*L150*M150*N150</f>
      </c>
      <c r="R150" s="73" t="str">
        <f>O150*K150*M150*N150</f>
      </c>
      <c r="S150" s="74" t="str">
        <f>R150-Q150</f>
      </c>
      <c r="T150" s="20" t="str">
        <f>IFERROR(INDEX('Cost_Components'!$R$2:$R$27,MATCH(E150,'Cost_Components'!$A$2:$A$27,0)),"")</f>
      </c>
      <c r="U150" s="75" t="str">
        <f>IFERROR(INDEX('Cost_Components'!$Q$2:$Q$27,MATCH(E150,'Cost_Components'!$A$2:$A$27,0)),"")</f>
      </c>
      <c r="V150" s="76" t="str">
        <f>1/(1+'Calculation_Assumptions'!$B$5)^(B150-'Calculation_Assumptions'!$B$2)</f>
      </c>
      <c r="W150" s="77" t="str">
        <f>Q150*V150</f>
      </c>
      <c r="X150" s="78" t="str">
        <f>R150*V150</f>
      </c>
      <c r="Y150" s="79" t="str">
        <f>S150*V150</f>
      </c>
      <c r="Z150" s="80" t="str">
        <f>IFERROR(INDEX('Cost_Components'!$T$2:$T$27,MATCH(E150,'Cost_Components'!$A$2:$A$27,0)),"")</f>
      </c>
      <c r="AA150" s="81" t="str">
        <f>IFERROR(INDEX('Cost_Components'!$U$2:$U$27,MATCH(E150,'Cost_Components'!$A$2:$A$27,0)),"")</f>
      </c>
      <c r="AB150" s="82" t="str">
        <f>IFERROR(INDEX('Cost_Components'!$V$2:$V$27,MATCH(E150,'Cost_Components'!$A$2:$A$27,0)),"")</f>
      </c>
      <c r="AC150" s="83" t="str">
        <f>IFERROR(INDEX('Cost_Components'!$M$2:$M$27,MATCH(E150,'Cost_Components'!$A$2:$A$27,0)),"")</f>
      </c>
      <c r="AD150" s="84" t="str">
        <f>IFERROR(INDEX('Cost_Components'!$N$2:$N$27,MATCH(E150,'Cost_Components'!$A$2:$A$27,0)),"")</f>
      </c>
      <c r="AE150" s="20" t="str">
        <f>IFERROR(INDEX('Cost_Components'!$O$2:$O$27,MATCH(E150,'Cost_Components'!$A$2:$A$27,0)),"")</f>
      </c>
      <c r="AF150" s="85" t="n">
        <v>115905.968149768</v>
      </c>
      <c r="AG150" s="86" t="n">
        <v>109412.075927052</v>
      </c>
      <c r="AH150" s="87" t="str">
        <f>IF(H150="shared-count-once",COUNTIFS($A$2:$A$1353,A150,$B$2:$B$1353,B150,$E$2:$E$1353,E150),1)</f>
      </c>
    </row>
    <row r="151">
      <c r="A151" t="s">
        <v>200</v>
      </c>
      <c r="B151" s="59" t="n">
        <v>2044</v>
      </c>
      <c r="C151" t="s">
        <v>200</v>
      </c>
      <c r="D151" t="s">
        <v>190</v>
      </c>
      <c r="E151" s="60" t="s">
        <v>272</v>
      </c>
      <c r="F151" s="61" t="s">
        <v>273</v>
      </c>
      <c r="G151" s="62" t="s">
        <v>201</v>
      </c>
      <c r="H151" s="63" t="s">
        <v>195</v>
      </c>
      <c r="I151" s="64" t="s">
        <v>267</v>
      </c>
      <c r="J151" s="65" t="str">
        <f>IFERROR(INDEX('Cost_Components'!$K$2:$K$27,MATCH(E151,'Cost_Components'!$A$2:$A$27,0)),"")</f>
      </c>
      <c r="K151" s="66" t="str">
        <f>IF(OR(L151="",Z151="",AA151="",AB151=""),"",IF(B151&lt;AA151,L151,IF(B151&gt;AB151,Z151,L151+(Z151-L151)*MIN(MAX((B151-AA151+1)/MAX(AB151-AA151+1,1),0),1))))</f>
      </c>
      <c r="L151" s="67" t="str">
        <f>IFERROR(INDEX('Cost_Components'!$S$2:$S$27,MATCH(E151,'Cost_Components'!$A$2:$A$27,0)),"")</f>
      </c>
      <c r="M151" s="68" t="str">
        <f>IFERROR(INDEX('Cost_Components'!$L$2:$L$27,MATCH(E151,'Cost_Components'!$A$2:$A$27,0)),"")</f>
      </c>
      <c r="N151" s="69" t="str">
        <f>IFERROR(INDEX('Cost_Components'!$P$2:$P$27,MATCH(E151,'Cost_Components'!$A$2:$A$27,0)),"")</f>
      </c>
      <c r="O151" s="70" t="str">
        <f>AF151*J151</f>
      </c>
      <c r="P151" s="71" t="str">
        <f>AG151*J151</f>
      </c>
      <c r="Q151" s="72" t="str">
        <f>P151*L151*M151*N151</f>
      </c>
      <c r="R151" s="73" t="str">
        <f>O151*K151*M151*N151</f>
      </c>
      <c r="S151" s="74" t="str">
        <f>R151-Q151</f>
      </c>
      <c r="T151" s="20" t="str">
        <f>IFERROR(INDEX('Cost_Components'!$R$2:$R$27,MATCH(E151,'Cost_Components'!$A$2:$A$27,0)),"")</f>
      </c>
      <c r="U151" s="75" t="str">
        <f>IFERROR(INDEX('Cost_Components'!$Q$2:$Q$27,MATCH(E151,'Cost_Components'!$A$2:$A$27,0)),"")</f>
      </c>
      <c r="V151" s="76" t="str">
        <f>1/(1+'Calculation_Assumptions'!$B$5)^(B151-'Calculation_Assumptions'!$B$2)</f>
      </c>
      <c r="W151" s="77" t="str">
        <f>Q151*V151</f>
      </c>
      <c r="X151" s="78" t="str">
        <f>R151*V151</f>
      </c>
      <c r="Y151" s="79" t="str">
        <f>S151*V151</f>
      </c>
      <c r="Z151" s="80" t="str">
        <f>IFERROR(INDEX('Cost_Components'!$T$2:$T$27,MATCH(E151,'Cost_Components'!$A$2:$A$27,0)),"")</f>
      </c>
      <c r="AA151" s="81" t="str">
        <f>IFERROR(INDEX('Cost_Components'!$U$2:$U$27,MATCH(E151,'Cost_Components'!$A$2:$A$27,0)),"")</f>
      </c>
      <c r="AB151" s="82" t="str">
        <f>IFERROR(INDEX('Cost_Components'!$V$2:$V$27,MATCH(E151,'Cost_Components'!$A$2:$A$27,0)),"")</f>
      </c>
      <c r="AC151" s="83" t="str">
        <f>IFERROR(INDEX('Cost_Components'!$M$2:$M$27,MATCH(E151,'Cost_Components'!$A$2:$A$27,0)),"")</f>
      </c>
      <c r="AD151" s="84" t="str">
        <f>IFERROR(INDEX('Cost_Components'!$N$2:$N$27,MATCH(E151,'Cost_Components'!$A$2:$A$27,0)),"")</f>
      </c>
      <c r="AE151" s="20" t="str">
        <f>IFERROR(INDEX('Cost_Components'!$O$2:$O$27,MATCH(E151,'Cost_Components'!$A$2:$A$27,0)),"")</f>
      </c>
      <c r="AF151" s="85" t="n">
        <v>118784.47918703</v>
      </c>
      <c r="AG151" s="86" t="n">
        <v>111717.49359171</v>
      </c>
      <c r="AH151" s="87" t="str">
        <f>IF(H151="shared-count-once",COUNTIFS($A$2:$A$1353,A151,$B$2:$B$1353,B151,$E$2:$E$1353,E151),1)</f>
      </c>
    </row>
    <row r="152">
      <c r="A152" t="s">
        <v>200</v>
      </c>
      <c r="B152" s="59" t="n">
        <v>2045</v>
      </c>
      <c r="C152" t="s">
        <v>200</v>
      </c>
      <c r="D152" t="s">
        <v>190</v>
      </c>
      <c r="E152" s="60" t="s">
        <v>272</v>
      </c>
      <c r="F152" s="61" t="s">
        <v>273</v>
      </c>
      <c r="G152" s="62" t="s">
        <v>201</v>
      </c>
      <c r="H152" s="63" t="s">
        <v>195</v>
      </c>
      <c r="I152" s="64" t="s">
        <v>267</v>
      </c>
      <c r="J152" s="65" t="str">
        <f>IFERROR(INDEX('Cost_Components'!$K$2:$K$27,MATCH(E152,'Cost_Components'!$A$2:$A$27,0)),"")</f>
      </c>
      <c r="K152" s="66" t="str">
        <f>IF(OR(L152="",Z152="",AA152="",AB152=""),"",IF(B152&lt;AA152,L152,IF(B152&gt;AB152,Z152,L152+(Z152-L152)*MIN(MAX((B152-AA152+1)/MAX(AB152-AA152+1,1),0),1))))</f>
      </c>
      <c r="L152" s="67" t="str">
        <f>IFERROR(INDEX('Cost_Components'!$S$2:$S$27,MATCH(E152,'Cost_Components'!$A$2:$A$27,0)),"")</f>
      </c>
      <c r="M152" s="68" t="str">
        <f>IFERROR(INDEX('Cost_Components'!$L$2:$L$27,MATCH(E152,'Cost_Components'!$A$2:$A$27,0)),"")</f>
      </c>
      <c r="N152" s="69" t="str">
        <f>IFERROR(INDEX('Cost_Components'!$P$2:$P$27,MATCH(E152,'Cost_Components'!$A$2:$A$27,0)),"")</f>
      </c>
      <c r="O152" s="70" t="str">
        <f>AF152*J152</f>
      </c>
      <c r="P152" s="71" t="str">
        <f>AG152*J152</f>
      </c>
      <c r="Q152" s="72" t="str">
        <f>P152*L152*M152*N152</f>
      </c>
      <c r="R152" s="73" t="str">
        <f>O152*K152*M152*N152</f>
      </c>
      <c r="S152" s="74" t="str">
        <f>R152-Q152</f>
      </c>
      <c r="T152" s="20" t="str">
        <f>IFERROR(INDEX('Cost_Components'!$R$2:$R$27,MATCH(E152,'Cost_Components'!$A$2:$A$27,0)),"")</f>
      </c>
      <c r="U152" s="75" t="str">
        <f>IFERROR(INDEX('Cost_Components'!$Q$2:$Q$27,MATCH(E152,'Cost_Components'!$A$2:$A$27,0)),"")</f>
      </c>
      <c r="V152" s="76" t="str">
        <f>1/(1+'Calculation_Assumptions'!$B$5)^(B152-'Calculation_Assumptions'!$B$2)</f>
      </c>
      <c r="W152" s="77" t="str">
        <f>Q152*V152</f>
      </c>
      <c r="X152" s="78" t="str">
        <f>R152*V152</f>
      </c>
      <c r="Y152" s="79" t="str">
        <f>S152*V152</f>
      </c>
      <c r="Z152" s="80" t="str">
        <f>IFERROR(INDEX('Cost_Components'!$T$2:$T$27,MATCH(E152,'Cost_Components'!$A$2:$A$27,0)),"")</f>
      </c>
      <c r="AA152" s="81" t="str">
        <f>IFERROR(INDEX('Cost_Components'!$U$2:$U$27,MATCH(E152,'Cost_Components'!$A$2:$A$27,0)),"")</f>
      </c>
      <c r="AB152" s="82" t="str">
        <f>IFERROR(INDEX('Cost_Components'!$V$2:$V$27,MATCH(E152,'Cost_Components'!$A$2:$A$27,0)),"")</f>
      </c>
      <c r="AC152" s="83" t="str">
        <f>IFERROR(INDEX('Cost_Components'!$M$2:$M$27,MATCH(E152,'Cost_Components'!$A$2:$A$27,0)),"")</f>
      </c>
      <c r="AD152" s="84" t="str">
        <f>IFERROR(INDEX('Cost_Components'!$N$2:$N$27,MATCH(E152,'Cost_Components'!$A$2:$A$27,0)),"")</f>
      </c>
      <c r="AE152" s="20" t="str">
        <f>IFERROR(INDEX('Cost_Components'!$O$2:$O$27,MATCH(E152,'Cost_Components'!$A$2:$A$27,0)),"")</f>
      </c>
      <c r="AF152" s="85" t="n">
        <v>121753.051784295</v>
      </c>
      <c r="AG152" s="86" t="n">
        <v>114095.274012368</v>
      </c>
      <c r="AH152" s="87" t="str">
        <f>IF(H152="shared-count-once",COUNTIFS($A$2:$A$1353,A152,$B$2:$B$1353,B152,$E$2:$E$1353,E152),1)</f>
      </c>
    </row>
    <row r="153">
      <c r="A153" t="s">
        <v>200</v>
      </c>
      <c r="B153" s="59" t="n">
        <v>2046</v>
      </c>
      <c r="C153" t="s">
        <v>200</v>
      </c>
      <c r="D153" t="s">
        <v>190</v>
      </c>
      <c r="E153" s="60" t="s">
        <v>272</v>
      </c>
      <c r="F153" s="61" t="s">
        <v>273</v>
      </c>
      <c r="G153" s="62" t="s">
        <v>201</v>
      </c>
      <c r="H153" s="63" t="s">
        <v>195</v>
      </c>
      <c r="I153" s="64" t="s">
        <v>267</v>
      </c>
      <c r="J153" s="65" t="str">
        <f>IFERROR(INDEX('Cost_Components'!$K$2:$K$27,MATCH(E153,'Cost_Components'!$A$2:$A$27,0)),"")</f>
      </c>
      <c r="K153" s="66" t="str">
        <f>IF(OR(L153="",Z153="",AA153="",AB153=""),"",IF(B153&lt;AA153,L153,IF(B153&gt;AB153,Z153,L153+(Z153-L153)*MIN(MAX((B153-AA153+1)/MAX(AB153-AA153+1,1),0),1))))</f>
      </c>
      <c r="L153" s="67" t="str">
        <f>IFERROR(INDEX('Cost_Components'!$S$2:$S$27,MATCH(E153,'Cost_Components'!$A$2:$A$27,0)),"")</f>
      </c>
      <c r="M153" s="68" t="str">
        <f>IFERROR(INDEX('Cost_Components'!$L$2:$L$27,MATCH(E153,'Cost_Components'!$A$2:$A$27,0)),"")</f>
      </c>
      <c r="N153" s="69" t="str">
        <f>IFERROR(INDEX('Cost_Components'!$P$2:$P$27,MATCH(E153,'Cost_Components'!$A$2:$A$27,0)),"")</f>
      </c>
      <c r="O153" s="70" t="str">
        <f>AF153*J153</f>
      </c>
      <c r="P153" s="71" t="str">
        <f>AG153*J153</f>
      </c>
      <c r="Q153" s="72" t="str">
        <f>P153*L153*M153*N153</f>
      </c>
      <c r="R153" s="73" t="str">
        <f>O153*K153*M153*N153</f>
      </c>
      <c r="S153" s="74" t="str">
        <f>R153-Q153</f>
      </c>
      <c r="T153" s="20" t="str">
        <f>IFERROR(INDEX('Cost_Components'!$R$2:$R$27,MATCH(E153,'Cost_Components'!$A$2:$A$27,0)),"")</f>
      </c>
      <c r="U153" s="75" t="str">
        <f>IFERROR(INDEX('Cost_Components'!$Q$2:$Q$27,MATCH(E153,'Cost_Components'!$A$2:$A$27,0)),"")</f>
      </c>
      <c r="V153" s="76" t="str">
        <f>1/(1+'Calculation_Assumptions'!$B$5)^(B153-'Calculation_Assumptions'!$B$2)</f>
      </c>
      <c r="W153" s="77" t="str">
        <f>Q153*V153</f>
      </c>
      <c r="X153" s="78" t="str">
        <f>R153*V153</f>
      </c>
      <c r="Y153" s="79" t="str">
        <f>S153*V153</f>
      </c>
      <c r="Z153" s="80" t="str">
        <f>IFERROR(INDEX('Cost_Components'!$T$2:$T$27,MATCH(E153,'Cost_Components'!$A$2:$A$27,0)),"")</f>
      </c>
      <c r="AA153" s="81" t="str">
        <f>IFERROR(INDEX('Cost_Components'!$U$2:$U$27,MATCH(E153,'Cost_Components'!$A$2:$A$27,0)),"")</f>
      </c>
      <c r="AB153" s="82" t="str">
        <f>IFERROR(INDEX('Cost_Components'!$V$2:$V$27,MATCH(E153,'Cost_Components'!$A$2:$A$27,0)),"")</f>
      </c>
      <c r="AC153" s="83" t="str">
        <f>IFERROR(INDEX('Cost_Components'!$M$2:$M$27,MATCH(E153,'Cost_Components'!$A$2:$A$27,0)),"")</f>
      </c>
      <c r="AD153" s="84" t="str">
        <f>IFERROR(INDEX('Cost_Components'!$N$2:$N$27,MATCH(E153,'Cost_Components'!$A$2:$A$27,0)),"")</f>
      </c>
      <c r="AE153" s="20" t="str">
        <f>IFERROR(INDEX('Cost_Components'!$O$2:$O$27,MATCH(E153,'Cost_Components'!$A$2:$A$27,0)),"")</f>
      </c>
      <c r="AF153" s="85" t="n">
        <v>124793.172281909</v>
      </c>
      <c r="AG153" s="86" t="n">
        <v>116526.846002341</v>
      </c>
      <c r="AH153" s="87" t="str">
        <f>IF(H153="shared-count-once",COUNTIFS($A$2:$A$1353,A153,$B$2:$B$1353,B153,$E$2:$E$1353,E153),1)</f>
      </c>
    </row>
    <row r="154">
      <c r="A154" t="s">
        <v>200</v>
      </c>
      <c r="B154" s="59" t="n">
        <v>2047</v>
      </c>
      <c r="C154" t="s">
        <v>200</v>
      </c>
      <c r="D154" t="s">
        <v>190</v>
      </c>
      <c r="E154" s="60" t="s">
        <v>272</v>
      </c>
      <c r="F154" s="61" t="s">
        <v>273</v>
      </c>
      <c r="G154" s="62" t="s">
        <v>201</v>
      </c>
      <c r="H154" s="63" t="s">
        <v>195</v>
      </c>
      <c r="I154" s="64" t="s">
        <v>267</v>
      </c>
      <c r="J154" s="65" t="str">
        <f>IFERROR(INDEX('Cost_Components'!$K$2:$K$27,MATCH(E154,'Cost_Components'!$A$2:$A$27,0)),"")</f>
      </c>
      <c r="K154" s="66" t="str">
        <f>IF(OR(L154="",Z154="",AA154="",AB154=""),"",IF(B154&lt;AA154,L154,IF(B154&gt;AB154,Z154,L154+(Z154-L154)*MIN(MAX((B154-AA154+1)/MAX(AB154-AA154+1,1),0),1))))</f>
      </c>
      <c r="L154" s="67" t="str">
        <f>IFERROR(INDEX('Cost_Components'!$S$2:$S$27,MATCH(E154,'Cost_Components'!$A$2:$A$27,0)),"")</f>
      </c>
      <c r="M154" s="68" t="str">
        <f>IFERROR(INDEX('Cost_Components'!$L$2:$L$27,MATCH(E154,'Cost_Components'!$A$2:$A$27,0)),"")</f>
      </c>
      <c r="N154" s="69" t="str">
        <f>IFERROR(INDEX('Cost_Components'!$P$2:$P$27,MATCH(E154,'Cost_Components'!$A$2:$A$27,0)),"")</f>
      </c>
      <c r="O154" s="70" t="str">
        <f>AF154*J154</f>
      </c>
      <c r="P154" s="71" t="str">
        <f>AG154*J154</f>
      </c>
      <c r="Q154" s="72" t="str">
        <f>P154*L154*M154*N154</f>
      </c>
      <c r="R154" s="73" t="str">
        <f>O154*K154*M154*N154</f>
      </c>
      <c r="S154" s="74" t="str">
        <f>R154-Q154</f>
      </c>
      <c r="T154" s="20" t="str">
        <f>IFERROR(INDEX('Cost_Components'!$R$2:$R$27,MATCH(E154,'Cost_Components'!$A$2:$A$27,0)),"")</f>
      </c>
      <c r="U154" s="75" t="str">
        <f>IFERROR(INDEX('Cost_Components'!$Q$2:$Q$27,MATCH(E154,'Cost_Components'!$A$2:$A$27,0)),"")</f>
      </c>
      <c r="V154" s="76" t="str">
        <f>1/(1+'Calculation_Assumptions'!$B$5)^(B154-'Calculation_Assumptions'!$B$2)</f>
      </c>
      <c r="W154" s="77" t="str">
        <f>Q154*V154</f>
      </c>
      <c r="X154" s="78" t="str">
        <f>R154*V154</f>
      </c>
      <c r="Y154" s="79" t="str">
        <f>S154*V154</f>
      </c>
      <c r="Z154" s="80" t="str">
        <f>IFERROR(INDEX('Cost_Components'!$T$2:$T$27,MATCH(E154,'Cost_Components'!$A$2:$A$27,0)),"")</f>
      </c>
      <c r="AA154" s="81" t="str">
        <f>IFERROR(INDEX('Cost_Components'!$U$2:$U$27,MATCH(E154,'Cost_Components'!$A$2:$A$27,0)),"")</f>
      </c>
      <c r="AB154" s="82" t="str">
        <f>IFERROR(INDEX('Cost_Components'!$V$2:$V$27,MATCH(E154,'Cost_Components'!$A$2:$A$27,0)),"")</f>
      </c>
      <c r="AC154" s="83" t="str">
        <f>IFERROR(INDEX('Cost_Components'!$M$2:$M$27,MATCH(E154,'Cost_Components'!$A$2:$A$27,0)),"")</f>
      </c>
      <c r="AD154" s="84" t="str">
        <f>IFERROR(INDEX('Cost_Components'!$N$2:$N$27,MATCH(E154,'Cost_Components'!$A$2:$A$27,0)),"")</f>
      </c>
      <c r="AE154" s="20" t="str">
        <f>IFERROR(INDEX('Cost_Components'!$O$2:$O$27,MATCH(E154,'Cost_Components'!$A$2:$A$27,0)),"")</f>
      </c>
      <c r="AF154" s="85" t="n">
        <v>127887.081083015</v>
      </c>
      <c r="AG154" s="86" t="n">
        <v>118996.23941396</v>
      </c>
      <c r="AH154" s="87" t="str">
        <f>IF(H154="shared-count-once",COUNTIFS($A$2:$A$1353,A154,$B$2:$B$1353,B154,$E$2:$E$1353,E154),1)</f>
      </c>
    </row>
    <row r="155">
      <c r="A155" t="s">
        <v>200</v>
      </c>
      <c r="B155" s="59" t="n">
        <v>2048</v>
      </c>
      <c r="C155" t="s">
        <v>200</v>
      </c>
      <c r="D155" t="s">
        <v>190</v>
      </c>
      <c r="E155" s="60" t="s">
        <v>272</v>
      </c>
      <c r="F155" s="61" t="s">
        <v>273</v>
      </c>
      <c r="G155" s="62" t="s">
        <v>201</v>
      </c>
      <c r="H155" s="63" t="s">
        <v>195</v>
      </c>
      <c r="I155" s="64" t="s">
        <v>267</v>
      </c>
      <c r="J155" s="65" t="str">
        <f>IFERROR(INDEX('Cost_Components'!$K$2:$K$27,MATCH(E155,'Cost_Components'!$A$2:$A$27,0)),"")</f>
      </c>
      <c r="K155" s="66" t="str">
        <f>IF(OR(L155="",Z155="",AA155="",AB155=""),"",IF(B155&lt;AA155,L155,IF(B155&gt;AB155,Z155,L155+(Z155-L155)*MIN(MAX((B155-AA155+1)/MAX(AB155-AA155+1,1),0),1))))</f>
      </c>
      <c r="L155" s="67" t="str">
        <f>IFERROR(INDEX('Cost_Components'!$S$2:$S$27,MATCH(E155,'Cost_Components'!$A$2:$A$27,0)),"")</f>
      </c>
      <c r="M155" s="68" t="str">
        <f>IFERROR(INDEX('Cost_Components'!$L$2:$L$27,MATCH(E155,'Cost_Components'!$A$2:$A$27,0)),"")</f>
      </c>
      <c r="N155" s="69" t="str">
        <f>IFERROR(INDEX('Cost_Components'!$P$2:$P$27,MATCH(E155,'Cost_Components'!$A$2:$A$27,0)),"")</f>
      </c>
      <c r="O155" s="70" t="str">
        <f>AF155*J155</f>
      </c>
      <c r="P155" s="71" t="str">
        <f>AG155*J155</f>
      </c>
      <c r="Q155" s="72" t="str">
        <f>P155*L155*M155*N155</f>
      </c>
      <c r="R155" s="73" t="str">
        <f>O155*K155*M155*N155</f>
      </c>
      <c r="S155" s="74" t="str">
        <f>R155-Q155</f>
      </c>
      <c r="T155" s="20" t="str">
        <f>IFERROR(INDEX('Cost_Components'!$R$2:$R$27,MATCH(E155,'Cost_Components'!$A$2:$A$27,0)),"")</f>
      </c>
      <c r="U155" s="75" t="str">
        <f>IFERROR(INDEX('Cost_Components'!$Q$2:$Q$27,MATCH(E155,'Cost_Components'!$A$2:$A$27,0)),"")</f>
      </c>
      <c r="V155" s="76" t="str">
        <f>1/(1+'Calculation_Assumptions'!$B$5)^(B155-'Calculation_Assumptions'!$B$2)</f>
      </c>
      <c r="W155" s="77" t="str">
        <f>Q155*V155</f>
      </c>
      <c r="X155" s="78" t="str">
        <f>R155*V155</f>
      </c>
      <c r="Y155" s="79" t="str">
        <f>S155*V155</f>
      </c>
      <c r="Z155" s="80" t="str">
        <f>IFERROR(INDEX('Cost_Components'!$T$2:$T$27,MATCH(E155,'Cost_Components'!$A$2:$A$27,0)),"")</f>
      </c>
      <c r="AA155" s="81" t="str">
        <f>IFERROR(INDEX('Cost_Components'!$U$2:$U$27,MATCH(E155,'Cost_Components'!$A$2:$A$27,0)),"")</f>
      </c>
      <c r="AB155" s="82" t="str">
        <f>IFERROR(INDEX('Cost_Components'!$V$2:$V$27,MATCH(E155,'Cost_Components'!$A$2:$A$27,0)),"")</f>
      </c>
      <c r="AC155" s="83" t="str">
        <f>IFERROR(INDEX('Cost_Components'!$M$2:$M$27,MATCH(E155,'Cost_Components'!$A$2:$A$27,0)),"")</f>
      </c>
      <c r="AD155" s="84" t="str">
        <f>IFERROR(INDEX('Cost_Components'!$N$2:$N$27,MATCH(E155,'Cost_Components'!$A$2:$A$27,0)),"")</f>
      </c>
      <c r="AE155" s="20" t="str">
        <f>IFERROR(INDEX('Cost_Components'!$O$2:$O$27,MATCH(E155,'Cost_Components'!$A$2:$A$27,0)),"")</f>
      </c>
      <c r="AF155" s="85" t="n">
        <v>131012.530996211</v>
      </c>
      <c r="AG155" s="86" t="n">
        <v>121484.742904679</v>
      </c>
      <c r="AH155" s="87" t="str">
        <f>IF(H155="shared-count-once",COUNTIFS($A$2:$A$1353,A155,$B$2:$B$1353,B155,$E$2:$E$1353,E155),1)</f>
      </c>
    </row>
    <row r="156">
      <c r="A156" t="s">
        <v>200</v>
      </c>
      <c r="B156" s="59" t="n">
        <v>2049</v>
      </c>
      <c r="C156" t="s">
        <v>200</v>
      </c>
      <c r="D156" t="s">
        <v>190</v>
      </c>
      <c r="E156" s="60" t="s">
        <v>272</v>
      </c>
      <c r="F156" s="61" t="s">
        <v>273</v>
      </c>
      <c r="G156" s="62" t="s">
        <v>201</v>
      </c>
      <c r="H156" s="63" t="s">
        <v>195</v>
      </c>
      <c r="I156" s="64" t="s">
        <v>267</v>
      </c>
      <c r="J156" s="65" t="str">
        <f>IFERROR(INDEX('Cost_Components'!$K$2:$K$27,MATCH(E156,'Cost_Components'!$A$2:$A$27,0)),"")</f>
      </c>
      <c r="K156" s="66" t="str">
        <f>IF(OR(L156="",Z156="",AA156="",AB156=""),"",IF(B156&lt;AA156,L156,IF(B156&gt;AB156,Z156,L156+(Z156-L156)*MIN(MAX((B156-AA156+1)/MAX(AB156-AA156+1,1),0),1))))</f>
      </c>
      <c r="L156" s="67" t="str">
        <f>IFERROR(INDEX('Cost_Components'!$S$2:$S$27,MATCH(E156,'Cost_Components'!$A$2:$A$27,0)),"")</f>
      </c>
      <c r="M156" s="68" t="str">
        <f>IFERROR(INDEX('Cost_Components'!$L$2:$L$27,MATCH(E156,'Cost_Components'!$A$2:$A$27,0)),"")</f>
      </c>
      <c r="N156" s="69" t="str">
        <f>IFERROR(INDEX('Cost_Components'!$P$2:$P$27,MATCH(E156,'Cost_Components'!$A$2:$A$27,0)),"")</f>
      </c>
      <c r="O156" s="70" t="str">
        <f>AF156*J156</f>
      </c>
      <c r="P156" s="71" t="str">
        <f>AG156*J156</f>
      </c>
      <c r="Q156" s="72" t="str">
        <f>P156*L156*M156*N156</f>
      </c>
      <c r="R156" s="73" t="str">
        <f>O156*K156*M156*N156</f>
      </c>
      <c r="S156" s="74" t="str">
        <f>R156-Q156</f>
      </c>
      <c r="T156" s="20" t="str">
        <f>IFERROR(INDEX('Cost_Components'!$R$2:$R$27,MATCH(E156,'Cost_Components'!$A$2:$A$27,0)),"")</f>
      </c>
      <c r="U156" s="75" t="str">
        <f>IFERROR(INDEX('Cost_Components'!$Q$2:$Q$27,MATCH(E156,'Cost_Components'!$A$2:$A$27,0)),"")</f>
      </c>
      <c r="V156" s="76" t="str">
        <f>1/(1+'Calculation_Assumptions'!$B$5)^(B156-'Calculation_Assumptions'!$B$2)</f>
      </c>
      <c r="W156" s="77" t="str">
        <f>Q156*V156</f>
      </c>
      <c r="X156" s="78" t="str">
        <f>R156*V156</f>
      </c>
      <c r="Y156" s="79" t="str">
        <f>S156*V156</f>
      </c>
      <c r="Z156" s="80" t="str">
        <f>IFERROR(INDEX('Cost_Components'!$T$2:$T$27,MATCH(E156,'Cost_Components'!$A$2:$A$27,0)),"")</f>
      </c>
      <c r="AA156" s="81" t="str">
        <f>IFERROR(INDEX('Cost_Components'!$U$2:$U$27,MATCH(E156,'Cost_Components'!$A$2:$A$27,0)),"")</f>
      </c>
      <c r="AB156" s="82" t="str">
        <f>IFERROR(INDEX('Cost_Components'!$V$2:$V$27,MATCH(E156,'Cost_Components'!$A$2:$A$27,0)),"")</f>
      </c>
      <c r="AC156" s="83" t="str">
        <f>IFERROR(INDEX('Cost_Components'!$M$2:$M$27,MATCH(E156,'Cost_Components'!$A$2:$A$27,0)),"")</f>
      </c>
      <c r="AD156" s="84" t="str">
        <f>IFERROR(INDEX('Cost_Components'!$N$2:$N$27,MATCH(E156,'Cost_Components'!$A$2:$A$27,0)),"")</f>
      </c>
      <c r="AE156" s="20" t="str">
        <f>IFERROR(INDEX('Cost_Components'!$O$2:$O$27,MATCH(E156,'Cost_Components'!$A$2:$A$27,0)),"")</f>
      </c>
      <c r="AF156" s="85" t="n">
        <v>134149.88960143</v>
      </c>
      <c r="AG156" s="86" t="n">
        <v>123973.319152679</v>
      </c>
      <c r="AH156" s="87" t="str">
        <f>IF(H156="shared-count-once",COUNTIFS($A$2:$A$1353,A156,$B$2:$B$1353,B156,$E$2:$E$1353,E156),1)</f>
      </c>
    </row>
    <row r="157">
      <c r="A157" t="s">
        <v>200</v>
      </c>
      <c r="B157" s="59" t="n">
        <v>2050</v>
      </c>
      <c r="C157" t="s">
        <v>200</v>
      </c>
      <c r="D157" t="s">
        <v>190</v>
      </c>
      <c r="E157" s="60" t="s">
        <v>272</v>
      </c>
      <c r="F157" s="61" t="s">
        <v>273</v>
      </c>
      <c r="G157" s="62" t="s">
        <v>201</v>
      </c>
      <c r="H157" s="63" t="s">
        <v>195</v>
      </c>
      <c r="I157" s="64" t="s">
        <v>267</v>
      </c>
      <c r="J157" s="65" t="str">
        <f>IFERROR(INDEX('Cost_Components'!$K$2:$K$27,MATCH(E157,'Cost_Components'!$A$2:$A$27,0)),"")</f>
      </c>
      <c r="K157" s="66" t="str">
        <f>IF(OR(L157="",Z157="",AA157="",AB157=""),"",IF(B157&lt;AA157,L157,IF(B157&gt;AB157,Z157,L157+(Z157-L157)*MIN(MAX((B157-AA157+1)/MAX(AB157-AA157+1,1),0),1))))</f>
      </c>
      <c r="L157" s="67" t="str">
        <f>IFERROR(INDEX('Cost_Components'!$S$2:$S$27,MATCH(E157,'Cost_Components'!$A$2:$A$27,0)),"")</f>
      </c>
      <c r="M157" s="68" t="str">
        <f>IFERROR(INDEX('Cost_Components'!$L$2:$L$27,MATCH(E157,'Cost_Components'!$A$2:$A$27,0)),"")</f>
      </c>
      <c r="N157" s="69" t="str">
        <f>IFERROR(INDEX('Cost_Components'!$P$2:$P$27,MATCH(E157,'Cost_Components'!$A$2:$A$27,0)),"")</f>
      </c>
      <c r="O157" s="70" t="str">
        <f>AF157*J157</f>
      </c>
      <c r="P157" s="71" t="str">
        <f>AG157*J157</f>
      </c>
      <c r="Q157" s="72" t="str">
        <f>P157*L157*M157*N157</f>
      </c>
      <c r="R157" s="73" t="str">
        <f>O157*K157*M157*N157</f>
      </c>
      <c r="S157" s="74" t="str">
        <f>R157-Q157</f>
      </c>
      <c r="T157" s="20" t="str">
        <f>IFERROR(INDEX('Cost_Components'!$R$2:$R$27,MATCH(E157,'Cost_Components'!$A$2:$A$27,0)),"")</f>
      </c>
      <c r="U157" s="75" t="str">
        <f>IFERROR(INDEX('Cost_Components'!$Q$2:$Q$27,MATCH(E157,'Cost_Components'!$A$2:$A$27,0)),"")</f>
      </c>
      <c r="V157" s="76" t="str">
        <f>1/(1+'Calculation_Assumptions'!$B$5)^(B157-'Calculation_Assumptions'!$B$2)</f>
      </c>
      <c r="W157" s="77" t="str">
        <f>Q157*V157</f>
      </c>
      <c r="X157" s="78" t="str">
        <f>R157*V157</f>
      </c>
      <c r="Y157" s="79" t="str">
        <f>S157*V157</f>
      </c>
      <c r="Z157" s="80" t="str">
        <f>IFERROR(INDEX('Cost_Components'!$T$2:$T$27,MATCH(E157,'Cost_Components'!$A$2:$A$27,0)),"")</f>
      </c>
      <c r="AA157" s="81" t="str">
        <f>IFERROR(INDEX('Cost_Components'!$U$2:$U$27,MATCH(E157,'Cost_Components'!$A$2:$A$27,0)),"")</f>
      </c>
      <c r="AB157" s="82" t="str">
        <f>IFERROR(INDEX('Cost_Components'!$V$2:$V$27,MATCH(E157,'Cost_Components'!$A$2:$A$27,0)),"")</f>
      </c>
      <c r="AC157" s="83" t="str">
        <f>IFERROR(INDEX('Cost_Components'!$M$2:$M$27,MATCH(E157,'Cost_Components'!$A$2:$A$27,0)),"")</f>
      </c>
      <c r="AD157" s="84" t="str">
        <f>IFERROR(INDEX('Cost_Components'!$N$2:$N$27,MATCH(E157,'Cost_Components'!$A$2:$A$27,0)),"")</f>
      </c>
      <c r="AE157" s="20" t="str">
        <f>IFERROR(INDEX('Cost_Components'!$O$2:$O$27,MATCH(E157,'Cost_Components'!$A$2:$A$27,0)),"")</f>
      </c>
      <c r="AF157" s="85" t="n">
        <v>137296.05020091</v>
      </c>
      <c r="AG157" s="86" t="n">
        <v>126459.62395605</v>
      </c>
      <c r="AH157" s="87" t="str">
        <f>IF(H157="shared-count-once",COUNTIFS($A$2:$A$1353,A157,$B$2:$B$1353,B157,$E$2:$E$1353,E157),1)</f>
      </c>
    </row>
    <row r="158">
      <c r="A158" t="s">
        <v>200</v>
      </c>
      <c r="B158" s="59" t="n">
        <v>2025</v>
      </c>
      <c r="C158" t="s">
        <v>200</v>
      </c>
      <c r="D158" t="s">
        <v>190</v>
      </c>
      <c r="E158" s="60" t="s">
        <v>275</v>
      </c>
      <c r="F158" s="61" t="s">
        <v>276</v>
      </c>
      <c r="G158" s="62" t="s">
        <v>201</v>
      </c>
      <c r="H158" s="63" t="s">
        <v>195</v>
      </c>
      <c r="I158" s="64" t="s">
        <v>267</v>
      </c>
      <c r="J158" s="65" t="str">
        <f>IFERROR(INDEX('Cost_Components'!$K$2:$K$27,MATCH(E158,'Cost_Components'!$A$2:$A$27,0)),"")</f>
      </c>
      <c r="K158" s="66" t="str">
        <f>IF(OR(L158="",Z158="",AA158="",AB158=""),"",IF(B158&lt;AA158,L158,IF(B158&gt;AB158,Z158,L158+(Z158-L158)*MIN(MAX((B158-AA158+1)/MAX(AB158-AA158+1,1),0),1))))</f>
      </c>
      <c r="L158" s="67" t="str">
        <f>IFERROR(INDEX('Cost_Components'!$S$2:$S$27,MATCH(E158,'Cost_Components'!$A$2:$A$27,0)),"")</f>
      </c>
      <c r="M158" s="68" t="str">
        <f>IFERROR(INDEX('Cost_Components'!$L$2:$L$27,MATCH(E158,'Cost_Components'!$A$2:$A$27,0)),"")</f>
      </c>
      <c r="N158" s="69" t="str">
        <f>IFERROR(INDEX('Cost_Components'!$P$2:$P$27,MATCH(E158,'Cost_Components'!$A$2:$A$27,0)),"")</f>
      </c>
      <c r="O158" s="70" t="str">
        <f>AF158*J158</f>
      </c>
      <c r="P158" s="71" t="str">
        <f>AG158*J158</f>
      </c>
      <c r="Q158" s="72" t="str">
        <f>P158*L158*M158*N158</f>
      </c>
      <c r="R158" s="73" t="str">
        <f>O158*K158*M158*N158</f>
      </c>
      <c r="S158" s="74" t="str">
        <f>R158-Q158</f>
      </c>
      <c r="T158" s="20" t="str">
        <f>IFERROR(INDEX('Cost_Components'!$R$2:$R$27,MATCH(E158,'Cost_Components'!$A$2:$A$27,0)),"")</f>
      </c>
      <c r="U158" s="75" t="str">
        <f>IFERROR(INDEX('Cost_Components'!$Q$2:$Q$27,MATCH(E158,'Cost_Components'!$A$2:$A$27,0)),"")</f>
      </c>
      <c r="V158" s="76" t="str">
        <f>1/(1+'Calculation_Assumptions'!$B$5)^(B158-'Calculation_Assumptions'!$B$2)</f>
      </c>
      <c r="W158" s="77" t="str">
        <f>Q158*V158</f>
      </c>
      <c r="X158" s="78" t="str">
        <f>R158*V158</f>
      </c>
      <c r="Y158" s="79" t="str">
        <f>S158*V158</f>
      </c>
      <c r="Z158" s="80" t="str">
        <f>IFERROR(INDEX('Cost_Components'!$T$2:$T$27,MATCH(E158,'Cost_Components'!$A$2:$A$27,0)),"")</f>
      </c>
      <c r="AA158" s="81" t="str">
        <f>IFERROR(INDEX('Cost_Components'!$U$2:$U$27,MATCH(E158,'Cost_Components'!$A$2:$A$27,0)),"")</f>
      </c>
      <c r="AB158" s="82" t="str">
        <f>IFERROR(INDEX('Cost_Components'!$V$2:$V$27,MATCH(E158,'Cost_Components'!$A$2:$A$27,0)),"")</f>
      </c>
      <c r="AC158" s="83" t="str">
        <f>IFERROR(INDEX('Cost_Components'!$M$2:$M$27,MATCH(E158,'Cost_Components'!$A$2:$A$27,0)),"")</f>
      </c>
      <c r="AD158" s="84" t="str">
        <f>IFERROR(INDEX('Cost_Components'!$N$2:$N$27,MATCH(E158,'Cost_Components'!$A$2:$A$27,0)),"")</f>
      </c>
      <c r="AE158" s="20" t="str">
        <f>IFERROR(INDEX('Cost_Components'!$O$2:$O$27,MATCH(E158,'Cost_Components'!$A$2:$A$27,0)),"")</f>
      </c>
      <c r="AF158" s="85" t="n">
        <v>77992.7551845655</v>
      </c>
      <c r="AG158" s="86" t="n">
        <v>77935.3711028968</v>
      </c>
      <c r="AH158" s="87" t="str">
        <f>IF(H158="shared-count-once",COUNTIFS($A$2:$A$1353,A158,$B$2:$B$1353,B158,$E$2:$E$1353,E158),1)</f>
      </c>
    </row>
    <row r="159">
      <c r="A159" t="s">
        <v>200</v>
      </c>
      <c r="B159" s="59" t="n">
        <v>2026</v>
      </c>
      <c r="C159" t="s">
        <v>200</v>
      </c>
      <c r="D159" t="s">
        <v>190</v>
      </c>
      <c r="E159" s="60" t="s">
        <v>275</v>
      </c>
      <c r="F159" s="61" t="s">
        <v>276</v>
      </c>
      <c r="G159" s="62" t="s">
        <v>201</v>
      </c>
      <c r="H159" s="63" t="s">
        <v>195</v>
      </c>
      <c r="I159" s="64" t="s">
        <v>267</v>
      </c>
      <c r="J159" s="65" t="str">
        <f>IFERROR(INDEX('Cost_Components'!$K$2:$K$27,MATCH(E159,'Cost_Components'!$A$2:$A$27,0)),"")</f>
      </c>
      <c r="K159" s="66" t="str">
        <f>IF(OR(L159="",Z159="",AA159="",AB159=""),"",IF(B159&lt;AA159,L159,IF(B159&gt;AB159,Z159,L159+(Z159-L159)*MIN(MAX((B159-AA159+1)/MAX(AB159-AA159+1,1),0),1))))</f>
      </c>
      <c r="L159" s="67" t="str">
        <f>IFERROR(INDEX('Cost_Components'!$S$2:$S$27,MATCH(E159,'Cost_Components'!$A$2:$A$27,0)),"")</f>
      </c>
      <c r="M159" s="68" t="str">
        <f>IFERROR(INDEX('Cost_Components'!$L$2:$L$27,MATCH(E159,'Cost_Components'!$A$2:$A$27,0)),"")</f>
      </c>
      <c r="N159" s="69" t="str">
        <f>IFERROR(INDEX('Cost_Components'!$P$2:$P$27,MATCH(E159,'Cost_Components'!$A$2:$A$27,0)),"")</f>
      </c>
      <c r="O159" s="70" t="str">
        <f>AF159*J159</f>
      </c>
      <c r="P159" s="71" t="str">
        <f>AG159*J159</f>
      </c>
      <c r="Q159" s="72" t="str">
        <f>P159*L159*M159*N159</f>
      </c>
      <c r="R159" s="73" t="str">
        <f>O159*K159*M159*N159</f>
      </c>
      <c r="S159" s="74" t="str">
        <f>R159-Q159</f>
      </c>
      <c r="T159" s="20" t="str">
        <f>IFERROR(INDEX('Cost_Components'!$R$2:$R$27,MATCH(E159,'Cost_Components'!$A$2:$A$27,0)),"")</f>
      </c>
      <c r="U159" s="75" t="str">
        <f>IFERROR(INDEX('Cost_Components'!$Q$2:$Q$27,MATCH(E159,'Cost_Components'!$A$2:$A$27,0)),"")</f>
      </c>
      <c r="V159" s="76" t="str">
        <f>1/(1+'Calculation_Assumptions'!$B$5)^(B159-'Calculation_Assumptions'!$B$2)</f>
      </c>
      <c r="W159" s="77" t="str">
        <f>Q159*V159</f>
      </c>
      <c r="X159" s="78" t="str">
        <f>R159*V159</f>
      </c>
      <c r="Y159" s="79" t="str">
        <f>S159*V159</f>
      </c>
      <c r="Z159" s="80" t="str">
        <f>IFERROR(INDEX('Cost_Components'!$T$2:$T$27,MATCH(E159,'Cost_Components'!$A$2:$A$27,0)),"")</f>
      </c>
      <c r="AA159" s="81" t="str">
        <f>IFERROR(INDEX('Cost_Components'!$U$2:$U$27,MATCH(E159,'Cost_Components'!$A$2:$A$27,0)),"")</f>
      </c>
      <c r="AB159" s="82" t="str">
        <f>IFERROR(INDEX('Cost_Components'!$V$2:$V$27,MATCH(E159,'Cost_Components'!$A$2:$A$27,0)),"")</f>
      </c>
      <c r="AC159" s="83" t="str">
        <f>IFERROR(INDEX('Cost_Components'!$M$2:$M$27,MATCH(E159,'Cost_Components'!$A$2:$A$27,0)),"")</f>
      </c>
      <c r="AD159" s="84" t="str">
        <f>IFERROR(INDEX('Cost_Components'!$N$2:$N$27,MATCH(E159,'Cost_Components'!$A$2:$A$27,0)),"")</f>
      </c>
      <c r="AE159" s="20" t="str">
        <f>IFERROR(INDEX('Cost_Components'!$O$2:$O$27,MATCH(E159,'Cost_Components'!$A$2:$A$27,0)),"")</f>
      </c>
      <c r="AF159" s="85" t="n">
        <v>79688.894202964</v>
      </c>
      <c r="AG159" s="86" t="n">
        <v>79525.5974379108</v>
      </c>
      <c r="AH159" s="87" t="str">
        <f>IF(H159="shared-count-once",COUNTIFS($A$2:$A$1353,A159,$B$2:$B$1353,B159,$E$2:$E$1353,E159),1)</f>
      </c>
    </row>
    <row r="160">
      <c r="A160" t="s">
        <v>200</v>
      </c>
      <c r="B160" s="59" t="n">
        <v>2027</v>
      </c>
      <c r="C160" t="s">
        <v>200</v>
      </c>
      <c r="D160" t="s">
        <v>190</v>
      </c>
      <c r="E160" s="60" t="s">
        <v>275</v>
      </c>
      <c r="F160" s="61" t="s">
        <v>276</v>
      </c>
      <c r="G160" s="62" t="s">
        <v>201</v>
      </c>
      <c r="H160" s="63" t="s">
        <v>195</v>
      </c>
      <c r="I160" s="64" t="s">
        <v>267</v>
      </c>
      <c r="J160" s="65" t="str">
        <f>IFERROR(INDEX('Cost_Components'!$K$2:$K$27,MATCH(E160,'Cost_Components'!$A$2:$A$27,0)),"")</f>
      </c>
      <c r="K160" s="66" t="str">
        <f>IF(OR(L160="",Z160="",AA160="",AB160=""),"",IF(B160&lt;AA160,L160,IF(B160&gt;AB160,Z160,L160+(Z160-L160)*MIN(MAX((B160-AA160+1)/MAX(AB160-AA160+1,1),0),1))))</f>
      </c>
      <c r="L160" s="67" t="str">
        <f>IFERROR(INDEX('Cost_Components'!$S$2:$S$27,MATCH(E160,'Cost_Components'!$A$2:$A$27,0)),"")</f>
      </c>
      <c r="M160" s="68" t="str">
        <f>IFERROR(INDEX('Cost_Components'!$L$2:$L$27,MATCH(E160,'Cost_Components'!$A$2:$A$27,0)),"")</f>
      </c>
      <c r="N160" s="69" t="str">
        <f>IFERROR(INDEX('Cost_Components'!$P$2:$P$27,MATCH(E160,'Cost_Components'!$A$2:$A$27,0)),"")</f>
      </c>
      <c r="O160" s="70" t="str">
        <f>AF160*J160</f>
      </c>
      <c r="P160" s="71" t="str">
        <f>AG160*J160</f>
      </c>
      <c r="Q160" s="72" t="str">
        <f>P160*L160*M160*N160</f>
      </c>
      <c r="R160" s="73" t="str">
        <f>O160*K160*M160*N160</f>
      </c>
      <c r="S160" s="74" t="str">
        <f>R160-Q160</f>
      </c>
      <c r="T160" s="20" t="str">
        <f>IFERROR(INDEX('Cost_Components'!$R$2:$R$27,MATCH(E160,'Cost_Components'!$A$2:$A$27,0)),"")</f>
      </c>
      <c r="U160" s="75" t="str">
        <f>IFERROR(INDEX('Cost_Components'!$Q$2:$Q$27,MATCH(E160,'Cost_Components'!$A$2:$A$27,0)),"")</f>
      </c>
      <c r="V160" s="76" t="str">
        <f>1/(1+'Calculation_Assumptions'!$B$5)^(B160-'Calculation_Assumptions'!$B$2)</f>
      </c>
      <c r="W160" s="77" t="str">
        <f>Q160*V160</f>
      </c>
      <c r="X160" s="78" t="str">
        <f>R160*V160</f>
      </c>
      <c r="Y160" s="79" t="str">
        <f>S160*V160</f>
      </c>
      <c r="Z160" s="80" t="str">
        <f>IFERROR(INDEX('Cost_Components'!$T$2:$T$27,MATCH(E160,'Cost_Components'!$A$2:$A$27,0)),"")</f>
      </c>
      <c r="AA160" s="81" t="str">
        <f>IFERROR(INDEX('Cost_Components'!$U$2:$U$27,MATCH(E160,'Cost_Components'!$A$2:$A$27,0)),"")</f>
      </c>
      <c r="AB160" s="82" t="str">
        <f>IFERROR(INDEX('Cost_Components'!$V$2:$V$27,MATCH(E160,'Cost_Components'!$A$2:$A$27,0)),"")</f>
      </c>
      <c r="AC160" s="83" t="str">
        <f>IFERROR(INDEX('Cost_Components'!$M$2:$M$27,MATCH(E160,'Cost_Components'!$A$2:$A$27,0)),"")</f>
      </c>
      <c r="AD160" s="84" t="str">
        <f>IFERROR(INDEX('Cost_Components'!$N$2:$N$27,MATCH(E160,'Cost_Components'!$A$2:$A$27,0)),"")</f>
      </c>
      <c r="AE160" s="20" t="str">
        <f>IFERROR(INDEX('Cost_Components'!$O$2:$O$27,MATCH(E160,'Cost_Components'!$A$2:$A$27,0)),"")</f>
      </c>
      <c r="AF160" s="85" t="n">
        <v>81388.2948761224</v>
      </c>
      <c r="AG160" s="86" t="n">
        <v>81076.9036397701</v>
      </c>
      <c r="AH160" s="87" t="str">
        <f>IF(H160="shared-count-once",COUNTIFS($A$2:$A$1353,A160,$B$2:$B$1353,B160,$E$2:$E$1353,E160),1)</f>
      </c>
    </row>
    <row r="161">
      <c r="A161" t="s">
        <v>200</v>
      </c>
      <c r="B161" s="59" t="n">
        <v>2028</v>
      </c>
      <c r="C161" t="s">
        <v>200</v>
      </c>
      <c r="D161" t="s">
        <v>190</v>
      </c>
      <c r="E161" s="60" t="s">
        <v>275</v>
      </c>
      <c r="F161" s="61" t="s">
        <v>276</v>
      </c>
      <c r="G161" s="62" t="s">
        <v>201</v>
      </c>
      <c r="H161" s="63" t="s">
        <v>195</v>
      </c>
      <c r="I161" s="64" t="s">
        <v>267</v>
      </c>
      <c r="J161" s="65" t="str">
        <f>IFERROR(INDEX('Cost_Components'!$K$2:$K$27,MATCH(E161,'Cost_Components'!$A$2:$A$27,0)),"")</f>
      </c>
      <c r="K161" s="66" t="str">
        <f>IF(OR(L161="",Z161="",AA161="",AB161=""),"",IF(B161&lt;AA161,L161,IF(B161&gt;AB161,Z161,L161+(Z161-L161)*MIN(MAX((B161-AA161+1)/MAX(AB161-AA161+1,1),0),1))))</f>
      </c>
      <c r="L161" s="67" t="str">
        <f>IFERROR(INDEX('Cost_Components'!$S$2:$S$27,MATCH(E161,'Cost_Components'!$A$2:$A$27,0)),"")</f>
      </c>
      <c r="M161" s="68" t="str">
        <f>IFERROR(INDEX('Cost_Components'!$L$2:$L$27,MATCH(E161,'Cost_Components'!$A$2:$A$27,0)),"")</f>
      </c>
      <c r="N161" s="69" t="str">
        <f>IFERROR(INDEX('Cost_Components'!$P$2:$P$27,MATCH(E161,'Cost_Components'!$A$2:$A$27,0)),"")</f>
      </c>
      <c r="O161" s="70" t="str">
        <f>AF161*J161</f>
      </c>
      <c r="P161" s="71" t="str">
        <f>AG161*J161</f>
      </c>
      <c r="Q161" s="72" t="str">
        <f>P161*L161*M161*N161</f>
      </c>
      <c r="R161" s="73" t="str">
        <f>O161*K161*M161*N161</f>
      </c>
      <c r="S161" s="74" t="str">
        <f>R161-Q161</f>
      </c>
      <c r="T161" s="20" t="str">
        <f>IFERROR(INDEX('Cost_Components'!$R$2:$R$27,MATCH(E161,'Cost_Components'!$A$2:$A$27,0)),"")</f>
      </c>
      <c r="U161" s="75" t="str">
        <f>IFERROR(INDEX('Cost_Components'!$Q$2:$Q$27,MATCH(E161,'Cost_Components'!$A$2:$A$27,0)),"")</f>
      </c>
      <c r="V161" s="76" t="str">
        <f>1/(1+'Calculation_Assumptions'!$B$5)^(B161-'Calculation_Assumptions'!$B$2)</f>
      </c>
      <c r="W161" s="77" t="str">
        <f>Q161*V161</f>
      </c>
      <c r="X161" s="78" t="str">
        <f>R161*V161</f>
      </c>
      <c r="Y161" s="79" t="str">
        <f>S161*V161</f>
      </c>
      <c r="Z161" s="80" t="str">
        <f>IFERROR(INDEX('Cost_Components'!$T$2:$T$27,MATCH(E161,'Cost_Components'!$A$2:$A$27,0)),"")</f>
      </c>
      <c r="AA161" s="81" t="str">
        <f>IFERROR(INDEX('Cost_Components'!$U$2:$U$27,MATCH(E161,'Cost_Components'!$A$2:$A$27,0)),"")</f>
      </c>
      <c r="AB161" s="82" t="str">
        <f>IFERROR(INDEX('Cost_Components'!$V$2:$V$27,MATCH(E161,'Cost_Components'!$A$2:$A$27,0)),"")</f>
      </c>
      <c r="AC161" s="83" t="str">
        <f>IFERROR(INDEX('Cost_Components'!$M$2:$M$27,MATCH(E161,'Cost_Components'!$A$2:$A$27,0)),"")</f>
      </c>
      <c r="AD161" s="84" t="str">
        <f>IFERROR(INDEX('Cost_Components'!$N$2:$N$27,MATCH(E161,'Cost_Components'!$A$2:$A$27,0)),"")</f>
      </c>
      <c r="AE161" s="20" t="str">
        <f>IFERROR(INDEX('Cost_Components'!$O$2:$O$27,MATCH(E161,'Cost_Components'!$A$2:$A$27,0)),"")</f>
      </c>
      <c r="AF161" s="85" t="n">
        <v>83098.9083411533</v>
      </c>
      <c r="AG161" s="86" t="n">
        <v>82601.8932700429</v>
      </c>
      <c r="AH161" s="87" t="str">
        <f>IF(H161="shared-count-once",COUNTIFS($A$2:$A$1353,A161,$B$2:$B$1353,B161,$E$2:$E$1353,E161),1)</f>
      </c>
    </row>
    <row r="162">
      <c r="A162" t="s">
        <v>200</v>
      </c>
      <c r="B162" s="59" t="n">
        <v>2029</v>
      </c>
      <c r="C162" t="s">
        <v>200</v>
      </c>
      <c r="D162" t="s">
        <v>190</v>
      </c>
      <c r="E162" s="60" t="s">
        <v>275</v>
      </c>
      <c r="F162" s="61" t="s">
        <v>276</v>
      </c>
      <c r="G162" s="62" t="s">
        <v>201</v>
      </c>
      <c r="H162" s="63" t="s">
        <v>195</v>
      </c>
      <c r="I162" s="64" t="s">
        <v>267</v>
      </c>
      <c r="J162" s="65" t="str">
        <f>IFERROR(INDEX('Cost_Components'!$K$2:$K$27,MATCH(E162,'Cost_Components'!$A$2:$A$27,0)),"")</f>
      </c>
      <c r="K162" s="66" t="str">
        <f>IF(OR(L162="",Z162="",AA162="",AB162=""),"",IF(B162&lt;AA162,L162,IF(B162&gt;AB162,Z162,L162+(Z162-L162)*MIN(MAX((B162-AA162+1)/MAX(AB162-AA162+1,1),0),1))))</f>
      </c>
      <c r="L162" s="67" t="str">
        <f>IFERROR(INDEX('Cost_Components'!$S$2:$S$27,MATCH(E162,'Cost_Components'!$A$2:$A$27,0)),"")</f>
      </c>
      <c r="M162" s="68" t="str">
        <f>IFERROR(INDEX('Cost_Components'!$L$2:$L$27,MATCH(E162,'Cost_Components'!$A$2:$A$27,0)),"")</f>
      </c>
      <c r="N162" s="69" t="str">
        <f>IFERROR(INDEX('Cost_Components'!$P$2:$P$27,MATCH(E162,'Cost_Components'!$A$2:$A$27,0)),"")</f>
      </c>
      <c r="O162" s="70" t="str">
        <f>AF162*J162</f>
      </c>
      <c r="P162" s="71" t="str">
        <f>AG162*J162</f>
      </c>
      <c r="Q162" s="72" t="str">
        <f>P162*L162*M162*N162</f>
      </c>
      <c r="R162" s="73" t="str">
        <f>O162*K162*M162*N162</f>
      </c>
      <c r="S162" s="74" t="str">
        <f>R162-Q162</f>
      </c>
      <c r="T162" s="20" t="str">
        <f>IFERROR(INDEX('Cost_Components'!$R$2:$R$27,MATCH(E162,'Cost_Components'!$A$2:$A$27,0)),"")</f>
      </c>
      <c r="U162" s="75" t="str">
        <f>IFERROR(INDEX('Cost_Components'!$Q$2:$Q$27,MATCH(E162,'Cost_Components'!$A$2:$A$27,0)),"")</f>
      </c>
      <c r="V162" s="76" t="str">
        <f>1/(1+'Calculation_Assumptions'!$B$5)^(B162-'Calculation_Assumptions'!$B$2)</f>
      </c>
      <c r="W162" s="77" t="str">
        <f>Q162*V162</f>
      </c>
      <c r="X162" s="78" t="str">
        <f>R162*V162</f>
      </c>
      <c r="Y162" s="79" t="str">
        <f>S162*V162</f>
      </c>
      <c r="Z162" s="80" t="str">
        <f>IFERROR(INDEX('Cost_Components'!$T$2:$T$27,MATCH(E162,'Cost_Components'!$A$2:$A$27,0)),"")</f>
      </c>
      <c r="AA162" s="81" t="str">
        <f>IFERROR(INDEX('Cost_Components'!$U$2:$U$27,MATCH(E162,'Cost_Components'!$A$2:$A$27,0)),"")</f>
      </c>
      <c r="AB162" s="82" t="str">
        <f>IFERROR(INDEX('Cost_Components'!$V$2:$V$27,MATCH(E162,'Cost_Components'!$A$2:$A$27,0)),"")</f>
      </c>
      <c r="AC162" s="83" t="str">
        <f>IFERROR(INDEX('Cost_Components'!$M$2:$M$27,MATCH(E162,'Cost_Components'!$A$2:$A$27,0)),"")</f>
      </c>
      <c r="AD162" s="84" t="str">
        <f>IFERROR(INDEX('Cost_Components'!$N$2:$N$27,MATCH(E162,'Cost_Components'!$A$2:$A$27,0)),"")</f>
      </c>
      <c r="AE162" s="20" t="str">
        <f>IFERROR(INDEX('Cost_Components'!$O$2:$O$27,MATCH(E162,'Cost_Components'!$A$2:$A$27,0)),"")</f>
      </c>
      <c r="AF162" s="85" t="n">
        <v>84831.2466668274</v>
      </c>
      <c r="AG162" s="86" t="n">
        <v>84114.5100443056</v>
      </c>
      <c r="AH162" s="87" t="str">
        <f>IF(H162="shared-count-once",COUNTIFS($A$2:$A$1353,A162,$B$2:$B$1353,B162,$E$2:$E$1353,E162),1)</f>
      </c>
    </row>
    <row r="163">
      <c r="A163" t="s">
        <v>200</v>
      </c>
      <c r="B163" s="59" t="n">
        <v>2030</v>
      </c>
      <c r="C163" t="s">
        <v>200</v>
      </c>
      <c r="D163" t="s">
        <v>190</v>
      </c>
      <c r="E163" s="60" t="s">
        <v>275</v>
      </c>
      <c r="F163" s="61" t="s">
        <v>276</v>
      </c>
      <c r="G163" s="62" t="s">
        <v>201</v>
      </c>
      <c r="H163" s="63" t="s">
        <v>195</v>
      </c>
      <c r="I163" s="64" t="s">
        <v>267</v>
      </c>
      <c r="J163" s="65" t="str">
        <f>IFERROR(INDEX('Cost_Components'!$K$2:$K$27,MATCH(E163,'Cost_Components'!$A$2:$A$27,0)),"")</f>
      </c>
      <c r="K163" s="66" t="str">
        <f>IF(OR(L163="",Z163="",AA163="",AB163=""),"",IF(B163&lt;AA163,L163,IF(B163&gt;AB163,Z163,L163+(Z163-L163)*MIN(MAX((B163-AA163+1)/MAX(AB163-AA163+1,1),0),1))))</f>
      </c>
      <c r="L163" s="67" t="str">
        <f>IFERROR(INDEX('Cost_Components'!$S$2:$S$27,MATCH(E163,'Cost_Components'!$A$2:$A$27,0)),"")</f>
      </c>
      <c r="M163" s="68" t="str">
        <f>IFERROR(INDEX('Cost_Components'!$L$2:$L$27,MATCH(E163,'Cost_Components'!$A$2:$A$27,0)),"")</f>
      </c>
      <c r="N163" s="69" t="str">
        <f>IFERROR(INDEX('Cost_Components'!$P$2:$P$27,MATCH(E163,'Cost_Components'!$A$2:$A$27,0)),"")</f>
      </c>
      <c r="O163" s="70" t="str">
        <f>AF163*J163</f>
      </c>
      <c r="P163" s="71" t="str">
        <f>AG163*J163</f>
      </c>
      <c r="Q163" s="72" t="str">
        <f>P163*L163*M163*N163</f>
      </c>
      <c r="R163" s="73" t="str">
        <f>O163*K163*M163*N163</f>
      </c>
      <c r="S163" s="74" t="str">
        <f>R163-Q163</f>
      </c>
      <c r="T163" s="20" t="str">
        <f>IFERROR(INDEX('Cost_Components'!$R$2:$R$27,MATCH(E163,'Cost_Components'!$A$2:$A$27,0)),"")</f>
      </c>
      <c r="U163" s="75" t="str">
        <f>IFERROR(INDEX('Cost_Components'!$Q$2:$Q$27,MATCH(E163,'Cost_Components'!$A$2:$A$27,0)),"")</f>
      </c>
      <c r="V163" s="76" t="str">
        <f>1/(1+'Calculation_Assumptions'!$B$5)^(B163-'Calculation_Assumptions'!$B$2)</f>
      </c>
      <c r="W163" s="77" t="str">
        <f>Q163*V163</f>
      </c>
      <c r="X163" s="78" t="str">
        <f>R163*V163</f>
      </c>
      <c r="Y163" s="79" t="str">
        <f>S163*V163</f>
      </c>
      <c r="Z163" s="80" t="str">
        <f>IFERROR(INDEX('Cost_Components'!$T$2:$T$27,MATCH(E163,'Cost_Components'!$A$2:$A$27,0)),"")</f>
      </c>
      <c r="AA163" s="81" t="str">
        <f>IFERROR(INDEX('Cost_Components'!$U$2:$U$27,MATCH(E163,'Cost_Components'!$A$2:$A$27,0)),"")</f>
      </c>
      <c r="AB163" s="82" t="str">
        <f>IFERROR(INDEX('Cost_Components'!$V$2:$V$27,MATCH(E163,'Cost_Components'!$A$2:$A$27,0)),"")</f>
      </c>
      <c r="AC163" s="83" t="str">
        <f>IFERROR(INDEX('Cost_Components'!$M$2:$M$27,MATCH(E163,'Cost_Components'!$A$2:$A$27,0)),"")</f>
      </c>
      <c r="AD163" s="84" t="str">
        <f>IFERROR(INDEX('Cost_Components'!$N$2:$N$27,MATCH(E163,'Cost_Components'!$A$2:$A$27,0)),"")</f>
      </c>
      <c r="AE163" s="20" t="str">
        <f>IFERROR(INDEX('Cost_Components'!$O$2:$O$27,MATCH(E163,'Cost_Components'!$A$2:$A$27,0)),"")</f>
      </c>
      <c r="AF163" s="85" t="n">
        <v>86592.2462471987</v>
      </c>
      <c r="AG163" s="86" t="n">
        <v>85624.1727982227</v>
      </c>
      <c r="AH163" s="87" t="str">
        <f>IF(H163="shared-count-once",COUNTIFS($A$2:$A$1353,A163,$B$2:$B$1353,B163,$E$2:$E$1353,E163),1)</f>
      </c>
    </row>
    <row r="164">
      <c r="A164" t="s">
        <v>200</v>
      </c>
      <c r="B164" s="59" t="n">
        <v>2031</v>
      </c>
      <c r="C164" t="s">
        <v>200</v>
      </c>
      <c r="D164" t="s">
        <v>190</v>
      </c>
      <c r="E164" s="60" t="s">
        <v>275</v>
      </c>
      <c r="F164" s="61" t="s">
        <v>276</v>
      </c>
      <c r="G164" s="62" t="s">
        <v>201</v>
      </c>
      <c r="H164" s="63" t="s">
        <v>195</v>
      </c>
      <c r="I164" s="64" t="s">
        <v>267</v>
      </c>
      <c r="J164" s="65" t="str">
        <f>IFERROR(INDEX('Cost_Components'!$K$2:$K$27,MATCH(E164,'Cost_Components'!$A$2:$A$27,0)),"")</f>
      </c>
      <c r="K164" s="66" t="str">
        <f>IF(OR(L164="",Z164="",AA164="",AB164=""),"",IF(B164&lt;AA164,L164,IF(B164&gt;AB164,Z164,L164+(Z164-L164)*MIN(MAX((B164-AA164+1)/MAX(AB164-AA164+1,1),0),1))))</f>
      </c>
      <c r="L164" s="67" t="str">
        <f>IFERROR(INDEX('Cost_Components'!$S$2:$S$27,MATCH(E164,'Cost_Components'!$A$2:$A$27,0)),"")</f>
      </c>
      <c r="M164" s="68" t="str">
        <f>IFERROR(INDEX('Cost_Components'!$L$2:$L$27,MATCH(E164,'Cost_Components'!$A$2:$A$27,0)),"")</f>
      </c>
      <c r="N164" s="69" t="str">
        <f>IFERROR(INDEX('Cost_Components'!$P$2:$P$27,MATCH(E164,'Cost_Components'!$A$2:$A$27,0)),"")</f>
      </c>
      <c r="O164" s="70" t="str">
        <f>AF164*J164</f>
      </c>
      <c r="P164" s="71" t="str">
        <f>AG164*J164</f>
      </c>
      <c r="Q164" s="72" t="str">
        <f>P164*L164*M164*N164</f>
      </c>
      <c r="R164" s="73" t="str">
        <f>O164*K164*M164*N164</f>
      </c>
      <c r="S164" s="74" t="str">
        <f>R164-Q164</f>
      </c>
      <c r="T164" s="20" t="str">
        <f>IFERROR(INDEX('Cost_Components'!$R$2:$R$27,MATCH(E164,'Cost_Components'!$A$2:$A$27,0)),"")</f>
      </c>
      <c r="U164" s="75" t="str">
        <f>IFERROR(INDEX('Cost_Components'!$Q$2:$Q$27,MATCH(E164,'Cost_Components'!$A$2:$A$27,0)),"")</f>
      </c>
      <c r="V164" s="76" t="str">
        <f>1/(1+'Calculation_Assumptions'!$B$5)^(B164-'Calculation_Assumptions'!$B$2)</f>
      </c>
      <c r="W164" s="77" t="str">
        <f>Q164*V164</f>
      </c>
      <c r="X164" s="78" t="str">
        <f>R164*V164</f>
      </c>
      <c r="Y164" s="79" t="str">
        <f>S164*V164</f>
      </c>
      <c r="Z164" s="80" t="str">
        <f>IFERROR(INDEX('Cost_Components'!$T$2:$T$27,MATCH(E164,'Cost_Components'!$A$2:$A$27,0)),"")</f>
      </c>
      <c r="AA164" s="81" t="str">
        <f>IFERROR(INDEX('Cost_Components'!$U$2:$U$27,MATCH(E164,'Cost_Components'!$A$2:$A$27,0)),"")</f>
      </c>
      <c r="AB164" s="82" t="str">
        <f>IFERROR(INDEX('Cost_Components'!$V$2:$V$27,MATCH(E164,'Cost_Components'!$A$2:$A$27,0)),"")</f>
      </c>
      <c r="AC164" s="83" t="str">
        <f>IFERROR(INDEX('Cost_Components'!$M$2:$M$27,MATCH(E164,'Cost_Components'!$A$2:$A$27,0)),"")</f>
      </c>
      <c r="AD164" s="84" t="str">
        <f>IFERROR(INDEX('Cost_Components'!$N$2:$N$27,MATCH(E164,'Cost_Components'!$A$2:$A$27,0)),"")</f>
      </c>
      <c r="AE164" s="20" t="str">
        <f>IFERROR(INDEX('Cost_Components'!$O$2:$O$27,MATCH(E164,'Cost_Components'!$A$2:$A$27,0)),"")</f>
      </c>
      <c r="AF164" s="85" t="n">
        <v>88395.7390873097</v>
      </c>
      <c r="AG164" s="86" t="n">
        <v>87146.4468739637</v>
      </c>
      <c r="AH164" s="87" t="str">
        <f>IF(H164="shared-count-once",COUNTIFS($A$2:$A$1353,A164,$B$2:$B$1353,B164,$E$2:$E$1353,E164),1)</f>
      </c>
    </row>
    <row r="165">
      <c r="A165" t="s">
        <v>200</v>
      </c>
      <c r="B165" s="59" t="n">
        <v>2032</v>
      </c>
      <c r="C165" t="s">
        <v>200</v>
      </c>
      <c r="D165" t="s">
        <v>190</v>
      </c>
      <c r="E165" s="60" t="s">
        <v>275</v>
      </c>
      <c r="F165" s="61" t="s">
        <v>276</v>
      </c>
      <c r="G165" s="62" t="s">
        <v>201</v>
      </c>
      <c r="H165" s="63" t="s">
        <v>195</v>
      </c>
      <c r="I165" s="64" t="s">
        <v>267</v>
      </c>
      <c r="J165" s="65" t="str">
        <f>IFERROR(INDEX('Cost_Components'!$K$2:$K$27,MATCH(E165,'Cost_Components'!$A$2:$A$27,0)),"")</f>
      </c>
      <c r="K165" s="66" t="str">
        <f>IF(OR(L165="",Z165="",AA165="",AB165=""),"",IF(B165&lt;AA165,L165,IF(B165&gt;AB165,Z165,L165+(Z165-L165)*MIN(MAX((B165-AA165+1)/MAX(AB165-AA165+1,1),0),1))))</f>
      </c>
      <c r="L165" s="67" t="str">
        <f>IFERROR(INDEX('Cost_Components'!$S$2:$S$27,MATCH(E165,'Cost_Components'!$A$2:$A$27,0)),"")</f>
      </c>
      <c r="M165" s="68" t="str">
        <f>IFERROR(INDEX('Cost_Components'!$L$2:$L$27,MATCH(E165,'Cost_Components'!$A$2:$A$27,0)),"")</f>
      </c>
      <c r="N165" s="69" t="str">
        <f>IFERROR(INDEX('Cost_Components'!$P$2:$P$27,MATCH(E165,'Cost_Components'!$A$2:$A$27,0)),"")</f>
      </c>
      <c r="O165" s="70" t="str">
        <f>AF165*J165</f>
      </c>
      <c r="P165" s="71" t="str">
        <f>AG165*J165</f>
      </c>
      <c r="Q165" s="72" t="str">
        <f>P165*L165*M165*N165</f>
      </c>
      <c r="R165" s="73" t="str">
        <f>O165*K165*M165*N165</f>
      </c>
      <c r="S165" s="74" t="str">
        <f>R165-Q165</f>
      </c>
      <c r="T165" s="20" t="str">
        <f>IFERROR(INDEX('Cost_Components'!$R$2:$R$27,MATCH(E165,'Cost_Components'!$A$2:$A$27,0)),"")</f>
      </c>
      <c r="U165" s="75" t="str">
        <f>IFERROR(INDEX('Cost_Components'!$Q$2:$Q$27,MATCH(E165,'Cost_Components'!$A$2:$A$27,0)),"")</f>
      </c>
      <c r="V165" s="76" t="str">
        <f>1/(1+'Calculation_Assumptions'!$B$5)^(B165-'Calculation_Assumptions'!$B$2)</f>
      </c>
      <c r="W165" s="77" t="str">
        <f>Q165*V165</f>
      </c>
      <c r="X165" s="78" t="str">
        <f>R165*V165</f>
      </c>
      <c r="Y165" s="79" t="str">
        <f>S165*V165</f>
      </c>
      <c r="Z165" s="80" t="str">
        <f>IFERROR(INDEX('Cost_Components'!$T$2:$T$27,MATCH(E165,'Cost_Components'!$A$2:$A$27,0)),"")</f>
      </c>
      <c r="AA165" s="81" t="str">
        <f>IFERROR(INDEX('Cost_Components'!$U$2:$U$27,MATCH(E165,'Cost_Components'!$A$2:$A$27,0)),"")</f>
      </c>
      <c r="AB165" s="82" t="str">
        <f>IFERROR(INDEX('Cost_Components'!$V$2:$V$27,MATCH(E165,'Cost_Components'!$A$2:$A$27,0)),"")</f>
      </c>
      <c r="AC165" s="83" t="str">
        <f>IFERROR(INDEX('Cost_Components'!$M$2:$M$27,MATCH(E165,'Cost_Components'!$A$2:$A$27,0)),"")</f>
      </c>
      <c r="AD165" s="84" t="str">
        <f>IFERROR(INDEX('Cost_Components'!$N$2:$N$27,MATCH(E165,'Cost_Components'!$A$2:$A$27,0)),"")</f>
      </c>
      <c r="AE165" s="20" t="str">
        <f>IFERROR(INDEX('Cost_Components'!$O$2:$O$27,MATCH(E165,'Cost_Components'!$A$2:$A$27,0)),"")</f>
      </c>
      <c r="AF165" s="85" t="n">
        <v>90254.588490742</v>
      </c>
      <c r="AG165" s="86" t="n">
        <v>88695.9957981069</v>
      </c>
      <c r="AH165" s="87" t="str">
        <f>IF(H165="shared-count-once",COUNTIFS($A$2:$A$1353,A165,$B$2:$B$1353,B165,$E$2:$E$1353,E165),1)</f>
      </c>
    </row>
    <row r="166">
      <c r="A166" t="s">
        <v>200</v>
      </c>
      <c r="B166" s="59" t="n">
        <v>2033</v>
      </c>
      <c r="C166" t="s">
        <v>200</v>
      </c>
      <c r="D166" t="s">
        <v>190</v>
      </c>
      <c r="E166" s="60" t="s">
        <v>275</v>
      </c>
      <c r="F166" s="61" t="s">
        <v>276</v>
      </c>
      <c r="G166" s="62" t="s">
        <v>201</v>
      </c>
      <c r="H166" s="63" t="s">
        <v>195</v>
      </c>
      <c r="I166" s="64" t="s">
        <v>267</v>
      </c>
      <c r="J166" s="65" t="str">
        <f>IFERROR(INDEX('Cost_Components'!$K$2:$K$27,MATCH(E166,'Cost_Components'!$A$2:$A$27,0)),"")</f>
      </c>
      <c r="K166" s="66" t="str">
        <f>IF(OR(L166="",Z166="",AA166="",AB166=""),"",IF(B166&lt;AA166,L166,IF(B166&gt;AB166,Z166,L166+(Z166-L166)*MIN(MAX((B166-AA166+1)/MAX(AB166-AA166+1,1),0),1))))</f>
      </c>
      <c r="L166" s="67" t="str">
        <f>IFERROR(INDEX('Cost_Components'!$S$2:$S$27,MATCH(E166,'Cost_Components'!$A$2:$A$27,0)),"")</f>
      </c>
      <c r="M166" s="68" t="str">
        <f>IFERROR(INDEX('Cost_Components'!$L$2:$L$27,MATCH(E166,'Cost_Components'!$A$2:$A$27,0)),"")</f>
      </c>
      <c r="N166" s="69" t="str">
        <f>IFERROR(INDEX('Cost_Components'!$P$2:$P$27,MATCH(E166,'Cost_Components'!$A$2:$A$27,0)),"")</f>
      </c>
      <c r="O166" s="70" t="str">
        <f>AF166*J166</f>
      </c>
      <c r="P166" s="71" t="str">
        <f>AG166*J166</f>
      </c>
      <c r="Q166" s="72" t="str">
        <f>P166*L166*M166*N166</f>
      </c>
      <c r="R166" s="73" t="str">
        <f>O166*K166*M166*N166</f>
      </c>
      <c r="S166" s="74" t="str">
        <f>R166-Q166</f>
      </c>
      <c r="T166" s="20" t="str">
        <f>IFERROR(INDEX('Cost_Components'!$R$2:$R$27,MATCH(E166,'Cost_Components'!$A$2:$A$27,0)),"")</f>
      </c>
      <c r="U166" s="75" t="str">
        <f>IFERROR(INDEX('Cost_Components'!$Q$2:$Q$27,MATCH(E166,'Cost_Components'!$A$2:$A$27,0)),"")</f>
      </c>
      <c r="V166" s="76" t="str">
        <f>1/(1+'Calculation_Assumptions'!$B$5)^(B166-'Calculation_Assumptions'!$B$2)</f>
      </c>
      <c r="W166" s="77" t="str">
        <f>Q166*V166</f>
      </c>
      <c r="X166" s="78" t="str">
        <f>R166*V166</f>
      </c>
      <c r="Y166" s="79" t="str">
        <f>S166*V166</f>
      </c>
      <c r="Z166" s="80" t="str">
        <f>IFERROR(INDEX('Cost_Components'!$T$2:$T$27,MATCH(E166,'Cost_Components'!$A$2:$A$27,0)),"")</f>
      </c>
      <c r="AA166" s="81" t="str">
        <f>IFERROR(INDEX('Cost_Components'!$U$2:$U$27,MATCH(E166,'Cost_Components'!$A$2:$A$27,0)),"")</f>
      </c>
      <c r="AB166" s="82" t="str">
        <f>IFERROR(INDEX('Cost_Components'!$V$2:$V$27,MATCH(E166,'Cost_Components'!$A$2:$A$27,0)),"")</f>
      </c>
      <c r="AC166" s="83" t="str">
        <f>IFERROR(INDEX('Cost_Components'!$M$2:$M$27,MATCH(E166,'Cost_Components'!$A$2:$A$27,0)),"")</f>
      </c>
      <c r="AD166" s="84" t="str">
        <f>IFERROR(INDEX('Cost_Components'!$N$2:$N$27,MATCH(E166,'Cost_Components'!$A$2:$A$27,0)),"")</f>
      </c>
      <c r="AE166" s="20" t="str">
        <f>IFERROR(INDEX('Cost_Components'!$O$2:$O$27,MATCH(E166,'Cost_Components'!$A$2:$A$27,0)),"")</f>
      </c>
      <c r="AF166" s="85" t="n">
        <v>92178.6484518117</v>
      </c>
      <c r="AG166" s="86" t="n">
        <v>90284.4762528307</v>
      </c>
      <c r="AH166" s="87" t="str">
        <f>IF(H166="shared-count-once",COUNTIFS($A$2:$A$1353,A166,$B$2:$B$1353,B166,$E$2:$E$1353,E166),1)</f>
      </c>
    </row>
    <row r="167">
      <c r="A167" t="s">
        <v>200</v>
      </c>
      <c r="B167" s="59" t="n">
        <v>2034</v>
      </c>
      <c r="C167" t="s">
        <v>200</v>
      </c>
      <c r="D167" t="s">
        <v>190</v>
      </c>
      <c r="E167" s="60" t="s">
        <v>275</v>
      </c>
      <c r="F167" s="61" t="s">
        <v>276</v>
      </c>
      <c r="G167" s="62" t="s">
        <v>201</v>
      </c>
      <c r="H167" s="63" t="s">
        <v>195</v>
      </c>
      <c r="I167" s="64" t="s">
        <v>267</v>
      </c>
      <c r="J167" s="65" t="str">
        <f>IFERROR(INDEX('Cost_Components'!$K$2:$K$27,MATCH(E167,'Cost_Components'!$A$2:$A$27,0)),"")</f>
      </c>
      <c r="K167" s="66" t="str">
        <f>IF(OR(L167="",Z167="",AA167="",AB167=""),"",IF(B167&lt;AA167,L167,IF(B167&gt;AB167,Z167,L167+(Z167-L167)*MIN(MAX((B167-AA167+1)/MAX(AB167-AA167+1,1),0),1))))</f>
      </c>
      <c r="L167" s="67" t="str">
        <f>IFERROR(INDEX('Cost_Components'!$S$2:$S$27,MATCH(E167,'Cost_Components'!$A$2:$A$27,0)),"")</f>
      </c>
      <c r="M167" s="68" t="str">
        <f>IFERROR(INDEX('Cost_Components'!$L$2:$L$27,MATCH(E167,'Cost_Components'!$A$2:$A$27,0)),"")</f>
      </c>
      <c r="N167" s="69" t="str">
        <f>IFERROR(INDEX('Cost_Components'!$P$2:$P$27,MATCH(E167,'Cost_Components'!$A$2:$A$27,0)),"")</f>
      </c>
      <c r="O167" s="70" t="str">
        <f>AF167*J167</f>
      </c>
      <c r="P167" s="71" t="str">
        <f>AG167*J167</f>
      </c>
      <c r="Q167" s="72" t="str">
        <f>P167*L167*M167*N167</f>
      </c>
      <c r="R167" s="73" t="str">
        <f>O167*K167*M167*N167</f>
      </c>
      <c r="S167" s="74" t="str">
        <f>R167-Q167</f>
      </c>
      <c r="T167" s="20" t="str">
        <f>IFERROR(INDEX('Cost_Components'!$R$2:$R$27,MATCH(E167,'Cost_Components'!$A$2:$A$27,0)),"")</f>
      </c>
      <c r="U167" s="75" t="str">
        <f>IFERROR(INDEX('Cost_Components'!$Q$2:$Q$27,MATCH(E167,'Cost_Components'!$A$2:$A$27,0)),"")</f>
      </c>
      <c r="V167" s="76" t="str">
        <f>1/(1+'Calculation_Assumptions'!$B$5)^(B167-'Calculation_Assumptions'!$B$2)</f>
      </c>
      <c r="W167" s="77" t="str">
        <f>Q167*V167</f>
      </c>
      <c r="X167" s="78" t="str">
        <f>R167*V167</f>
      </c>
      <c r="Y167" s="79" t="str">
        <f>S167*V167</f>
      </c>
      <c r="Z167" s="80" t="str">
        <f>IFERROR(INDEX('Cost_Components'!$T$2:$T$27,MATCH(E167,'Cost_Components'!$A$2:$A$27,0)),"")</f>
      </c>
      <c r="AA167" s="81" t="str">
        <f>IFERROR(INDEX('Cost_Components'!$U$2:$U$27,MATCH(E167,'Cost_Components'!$A$2:$A$27,0)),"")</f>
      </c>
      <c r="AB167" s="82" t="str">
        <f>IFERROR(INDEX('Cost_Components'!$V$2:$V$27,MATCH(E167,'Cost_Components'!$A$2:$A$27,0)),"")</f>
      </c>
      <c r="AC167" s="83" t="str">
        <f>IFERROR(INDEX('Cost_Components'!$M$2:$M$27,MATCH(E167,'Cost_Components'!$A$2:$A$27,0)),"")</f>
      </c>
      <c r="AD167" s="84" t="str">
        <f>IFERROR(INDEX('Cost_Components'!$N$2:$N$27,MATCH(E167,'Cost_Components'!$A$2:$A$27,0)),"")</f>
      </c>
      <c r="AE167" s="20" t="str">
        <f>IFERROR(INDEX('Cost_Components'!$O$2:$O$27,MATCH(E167,'Cost_Components'!$A$2:$A$27,0)),"")</f>
      </c>
      <c r="AF167" s="85" t="n">
        <v>94169.7784714544</v>
      </c>
      <c r="AG167" s="86" t="n">
        <v>91915.1700532053</v>
      </c>
      <c r="AH167" s="87" t="str">
        <f>IF(H167="shared-count-once",COUNTIFS($A$2:$A$1353,A167,$B$2:$B$1353,B167,$E$2:$E$1353,E167),1)</f>
      </c>
    </row>
    <row r="168">
      <c r="A168" t="s">
        <v>200</v>
      </c>
      <c r="B168" s="59" t="n">
        <v>2035</v>
      </c>
      <c r="C168" t="s">
        <v>200</v>
      </c>
      <c r="D168" t="s">
        <v>190</v>
      </c>
      <c r="E168" s="60" t="s">
        <v>275</v>
      </c>
      <c r="F168" s="61" t="s">
        <v>276</v>
      </c>
      <c r="G168" s="62" t="s">
        <v>201</v>
      </c>
      <c r="H168" s="63" t="s">
        <v>195</v>
      </c>
      <c r="I168" s="64" t="s">
        <v>267</v>
      </c>
      <c r="J168" s="65" t="str">
        <f>IFERROR(INDEX('Cost_Components'!$K$2:$K$27,MATCH(E168,'Cost_Components'!$A$2:$A$27,0)),"")</f>
      </c>
      <c r="K168" s="66" t="str">
        <f>IF(OR(L168="",Z168="",AA168="",AB168=""),"",IF(B168&lt;AA168,L168,IF(B168&gt;AB168,Z168,L168+(Z168-L168)*MIN(MAX((B168-AA168+1)/MAX(AB168-AA168+1,1),0),1))))</f>
      </c>
      <c r="L168" s="67" t="str">
        <f>IFERROR(INDEX('Cost_Components'!$S$2:$S$27,MATCH(E168,'Cost_Components'!$A$2:$A$27,0)),"")</f>
      </c>
      <c r="M168" s="68" t="str">
        <f>IFERROR(INDEX('Cost_Components'!$L$2:$L$27,MATCH(E168,'Cost_Components'!$A$2:$A$27,0)),"")</f>
      </c>
      <c r="N168" s="69" t="str">
        <f>IFERROR(INDEX('Cost_Components'!$P$2:$P$27,MATCH(E168,'Cost_Components'!$A$2:$A$27,0)),"")</f>
      </c>
      <c r="O168" s="70" t="str">
        <f>AF168*J168</f>
      </c>
      <c r="P168" s="71" t="str">
        <f>AG168*J168</f>
      </c>
      <c r="Q168" s="72" t="str">
        <f>P168*L168*M168*N168</f>
      </c>
      <c r="R168" s="73" t="str">
        <f>O168*K168*M168*N168</f>
      </c>
      <c r="S168" s="74" t="str">
        <f>R168-Q168</f>
      </c>
      <c r="T168" s="20" t="str">
        <f>IFERROR(INDEX('Cost_Components'!$R$2:$R$27,MATCH(E168,'Cost_Components'!$A$2:$A$27,0)),"")</f>
      </c>
      <c r="U168" s="75" t="str">
        <f>IFERROR(INDEX('Cost_Components'!$Q$2:$Q$27,MATCH(E168,'Cost_Components'!$A$2:$A$27,0)),"")</f>
      </c>
      <c r="V168" s="76" t="str">
        <f>1/(1+'Calculation_Assumptions'!$B$5)^(B168-'Calculation_Assumptions'!$B$2)</f>
      </c>
      <c r="W168" s="77" t="str">
        <f>Q168*V168</f>
      </c>
      <c r="X168" s="78" t="str">
        <f>R168*V168</f>
      </c>
      <c r="Y168" s="79" t="str">
        <f>S168*V168</f>
      </c>
      <c r="Z168" s="80" t="str">
        <f>IFERROR(INDEX('Cost_Components'!$T$2:$T$27,MATCH(E168,'Cost_Components'!$A$2:$A$27,0)),"")</f>
      </c>
      <c r="AA168" s="81" t="str">
        <f>IFERROR(INDEX('Cost_Components'!$U$2:$U$27,MATCH(E168,'Cost_Components'!$A$2:$A$27,0)),"")</f>
      </c>
      <c r="AB168" s="82" t="str">
        <f>IFERROR(INDEX('Cost_Components'!$V$2:$V$27,MATCH(E168,'Cost_Components'!$A$2:$A$27,0)),"")</f>
      </c>
      <c r="AC168" s="83" t="str">
        <f>IFERROR(INDEX('Cost_Components'!$M$2:$M$27,MATCH(E168,'Cost_Components'!$A$2:$A$27,0)),"")</f>
      </c>
      <c r="AD168" s="84" t="str">
        <f>IFERROR(INDEX('Cost_Components'!$N$2:$N$27,MATCH(E168,'Cost_Components'!$A$2:$A$27,0)),"")</f>
      </c>
      <c r="AE168" s="20" t="str">
        <f>IFERROR(INDEX('Cost_Components'!$O$2:$O$27,MATCH(E168,'Cost_Components'!$A$2:$A$27,0)),"")</f>
      </c>
      <c r="AF168" s="85" t="n">
        <v>96235.4346621619</v>
      </c>
      <c r="AG168" s="86" t="n">
        <v>93596.9100615363</v>
      </c>
      <c r="AH168" s="87" t="str">
        <f>IF(H168="shared-count-once",COUNTIFS($A$2:$A$1353,A168,$B$2:$B$1353,B168,$E$2:$E$1353,E168),1)</f>
      </c>
    </row>
    <row r="169">
      <c r="A169" t="s">
        <v>200</v>
      </c>
      <c r="B169" s="59" t="n">
        <v>2036</v>
      </c>
      <c r="C169" t="s">
        <v>200</v>
      </c>
      <c r="D169" t="s">
        <v>190</v>
      </c>
      <c r="E169" s="60" t="s">
        <v>275</v>
      </c>
      <c r="F169" s="61" t="s">
        <v>276</v>
      </c>
      <c r="G169" s="62" t="s">
        <v>201</v>
      </c>
      <c r="H169" s="63" t="s">
        <v>195</v>
      </c>
      <c r="I169" s="64" t="s">
        <v>267</v>
      </c>
      <c r="J169" s="65" t="str">
        <f>IFERROR(INDEX('Cost_Components'!$K$2:$K$27,MATCH(E169,'Cost_Components'!$A$2:$A$27,0)),"")</f>
      </c>
      <c r="K169" s="66" t="str">
        <f>IF(OR(L169="",Z169="",AA169="",AB169=""),"",IF(B169&lt;AA169,L169,IF(B169&gt;AB169,Z169,L169+(Z169-L169)*MIN(MAX((B169-AA169+1)/MAX(AB169-AA169+1,1),0),1))))</f>
      </c>
      <c r="L169" s="67" t="str">
        <f>IFERROR(INDEX('Cost_Components'!$S$2:$S$27,MATCH(E169,'Cost_Components'!$A$2:$A$27,0)),"")</f>
      </c>
      <c r="M169" s="68" t="str">
        <f>IFERROR(INDEX('Cost_Components'!$L$2:$L$27,MATCH(E169,'Cost_Components'!$A$2:$A$27,0)),"")</f>
      </c>
      <c r="N169" s="69" t="str">
        <f>IFERROR(INDEX('Cost_Components'!$P$2:$P$27,MATCH(E169,'Cost_Components'!$A$2:$A$27,0)),"")</f>
      </c>
      <c r="O169" s="70" t="str">
        <f>AF169*J169</f>
      </c>
      <c r="P169" s="71" t="str">
        <f>AG169*J169</f>
      </c>
      <c r="Q169" s="72" t="str">
        <f>P169*L169*M169*N169</f>
      </c>
      <c r="R169" s="73" t="str">
        <f>O169*K169*M169*N169</f>
      </c>
      <c r="S169" s="74" t="str">
        <f>R169-Q169</f>
      </c>
      <c r="T169" s="20" t="str">
        <f>IFERROR(INDEX('Cost_Components'!$R$2:$R$27,MATCH(E169,'Cost_Components'!$A$2:$A$27,0)),"")</f>
      </c>
      <c r="U169" s="75" t="str">
        <f>IFERROR(INDEX('Cost_Components'!$Q$2:$Q$27,MATCH(E169,'Cost_Components'!$A$2:$A$27,0)),"")</f>
      </c>
      <c r="V169" s="76" t="str">
        <f>1/(1+'Calculation_Assumptions'!$B$5)^(B169-'Calculation_Assumptions'!$B$2)</f>
      </c>
      <c r="W169" s="77" t="str">
        <f>Q169*V169</f>
      </c>
      <c r="X169" s="78" t="str">
        <f>R169*V169</f>
      </c>
      <c r="Y169" s="79" t="str">
        <f>S169*V169</f>
      </c>
      <c r="Z169" s="80" t="str">
        <f>IFERROR(INDEX('Cost_Components'!$T$2:$T$27,MATCH(E169,'Cost_Components'!$A$2:$A$27,0)),"")</f>
      </c>
      <c r="AA169" s="81" t="str">
        <f>IFERROR(INDEX('Cost_Components'!$U$2:$U$27,MATCH(E169,'Cost_Components'!$A$2:$A$27,0)),"")</f>
      </c>
      <c r="AB169" s="82" t="str">
        <f>IFERROR(INDEX('Cost_Components'!$V$2:$V$27,MATCH(E169,'Cost_Components'!$A$2:$A$27,0)),"")</f>
      </c>
      <c r="AC169" s="83" t="str">
        <f>IFERROR(INDEX('Cost_Components'!$M$2:$M$27,MATCH(E169,'Cost_Components'!$A$2:$A$27,0)),"")</f>
      </c>
      <c r="AD169" s="84" t="str">
        <f>IFERROR(INDEX('Cost_Components'!$N$2:$N$27,MATCH(E169,'Cost_Components'!$A$2:$A$27,0)),"")</f>
      </c>
      <c r="AE169" s="20" t="str">
        <f>IFERROR(INDEX('Cost_Components'!$O$2:$O$27,MATCH(E169,'Cost_Components'!$A$2:$A$27,0)),"")</f>
      </c>
      <c r="AF169" s="85" t="n">
        <v>98381.103681591</v>
      </c>
      <c r="AG169" s="86" t="n">
        <v>95335.6352226668</v>
      </c>
      <c r="AH169" s="87" t="str">
        <f>IF(H169="shared-count-once",COUNTIFS($A$2:$A$1353,A169,$B$2:$B$1353,B169,$E$2:$E$1353,E169),1)</f>
      </c>
    </row>
    <row r="170">
      <c r="A170" t="s">
        <v>200</v>
      </c>
      <c r="B170" s="59" t="n">
        <v>2037</v>
      </c>
      <c r="C170" t="s">
        <v>200</v>
      </c>
      <c r="D170" t="s">
        <v>190</v>
      </c>
      <c r="E170" s="60" t="s">
        <v>275</v>
      </c>
      <c r="F170" s="61" t="s">
        <v>276</v>
      </c>
      <c r="G170" s="62" t="s">
        <v>201</v>
      </c>
      <c r="H170" s="63" t="s">
        <v>195</v>
      </c>
      <c r="I170" s="64" t="s">
        <v>267</v>
      </c>
      <c r="J170" s="65" t="str">
        <f>IFERROR(INDEX('Cost_Components'!$K$2:$K$27,MATCH(E170,'Cost_Components'!$A$2:$A$27,0)),"")</f>
      </c>
      <c r="K170" s="66" t="str">
        <f>IF(OR(L170="",Z170="",AA170="",AB170=""),"",IF(B170&lt;AA170,L170,IF(B170&gt;AB170,Z170,L170+(Z170-L170)*MIN(MAX((B170-AA170+1)/MAX(AB170-AA170+1,1),0),1))))</f>
      </c>
      <c r="L170" s="67" t="str">
        <f>IFERROR(INDEX('Cost_Components'!$S$2:$S$27,MATCH(E170,'Cost_Components'!$A$2:$A$27,0)),"")</f>
      </c>
      <c r="M170" s="68" t="str">
        <f>IFERROR(INDEX('Cost_Components'!$L$2:$L$27,MATCH(E170,'Cost_Components'!$A$2:$A$27,0)),"")</f>
      </c>
      <c r="N170" s="69" t="str">
        <f>IFERROR(INDEX('Cost_Components'!$P$2:$P$27,MATCH(E170,'Cost_Components'!$A$2:$A$27,0)),"")</f>
      </c>
      <c r="O170" s="70" t="str">
        <f>AF170*J170</f>
      </c>
      <c r="P170" s="71" t="str">
        <f>AG170*J170</f>
      </c>
      <c r="Q170" s="72" t="str">
        <f>P170*L170*M170*N170</f>
      </c>
      <c r="R170" s="73" t="str">
        <f>O170*K170*M170*N170</f>
      </c>
      <c r="S170" s="74" t="str">
        <f>R170-Q170</f>
      </c>
      <c r="T170" s="20" t="str">
        <f>IFERROR(INDEX('Cost_Components'!$R$2:$R$27,MATCH(E170,'Cost_Components'!$A$2:$A$27,0)),"")</f>
      </c>
      <c r="U170" s="75" t="str">
        <f>IFERROR(INDEX('Cost_Components'!$Q$2:$Q$27,MATCH(E170,'Cost_Components'!$A$2:$A$27,0)),"")</f>
      </c>
      <c r="V170" s="76" t="str">
        <f>1/(1+'Calculation_Assumptions'!$B$5)^(B170-'Calculation_Assumptions'!$B$2)</f>
      </c>
      <c r="W170" s="77" t="str">
        <f>Q170*V170</f>
      </c>
      <c r="X170" s="78" t="str">
        <f>R170*V170</f>
      </c>
      <c r="Y170" s="79" t="str">
        <f>S170*V170</f>
      </c>
      <c r="Z170" s="80" t="str">
        <f>IFERROR(INDEX('Cost_Components'!$T$2:$T$27,MATCH(E170,'Cost_Components'!$A$2:$A$27,0)),"")</f>
      </c>
      <c r="AA170" s="81" t="str">
        <f>IFERROR(INDEX('Cost_Components'!$U$2:$U$27,MATCH(E170,'Cost_Components'!$A$2:$A$27,0)),"")</f>
      </c>
      <c r="AB170" s="82" t="str">
        <f>IFERROR(INDEX('Cost_Components'!$V$2:$V$27,MATCH(E170,'Cost_Components'!$A$2:$A$27,0)),"")</f>
      </c>
      <c r="AC170" s="83" t="str">
        <f>IFERROR(INDEX('Cost_Components'!$M$2:$M$27,MATCH(E170,'Cost_Components'!$A$2:$A$27,0)),"")</f>
      </c>
      <c r="AD170" s="84" t="str">
        <f>IFERROR(INDEX('Cost_Components'!$N$2:$N$27,MATCH(E170,'Cost_Components'!$A$2:$A$27,0)),"")</f>
      </c>
      <c r="AE170" s="20" t="str">
        <f>IFERROR(INDEX('Cost_Components'!$O$2:$O$27,MATCH(E170,'Cost_Components'!$A$2:$A$27,0)),"")</f>
      </c>
      <c r="AF170" s="85" t="n">
        <v>100611.081658285</v>
      </c>
      <c r="AG170" s="86" t="n">
        <v>97136.1570592132</v>
      </c>
      <c r="AH170" s="87" t="str">
        <f>IF(H170="shared-count-once",COUNTIFS($A$2:$A$1353,A170,$B$2:$B$1353,B170,$E$2:$E$1353,E170),1)</f>
      </c>
    </row>
    <row r="171">
      <c r="A171" t="s">
        <v>200</v>
      </c>
      <c r="B171" s="59" t="n">
        <v>2038</v>
      </c>
      <c r="C171" t="s">
        <v>200</v>
      </c>
      <c r="D171" t="s">
        <v>190</v>
      </c>
      <c r="E171" s="60" t="s">
        <v>275</v>
      </c>
      <c r="F171" s="61" t="s">
        <v>276</v>
      </c>
      <c r="G171" s="62" t="s">
        <v>201</v>
      </c>
      <c r="H171" s="63" t="s">
        <v>195</v>
      </c>
      <c r="I171" s="64" t="s">
        <v>267</v>
      </c>
      <c r="J171" s="65" t="str">
        <f>IFERROR(INDEX('Cost_Components'!$K$2:$K$27,MATCH(E171,'Cost_Components'!$A$2:$A$27,0)),"")</f>
      </c>
      <c r="K171" s="66" t="str">
        <f>IF(OR(L171="",Z171="",AA171="",AB171=""),"",IF(B171&lt;AA171,L171,IF(B171&gt;AB171,Z171,L171+(Z171-L171)*MIN(MAX((B171-AA171+1)/MAX(AB171-AA171+1,1),0),1))))</f>
      </c>
      <c r="L171" s="67" t="str">
        <f>IFERROR(INDEX('Cost_Components'!$S$2:$S$27,MATCH(E171,'Cost_Components'!$A$2:$A$27,0)),"")</f>
      </c>
      <c r="M171" s="68" t="str">
        <f>IFERROR(INDEX('Cost_Components'!$L$2:$L$27,MATCH(E171,'Cost_Components'!$A$2:$A$27,0)),"")</f>
      </c>
      <c r="N171" s="69" t="str">
        <f>IFERROR(INDEX('Cost_Components'!$P$2:$P$27,MATCH(E171,'Cost_Components'!$A$2:$A$27,0)),"")</f>
      </c>
      <c r="O171" s="70" t="str">
        <f>AF171*J171</f>
      </c>
      <c r="P171" s="71" t="str">
        <f>AG171*J171</f>
      </c>
      <c r="Q171" s="72" t="str">
        <f>P171*L171*M171*N171</f>
      </c>
      <c r="R171" s="73" t="str">
        <f>O171*K171*M171*N171</f>
      </c>
      <c r="S171" s="74" t="str">
        <f>R171-Q171</f>
      </c>
      <c r="T171" s="20" t="str">
        <f>IFERROR(INDEX('Cost_Components'!$R$2:$R$27,MATCH(E171,'Cost_Components'!$A$2:$A$27,0)),"")</f>
      </c>
      <c r="U171" s="75" t="str">
        <f>IFERROR(INDEX('Cost_Components'!$Q$2:$Q$27,MATCH(E171,'Cost_Components'!$A$2:$A$27,0)),"")</f>
      </c>
      <c r="V171" s="76" t="str">
        <f>1/(1+'Calculation_Assumptions'!$B$5)^(B171-'Calculation_Assumptions'!$B$2)</f>
      </c>
      <c r="W171" s="77" t="str">
        <f>Q171*V171</f>
      </c>
      <c r="X171" s="78" t="str">
        <f>R171*V171</f>
      </c>
      <c r="Y171" s="79" t="str">
        <f>S171*V171</f>
      </c>
      <c r="Z171" s="80" t="str">
        <f>IFERROR(INDEX('Cost_Components'!$T$2:$T$27,MATCH(E171,'Cost_Components'!$A$2:$A$27,0)),"")</f>
      </c>
      <c r="AA171" s="81" t="str">
        <f>IFERROR(INDEX('Cost_Components'!$U$2:$U$27,MATCH(E171,'Cost_Components'!$A$2:$A$27,0)),"")</f>
      </c>
      <c r="AB171" s="82" t="str">
        <f>IFERROR(INDEX('Cost_Components'!$V$2:$V$27,MATCH(E171,'Cost_Components'!$A$2:$A$27,0)),"")</f>
      </c>
      <c r="AC171" s="83" t="str">
        <f>IFERROR(INDEX('Cost_Components'!$M$2:$M$27,MATCH(E171,'Cost_Components'!$A$2:$A$27,0)),"")</f>
      </c>
      <c r="AD171" s="84" t="str">
        <f>IFERROR(INDEX('Cost_Components'!$N$2:$N$27,MATCH(E171,'Cost_Components'!$A$2:$A$27,0)),"")</f>
      </c>
      <c r="AE171" s="20" t="str">
        <f>IFERROR(INDEX('Cost_Components'!$O$2:$O$27,MATCH(E171,'Cost_Components'!$A$2:$A$27,0)),"")</f>
      </c>
      <c r="AF171" s="85" t="n">
        <v>102924.377380418</v>
      </c>
      <c r="AG171" s="86" t="n">
        <v>98998.0143549304</v>
      </c>
      <c r="AH171" s="87" t="str">
        <f>IF(H171="shared-count-once",COUNTIFS($A$2:$A$1353,A171,$B$2:$B$1353,B171,$E$2:$E$1353,E171),1)</f>
      </c>
    </row>
    <row r="172">
      <c r="A172" t="s">
        <v>200</v>
      </c>
      <c r="B172" s="59" t="n">
        <v>2039</v>
      </c>
      <c r="C172" t="s">
        <v>200</v>
      </c>
      <c r="D172" t="s">
        <v>190</v>
      </c>
      <c r="E172" s="60" t="s">
        <v>275</v>
      </c>
      <c r="F172" s="61" t="s">
        <v>276</v>
      </c>
      <c r="G172" s="62" t="s">
        <v>201</v>
      </c>
      <c r="H172" s="63" t="s">
        <v>195</v>
      </c>
      <c r="I172" s="64" t="s">
        <v>267</v>
      </c>
      <c r="J172" s="65" t="str">
        <f>IFERROR(INDEX('Cost_Components'!$K$2:$K$27,MATCH(E172,'Cost_Components'!$A$2:$A$27,0)),"")</f>
      </c>
      <c r="K172" s="66" t="str">
        <f>IF(OR(L172="",Z172="",AA172="",AB172=""),"",IF(B172&lt;AA172,L172,IF(B172&gt;AB172,Z172,L172+(Z172-L172)*MIN(MAX((B172-AA172+1)/MAX(AB172-AA172+1,1),0),1))))</f>
      </c>
      <c r="L172" s="67" t="str">
        <f>IFERROR(INDEX('Cost_Components'!$S$2:$S$27,MATCH(E172,'Cost_Components'!$A$2:$A$27,0)),"")</f>
      </c>
      <c r="M172" s="68" t="str">
        <f>IFERROR(INDEX('Cost_Components'!$L$2:$L$27,MATCH(E172,'Cost_Components'!$A$2:$A$27,0)),"")</f>
      </c>
      <c r="N172" s="69" t="str">
        <f>IFERROR(INDEX('Cost_Components'!$P$2:$P$27,MATCH(E172,'Cost_Components'!$A$2:$A$27,0)),"")</f>
      </c>
      <c r="O172" s="70" t="str">
        <f>AF172*J172</f>
      </c>
      <c r="P172" s="71" t="str">
        <f>AG172*J172</f>
      </c>
      <c r="Q172" s="72" t="str">
        <f>P172*L172*M172*N172</f>
      </c>
      <c r="R172" s="73" t="str">
        <f>O172*K172*M172*N172</f>
      </c>
      <c r="S172" s="74" t="str">
        <f>R172-Q172</f>
      </c>
      <c r="T172" s="20" t="str">
        <f>IFERROR(INDEX('Cost_Components'!$R$2:$R$27,MATCH(E172,'Cost_Components'!$A$2:$A$27,0)),"")</f>
      </c>
      <c r="U172" s="75" t="str">
        <f>IFERROR(INDEX('Cost_Components'!$Q$2:$Q$27,MATCH(E172,'Cost_Components'!$A$2:$A$27,0)),"")</f>
      </c>
      <c r="V172" s="76" t="str">
        <f>1/(1+'Calculation_Assumptions'!$B$5)^(B172-'Calculation_Assumptions'!$B$2)</f>
      </c>
      <c r="W172" s="77" t="str">
        <f>Q172*V172</f>
      </c>
      <c r="X172" s="78" t="str">
        <f>R172*V172</f>
      </c>
      <c r="Y172" s="79" t="str">
        <f>S172*V172</f>
      </c>
      <c r="Z172" s="80" t="str">
        <f>IFERROR(INDEX('Cost_Components'!$T$2:$T$27,MATCH(E172,'Cost_Components'!$A$2:$A$27,0)),"")</f>
      </c>
      <c r="AA172" s="81" t="str">
        <f>IFERROR(INDEX('Cost_Components'!$U$2:$U$27,MATCH(E172,'Cost_Components'!$A$2:$A$27,0)),"")</f>
      </c>
      <c r="AB172" s="82" t="str">
        <f>IFERROR(INDEX('Cost_Components'!$V$2:$V$27,MATCH(E172,'Cost_Components'!$A$2:$A$27,0)),"")</f>
      </c>
      <c r="AC172" s="83" t="str">
        <f>IFERROR(INDEX('Cost_Components'!$M$2:$M$27,MATCH(E172,'Cost_Components'!$A$2:$A$27,0)),"")</f>
      </c>
      <c r="AD172" s="84" t="str">
        <f>IFERROR(INDEX('Cost_Components'!$N$2:$N$27,MATCH(E172,'Cost_Components'!$A$2:$A$27,0)),"")</f>
      </c>
      <c r="AE172" s="20" t="str">
        <f>IFERROR(INDEX('Cost_Components'!$O$2:$O$27,MATCH(E172,'Cost_Components'!$A$2:$A$27,0)),"")</f>
      </c>
      <c r="AF172" s="85" t="n">
        <v>105325.3864422</v>
      </c>
      <c r="AG172" s="86" t="n">
        <v>100926.209893404</v>
      </c>
      <c r="AH172" s="87" t="str">
        <f>IF(H172="shared-count-once",COUNTIFS($A$2:$A$1353,A172,$B$2:$B$1353,B172,$E$2:$E$1353,E172),1)</f>
      </c>
    </row>
    <row r="173">
      <c r="A173" t="s">
        <v>200</v>
      </c>
      <c r="B173" s="59" t="n">
        <v>2040</v>
      </c>
      <c r="C173" t="s">
        <v>200</v>
      </c>
      <c r="D173" t="s">
        <v>190</v>
      </c>
      <c r="E173" s="60" t="s">
        <v>275</v>
      </c>
      <c r="F173" s="61" t="s">
        <v>276</v>
      </c>
      <c r="G173" s="62" t="s">
        <v>201</v>
      </c>
      <c r="H173" s="63" t="s">
        <v>195</v>
      </c>
      <c r="I173" s="64" t="s">
        <v>267</v>
      </c>
      <c r="J173" s="65" t="str">
        <f>IFERROR(INDEX('Cost_Components'!$K$2:$K$27,MATCH(E173,'Cost_Components'!$A$2:$A$27,0)),"")</f>
      </c>
      <c r="K173" s="66" t="str">
        <f>IF(OR(L173="",Z173="",AA173="",AB173=""),"",IF(B173&lt;AA173,L173,IF(B173&gt;AB173,Z173,L173+(Z173-L173)*MIN(MAX((B173-AA173+1)/MAX(AB173-AA173+1,1),0),1))))</f>
      </c>
      <c r="L173" s="67" t="str">
        <f>IFERROR(INDEX('Cost_Components'!$S$2:$S$27,MATCH(E173,'Cost_Components'!$A$2:$A$27,0)),"")</f>
      </c>
      <c r="M173" s="68" t="str">
        <f>IFERROR(INDEX('Cost_Components'!$L$2:$L$27,MATCH(E173,'Cost_Components'!$A$2:$A$27,0)),"")</f>
      </c>
      <c r="N173" s="69" t="str">
        <f>IFERROR(INDEX('Cost_Components'!$P$2:$P$27,MATCH(E173,'Cost_Components'!$A$2:$A$27,0)),"")</f>
      </c>
      <c r="O173" s="70" t="str">
        <f>AF173*J173</f>
      </c>
      <c r="P173" s="71" t="str">
        <f>AG173*J173</f>
      </c>
      <c r="Q173" s="72" t="str">
        <f>P173*L173*M173*N173</f>
      </c>
      <c r="R173" s="73" t="str">
        <f>O173*K173*M173*N173</f>
      </c>
      <c r="S173" s="74" t="str">
        <f>R173-Q173</f>
      </c>
      <c r="T173" s="20" t="str">
        <f>IFERROR(INDEX('Cost_Components'!$R$2:$R$27,MATCH(E173,'Cost_Components'!$A$2:$A$27,0)),"")</f>
      </c>
      <c r="U173" s="75" t="str">
        <f>IFERROR(INDEX('Cost_Components'!$Q$2:$Q$27,MATCH(E173,'Cost_Components'!$A$2:$A$27,0)),"")</f>
      </c>
      <c r="V173" s="76" t="str">
        <f>1/(1+'Calculation_Assumptions'!$B$5)^(B173-'Calculation_Assumptions'!$B$2)</f>
      </c>
      <c r="W173" s="77" t="str">
        <f>Q173*V173</f>
      </c>
      <c r="X173" s="78" t="str">
        <f>R173*V173</f>
      </c>
      <c r="Y173" s="79" t="str">
        <f>S173*V173</f>
      </c>
      <c r="Z173" s="80" t="str">
        <f>IFERROR(INDEX('Cost_Components'!$T$2:$T$27,MATCH(E173,'Cost_Components'!$A$2:$A$27,0)),"")</f>
      </c>
      <c r="AA173" s="81" t="str">
        <f>IFERROR(INDEX('Cost_Components'!$U$2:$U$27,MATCH(E173,'Cost_Components'!$A$2:$A$27,0)),"")</f>
      </c>
      <c r="AB173" s="82" t="str">
        <f>IFERROR(INDEX('Cost_Components'!$V$2:$V$27,MATCH(E173,'Cost_Components'!$A$2:$A$27,0)),"")</f>
      </c>
      <c r="AC173" s="83" t="str">
        <f>IFERROR(INDEX('Cost_Components'!$M$2:$M$27,MATCH(E173,'Cost_Components'!$A$2:$A$27,0)),"")</f>
      </c>
      <c r="AD173" s="84" t="str">
        <f>IFERROR(INDEX('Cost_Components'!$N$2:$N$27,MATCH(E173,'Cost_Components'!$A$2:$A$27,0)),"")</f>
      </c>
      <c r="AE173" s="20" t="str">
        <f>IFERROR(INDEX('Cost_Components'!$O$2:$O$27,MATCH(E173,'Cost_Components'!$A$2:$A$27,0)),"")</f>
      </c>
      <c r="AF173" s="85" t="n">
        <v>107825.411834588</v>
      </c>
      <c r="AG173" s="86" t="n">
        <v>102933.12938022</v>
      </c>
      <c r="AH173" s="87" t="str">
        <f>IF(H173="shared-count-once",COUNTIFS($A$2:$A$1353,A173,$B$2:$B$1353,B173,$E$2:$E$1353,E173),1)</f>
      </c>
    </row>
    <row r="174">
      <c r="A174" t="s">
        <v>200</v>
      </c>
      <c r="B174" s="59" t="n">
        <v>2041</v>
      </c>
      <c r="C174" t="s">
        <v>200</v>
      </c>
      <c r="D174" t="s">
        <v>190</v>
      </c>
      <c r="E174" s="60" t="s">
        <v>275</v>
      </c>
      <c r="F174" s="61" t="s">
        <v>276</v>
      </c>
      <c r="G174" s="62" t="s">
        <v>201</v>
      </c>
      <c r="H174" s="63" t="s">
        <v>195</v>
      </c>
      <c r="I174" s="64" t="s">
        <v>267</v>
      </c>
      <c r="J174" s="65" t="str">
        <f>IFERROR(INDEX('Cost_Components'!$K$2:$K$27,MATCH(E174,'Cost_Components'!$A$2:$A$27,0)),"")</f>
      </c>
      <c r="K174" s="66" t="str">
        <f>IF(OR(L174="",Z174="",AA174="",AB174=""),"",IF(B174&lt;AA174,L174,IF(B174&gt;AB174,Z174,L174+(Z174-L174)*MIN(MAX((B174-AA174+1)/MAX(AB174-AA174+1,1),0),1))))</f>
      </c>
      <c r="L174" s="67" t="str">
        <f>IFERROR(INDEX('Cost_Components'!$S$2:$S$27,MATCH(E174,'Cost_Components'!$A$2:$A$27,0)),"")</f>
      </c>
      <c r="M174" s="68" t="str">
        <f>IFERROR(INDEX('Cost_Components'!$L$2:$L$27,MATCH(E174,'Cost_Components'!$A$2:$A$27,0)),"")</f>
      </c>
      <c r="N174" s="69" t="str">
        <f>IFERROR(INDEX('Cost_Components'!$P$2:$P$27,MATCH(E174,'Cost_Components'!$A$2:$A$27,0)),"")</f>
      </c>
      <c r="O174" s="70" t="str">
        <f>AF174*J174</f>
      </c>
      <c r="P174" s="71" t="str">
        <f>AG174*J174</f>
      </c>
      <c r="Q174" s="72" t="str">
        <f>P174*L174*M174*N174</f>
      </c>
      <c r="R174" s="73" t="str">
        <f>O174*K174*M174*N174</f>
      </c>
      <c r="S174" s="74" t="str">
        <f>R174-Q174</f>
      </c>
      <c r="T174" s="20" t="str">
        <f>IFERROR(INDEX('Cost_Components'!$R$2:$R$27,MATCH(E174,'Cost_Components'!$A$2:$A$27,0)),"")</f>
      </c>
      <c r="U174" s="75" t="str">
        <f>IFERROR(INDEX('Cost_Components'!$Q$2:$Q$27,MATCH(E174,'Cost_Components'!$A$2:$A$27,0)),"")</f>
      </c>
      <c r="V174" s="76" t="str">
        <f>1/(1+'Calculation_Assumptions'!$B$5)^(B174-'Calculation_Assumptions'!$B$2)</f>
      </c>
      <c r="W174" s="77" t="str">
        <f>Q174*V174</f>
      </c>
      <c r="X174" s="78" t="str">
        <f>R174*V174</f>
      </c>
      <c r="Y174" s="79" t="str">
        <f>S174*V174</f>
      </c>
      <c r="Z174" s="80" t="str">
        <f>IFERROR(INDEX('Cost_Components'!$T$2:$T$27,MATCH(E174,'Cost_Components'!$A$2:$A$27,0)),"")</f>
      </c>
      <c r="AA174" s="81" t="str">
        <f>IFERROR(INDEX('Cost_Components'!$U$2:$U$27,MATCH(E174,'Cost_Components'!$A$2:$A$27,0)),"")</f>
      </c>
      <c r="AB174" s="82" t="str">
        <f>IFERROR(INDEX('Cost_Components'!$V$2:$V$27,MATCH(E174,'Cost_Components'!$A$2:$A$27,0)),"")</f>
      </c>
      <c r="AC174" s="83" t="str">
        <f>IFERROR(INDEX('Cost_Components'!$M$2:$M$27,MATCH(E174,'Cost_Components'!$A$2:$A$27,0)),"")</f>
      </c>
      <c r="AD174" s="84" t="str">
        <f>IFERROR(INDEX('Cost_Components'!$N$2:$N$27,MATCH(E174,'Cost_Components'!$A$2:$A$27,0)),"")</f>
      </c>
      <c r="AE174" s="20" t="str">
        <f>IFERROR(INDEX('Cost_Components'!$O$2:$O$27,MATCH(E174,'Cost_Components'!$A$2:$A$27,0)),"")</f>
      </c>
      <c r="AF174" s="85" t="n">
        <v>110423.968661541</v>
      </c>
      <c r="AG174" s="86" t="n">
        <v>105017.945173141</v>
      </c>
      <c r="AH174" s="87" t="str">
        <f>IF(H174="shared-count-once",COUNTIFS($A$2:$A$1353,A174,$B$2:$B$1353,B174,$E$2:$E$1353,E174),1)</f>
      </c>
    </row>
    <row r="175">
      <c r="A175" t="s">
        <v>200</v>
      </c>
      <c r="B175" s="59" t="n">
        <v>2042</v>
      </c>
      <c r="C175" t="s">
        <v>200</v>
      </c>
      <c r="D175" t="s">
        <v>190</v>
      </c>
      <c r="E175" s="60" t="s">
        <v>275</v>
      </c>
      <c r="F175" s="61" t="s">
        <v>276</v>
      </c>
      <c r="G175" s="62" t="s">
        <v>201</v>
      </c>
      <c r="H175" s="63" t="s">
        <v>195</v>
      </c>
      <c r="I175" s="64" t="s">
        <v>267</v>
      </c>
      <c r="J175" s="65" t="str">
        <f>IFERROR(INDEX('Cost_Components'!$K$2:$K$27,MATCH(E175,'Cost_Components'!$A$2:$A$27,0)),"")</f>
      </c>
      <c r="K175" s="66" t="str">
        <f>IF(OR(L175="",Z175="",AA175="",AB175=""),"",IF(B175&lt;AA175,L175,IF(B175&gt;AB175,Z175,L175+(Z175-L175)*MIN(MAX((B175-AA175+1)/MAX(AB175-AA175+1,1),0),1))))</f>
      </c>
      <c r="L175" s="67" t="str">
        <f>IFERROR(INDEX('Cost_Components'!$S$2:$S$27,MATCH(E175,'Cost_Components'!$A$2:$A$27,0)),"")</f>
      </c>
      <c r="M175" s="68" t="str">
        <f>IFERROR(INDEX('Cost_Components'!$L$2:$L$27,MATCH(E175,'Cost_Components'!$A$2:$A$27,0)),"")</f>
      </c>
      <c r="N175" s="69" t="str">
        <f>IFERROR(INDEX('Cost_Components'!$P$2:$P$27,MATCH(E175,'Cost_Components'!$A$2:$A$27,0)),"")</f>
      </c>
      <c r="O175" s="70" t="str">
        <f>AF175*J175</f>
      </c>
      <c r="P175" s="71" t="str">
        <f>AG175*J175</f>
      </c>
      <c r="Q175" s="72" t="str">
        <f>P175*L175*M175*N175</f>
      </c>
      <c r="R175" s="73" t="str">
        <f>O175*K175*M175*N175</f>
      </c>
      <c r="S175" s="74" t="str">
        <f>R175-Q175</f>
      </c>
      <c r="T175" s="20" t="str">
        <f>IFERROR(INDEX('Cost_Components'!$R$2:$R$27,MATCH(E175,'Cost_Components'!$A$2:$A$27,0)),"")</f>
      </c>
      <c r="U175" s="75" t="str">
        <f>IFERROR(INDEX('Cost_Components'!$Q$2:$Q$27,MATCH(E175,'Cost_Components'!$A$2:$A$27,0)),"")</f>
      </c>
      <c r="V175" s="76" t="str">
        <f>1/(1+'Calculation_Assumptions'!$B$5)^(B175-'Calculation_Assumptions'!$B$2)</f>
      </c>
      <c r="W175" s="77" t="str">
        <f>Q175*V175</f>
      </c>
      <c r="X175" s="78" t="str">
        <f>R175*V175</f>
      </c>
      <c r="Y175" s="79" t="str">
        <f>S175*V175</f>
      </c>
      <c r="Z175" s="80" t="str">
        <f>IFERROR(INDEX('Cost_Components'!$T$2:$T$27,MATCH(E175,'Cost_Components'!$A$2:$A$27,0)),"")</f>
      </c>
      <c r="AA175" s="81" t="str">
        <f>IFERROR(INDEX('Cost_Components'!$U$2:$U$27,MATCH(E175,'Cost_Components'!$A$2:$A$27,0)),"")</f>
      </c>
      <c r="AB175" s="82" t="str">
        <f>IFERROR(INDEX('Cost_Components'!$V$2:$V$27,MATCH(E175,'Cost_Components'!$A$2:$A$27,0)),"")</f>
      </c>
      <c r="AC175" s="83" t="str">
        <f>IFERROR(INDEX('Cost_Components'!$M$2:$M$27,MATCH(E175,'Cost_Components'!$A$2:$A$27,0)),"")</f>
      </c>
      <c r="AD175" s="84" t="str">
        <f>IFERROR(INDEX('Cost_Components'!$N$2:$N$27,MATCH(E175,'Cost_Components'!$A$2:$A$27,0)),"")</f>
      </c>
      <c r="AE175" s="20" t="str">
        <f>IFERROR(INDEX('Cost_Components'!$O$2:$O$27,MATCH(E175,'Cost_Components'!$A$2:$A$27,0)),"")</f>
      </c>
      <c r="AF175" s="85" t="n">
        <v>113116.814448138</v>
      </c>
      <c r="AG175" s="86" t="n">
        <v>107176.827813899</v>
      </c>
      <c r="AH175" s="87" t="str">
        <f>IF(H175="shared-count-once",COUNTIFS($A$2:$A$1353,A175,$B$2:$B$1353,B175,$E$2:$E$1353,E175),1)</f>
      </c>
    </row>
    <row r="176">
      <c r="A176" t="s">
        <v>200</v>
      </c>
      <c r="B176" s="59" t="n">
        <v>2043</v>
      </c>
      <c r="C176" t="s">
        <v>200</v>
      </c>
      <c r="D176" t="s">
        <v>190</v>
      </c>
      <c r="E176" s="60" t="s">
        <v>275</v>
      </c>
      <c r="F176" s="61" t="s">
        <v>276</v>
      </c>
      <c r="G176" s="62" t="s">
        <v>201</v>
      </c>
      <c r="H176" s="63" t="s">
        <v>195</v>
      </c>
      <c r="I176" s="64" t="s">
        <v>267</v>
      </c>
      <c r="J176" s="65" t="str">
        <f>IFERROR(INDEX('Cost_Components'!$K$2:$K$27,MATCH(E176,'Cost_Components'!$A$2:$A$27,0)),"")</f>
      </c>
      <c r="K176" s="66" t="str">
        <f>IF(OR(L176="",Z176="",AA176="",AB176=""),"",IF(B176&lt;AA176,L176,IF(B176&gt;AB176,Z176,L176+(Z176-L176)*MIN(MAX((B176-AA176+1)/MAX(AB176-AA176+1,1),0),1))))</f>
      </c>
      <c r="L176" s="67" t="str">
        <f>IFERROR(INDEX('Cost_Components'!$S$2:$S$27,MATCH(E176,'Cost_Components'!$A$2:$A$27,0)),"")</f>
      </c>
      <c r="M176" s="68" t="str">
        <f>IFERROR(INDEX('Cost_Components'!$L$2:$L$27,MATCH(E176,'Cost_Components'!$A$2:$A$27,0)),"")</f>
      </c>
      <c r="N176" s="69" t="str">
        <f>IFERROR(INDEX('Cost_Components'!$P$2:$P$27,MATCH(E176,'Cost_Components'!$A$2:$A$27,0)),"")</f>
      </c>
      <c r="O176" s="70" t="str">
        <f>AF176*J176</f>
      </c>
      <c r="P176" s="71" t="str">
        <f>AG176*J176</f>
      </c>
      <c r="Q176" s="72" t="str">
        <f>P176*L176*M176*N176</f>
      </c>
      <c r="R176" s="73" t="str">
        <f>O176*K176*M176*N176</f>
      </c>
      <c r="S176" s="74" t="str">
        <f>R176-Q176</f>
      </c>
      <c r="T176" s="20" t="str">
        <f>IFERROR(INDEX('Cost_Components'!$R$2:$R$27,MATCH(E176,'Cost_Components'!$A$2:$A$27,0)),"")</f>
      </c>
      <c r="U176" s="75" t="str">
        <f>IFERROR(INDEX('Cost_Components'!$Q$2:$Q$27,MATCH(E176,'Cost_Components'!$A$2:$A$27,0)),"")</f>
      </c>
      <c r="V176" s="76" t="str">
        <f>1/(1+'Calculation_Assumptions'!$B$5)^(B176-'Calculation_Assumptions'!$B$2)</f>
      </c>
      <c r="W176" s="77" t="str">
        <f>Q176*V176</f>
      </c>
      <c r="X176" s="78" t="str">
        <f>R176*V176</f>
      </c>
      <c r="Y176" s="79" t="str">
        <f>S176*V176</f>
      </c>
      <c r="Z176" s="80" t="str">
        <f>IFERROR(INDEX('Cost_Components'!$T$2:$T$27,MATCH(E176,'Cost_Components'!$A$2:$A$27,0)),"")</f>
      </c>
      <c r="AA176" s="81" t="str">
        <f>IFERROR(INDEX('Cost_Components'!$U$2:$U$27,MATCH(E176,'Cost_Components'!$A$2:$A$27,0)),"")</f>
      </c>
      <c r="AB176" s="82" t="str">
        <f>IFERROR(INDEX('Cost_Components'!$V$2:$V$27,MATCH(E176,'Cost_Components'!$A$2:$A$27,0)),"")</f>
      </c>
      <c r="AC176" s="83" t="str">
        <f>IFERROR(INDEX('Cost_Components'!$M$2:$M$27,MATCH(E176,'Cost_Components'!$A$2:$A$27,0)),"")</f>
      </c>
      <c r="AD176" s="84" t="str">
        <f>IFERROR(INDEX('Cost_Components'!$N$2:$N$27,MATCH(E176,'Cost_Components'!$A$2:$A$27,0)),"")</f>
      </c>
      <c r="AE176" s="20" t="str">
        <f>IFERROR(INDEX('Cost_Components'!$O$2:$O$27,MATCH(E176,'Cost_Components'!$A$2:$A$27,0)),"")</f>
      </c>
      <c r="AF176" s="85" t="n">
        <v>115905.968149768</v>
      </c>
      <c r="AG176" s="86" t="n">
        <v>109412.075927052</v>
      </c>
      <c r="AH176" s="87" t="str">
        <f>IF(H176="shared-count-once",COUNTIFS($A$2:$A$1353,A176,$B$2:$B$1353,B176,$E$2:$E$1353,E176),1)</f>
      </c>
    </row>
    <row r="177">
      <c r="A177" t="s">
        <v>200</v>
      </c>
      <c r="B177" s="59" t="n">
        <v>2044</v>
      </c>
      <c r="C177" t="s">
        <v>200</v>
      </c>
      <c r="D177" t="s">
        <v>190</v>
      </c>
      <c r="E177" s="60" t="s">
        <v>275</v>
      </c>
      <c r="F177" s="61" t="s">
        <v>276</v>
      </c>
      <c r="G177" s="62" t="s">
        <v>201</v>
      </c>
      <c r="H177" s="63" t="s">
        <v>195</v>
      </c>
      <c r="I177" s="64" t="s">
        <v>267</v>
      </c>
      <c r="J177" s="65" t="str">
        <f>IFERROR(INDEX('Cost_Components'!$K$2:$K$27,MATCH(E177,'Cost_Components'!$A$2:$A$27,0)),"")</f>
      </c>
      <c r="K177" s="66" t="str">
        <f>IF(OR(L177="",Z177="",AA177="",AB177=""),"",IF(B177&lt;AA177,L177,IF(B177&gt;AB177,Z177,L177+(Z177-L177)*MIN(MAX((B177-AA177+1)/MAX(AB177-AA177+1,1),0),1))))</f>
      </c>
      <c r="L177" s="67" t="str">
        <f>IFERROR(INDEX('Cost_Components'!$S$2:$S$27,MATCH(E177,'Cost_Components'!$A$2:$A$27,0)),"")</f>
      </c>
      <c r="M177" s="68" t="str">
        <f>IFERROR(INDEX('Cost_Components'!$L$2:$L$27,MATCH(E177,'Cost_Components'!$A$2:$A$27,0)),"")</f>
      </c>
      <c r="N177" s="69" t="str">
        <f>IFERROR(INDEX('Cost_Components'!$P$2:$P$27,MATCH(E177,'Cost_Components'!$A$2:$A$27,0)),"")</f>
      </c>
      <c r="O177" s="70" t="str">
        <f>AF177*J177</f>
      </c>
      <c r="P177" s="71" t="str">
        <f>AG177*J177</f>
      </c>
      <c r="Q177" s="72" t="str">
        <f>P177*L177*M177*N177</f>
      </c>
      <c r="R177" s="73" t="str">
        <f>O177*K177*M177*N177</f>
      </c>
      <c r="S177" s="74" t="str">
        <f>R177-Q177</f>
      </c>
      <c r="T177" s="20" t="str">
        <f>IFERROR(INDEX('Cost_Components'!$R$2:$R$27,MATCH(E177,'Cost_Components'!$A$2:$A$27,0)),"")</f>
      </c>
      <c r="U177" s="75" t="str">
        <f>IFERROR(INDEX('Cost_Components'!$Q$2:$Q$27,MATCH(E177,'Cost_Components'!$A$2:$A$27,0)),"")</f>
      </c>
      <c r="V177" s="76" t="str">
        <f>1/(1+'Calculation_Assumptions'!$B$5)^(B177-'Calculation_Assumptions'!$B$2)</f>
      </c>
      <c r="W177" s="77" t="str">
        <f>Q177*V177</f>
      </c>
      <c r="X177" s="78" t="str">
        <f>R177*V177</f>
      </c>
      <c r="Y177" s="79" t="str">
        <f>S177*V177</f>
      </c>
      <c r="Z177" s="80" t="str">
        <f>IFERROR(INDEX('Cost_Components'!$T$2:$T$27,MATCH(E177,'Cost_Components'!$A$2:$A$27,0)),"")</f>
      </c>
      <c r="AA177" s="81" t="str">
        <f>IFERROR(INDEX('Cost_Components'!$U$2:$U$27,MATCH(E177,'Cost_Components'!$A$2:$A$27,0)),"")</f>
      </c>
      <c r="AB177" s="82" t="str">
        <f>IFERROR(INDEX('Cost_Components'!$V$2:$V$27,MATCH(E177,'Cost_Components'!$A$2:$A$27,0)),"")</f>
      </c>
      <c r="AC177" s="83" t="str">
        <f>IFERROR(INDEX('Cost_Components'!$M$2:$M$27,MATCH(E177,'Cost_Components'!$A$2:$A$27,0)),"")</f>
      </c>
      <c r="AD177" s="84" t="str">
        <f>IFERROR(INDEX('Cost_Components'!$N$2:$N$27,MATCH(E177,'Cost_Components'!$A$2:$A$27,0)),"")</f>
      </c>
      <c r="AE177" s="20" t="str">
        <f>IFERROR(INDEX('Cost_Components'!$O$2:$O$27,MATCH(E177,'Cost_Components'!$A$2:$A$27,0)),"")</f>
      </c>
      <c r="AF177" s="85" t="n">
        <v>118784.47918703</v>
      </c>
      <c r="AG177" s="86" t="n">
        <v>111717.49359171</v>
      </c>
      <c r="AH177" s="87" t="str">
        <f>IF(H177="shared-count-once",COUNTIFS($A$2:$A$1353,A177,$B$2:$B$1353,B177,$E$2:$E$1353,E177),1)</f>
      </c>
    </row>
    <row r="178">
      <c r="A178" t="s">
        <v>200</v>
      </c>
      <c r="B178" s="59" t="n">
        <v>2045</v>
      </c>
      <c r="C178" t="s">
        <v>200</v>
      </c>
      <c r="D178" t="s">
        <v>190</v>
      </c>
      <c r="E178" s="60" t="s">
        <v>275</v>
      </c>
      <c r="F178" s="61" t="s">
        <v>276</v>
      </c>
      <c r="G178" s="62" t="s">
        <v>201</v>
      </c>
      <c r="H178" s="63" t="s">
        <v>195</v>
      </c>
      <c r="I178" s="64" t="s">
        <v>267</v>
      </c>
      <c r="J178" s="65" t="str">
        <f>IFERROR(INDEX('Cost_Components'!$K$2:$K$27,MATCH(E178,'Cost_Components'!$A$2:$A$27,0)),"")</f>
      </c>
      <c r="K178" s="66" t="str">
        <f>IF(OR(L178="",Z178="",AA178="",AB178=""),"",IF(B178&lt;AA178,L178,IF(B178&gt;AB178,Z178,L178+(Z178-L178)*MIN(MAX((B178-AA178+1)/MAX(AB178-AA178+1,1),0),1))))</f>
      </c>
      <c r="L178" s="67" t="str">
        <f>IFERROR(INDEX('Cost_Components'!$S$2:$S$27,MATCH(E178,'Cost_Components'!$A$2:$A$27,0)),"")</f>
      </c>
      <c r="M178" s="68" t="str">
        <f>IFERROR(INDEX('Cost_Components'!$L$2:$L$27,MATCH(E178,'Cost_Components'!$A$2:$A$27,0)),"")</f>
      </c>
      <c r="N178" s="69" t="str">
        <f>IFERROR(INDEX('Cost_Components'!$P$2:$P$27,MATCH(E178,'Cost_Components'!$A$2:$A$27,0)),"")</f>
      </c>
      <c r="O178" s="70" t="str">
        <f>AF178*J178</f>
      </c>
      <c r="P178" s="71" t="str">
        <f>AG178*J178</f>
      </c>
      <c r="Q178" s="72" t="str">
        <f>P178*L178*M178*N178</f>
      </c>
      <c r="R178" s="73" t="str">
        <f>O178*K178*M178*N178</f>
      </c>
      <c r="S178" s="74" t="str">
        <f>R178-Q178</f>
      </c>
      <c r="T178" s="20" t="str">
        <f>IFERROR(INDEX('Cost_Components'!$R$2:$R$27,MATCH(E178,'Cost_Components'!$A$2:$A$27,0)),"")</f>
      </c>
      <c r="U178" s="75" t="str">
        <f>IFERROR(INDEX('Cost_Components'!$Q$2:$Q$27,MATCH(E178,'Cost_Components'!$A$2:$A$27,0)),"")</f>
      </c>
      <c r="V178" s="76" t="str">
        <f>1/(1+'Calculation_Assumptions'!$B$5)^(B178-'Calculation_Assumptions'!$B$2)</f>
      </c>
      <c r="W178" s="77" t="str">
        <f>Q178*V178</f>
      </c>
      <c r="X178" s="78" t="str">
        <f>R178*V178</f>
      </c>
      <c r="Y178" s="79" t="str">
        <f>S178*V178</f>
      </c>
      <c r="Z178" s="80" t="str">
        <f>IFERROR(INDEX('Cost_Components'!$T$2:$T$27,MATCH(E178,'Cost_Components'!$A$2:$A$27,0)),"")</f>
      </c>
      <c r="AA178" s="81" t="str">
        <f>IFERROR(INDEX('Cost_Components'!$U$2:$U$27,MATCH(E178,'Cost_Components'!$A$2:$A$27,0)),"")</f>
      </c>
      <c r="AB178" s="82" t="str">
        <f>IFERROR(INDEX('Cost_Components'!$V$2:$V$27,MATCH(E178,'Cost_Components'!$A$2:$A$27,0)),"")</f>
      </c>
      <c r="AC178" s="83" t="str">
        <f>IFERROR(INDEX('Cost_Components'!$M$2:$M$27,MATCH(E178,'Cost_Components'!$A$2:$A$27,0)),"")</f>
      </c>
      <c r="AD178" s="84" t="str">
        <f>IFERROR(INDEX('Cost_Components'!$N$2:$N$27,MATCH(E178,'Cost_Components'!$A$2:$A$27,0)),"")</f>
      </c>
      <c r="AE178" s="20" t="str">
        <f>IFERROR(INDEX('Cost_Components'!$O$2:$O$27,MATCH(E178,'Cost_Components'!$A$2:$A$27,0)),"")</f>
      </c>
      <c r="AF178" s="85" t="n">
        <v>121753.051784295</v>
      </c>
      <c r="AG178" s="86" t="n">
        <v>114095.274012368</v>
      </c>
      <c r="AH178" s="87" t="str">
        <f>IF(H178="shared-count-once",COUNTIFS($A$2:$A$1353,A178,$B$2:$B$1353,B178,$E$2:$E$1353,E178),1)</f>
      </c>
    </row>
    <row r="179">
      <c r="A179" t="s">
        <v>200</v>
      </c>
      <c r="B179" s="59" t="n">
        <v>2046</v>
      </c>
      <c r="C179" t="s">
        <v>200</v>
      </c>
      <c r="D179" t="s">
        <v>190</v>
      </c>
      <c r="E179" s="60" t="s">
        <v>275</v>
      </c>
      <c r="F179" s="61" t="s">
        <v>276</v>
      </c>
      <c r="G179" s="62" t="s">
        <v>201</v>
      </c>
      <c r="H179" s="63" t="s">
        <v>195</v>
      </c>
      <c r="I179" s="64" t="s">
        <v>267</v>
      </c>
      <c r="J179" s="65" t="str">
        <f>IFERROR(INDEX('Cost_Components'!$K$2:$K$27,MATCH(E179,'Cost_Components'!$A$2:$A$27,0)),"")</f>
      </c>
      <c r="K179" s="66" t="str">
        <f>IF(OR(L179="",Z179="",AA179="",AB179=""),"",IF(B179&lt;AA179,L179,IF(B179&gt;AB179,Z179,L179+(Z179-L179)*MIN(MAX((B179-AA179+1)/MAX(AB179-AA179+1,1),0),1))))</f>
      </c>
      <c r="L179" s="67" t="str">
        <f>IFERROR(INDEX('Cost_Components'!$S$2:$S$27,MATCH(E179,'Cost_Components'!$A$2:$A$27,0)),"")</f>
      </c>
      <c r="M179" s="68" t="str">
        <f>IFERROR(INDEX('Cost_Components'!$L$2:$L$27,MATCH(E179,'Cost_Components'!$A$2:$A$27,0)),"")</f>
      </c>
      <c r="N179" s="69" t="str">
        <f>IFERROR(INDEX('Cost_Components'!$P$2:$P$27,MATCH(E179,'Cost_Components'!$A$2:$A$27,0)),"")</f>
      </c>
      <c r="O179" s="70" t="str">
        <f>AF179*J179</f>
      </c>
      <c r="P179" s="71" t="str">
        <f>AG179*J179</f>
      </c>
      <c r="Q179" s="72" t="str">
        <f>P179*L179*M179*N179</f>
      </c>
      <c r="R179" s="73" t="str">
        <f>O179*K179*M179*N179</f>
      </c>
      <c r="S179" s="74" t="str">
        <f>R179-Q179</f>
      </c>
      <c r="T179" s="20" t="str">
        <f>IFERROR(INDEX('Cost_Components'!$R$2:$R$27,MATCH(E179,'Cost_Components'!$A$2:$A$27,0)),"")</f>
      </c>
      <c r="U179" s="75" t="str">
        <f>IFERROR(INDEX('Cost_Components'!$Q$2:$Q$27,MATCH(E179,'Cost_Components'!$A$2:$A$27,0)),"")</f>
      </c>
      <c r="V179" s="76" t="str">
        <f>1/(1+'Calculation_Assumptions'!$B$5)^(B179-'Calculation_Assumptions'!$B$2)</f>
      </c>
      <c r="W179" s="77" t="str">
        <f>Q179*V179</f>
      </c>
      <c r="X179" s="78" t="str">
        <f>R179*V179</f>
      </c>
      <c r="Y179" s="79" t="str">
        <f>S179*V179</f>
      </c>
      <c r="Z179" s="80" t="str">
        <f>IFERROR(INDEX('Cost_Components'!$T$2:$T$27,MATCH(E179,'Cost_Components'!$A$2:$A$27,0)),"")</f>
      </c>
      <c r="AA179" s="81" t="str">
        <f>IFERROR(INDEX('Cost_Components'!$U$2:$U$27,MATCH(E179,'Cost_Components'!$A$2:$A$27,0)),"")</f>
      </c>
      <c r="AB179" s="82" t="str">
        <f>IFERROR(INDEX('Cost_Components'!$V$2:$V$27,MATCH(E179,'Cost_Components'!$A$2:$A$27,0)),"")</f>
      </c>
      <c r="AC179" s="83" t="str">
        <f>IFERROR(INDEX('Cost_Components'!$M$2:$M$27,MATCH(E179,'Cost_Components'!$A$2:$A$27,0)),"")</f>
      </c>
      <c r="AD179" s="84" t="str">
        <f>IFERROR(INDEX('Cost_Components'!$N$2:$N$27,MATCH(E179,'Cost_Components'!$A$2:$A$27,0)),"")</f>
      </c>
      <c r="AE179" s="20" t="str">
        <f>IFERROR(INDEX('Cost_Components'!$O$2:$O$27,MATCH(E179,'Cost_Components'!$A$2:$A$27,0)),"")</f>
      </c>
      <c r="AF179" s="85" t="n">
        <v>124793.172281909</v>
      </c>
      <c r="AG179" s="86" t="n">
        <v>116526.846002341</v>
      </c>
      <c r="AH179" s="87" t="str">
        <f>IF(H179="shared-count-once",COUNTIFS($A$2:$A$1353,A179,$B$2:$B$1353,B179,$E$2:$E$1353,E179),1)</f>
      </c>
    </row>
    <row r="180">
      <c r="A180" t="s">
        <v>200</v>
      </c>
      <c r="B180" s="59" t="n">
        <v>2047</v>
      </c>
      <c r="C180" t="s">
        <v>200</v>
      </c>
      <c r="D180" t="s">
        <v>190</v>
      </c>
      <c r="E180" s="60" t="s">
        <v>275</v>
      </c>
      <c r="F180" s="61" t="s">
        <v>276</v>
      </c>
      <c r="G180" s="62" t="s">
        <v>201</v>
      </c>
      <c r="H180" s="63" t="s">
        <v>195</v>
      </c>
      <c r="I180" s="64" t="s">
        <v>267</v>
      </c>
      <c r="J180" s="65" t="str">
        <f>IFERROR(INDEX('Cost_Components'!$K$2:$K$27,MATCH(E180,'Cost_Components'!$A$2:$A$27,0)),"")</f>
      </c>
      <c r="K180" s="66" t="str">
        <f>IF(OR(L180="",Z180="",AA180="",AB180=""),"",IF(B180&lt;AA180,L180,IF(B180&gt;AB180,Z180,L180+(Z180-L180)*MIN(MAX((B180-AA180+1)/MAX(AB180-AA180+1,1),0),1))))</f>
      </c>
      <c r="L180" s="67" t="str">
        <f>IFERROR(INDEX('Cost_Components'!$S$2:$S$27,MATCH(E180,'Cost_Components'!$A$2:$A$27,0)),"")</f>
      </c>
      <c r="M180" s="68" t="str">
        <f>IFERROR(INDEX('Cost_Components'!$L$2:$L$27,MATCH(E180,'Cost_Components'!$A$2:$A$27,0)),"")</f>
      </c>
      <c r="N180" s="69" t="str">
        <f>IFERROR(INDEX('Cost_Components'!$P$2:$P$27,MATCH(E180,'Cost_Components'!$A$2:$A$27,0)),"")</f>
      </c>
      <c r="O180" s="70" t="str">
        <f>AF180*J180</f>
      </c>
      <c r="P180" s="71" t="str">
        <f>AG180*J180</f>
      </c>
      <c r="Q180" s="72" t="str">
        <f>P180*L180*M180*N180</f>
      </c>
      <c r="R180" s="73" t="str">
        <f>O180*K180*M180*N180</f>
      </c>
      <c r="S180" s="74" t="str">
        <f>R180-Q180</f>
      </c>
      <c r="T180" s="20" t="str">
        <f>IFERROR(INDEX('Cost_Components'!$R$2:$R$27,MATCH(E180,'Cost_Components'!$A$2:$A$27,0)),"")</f>
      </c>
      <c r="U180" s="75" t="str">
        <f>IFERROR(INDEX('Cost_Components'!$Q$2:$Q$27,MATCH(E180,'Cost_Components'!$A$2:$A$27,0)),"")</f>
      </c>
      <c r="V180" s="76" t="str">
        <f>1/(1+'Calculation_Assumptions'!$B$5)^(B180-'Calculation_Assumptions'!$B$2)</f>
      </c>
      <c r="W180" s="77" t="str">
        <f>Q180*V180</f>
      </c>
      <c r="X180" s="78" t="str">
        <f>R180*V180</f>
      </c>
      <c r="Y180" s="79" t="str">
        <f>S180*V180</f>
      </c>
      <c r="Z180" s="80" t="str">
        <f>IFERROR(INDEX('Cost_Components'!$T$2:$T$27,MATCH(E180,'Cost_Components'!$A$2:$A$27,0)),"")</f>
      </c>
      <c r="AA180" s="81" t="str">
        <f>IFERROR(INDEX('Cost_Components'!$U$2:$U$27,MATCH(E180,'Cost_Components'!$A$2:$A$27,0)),"")</f>
      </c>
      <c r="AB180" s="82" t="str">
        <f>IFERROR(INDEX('Cost_Components'!$V$2:$V$27,MATCH(E180,'Cost_Components'!$A$2:$A$27,0)),"")</f>
      </c>
      <c r="AC180" s="83" t="str">
        <f>IFERROR(INDEX('Cost_Components'!$M$2:$M$27,MATCH(E180,'Cost_Components'!$A$2:$A$27,0)),"")</f>
      </c>
      <c r="AD180" s="84" t="str">
        <f>IFERROR(INDEX('Cost_Components'!$N$2:$N$27,MATCH(E180,'Cost_Components'!$A$2:$A$27,0)),"")</f>
      </c>
      <c r="AE180" s="20" t="str">
        <f>IFERROR(INDEX('Cost_Components'!$O$2:$O$27,MATCH(E180,'Cost_Components'!$A$2:$A$27,0)),"")</f>
      </c>
      <c r="AF180" s="85" t="n">
        <v>127887.081083015</v>
      </c>
      <c r="AG180" s="86" t="n">
        <v>118996.23941396</v>
      </c>
      <c r="AH180" s="87" t="str">
        <f>IF(H180="shared-count-once",COUNTIFS($A$2:$A$1353,A180,$B$2:$B$1353,B180,$E$2:$E$1353,E180),1)</f>
      </c>
    </row>
    <row r="181">
      <c r="A181" t="s">
        <v>200</v>
      </c>
      <c r="B181" s="59" t="n">
        <v>2048</v>
      </c>
      <c r="C181" t="s">
        <v>200</v>
      </c>
      <c r="D181" t="s">
        <v>190</v>
      </c>
      <c r="E181" s="60" t="s">
        <v>275</v>
      </c>
      <c r="F181" s="61" t="s">
        <v>276</v>
      </c>
      <c r="G181" s="62" t="s">
        <v>201</v>
      </c>
      <c r="H181" s="63" t="s">
        <v>195</v>
      </c>
      <c r="I181" s="64" t="s">
        <v>267</v>
      </c>
      <c r="J181" s="65" t="str">
        <f>IFERROR(INDEX('Cost_Components'!$K$2:$K$27,MATCH(E181,'Cost_Components'!$A$2:$A$27,0)),"")</f>
      </c>
      <c r="K181" s="66" t="str">
        <f>IF(OR(L181="",Z181="",AA181="",AB181=""),"",IF(B181&lt;AA181,L181,IF(B181&gt;AB181,Z181,L181+(Z181-L181)*MIN(MAX((B181-AA181+1)/MAX(AB181-AA181+1,1),0),1))))</f>
      </c>
      <c r="L181" s="67" t="str">
        <f>IFERROR(INDEX('Cost_Components'!$S$2:$S$27,MATCH(E181,'Cost_Components'!$A$2:$A$27,0)),"")</f>
      </c>
      <c r="M181" s="68" t="str">
        <f>IFERROR(INDEX('Cost_Components'!$L$2:$L$27,MATCH(E181,'Cost_Components'!$A$2:$A$27,0)),"")</f>
      </c>
      <c r="N181" s="69" t="str">
        <f>IFERROR(INDEX('Cost_Components'!$P$2:$P$27,MATCH(E181,'Cost_Components'!$A$2:$A$27,0)),"")</f>
      </c>
      <c r="O181" s="70" t="str">
        <f>AF181*J181</f>
      </c>
      <c r="P181" s="71" t="str">
        <f>AG181*J181</f>
      </c>
      <c r="Q181" s="72" t="str">
        <f>P181*L181*M181*N181</f>
      </c>
      <c r="R181" s="73" t="str">
        <f>O181*K181*M181*N181</f>
      </c>
      <c r="S181" s="74" t="str">
        <f>R181-Q181</f>
      </c>
      <c r="T181" s="20" t="str">
        <f>IFERROR(INDEX('Cost_Components'!$R$2:$R$27,MATCH(E181,'Cost_Components'!$A$2:$A$27,0)),"")</f>
      </c>
      <c r="U181" s="75" t="str">
        <f>IFERROR(INDEX('Cost_Components'!$Q$2:$Q$27,MATCH(E181,'Cost_Components'!$A$2:$A$27,0)),"")</f>
      </c>
      <c r="V181" s="76" t="str">
        <f>1/(1+'Calculation_Assumptions'!$B$5)^(B181-'Calculation_Assumptions'!$B$2)</f>
      </c>
      <c r="W181" s="77" t="str">
        <f>Q181*V181</f>
      </c>
      <c r="X181" s="78" t="str">
        <f>R181*V181</f>
      </c>
      <c r="Y181" s="79" t="str">
        <f>S181*V181</f>
      </c>
      <c r="Z181" s="80" t="str">
        <f>IFERROR(INDEX('Cost_Components'!$T$2:$T$27,MATCH(E181,'Cost_Components'!$A$2:$A$27,0)),"")</f>
      </c>
      <c r="AA181" s="81" t="str">
        <f>IFERROR(INDEX('Cost_Components'!$U$2:$U$27,MATCH(E181,'Cost_Components'!$A$2:$A$27,0)),"")</f>
      </c>
      <c r="AB181" s="82" t="str">
        <f>IFERROR(INDEX('Cost_Components'!$V$2:$V$27,MATCH(E181,'Cost_Components'!$A$2:$A$27,0)),"")</f>
      </c>
      <c r="AC181" s="83" t="str">
        <f>IFERROR(INDEX('Cost_Components'!$M$2:$M$27,MATCH(E181,'Cost_Components'!$A$2:$A$27,0)),"")</f>
      </c>
      <c r="AD181" s="84" t="str">
        <f>IFERROR(INDEX('Cost_Components'!$N$2:$N$27,MATCH(E181,'Cost_Components'!$A$2:$A$27,0)),"")</f>
      </c>
      <c r="AE181" s="20" t="str">
        <f>IFERROR(INDEX('Cost_Components'!$O$2:$O$27,MATCH(E181,'Cost_Components'!$A$2:$A$27,0)),"")</f>
      </c>
      <c r="AF181" s="85" t="n">
        <v>131012.530996211</v>
      </c>
      <c r="AG181" s="86" t="n">
        <v>121484.742904679</v>
      </c>
      <c r="AH181" s="87" t="str">
        <f>IF(H181="shared-count-once",COUNTIFS($A$2:$A$1353,A181,$B$2:$B$1353,B181,$E$2:$E$1353,E181),1)</f>
      </c>
    </row>
    <row r="182">
      <c r="A182" t="s">
        <v>200</v>
      </c>
      <c r="B182" s="59" t="n">
        <v>2049</v>
      </c>
      <c r="C182" t="s">
        <v>200</v>
      </c>
      <c r="D182" t="s">
        <v>190</v>
      </c>
      <c r="E182" s="60" t="s">
        <v>275</v>
      </c>
      <c r="F182" s="61" t="s">
        <v>276</v>
      </c>
      <c r="G182" s="62" t="s">
        <v>201</v>
      </c>
      <c r="H182" s="63" t="s">
        <v>195</v>
      </c>
      <c r="I182" s="64" t="s">
        <v>267</v>
      </c>
      <c r="J182" s="65" t="str">
        <f>IFERROR(INDEX('Cost_Components'!$K$2:$K$27,MATCH(E182,'Cost_Components'!$A$2:$A$27,0)),"")</f>
      </c>
      <c r="K182" s="66" t="str">
        <f>IF(OR(L182="",Z182="",AA182="",AB182=""),"",IF(B182&lt;AA182,L182,IF(B182&gt;AB182,Z182,L182+(Z182-L182)*MIN(MAX((B182-AA182+1)/MAX(AB182-AA182+1,1),0),1))))</f>
      </c>
      <c r="L182" s="67" t="str">
        <f>IFERROR(INDEX('Cost_Components'!$S$2:$S$27,MATCH(E182,'Cost_Components'!$A$2:$A$27,0)),"")</f>
      </c>
      <c r="M182" s="68" t="str">
        <f>IFERROR(INDEX('Cost_Components'!$L$2:$L$27,MATCH(E182,'Cost_Components'!$A$2:$A$27,0)),"")</f>
      </c>
      <c r="N182" s="69" t="str">
        <f>IFERROR(INDEX('Cost_Components'!$P$2:$P$27,MATCH(E182,'Cost_Components'!$A$2:$A$27,0)),"")</f>
      </c>
      <c r="O182" s="70" t="str">
        <f>AF182*J182</f>
      </c>
      <c r="P182" s="71" t="str">
        <f>AG182*J182</f>
      </c>
      <c r="Q182" s="72" t="str">
        <f>P182*L182*M182*N182</f>
      </c>
      <c r="R182" s="73" t="str">
        <f>O182*K182*M182*N182</f>
      </c>
      <c r="S182" s="74" t="str">
        <f>R182-Q182</f>
      </c>
      <c r="T182" s="20" t="str">
        <f>IFERROR(INDEX('Cost_Components'!$R$2:$R$27,MATCH(E182,'Cost_Components'!$A$2:$A$27,0)),"")</f>
      </c>
      <c r="U182" s="75" t="str">
        <f>IFERROR(INDEX('Cost_Components'!$Q$2:$Q$27,MATCH(E182,'Cost_Components'!$A$2:$A$27,0)),"")</f>
      </c>
      <c r="V182" s="76" t="str">
        <f>1/(1+'Calculation_Assumptions'!$B$5)^(B182-'Calculation_Assumptions'!$B$2)</f>
      </c>
      <c r="W182" s="77" t="str">
        <f>Q182*V182</f>
      </c>
      <c r="X182" s="78" t="str">
        <f>R182*V182</f>
      </c>
      <c r="Y182" s="79" t="str">
        <f>S182*V182</f>
      </c>
      <c r="Z182" s="80" t="str">
        <f>IFERROR(INDEX('Cost_Components'!$T$2:$T$27,MATCH(E182,'Cost_Components'!$A$2:$A$27,0)),"")</f>
      </c>
      <c r="AA182" s="81" t="str">
        <f>IFERROR(INDEX('Cost_Components'!$U$2:$U$27,MATCH(E182,'Cost_Components'!$A$2:$A$27,0)),"")</f>
      </c>
      <c r="AB182" s="82" t="str">
        <f>IFERROR(INDEX('Cost_Components'!$V$2:$V$27,MATCH(E182,'Cost_Components'!$A$2:$A$27,0)),"")</f>
      </c>
      <c r="AC182" s="83" t="str">
        <f>IFERROR(INDEX('Cost_Components'!$M$2:$M$27,MATCH(E182,'Cost_Components'!$A$2:$A$27,0)),"")</f>
      </c>
      <c r="AD182" s="84" t="str">
        <f>IFERROR(INDEX('Cost_Components'!$N$2:$N$27,MATCH(E182,'Cost_Components'!$A$2:$A$27,0)),"")</f>
      </c>
      <c r="AE182" s="20" t="str">
        <f>IFERROR(INDEX('Cost_Components'!$O$2:$O$27,MATCH(E182,'Cost_Components'!$A$2:$A$27,0)),"")</f>
      </c>
      <c r="AF182" s="85" t="n">
        <v>134149.88960143</v>
      </c>
      <c r="AG182" s="86" t="n">
        <v>123973.319152679</v>
      </c>
      <c r="AH182" s="87" t="str">
        <f>IF(H182="shared-count-once",COUNTIFS($A$2:$A$1353,A182,$B$2:$B$1353,B182,$E$2:$E$1353,E182),1)</f>
      </c>
    </row>
    <row r="183">
      <c r="A183" t="s">
        <v>200</v>
      </c>
      <c r="B183" s="59" t="n">
        <v>2050</v>
      </c>
      <c r="C183" t="s">
        <v>200</v>
      </c>
      <c r="D183" t="s">
        <v>190</v>
      </c>
      <c r="E183" s="60" t="s">
        <v>275</v>
      </c>
      <c r="F183" s="61" t="s">
        <v>276</v>
      </c>
      <c r="G183" s="62" t="s">
        <v>201</v>
      </c>
      <c r="H183" s="63" t="s">
        <v>195</v>
      </c>
      <c r="I183" s="64" t="s">
        <v>267</v>
      </c>
      <c r="J183" s="65" t="str">
        <f>IFERROR(INDEX('Cost_Components'!$K$2:$K$27,MATCH(E183,'Cost_Components'!$A$2:$A$27,0)),"")</f>
      </c>
      <c r="K183" s="66" t="str">
        <f>IF(OR(L183="",Z183="",AA183="",AB183=""),"",IF(B183&lt;AA183,L183,IF(B183&gt;AB183,Z183,L183+(Z183-L183)*MIN(MAX((B183-AA183+1)/MAX(AB183-AA183+1,1),0),1))))</f>
      </c>
      <c r="L183" s="67" t="str">
        <f>IFERROR(INDEX('Cost_Components'!$S$2:$S$27,MATCH(E183,'Cost_Components'!$A$2:$A$27,0)),"")</f>
      </c>
      <c r="M183" s="68" t="str">
        <f>IFERROR(INDEX('Cost_Components'!$L$2:$L$27,MATCH(E183,'Cost_Components'!$A$2:$A$27,0)),"")</f>
      </c>
      <c r="N183" s="69" t="str">
        <f>IFERROR(INDEX('Cost_Components'!$P$2:$P$27,MATCH(E183,'Cost_Components'!$A$2:$A$27,0)),"")</f>
      </c>
      <c r="O183" s="70" t="str">
        <f>AF183*J183</f>
      </c>
      <c r="P183" s="71" t="str">
        <f>AG183*J183</f>
      </c>
      <c r="Q183" s="72" t="str">
        <f>P183*L183*M183*N183</f>
      </c>
      <c r="R183" s="73" t="str">
        <f>O183*K183*M183*N183</f>
      </c>
      <c r="S183" s="74" t="str">
        <f>R183-Q183</f>
      </c>
      <c r="T183" s="20" t="str">
        <f>IFERROR(INDEX('Cost_Components'!$R$2:$R$27,MATCH(E183,'Cost_Components'!$A$2:$A$27,0)),"")</f>
      </c>
      <c r="U183" s="75" t="str">
        <f>IFERROR(INDEX('Cost_Components'!$Q$2:$Q$27,MATCH(E183,'Cost_Components'!$A$2:$A$27,0)),"")</f>
      </c>
      <c r="V183" s="76" t="str">
        <f>1/(1+'Calculation_Assumptions'!$B$5)^(B183-'Calculation_Assumptions'!$B$2)</f>
      </c>
      <c r="W183" s="77" t="str">
        <f>Q183*V183</f>
      </c>
      <c r="X183" s="78" t="str">
        <f>R183*V183</f>
      </c>
      <c r="Y183" s="79" t="str">
        <f>S183*V183</f>
      </c>
      <c r="Z183" s="80" t="str">
        <f>IFERROR(INDEX('Cost_Components'!$T$2:$T$27,MATCH(E183,'Cost_Components'!$A$2:$A$27,0)),"")</f>
      </c>
      <c r="AA183" s="81" t="str">
        <f>IFERROR(INDEX('Cost_Components'!$U$2:$U$27,MATCH(E183,'Cost_Components'!$A$2:$A$27,0)),"")</f>
      </c>
      <c r="AB183" s="82" t="str">
        <f>IFERROR(INDEX('Cost_Components'!$V$2:$V$27,MATCH(E183,'Cost_Components'!$A$2:$A$27,0)),"")</f>
      </c>
      <c r="AC183" s="83" t="str">
        <f>IFERROR(INDEX('Cost_Components'!$M$2:$M$27,MATCH(E183,'Cost_Components'!$A$2:$A$27,0)),"")</f>
      </c>
      <c r="AD183" s="84" t="str">
        <f>IFERROR(INDEX('Cost_Components'!$N$2:$N$27,MATCH(E183,'Cost_Components'!$A$2:$A$27,0)),"")</f>
      </c>
      <c r="AE183" s="20" t="str">
        <f>IFERROR(INDEX('Cost_Components'!$O$2:$O$27,MATCH(E183,'Cost_Components'!$A$2:$A$27,0)),"")</f>
      </c>
      <c r="AF183" s="85" t="n">
        <v>137296.05020091</v>
      </c>
      <c r="AG183" s="86" t="n">
        <v>126459.62395605</v>
      </c>
      <c r="AH183" s="87" t="str">
        <f>IF(H183="shared-count-once",COUNTIFS($A$2:$A$1353,A183,$B$2:$B$1353,B183,$E$2:$E$1353,E183),1)</f>
      </c>
    </row>
    <row r="184">
      <c r="A184" t="s">
        <v>200</v>
      </c>
      <c r="B184" s="59" t="n">
        <v>2025</v>
      </c>
      <c r="C184" t="s">
        <v>200</v>
      </c>
      <c r="D184" t="s">
        <v>190</v>
      </c>
      <c r="E184" s="60" t="s">
        <v>278</v>
      </c>
      <c r="F184" s="61" t="s">
        <v>279</v>
      </c>
      <c r="G184" s="62" t="s">
        <v>201</v>
      </c>
      <c r="H184" s="63" t="s">
        <v>195</v>
      </c>
      <c r="I184" s="64" t="s">
        <v>267</v>
      </c>
      <c r="J184" s="65" t="str">
        <f>IFERROR(INDEX('Cost_Components'!$K$2:$K$27,MATCH(E184,'Cost_Components'!$A$2:$A$27,0)),"")</f>
      </c>
      <c r="K184" s="66" t="str">
        <f>IF(OR(L184="",Z184="",AA184="",AB184=""),"",IF(B184&lt;AA184,L184,IF(B184&gt;AB184,Z184,L184+(Z184-L184)*MIN(MAX((B184-AA184+1)/MAX(AB184-AA184+1,1),0),1))))</f>
      </c>
      <c r="L184" s="67" t="str">
        <f>IFERROR(INDEX('Cost_Components'!$S$2:$S$27,MATCH(E184,'Cost_Components'!$A$2:$A$27,0)),"")</f>
      </c>
      <c r="M184" s="68" t="str">
        <f>IFERROR(INDEX('Cost_Components'!$L$2:$L$27,MATCH(E184,'Cost_Components'!$A$2:$A$27,0)),"")</f>
      </c>
      <c r="N184" s="69" t="str">
        <f>IFERROR(INDEX('Cost_Components'!$P$2:$P$27,MATCH(E184,'Cost_Components'!$A$2:$A$27,0)),"")</f>
      </c>
      <c r="O184" s="70" t="str">
        <f>AF184*J184</f>
      </c>
      <c r="P184" s="71" t="str">
        <f>AG184*J184</f>
      </c>
      <c r="Q184" s="72" t="str">
        <f>P184*L184*M184*N184</f>
      </c>
      <c r="R184" s="73" t="str">
        <f>O184*K184*M184*N184</f>
      </c>
      <c r="S184" s="74" t="str">
        <f>R184-Q184</f>
      </c>
      <c r="T184" s="20" t="str">
        <f>IFERROR(INDEX('Cost_Components'!$R$2:$R$27,MATCH(E184,'Cost_Components'!$A$2:$A$27,0)),"")</f>
      </c>
      <c r="U184" s="75" t="str">
        <f>IFERROR(INDEX('Cost_Components'!$Q$2:$Q$27,MATCH(E184,'Cost_Components'!$A$2:$A$27,0)),"")</f>
      </c>
      <c r="V184" s="76" t="str">
        <f>1/(1+'Calculation_Assumptions'!$B$5)^(B184-'Calculation_Assumptions'!$B$2)</f>
      </c>
      <c r="W184" s="77" t="str">
        <f>Q184*V184</f>
      </c>
      <c r="X184" s="78" t="str">
        <f>R184*V184</f>
      </c>
      <c r="Y184" s="79" t="str">
        <f>S184*V184</f>
      </c>
      <c r="Z184" s="80" t="str">
        <f>IFERROR(INDEX('Cost_Components'!$T$2:$T$27,MATCH(E184,'Cost_Components'!$A$2:$A$27,0)),"")</f>
      </c>
      <c r="AA184" s="81" t="str">
        <f>IFERROR(INDEX('Cost_Components'!$U$2:$U$27,MATCH(E184,'Cost_Components'!$A$2:$A$27,0)),"")</f>
      </c>
      <c r="AB184" s="82" t="str">
        <f>IFERROR(INDEX('Cost_Components'!$V$2:$V$27,MATCH(E184,'Cost_Components'!$A$2:$A$27,0)),"")</f>
      </c>
      <c r="AC184" s="83" t="str">
        <f>IFERROR(INDEX('Cost_Components'!$M$2:$M$27,MATCH(E184,'Cost_Components'!$A$2:$A$27,0)),"")</f>
      </c>
      <c r="AD184" s="84" t="str">
        <f>IFERROR(INDEX('Cost_Components'!$N$2:$N$27,MATCH(E184,'Cost_Components'!$A$2:$A$27,0)),"")</f>
      </c>
      <c r="AE184" s="20" t="str">
        <f>IFERROR(INDEX('Cost_Components'!$O$2:$O$27,MATCH(E184,'Cost_Components'!$A$2:$A$27,0)),"")</f>
      </c>
      <c r="AF184" s="85" t="n">
        <v>77992.7551845655</v>
      </c>
      <c r="AG184" s="86" t="n">
        <v>77935.3711028968</v>
      </c>
      <c r="AH184" s="87" t="str">
        <f>IF(H184="shared-count-once",COUNTIFS($A$2:$A$1353,A184,$B$2:$B$1353,B184,$E$2:$E$1353,E184),1)</f>
      </c>
    </row>
    <row r="185">
      <c r="A185" t="s">
        <v>200</v>
      </c>
      <c r="B185" s="59" t="n">
        <v>2026</v>
      </c>
      <c r="C185" t="s">
        <v>200</v>
      </c>
      <c r="D185" t="s">
        <v>190</v>
      </c>
      <c r="E185" s="60" t="s">
        <v>278</v>
      </c>
      <c r="F185" s="61" t="s">
        <v>279</v>
      </c>
      <c r="G185" s="62" t="s">
        <v>201</v>
      </c>
      <c r="H185" s="63" t="s">
        <v>195</v>
      </c>
      <c r="I185" s="64" t="s">
        <v>267</v>
      </c>
      <c r="J185" s="65" t="str">
        <f>IFERROR(INDEX('Cost_Components'!$K$2:$K$27,MATCH(E185,'Cost_Components'!$A$2:$A$27,0)),"")</f>
      </c>
      <c r="K185" s="66" t="str">
        <f>IF(OR(L185="",Z185="",AA185="",AB185=""),"",IF(B185&lt;AA185,L185,IF(B185&gt;AB185,Z185,L185+(Z185-L185)*MIN(MAX((B185-AA185+1)/MAX(AB185-AA185+1,1),0),1))))</f>
      </c>
      <c r="L185" s="67" t="str">
        <f>IFERROR(INDEX('Cost_Components'!$S$2:$S$27,MATCH(E185,'Cost_Components'!$A$2:$A$27,0)),"")</f>
      </c>
      <c r="M185" s="68" t="str">
        <f>IFERROR(INDEX('Cost_Components'!$L$2:$L$27,MATCH(E185,'Cost_Components'!$A$2:$A$27,0)),"")</f>
      </c>
      <c r="N185" s="69" t="str">
        <f>IFERROR(INDEX('Cost_Components'!$P$2:$P$27,MATCH(E185,'Cost_Components'!$A$2:$A$27,0)),"")</f>
      </c>
      <c r="O185" s="70" t="str">
        <f>AF185*J185</f>
      </c>
      <c r="P185" s="71" t="str">
        <f>AG185*J185</f>
      </c>
      <c r="Q185" s="72" t="str">
        <f>P185*L185*M185*N185</f>
      </c>
      <c r="R185" s="73" t="str">
        <f>O185*K185*M185*N185</f>
      </c>
      <c r="S185" s="74" t="str">
        <f>R185-Q185</f>
      </c>
      <c r="T185" s="20" t="str">
        <f>IFERROR(INDEX('Cost_Components'!$R$2:$R$27,MATCH(E185,'Cost_Components'!$A$2:$A$27,0)),"")</f>
      </c>
      <c r="U185" s="75" t="str">
        <f>IFERROR(INDEX('Cost_Components'!$Q$2:$Q$27,MATCH(E185,'Cost_Components'!$A$2:$A$27,0)),"")</f>
      </c>
      <c r="V185" s="76" t="str">
        <f>1/(1+'Calculation_Assumptions'!$B$5)^(B185-'Calculation_Assumptions'!$B$2)</f>
      </c>
      <c r="W185" s="77" t="str">
        <f>Q185*V185</f>
      </c>
      <c r="X185" s="78" t="str">
        <f>R185*V185</f>
      </c>
      <c r="Y185" s="79" t="str">
        <f>S185*V185</f>
      </c>
      <c r="Z185" s="80" t="str">
        <f>IFERROR(INDEX('Cost_Components'!$T$2:$T$27,MATCH(E185,'Cost_Components'!$A$2:$A$27,0)),"")</f>
      </c>
      <c r="AA185" s="81" t="str">
        <f>IFERROR(INDEX('Cost_Components'!$U$2:$U$27,MATCH(E185,'Cost_Components'!$A$2:$A$27,0)),"")</f>
      </c>
      <c r="AB185" s="82" t="str">
        <f>IFERROR(INDEX('Cost_Components'!$V$2:$V$27,MATCH(E185,'Cost_Components'!$A$2:$A$27,0)),"")</f>
      </c>
      <c r="AC185" s="83" t="str">
        <f>IFERROR(INDEX('Cost_Components'!$M$2:$M$27,MATCH(E185,'Cost_Components'!$A$2:$A$27,0)),"")</f>
      </c>
      <c r="AD185" s="84" t="str">
        <f>IFERROR(INDEX('Cost_Components'!$N$2:$N$27,MATCH(E185,'Cost_Components'!$A$2:$A$27,0)),"")</f>
      </c>
      <c r="AE185" s="20" t="str">
        <f>IFERROR(INDEX('Cost_Components'!$O$2:$O$27,MATCH(E185,'Cost_Components'!$A$2:$A$27,0)),"")</f>
      </c>
      <c r="AF185" s="85" t="n">
        <v>79688.894202964</v>
      </c>
      <c r="AG185" s="86" t="n">
        <v>79525.5974379108</v>
      </c>
      <c r="AH185" s="87" t="str">
        <f>IF(H185="shared-count-once",COUNTIFS($A$2:$A$1353,A185,$B$2:$B$1353,B185,$E$2:$E$1353,E185),1)</f>
      </c>
    </row>
    <row r="186">
      <c r="A186" t="s">
        <v>200</v>
      </c>
      <c r="B186" s="59" t="n">
        <v>2027</v>
      </c>
      <c r="C186" t="s">
        <v>200</v>
      </c>
      <c r="D186" t="s">
        <v>190</v>
      </c>
      <c r="E186" s="60" t="s">
        <v>278</v>
      </c>
      <c r="F186" s="61" t="s">
        <v>279</v>
      </c>
      <c r="G186" s="62" t="s">
        <v>201</v>
      </c>
      <c r="H186" s="63" t="s">
        <v>195</v>
      </c>
      <c r="I186" s="64" t="s">
        <v>267</v>
      </c>
      <c r="J186" s="65" t="str">
        <f>IFERROR(INDEX('Cost_Components'!$K$2:$K$27,MATCH(E186,'Cost_Components'!$A$2:$A$27,0)),"")</f>
      </c>
      <c r="K186" s="66" t="str">
        <f>IF(OR(L186="",Z186="",AA186="",AB186=""),"",IF(B186&lt;AA186,L186,IF(B186&gt;AB186,Z186,L186+(Z186-L186)*MIN(MAX((B186-AA186+1)/MAX(AB186-AA186+1,1),0),1))))</f>
      </c>
      <c r="L186" s="67" t="str">
        <f>IFERROR(INDEX('Cost_Components'!$S$2:$S$27,MATCH(E186,'Cost_Components'!$A$2:$A$27,0)),"")</f>
      </c>
      <c r="M186" s="68" t="str">
        <f>IFERROR(INDEX('Cost_Components'!$L$2:$L$27,MATCH(E186,'Cost_Components'!$A$2:$A$27,0)),"")</f>
      </c>
      <c r="N186" s="69" t="str">
        <f>IFERROR(INDEX('Cost_Components'!$P$2:$P$27,MATCH(E186,'Cost_Components'!$A$2:$A$27,0)),"")</f>
      </c>
      <c r="O186" s="70" t="str">
        <f>AF186*J186</f>
      </c>
      <c r="P186" s="71" t="str">
        <f>AG186*J186</f>
      </c>
      <c r="Q186" s="72" t="str">
        <f>P186*L186*M186*N186</f>
      </c>
      <c r="R186" s="73" t="str">
        <f>O186*K186*M186*N186</f>
      </c>
      <c r="S186" s="74" t="str">
        <f>R186-Q186</f>
      </c>
      <c r="T186" s="20" t="str">
        <f>IFERROR(INDEX('Cost_Components'!$R$2:$R$27,MATCH(E186,'Cost_Components'!$A$2:$A$27,0)),"")</f>
      </c>
      <c r="U186" s="75" t="str">
        <f>IFERROR(INDEX('Cost_Components'!$Q$2:$Q$27,MATCH(E186,'Cost_Components'!$A$2:$A$27,0)),"")</f>
      </c>
      <c r="V186" s="76" t="str">
        <f>1/(1+'Calculation_Assumptions'!$B$5)^(B186-'Calculation_Assumptions'!$B$2)</f>
      </c>
      <c r="W186" s="77" t="str">
        <f>Q186*V186</f>
      </c>
      <c r="X186" s="78" t="str">
        <f>R186*V186</f>
      </c>
      <c r="Y186" s="79" t="str">
        <f>S186*V186</f>
      </c>
      <c r="Z186" s="80" t="str">
        <f>IFERROR(INDEX('Cost_Components'!$T$2:$T$27,MATCH(E186,'Cost_Components'!$A$2:$A$27,0)),"")</f>
      </c>
      <c r="AA186" s="81" t="str">
        <f>IFERROR(INDEX('Cost_Components'!$U$2:$U$27,MATCH(E186,'Cost_Components'!$A$2:$A$27,0)),"")</f>
      </c>
      <c r="AB186" s="82" t="str">
        <f>IFERROR(INDEX('Cost_Components'!$V$2:$V$27,MATCH(E186,'Cost_Components'!$A$2:$A$27,0)),"")</f>
      </c>
      <c r="AC186" s="83" t="str">
        <f>IFERROR(INDEX('Cost_Components'!$M$2:$M$27,MATCH(E186,'Cost_Components'!$A$2:$A$27,0)),"")</f>
      </c>
      <c r="AD186" s="84" t="str">
        <f>IFERROR(INDEX('Cost_Components'!$N$2:$N$27,MATCH(E186,'Cost_Components'!$A$2:$A$27,0)),"")</f>
      </c>
      <c r="AE186" s="20" t="str">
        <f>IFERROR(INDEX('Cost_Components'!$O$2:$O$27,MATCH(E186,'Cost_Components'!$A$2:$A$27,0)),"")</f>
      </c>
      <c r="AF186" s="85" t="n">
        <v>81388.2948761224</v>
      </c>
      <c r="AG186" s="86" t="n">
        <v>81076.9036397701</v>
      </c>
      <c r="AH186" s="87" t="str">
        <f>IF(H186="shared-count-once",COUNTIFS($A$2:$A$1353,A186,$B$2:$B$1353,B186,$E$2:$E$1353,E186),1)</f>
      </c>
    </row>
    <row r="187">
      <c r="A187" t="s">
        <v>200</v>
      </c>
      <c r="B187" s="59" t="n">
        <v>2028</v>
      </c>
      <c r="C187" t="s">
        <v>200</v>
      </c>
      <c r="D187" t="s">
        <v>190</v>
      </c>
      <c r="E187" s="60" t="s">
        <v>278</v>
      </c>
      <c r="F187" s="61" t="s">
        <v>279</v>
      </c>
      <c r="G187" s="62" t="s">
        <v>201</v>
      </c>
      <c r="H187" s="63" t="s">
        <v>195</v>
      </c>
      <c r="I187" s="64" t="s">
        <v>267</v>
      </c>
      <c r="J187" s="65" t="str">
        <f>IFERROR(INDEX('Cost_Components'!$K$2:$K$27,MATCH(E187,'Cost_Components'!$A$2:$A$27,0)),"")</f>
      </c>
      <c r="K187" s="66" t="str">
        <f>IF(OR(L187="",Z187="",AA187="",AB187=""),"",IF(B187&lt;AA187,L187,IF(B187&gt;AB187,Z187,L187+(Z187-L187)*MIN(MAX((B187-AA187+1)/MAX(AB187-AA187+1,1),0),1))))</f>
      </c>
      <c r="L187" s="67" t="str">
        <f>IFERROR(INDEX('Cost_Components'!$S$2:$S$27,MATCH(E187,'Cost_Components'!$A$2:$A$27,0)),"")</f>
      </c>
      <c r="M187" s="68" t="str">
        <f>IFERROR(INDEX('Cost_Components'!$L$2:$L$27,MATCH(E187,'Cost_Components'!$A$2:$A$27,0)),"")</f>
      </c>
      <c r="N187" s="69" t="str">
        <f>IFERROR(INDEX('Cost_Components'!$P$2:$P$27,MATCH(E187,'Cost_Components'!$A$2:$A$27,0)),"")</f>
      </c>
      <c r="O187" s="70" t="str">
        <f>AF187*J187</f>
      </c>
      <c r="P187" s="71" t="str">
        <f>AG187*J187</f>
      </c>
      <c r="Q187" s="72" t="str">
        <f>P187*L187*M187*N187</f>
      </c>
      <c r="R187" s="73" t="str">
        <f>O187*K187*M187*N187</f>
      </c>
      <c r="S187" s="74" t="str">
        <f>R187-Q187</f>
      </c>
      <c r="T187" s="20" t="str">
        <f>IFERROR(INDEX('Cost_Components'!$R$2:$R$27,MATCH(E187,'Cost_Components'!$A$2:$A$27,0)),"")</f>
      </c>
      <c r="U187" s="75" t="str">
        <f>IFERROR(INDEX('Cost_Components'!$Q$2:$Q$27,MATCH(E187,'Cost_Components'!$A$2:$A$27,0)),"")</f>
      </c>
      <c r="V187" s="76" t="str">
        <f>1/(1+'Calculation_Assumptions'!$B$5)^(B187-'Calculation_Assumptions'!$B$2)</f>
      </c>
      <c r="W187" s="77" t="str">
        <f>Q187*V187</f>
      </c>
      <c r="X187" s="78" t="str">
        <f>R187*V187</f>
      </c>
      <c r="Y187" s="79" t="str">
        <f>S187*V187</f>
      </c>
      <c r="Z187" s="80" t="str">
        <f>IFERROR(INDEX('Cost_Components'!$T$2:$T$27,MATCH(E187,'Cost_Components'!$A$2:$A$27,0)),"")</f>
      </c>
      <c r="AA187" s="81" t="str">
        <f>IFERROR(INDEX('Cost_Components'!$U$2:$U$27,MATCH(E187,'Cost_Components'!$A$2:$A$27,0)),"")</f>
      </c>
      <c r="AB187" s="82" t="str">
        <f>IFERROR(INDEX('Cost_Components'!$V$2:$V$27,MATCH(E187,'Cost_Components'!$A$2:$A$27,0)),"")</f>
      </c>
      <c r="AC187" s="83" t="str">
        <f>IFERROR(INDEX('Cost_Components'!$M$2:$M$27,MATCH(E187,'Cost_Components'!$A$2:$A$27,0)),"")</f>
      </c>
      <c r="AD187" s="84" t="str">
        <f>IFERROR(INDEX('Cost_Components'!$N$2:$N$27,MATCH(E187,'Cost_Components'!$A$2:$A$27,0)),"")</f>
      </c>
      <c r="AE187" s="20" t="str">
        <f>IFERROR(INDEX('Cost_Components'!$O$2:$O$27,MATCH(E187,'Cost_Components'!$A$2:$A$27,0)),"")</f>
      </c>
      <c r="AF187" s="85" t="n">
        <v>83098.9083411533</v>
      </c>
      <c r="AG187" s="86" t="n">
        <v>82601.8932700429</v>
      </c>
      <c r="AH187" s="87" t="str">
        <f>IF(H187="shared-count-once",COUNTIFS($A$2:$A$1353,A187,$B$2:$B$1353,B187,$E$2:$E$1353,E187),1)</f>
      </c>
    </row>
    <row r="188">
      <c r="A188" t="s">
        <v>200</v>
      </c>
      <c r="B188" s="59" t="n">
        <v>2029</v>
      </c>
      <c r="C188" t="s">
        <v>200</v>
      </c>
      <c r="D188" t="s">
        <v>190</v>
      </c>
      <c r="E188" s="60" t="s">
        <v>278</v>
      </c>
      <c r="F188" s="61" t="s">
        <v>279</v>
      </c>
      <c r="G188" s="62" t="s">
        <v>201</v>
      </c>
      <c r="H188" s="63" t="s">
        <v>195</v>
      </c>
      <c r="I188" s="64" t="s">
        <v>267</v>
      </c>
      <c r="J188" s="65" t="str">
        <f>IFERROR(INDEX('Cost_Components'!$K$2:$K$27,MATCH(E188,'Cost_Components'!$A$2:$A$27,0)),"")</f>
      </c>
      <c r="K188" s="66" t="str">
        <f>IF(OR(L188="",Z188="",AA188="",AB188=""),"",IF(B188&lt;AA188,L188,IF(B188&gt;AB188,Z188,L188+(Z188-L188)*MIN(MAX((B188-AA188+1)/MAX(AB188-AA188+1,1),0),1))))</f>
      </c>
      <c r="L188" s="67" t="str">
        <f>IFERROR(INDEX('Cost_Components'!$S$2:$S$27,MATCH(E188,'Cost_Components'!$A$2:$A$27,0)),"")</f>
      </c>
      <c r="M188" s="68" t="str">
        <f>IFERROR(INDEX('Cost_Components'!$L$2:$L$27,MATCH(E188,'Cost_Components'!$A$2:$A$27,0)),"")</f>
      </c>
      <c r="N188" s="69" t="str">
        <f>IFERROR(INDEX('Cost_Components'!$P$2:$P$27,MATCH(E188,'Cost_Components'!$A$2:$A$27,0)),"")</f>
      </c>
      <c r="O188" s="70" t="str">
        <f>AF188*J188</f>
      </c>
      <c r="P188" s="71" t="str">
        <f>AG188*J188</f>
      </c>
      <c r="Q188" s="72" t="str">
        <f>P188*L188*M188*N188</f>
      </c>
      <c r="R188" s="73" t="str">
        <f>O188*K188*M188*N188</f>
      </c>
      <c r="S188" s="74" t="str">
        <f>R188-Q188</f>
      </c>
      <c r="T188" s="20" t="str">
        <f>IFERROR(INDEX('Cost_Components'!$R$2:$R$27,MATCH(E188,'Cost_Components'!$A$2:$A$27,0)),"")</f>
      </c>
      <c r="U188" s="75" t="str">
        <f>IFERROR(INDEX('Cost_Components'!$Q$2:$Q$27,MATCH(E188,'Cost_Components'!$A$2:$A$27,0)),"")</f>
      </c>
      <c r="V188" s="76" t="str">
        <f>1/(1+'Calculation_Assumptions'!$B$5)^(B188-'Calculation_Assumptions'!$B$2)</f>
      </c>
      <c r="W188" s="77" t="str">
        <f>Q188*V188</f>
      </c>
      <c r="X188" s="78" t="str">
        <f>R188*V188</f>
      </c>
      <c r="Y188" s="79" t="str">
        <f>S188*V188</f>
      </c>
      <c r="Z188" s="80" t="str">
        <f>IFERROR(INDEX('Cost_Components'!$T$2:$T$27,MATCH(E188,'Cost_Components'!$A$2:$A$27,0)),"")</f>
      </c>
      <c r="AA188" s="81" t="str">
        <f>IFERROR(INDEX('Cost_Components'!$U$2:$U$27,MATCH(E188,'Cost_Components'!$A$2:$A$27,0)),"")</f>
      </c>
      <c r="AB188" s="82" t="str">
        <f>IFERROR(INDEX('Cost_Components'!$V$2:$V$27,MATCH(E188,'Cost_Components'!$A$2:$A$27,0)),"")</f>
      </c>
      <c r="AC188" s="83" t="str">
        <f>IFERROR(INDEX('Cost_Components'!$M$2:$M$27,MATCH(E188,'Cost_Components'!$A$2:$A$27,0)),"")</f>
      </c>
      <c r="AD188" s="84" t="str">
        <f>IFERROR(INDEX('Cost_Components'!$N$2:$N$27,MATCH(E188,'Cost_Components'!$A$2:$A$27,0)),"")</f>
      </c>
      <c r="AE188" s="20" t="str">
        <f>IFERROR(INDEX('Cost_Components'!$O$2:$O$27,MATCH(E188,'Cost_Components'!$A$2:$A$27,0)),"")</f>
      </c>
      <c r="AF188" s="85" t="n">
        <v>84831.2466668274</v>
      </c>
      <c r="AG188" s="86" t="n">
        <v>84114.5100443056</v>
      </c>
      <c r="AH188" s="87" t="str">
        <f>IF(H188="shared-count-once",COUNTIFS($A$2:$A$1353,A188,$B$2:$B$1353,B188,$E$2:$E$1353,E188),1)</f>
      </c>
    </row>
    <row r="189">
      <c r="A189" t="s">
        <v>200</v>
      </c>
      <c r="B189" s="59" t="n">
        <v>2030</v>
      </c>
      <c r="C189" t="s">
        <v>200</v>
      </c>
      <c r="D189" t="s">
        <v>190</v>
      </c>
      <c r="E189" s="60" t="s">
        <v>278</v>
      </c>
      <c r="F189" s="61" t="s">
        <v>279</v>
      </c>
      <c r="G189" s="62" t="s">
        <v>201</v>
      </c>
      <c r="H189" s="63" t="s">
        <v>195</v>
      </c>
      <c r="I189" s="64" t="s">
        <v>267</v>
      </c>
      <c r="J189" s="65" t="str">
        <f>IFERROR(INDEX('Cost_Components'!$K$2:$K$27,MATCH(E189,'Cost_Components'!$A$2:$A$27,0)),"")</f>
      </c>
      <c r="K189" s="66" t="str">
        <f>IF(OR(L189="",Z189="",AA189="",AB189=""),"",IF(B189&lt;AA189,L189,IF(B189&gt;AB189,Z189,L189+(Z189-L189)*MIN(MAX((B189-AA189+1)/MAX(AB189-AA189+1,1),0),1))))</f>
      </c>
      <c r="L189" s="67" t="str">
        <f>IFERROR(INDEX('Cost_Components'!$S$2:$S$27,MATCH(E189,'Cost_Components'!$A$2:$A$27,0)),"")</f>
      </c>
      <c r="M189" s="68" t="str">
        <f>IFERROR(INDEX('Cost_Components'!$L$2:$L$27,MATCH(E189,'Cost_Components'!$A$2:$A$27,0)),"")</f>
      </c>
      <c r="N189" s="69" t="str">
        <f>IFERROR(INDEX('Cost_Components'!$P$2:$P$27,MATCH(E189,'Cost_Components'!$A$2:$A$27,0)),"")</f>
      </c>
      <c r="O189" s="70" t="str">
        <f>AF189*J189</f>
      </c>
      <c r="P189" s="71" t="str">
        <f>AG189*J189</f>
      </c>
      <c r="Q189" s="72" t="str">
        <f>P189*L189*M189*N189</f>
      </c>
      <c r="R189" s="73" t="str">
        <f>O189*K189*M189*N189</f>
      </c>
      <c r="S189" s="74" t="str">
        <f>R189-Q189</f>
      </c>
      <c r="T189" s="20" t="str">
        <f>IFERROR(INDEX('Cost_Components'!$R$2:$R$27,MATCH(E189,'Cost_Components'!$A$2:$A$27,0)),"")</f>
      </c>
      <c r="U189" s="75" t="str">
        <f>IFERROR(INDEX('Cost_Components'!$Q$2:$Q$27,MATCH(E189,'Cost_Components'!$A$2:$A$27,0)),"")</f>
      </c>
      <c r="V189" s="76" t="str">
        <f>1/(1+'Calculation_Assumptions'!$B$5)^(B189-'Calculation_Assumptions'!$B$2)</f>
      </c>
      <c r="W189" s="77" t="str">
        <f>Q189*V189</f>
      </c>
      <c r="X189" s="78" t="str">
        <f>R189*V189</f>
      </c>
      <c r="Y189" s="79" t="str">
        <f>S189*V189</f>
      </c>
      <c r="Z189" s="80" t="str">
        <f>IFERROR(INDEX('Cost_Components'!$T$2:$T$27,MATCH(E189,'Cost_Components'!$A$2:$A$27,0)),"")</f>
      </c>
      <c r="AA189" s="81" t="str">
        <f>IFERROR(INDEX('Cost_Components'!$U$2:$U$27,MATCH(E189,'Cost_Components'!$A$2:$A$27,0)),"")</f>
      </c>
      <c r="AB189" s="82" t="str">
        <f>IFERROR(INDEX('Cost_Components'!$V$2:$V$27,MATCH(E189,'Cost_Components'!$A$2:$A$27,0)),"")</f>
      </c>
      <c r="AC189" s="83" t="str">
        <f>IFERROR(INDEX('Cost_Components'!$M$2:$M$27,MATCH(E189,'Cost_Components'!$A$2:$A$27,0)),"")</f>
      </c>
      <c r="AD189" s="84" t="str">
        <f>IFERROR(INDEX('Cost_Components'!$N$2:$N$27,MATCH(E189,'Cost_Components'!$A$2:$A$27,0)),"")</f>
      </c>
      <c r="AE189" s="20" t="str">
        <f>IFERROR(INDEX('Cost_Components'!$O$2:$O$27,MATCH(E189,'Cost_Components'!$A$2:$A$27,0)),"")</f>
      </c>
      <c r="AF189" s="85" t="n">
        <v>86592.2462471987</v>
      </c>
      <c r="AG189" s="86" t="n">
        <v>85624.1727982227</v>
      </c>
      <c r="AH189" s="87" t="str">
        <f>IF(H189="shared-count-once",COUNTIFS($A$2:$A$1353,A189,$B$2:$B$1353,B189,$E$2:$E$1353,E189),1)</f>
      </c>
    </row>
    <row r="190">
      <c r="A190" t="s">
        <v>200</v>
      </c>
      <c r="B190" s="59" t="n">
        <v>2031</v>
      </c>
      <c r="C190" t="s">
        <v>200</v>
      </c>
      <c r="D190" t="s">
        <v>190</v>
      </c>
      <c r="E190" s="60" t="s">
        <v>278</v>
      </c>
      <c r="F190" s="61" t="s">
        <v>279</v>
      </c>
      <c r="G190" s="62" t="s">
        <v>201</v>
      </c>
      <c r="H190" s="63" t="s">
        <v>195</v>
      </c>
      <c r="I190" s="64" t="s">
        <v>267</v>
      </c>
      <c r="J190" s="65" t="str">
        <f>IFERROR(INDEX('Cost_Components'!$K$2:$K$27,MATCH(E190,'Cost_Components'!$A$2:$A$27,0)),"")</f>
      </c>
      <c r="K190" s="66" t="str">
        <f>IF(OR(L190="",Z190="",AA190="",AB190=""),"",IF(B190&lt;AA190,L190,IF(B190&gt;AB190,Z190,L190+(Z190-L190)*MIN(MAX((B190-AA190+1)/MAX(AB190-AA190+1,1),0),1))))</f>
      </c>
      <c r="L190" s="67" t="str">
        <f>IFERROR(INDEX('Cost_Components'!$S$2:$S$27,MATCH(E190,'Cost_Components'!$A$2:$A$27,0)),"")</f>
      </c>
      <c r="M190" s="68" t="str">
        <f>IFERROR(INDEX('Cost_Components'!$L$2:$L$27,MATCH(E190,'Cost_Components'!$A$2:$A$27,0)),"")</f>
      </c>
      <c r="N190" s="69" t="str">
        <f>IFERROR(INDEX('Cost_Components'!$P$2:$P$27,MATCH(E190,'Cost_Components'!$A$2:$A$27,0)),"")</f>
      </c>
      <c r="O190" s="70" t="str">
        <f>AF190*J190</f>
      </c>
      <c r="P190" s="71" t="str">
        <f>AG190*J190</f>
      </c>
      <c r="Q190" s="72" t="str">
        <f>P190*L190*M190*N190</f>
      </c>
      <c r="R190" s="73" t="str">
        <f>O190*K190*M190*N190</f>
      </c>
      <c r="S190" s="74" t="str">
        <f>R190-Q190</f>
      </c>
      <c r="T190" s="20" t="str">
        <f>IFERROR(INDEX('Cost_Components'!$R$2:$R$27,MATCH(E190,'Cost_Components'!$A$2:$A$27,0)),"")</f>
      </c>
      <c r="U190" s="75" t="str">
        <f>IFERROR(INDEX('Cost_Components'!$Q$2:$Q$27,MATCH(E190,'Cost_Components'!$A$2:$A$27,0)),"")</f>
      </c>
      <c r="V190" s="76" t="str">
        <f>1/(1+'Calculation_Assumptions'!$B$5)^(B190-'Calculation_Assumptions'!$B$2)</f>
      </c>
      <c r="W190" s="77" t="str">
        <f>Q190*V190</f>
      </c>
      <c r="X190" s="78" t="str">
        <f>R190*V190</f>
      </c>
      <c r="Y190" s="79" t="str">
        <f>S190*V190</f>
      </c>
      <c r="Z190" s="80" t="str">
        <f>IFERROR(INDEX('Cost_Components'!$T$2:$T$27,MATCH(E190,'Cost_Components'!$A$2:$A$27,0)),"")</f>
      </c>
      <c r="AA190" s="81" t="str">
        <f>IFERROR(INDEX('Cost_Components'!$U$2:$U$27,MATCH(E190,'Cost_Components'!$A$2:$A$27,0)),"")</f>
      </c>
      <c r="AB190" s="82" t="str">
        <f>IFERROR(INDEX('Cost_Components'!$V$2:$V$27,MATCH(E190,'Cost_Components'!$A$2:$A$27,0)),"")</f>
      </c>
      <c r="AC190" s="83" t="str">
        <f>IFERROR(INDEX('Cost_Components'!$M$2:$M$27,MATCH(E190,'Cost_Components'!$A$2:$A$27,0)),"")</f>
      </c>
      <c r="AD190" s="84" t="str">
        <f>IFERROR(INDEX('Cost_Components'!$N$2:$N$27,MATCH(E190,'Cost_Components'!$A$2:$A$27,0)),"")</f>
      </c>
      <c r="AE190" s="20" t="str">
        <f>IFERROR(INDEX('Cost_Components'!$O$2:$O$27,MATCH(E190,'Cost_Components'!$A$2:$A$27,0)),"")</f>
      </c>
      <c r="AF190" s="85" t="n">
        <v>88395.7390873097</v>
      </c>
      <c r="AG190" s="86" t="n">
        <v>87146.4468739637</v>
      </c>
      <c r="AH190" s="87" t="str">
        <f>IF(H190="shared-count-once",COUNTIFS($A$2:$A$1353,A190,$B$2:$B$1353,B190,$E$2:$E$1353,E190),1)</f>
      </c>
    </row>
    <row r="191">
      <c r="A191" t="s">
        <v>200</v>
      </c>
      <c r="B191" s="59" t="n">
        <v>2032</v>
      </c>
      <c r="C191" t="s">
        <v>200</v>
      </c>
      <c r="D191" t="s">
        <v>190</v>
      </c>
      <c r="E191" s="60" t="s">
        <v>278</v>
      </c>
      <c r="F191" s="61" t="s">
        <v>279</v>
      </c>
      <c r="G191" s="62" t="s">
        <v>201</v>
      </c>
      <c r="H191" s="63" t="s">
        <v>195</v>
      </c>
      <c r="I191" s="64" t="s">
        <v>267</v>
      </c>
      <c r="J191" s="65" t="str">
        <f>IFERROR(INDEX('Cost_Components'!$K$2:$K$27,MATCH(E191,'Cost_Components'!$A$2:$A$27,0)),"")</f>
      </c>
      <c r="K191" s="66" t="str">
        <f>IF(OR(L191="",Z191="",AA191="",AB191=""),"",IF(B191&lt;AA191,L191,IF(B191&gt;AB191,Z191,L191+(Z191-L191)*MIN(MAX((B191-AA191+1)/MAX(AB191-AA191+1,1),0),1))))</f>
      </c>
      <c r="L191" s="67" t="str">
        <f>IFERROR(INDEX('Cost_Components'!$S$2:$S$27,MATCH(E191,'Cost_Components'!$A$2:$A$27,0)),"")</f>
      </c>
      <c r="M191" s="68" t="str">
        <f>IFERROR(INDEX('Cost_Components'!$L$2:$L$27,MATCH(E191,'Cost_Components'!$A$2:$A$27,0)),"")</f>
      </c>
      <c r="N191" s="69" t="str">
        <f>IFERROR(INDEX('Cost_Components'!$P$2:$P$27,MATCH(E191,'Cost_Components'!$A$2:$A$27,0)),"")</f>
      </c>
      <c r="O191" s="70" t="str">
        <f>AF191*J191</f>
      </c>
      <c r="P191" s="71" t="str">
        <f>AG191*J191</f>
      </c>
      <c r="Q191" s="72" t="str">
        <f>P191*L191*M191*N191</f>
      </c>
      <c r="R191" s="73" t="str">
        <f>O191*K191*M191*N191</f>
      </c>
      <c r="S191" s="74" t="str">
        <f>R191-Q191</f>
      </c>
      <c r="T191" s="20" t="str">
        <f>IFERROR(INDEX('Cost_Components'!$R$2:$R$27,MATCH(E191,'Cost_Components'!$A$2:$A$27,0)),"")</f>
      </c>
      <c r="U191" s="75" t="str">
        <f>IFERROR(INDEX('Cost_Components'!$Q$2:$Q$27,MATCH(E191,'Cost_Components'!$A$2:$A$27,0)),"")</f>
      </c>
      <c r="V191" s="76" t="str">
        <f>1/(1+'Calculation_Assumptions'!$B$5)^(B191-'Calculation_Assumptions'!$B$2)</f>
      </c>
      <c r="W191" s="77" t="str">
        <f>Q191*V191</f>
      </c>
      <c r="X191" s="78" t="str">
        <f>R191*V191</f>
      </c>
      <c r="Y191" s="79" t="str">
        <f>S191*V191</f>
      </c>
      <c r="Z191" s="80" t="str">
        <f>IFERROR(INDEX('Cost_Components'!$T$2:$T$27,MATCH(E191,'Cost_Components'!$A$2:$A$27,0)),"")</f>
      </c>
      <c r="AA191" s="81" t="str">
        <f>IFERROR(INDEX('Cost_Components'!$U$2:$U$27,MATCH(E191,'Cost_Components'!$A$2:$A$27,0)),"")</f>
      </c>
      <c r="AB191" s="82" t="str">
        <f>IFERROR(INDEX('Cost_Components'!$V$2:$V$27,MATCH(E191,'Cost_Components'!$A$2:$A$27,0)),"")</f>
      </c>
      <c r="AC191" s="83" t="str">
        <f>IFERROR(INDEX('Cost_Components'!$M$2:$M$27,MATCH(E191,'Cost_Components'!$A$2:$A$27,0)),"")</f>
      </c>
      <c r="AD191" s="84" t="str">
        <f>IFERROR(INDEX('Cost_Components'!$N$2:$N$27,MATCH(E191,'Cost_Components'!$A$2:$A$27,0)),"")</f>
      </c>
      <c r="AE191" s="20" t="str">
        <f>IFERROR(INDEX('Cost_Components'!$O$2:$O$27,MATCH(E191,'Cost_Components'!$A$2:$A$27,0)),"")</f>
      </c>
      <c r="AF191" s="85" t="n">
        <v>90254.588490742</v>
      </c>
      <c r="AG191" s="86" t="n">
        <v>88695.9957981069</v>
      </c>
      <c r="AH191" s="87" t="str">
        <f>IF(H191="shared-count-once",COUNTIFS($A$2:$A$1353,A191,$B$2:$B$1353,B191,$E$2:$E$1353,E191),1)</f>
      </c>
    </row>
    <row r="192">
      <c r="A192" t="s">
        <v>200</v>
      </c>
      <c r="B192" s="59" t="n">
        <v>2033</v>
      </c>
      <c r="C192" t="s">
        <v>200</v>
      </c>
      <c r="D192" t="s">
        <v>190</v>
      </c>
      <c r="E192" s="60" t="s">
        <v>278</v>
      </c>
      <c r="F192" s="61" t="s">
        <v>279</v>
      </c>
      <c r="G192" s="62" t="s">
        <v>201</v>
      </c>
      <c r="H192" s="63" t="s">
        <v>195</v>
      </c>
      <c r="I192" s="64" t="s">
        <v>267</v>
      </c>
      <c r="J192" s="65" t="str">
        <f>IFERROR(INDEX('Cost_Components'!$K$2:$K$27,MATCH(E192,'Cost_Components'!$A$2:$A$27,0)),"")</f>
      </c>
      <c r="K192" s="66" t="str">
        <f>IF(OR(L192="",Z192="",AA192="",AB192=""),"",IF(B192&lt;AA192,L192,IF(B192&gt;AB192,Z192,L192+(Z192-L192)*MIN(MAX((B192-AA192+1)/MAX(AB192-AA192+1,1),0),1))))</f>
      </c>
      <c r="L192" s="67" t="str">
        <f>IFERROR(INDEX('Cost_Components'!$S$2:$S$27,MATCH(E192,'Cost_Components'!$A$2:$A$27,0)),"")</f>
      </c>
      <c r="M192" s="68" t="str">
        <f>IFERROR(INDEX('Cost_Components'!$L$2:$L$27,MATCH(E192,'Cost_Components'!$A$2:$A$27,0)),"")</f>
      </c>
      <c r="N192" s="69" t="str">
        <f>IFERROR(INDEX('Cost_Components'!$P$2:$P$27,MATCH(E192,'Cost_Components'!$A$2:$A$27,0)),"")</f>
      </c>
      <c r="O192" s="70" t="str">
        <f>AF192*J192</f>
      </c>
      <c r="P192" s="71" t="str">
        <f>AG192*J192</f>
      </c>
      <c r="Q192" s="72" t="str">
        <f>P192*L192*M192*N192</f>
      </c>
      <c r="R192" s="73" t="str">
        <f>O192*K192*M192*N192</f>
      </c>
      <c r="S192" s="74" t="str">
        <f>R192-Q192</f>
      </c>
      <c r="T192" s="20" t="str">
        <f>IFERROR(INDEX('Cost_Components'!$R$2:$R$27,MATCH(E192,'Cost_Components'!$A$2:$A$27,0)),"")</f>
      </c>
      <c r="U192" s="75" t="str">
        <f>IFERROR(INDEX('Cost_Components'!$Q$2:$Q$27,MATCH(E192,'Cost_Components'!$A$2:$A$27,0)),"")</f>
      </c>
      <c r="V192" s="76" t="str">
        <f>1/(1+'Calculation_Assumptions'!$B$5)^(B192-'Calculation_Assumptions'!$B$2)</f>
      </c>
      <c r="W192" s="77" t="str">
        <f>Q192*V192</f>
      </c>
      <c r="X192" s="78" t="str">
        <f>R192*V192</f>
      </c>
      <c r="Y192" s="79" t="str">
        <f>S192*V192</f>
      </c>
      <c r="Z192" s="80" t="str">
        <f>IFERROR(INDEX('Cost_Components'!$T$2:$T$27,MATCH(E192,'Cost_Components'!$A$2:$A$27,0)),"")</f>
      </c>
      <c r="AA192" s="81" t="str">
        <f>IFERROR(INDEX('Cost_Components'!$U$2:$U$27,MATCH(E192,'Cost_Components'!$A$2:$A$27,0)),"")</f>
      </c>
      <c r="AB192" s="82" t="str">
        <f>IFERROR(INDEX('Cost_Components'!$V$2:$V$27,MATCH(E192,'Cost_Components'!$A$2:$A$27,0)),"")</f>
      </c>
      <c r="AC192" s="83" t="str">
        <f>IFERROR(INDEX('Cost_Components'!$M$2:$M$27,MATCH(E192,'Cost_Components'!$A$2:$A$27,0)),"")</f>
      </c>
      <c r="AD192" s="84" t="str">
        <f>IFERROR(INDEX('Cost_Components'!$N$2:$N$27,MATCH(E192,'Cost_Components'!$A$2:$A$27,0)),"")</f>
      </c>
      <c r="AE192" s="20" t="str">
        <f>IFERROR(INDEX('Cost_Components'!$O$2:$O$27,MATCH(E192,'Cost_Components'!$A$2:$A$27,0)),"")</f>
      </c>
      <c r="AF192" s="85" t="n">
        <v>92178.6484518117</v>
      </c>
      <c r="AG192" s="86" t="n">
        <v>90284.4762528307</v>
      </c>
      <c r="AH192" s="87" t="str">
        <f>IF(H192="shared-count-once",COUNTIFS($A$2:$A$1353,A192,$B$2:$B$1353,B192,$E$2:$E$1353,E192),1)</f>
      </c>
    </row>
    <row r="193">
      <c r="A193" t="s">
        <v>200</v>
      </c>
      <c r="B193" s="59" t="n">
        <v>2034</v>
      </c>
      <c r="C193" t="s">
        <v>200</v>
      </c>
      <c r="D193" t="s">
        <v>190</v>
      </c>
      <c r="E193" s="60" t="s">
        <v>278</v>
      </c>
      <c r="F193" s="61" t="s">
        <v>279</v>
      </c>
      <c r="G193" s="62" t="s">
        <v>201</v>
      </c>
      <c r="H193" s="63" t="s">
        <v>195</v>
      </c>
      <c r="I193" s="64" t="s">
        <v>267</v>
      </c>
      <c r="J193" s="65" t="str">
        <f>IFERROR(INDEX('Cost_Components'!$K$2:$K$27,MATCH(E193,'Cost_Components'!$A$2:$A$27,0)),"")</f>
      </c>
      <c r="K193" s="66" t="str">
        <f>IF(OR(L193="",Z193="",AA193="",AB193=""),"",IF(B193&lt;AA193,L193,IF(B193&gt;AB193,Z193,L193+(Z193-L193)*MIN(MAX((B193-AA193+1)/MAX(AB193-AA193+1,1),0),1))))</f>
      </c>
      <c r="L193" s="67" t="str">
        <f>IFERROR(INDEX('Cost_Components'!$S$2:$S$27,MATCH(E193,'Cost_Components'!$A$2:$A$27,0)),"")</f>
      </c>
      <c r="M193" s="68" t="str">
        <f>IFERROR(INDEX('Cost_Components'!$L$2:$L$27,MATCH(E193,'Cost_Components'!$A$2:$A$27,0)),"")</f>
      </c>
      <c r="N193" s="69" t="str">
        <f>IFERROR(INDEX('Cost_Components'!$P$2:$P$27,MATCH(E193,'Cost_Components'!$A$2:$A$27,0)),"")</f>
      </c>
      <c r="O193" s="70" t="str">
        <f>AF193*J193</f>
      </c>
      <c r="P193" s="71" t="str">
        <f>AG193*J193</f>
      </c>
      <c r="Q193" s="72" t="str">
        <f>P193*L193*M193*N193</f>
      </c>
      <c r="R193" s="73" t="str">
        <f>O193*K193*M193*N193</f>
      </c>
      <c r="S193" s="74" t="str">
        <f>R193-Q193</f>
      </c>
      <c r="T193" s="20" t="str">
        <f>IFERROR(INDEX('Cost_Components'!$R$2:$R$27,MATCH(E193,'Cost_Components'!$A$2:$A$27,0)),"")</f>
      </c>
      <c r="U193" s="75" t="str">
        <f>IFERROR(INDEX('Cost_Components'!$Q$2:$Q$27,MATCH(E193,'Cost_Components'!$A$2:$A$27,0)),"")</f>
      </c>
      <c r="V193" s="76" t="str">
        <f>1/(1+'Calculation_Assumptions'!$B$5)^(B193-'Calculation_Assumptions'!$B$2)</f>
      </c>
      <c r="W193" s="77" t="str">
        <f>Q193*V193</f>
      </c>
      <c r="X193" s="78" t="str">
        <f>R193*V193</f>
      </c>
      <c r="Y193" s="79" t="str">
        <f>S193*V193</f>
      </c>
      <c r="Z193" s="80" t="str">
        <f>IFERROR(INDEX('Cost_Components'!$T$2:$T$27,MATCH(E193,'Cost_Components'!$A$2:$A$27,0)),"")</f>
      </c>
      <c r="AA193" s="81" t="str">
        <f>IFERROR(INDEX('Cost_Components'!$U$2:$U$27,MATCH(E193,'Cost_Components'!$A$2:$A$27,0)),"")</f>
      </c>
      <c r="AB193" s="82" t="str">
        <f>IFERROR(INDEX('Cost_Components'!$V$2:$V$27,MATCH(E193,'Cost_Components'!$A$2:$A$27,0)),"")</f>
      </c>
      <c r="AC193" s="83" t="str">
        <f>IFERROR(INDEX('Cost_Components'!$M$2:$M$27,MATCH(E193,'Cost_Components'!$A$2:$A$27,0)),"")</f>
      </c>
      <c r="AD193" s="84" t="str">
        <f>IFERROR(INDEX('Cost_Components'!$N$2:$N$27,MATCH(E193,'Cost_Components'!$A$2:$A$27,0)),"")</f>
      </c>
      <c r="AE193" s="20" t="str">
        <f>IFERROR(INDEX('Cost_Components'!$O$2:$O$27,MATCH(E193,'Cost_Components'!$A$2:$A$27,0)),"")</f>
      </c>
      <c r="AF193" s="85" t="n">
        <v>94169.7784714544</v>
      </c>
      <c r="AG193" s="86" t="n">
        <v>91915.1700532053</v>
      </c>
      <c r="AH193" s="87" t="str">
        <f>IF(H193="shared-count-once",COUNTIFS($A$2:$A$1353,A193,$B$2:$B$1353,B193,$E$2:$E$1353,E193),1)</f>
      </c>
    </row>
    <row r="194">
      <c r="A194" t="s">
        <v>200</v>
      </c>
      <c r="B194" s="59" t="n">
        <v>2035</v>
      </c>
      <c r="C194" t="s">
        <v>200</v>
      </c>
      <c r="D194" t="s">
        <v>190</v>
      </c>
      <c r="E194" s="60" t="s">
        <v>278</v>
      </c>
      <c r="F194" s="61" t="s">
        <v>279</v>
      </c>
      <c r="G194" s="62" t="s">
        <v>201</v>
      </c>
      <c r="H194" s="63" t="s">
        <v>195</v>
      </c>
      <c r="I194" s="64" t="s">
        <v>267</v>
      </c>
      <c r="J194" s="65" t="str">
        <f>IFERROR(INDEX('Cost_Components'!$K$2:$K$27,MATCH(E194,'Cost_Components'!$A$2:$A$27,0)),"")</f>
      </c>
      <c r="K194" s="66" t="str">
        <f>IF(OR(L194="",Z194="",AA194="",AB194=""),"",IF(B194&lt;AA194,L194,IF(B194&gt;AB194,Z194,L194+(Z194-L194)*MIN(MAX((B194-AA194+1)/MAX(AB194-AA194+1,1),0),1))))</f>
      </c>
      <c r="L194" s="67" t="str">
        <f>IFERROR(INDEX('Cost_Components'!$S$2:$S$27,MATCH(E194,'Cost_Components'!$A$2:$A$27,0)),"")</f>
      </c>
      <c r="M194" s="68" t="str">
        <f>IFERROR(INDEX('Cost_Components'!$L$2:$L$27,MATCH(E194,'Cost_Components'!$A$2:$A$27,0)),"")</f>
      </c>
      <c r="N194" s="69" t="str">
        <f>IFERROR(INDEX('Cost_Components'!$P$2:$P$27,MATCH(E194,'Cost_Components'!$A$2:$A$27,0)),"")</f>
      </c>
      <c r="O194" s="70" t="str">
        <f>AF194*J194</f>
      </c>
      <c r="P194" s="71" t="str">
        <f>AG194*J194</f>
      </c>
      <c r="Q194" s="72" t="str">
        <f>P194*L194*M194*N194</f>
      </c>
      <c r="R194" s="73" t="str">
        <f>O194*K194*M194*N194</f>
      </c>
      <c r="S194" s="74" t="str">
        <f>R194-Q194</f>
      </c>
      <c r="T194" s="20" t="str">
        <f>IFERROR(INDEX('Cost_Components'!$R$2:$R$27,MATCH(E194,'Cost_Components'!$A$2:$A$27,0)),"")</f>
      </c>
      <c r="U194" s="75" t="str">
        <f>IFERROR(INDEX('Cost_Components'!$Q$2:$Q$27,MATCH(E194,'Cost_Components'!$A$2:$A$27,0)),"")</f>
      </c>
      <c r="V194" s="76" t="str">
        <f>1/(1+'Calculation_Assumptions'!$B$5)^(B194-'Calculation_Assumptions'!$B$2)</f>
      </c>
      <c r="W194" s="77" t="str">
        <f>Q194*V194</f>
      </c>
      <c r="X194" s="78" t="str">
        <f>R194*V194</f>
      </c>
      <c r="Y194" s="79" t="str">
        <f>S194*V194</f>
      </c>
      <c r="Z194" s="80" t="str">
        <f>IFERROR(INDEX('Cost_Components'!$T$2:$T$27,MATCH(E194,'Cost_Components'!$A$2:$A$27,0)),"")</f>
      </c>
      <c r="AA194" s="81" t="str">
        <f>IFERROR(INDEX('Cost_Components'!$U$2:$U$27,MATCH(E194,'Cost_Components'!$A$2:$A$27,0)),"")</f>
      </c>
      <c r="AB194" s="82" t="str">
        <f>IFERROR(INDEX('Cost_Components'!$V$2:$V$27,MATCH(E194,'Cost_Components'!$A$2:$A$27,0)),"")</f>
      </c>
      <c r="AC194" s="83" t="str">
        <f>IFERROR(INDEX('Cost_Components'!$M$2:$M$27,MATCH(E194,'Cost_Components'!$A$2:$A$27,0)),"")</f>
      </c>
      <c r="AD194" s="84" t="str">
        <f>IFERROR(INDEX('Cost_Components'!$N$2:$N$27,MATCH(E194,'Cost_Components'!$A$2:$A$27,0)),"")</f>
      </c>
      <c r="AE194" s="20" t="str">
        <f>IFERROR(INDEX('Cost_Components'!$O$2:$O$27,MATCH(E194,'Cost_Components'!$A$2:$A$27,0)),"")</f>
      </c>
      <c r="AF194" s="85" t="n">
        <v>96235.4346621619</v>
      </c>
      <c r="AG194" s="86" t="n">
        <v>93596.9100615363</v>
      </c>
      <c r="AH194" s="87" t="str">
        <f>IF(H194="shared-count-once",COUNTIFS($A$2:$A$1353,A194,$B$2:$B$1353,B194,$E$2:$E$1353,E194),1)</f>
      </c>
    </row>
    <row r="195">
      <c r="A195" t="s">
        <v>200</v>
      </c>
      <c r="B195" s="59" t="n">
        <v>2036</v>
      </c>
      <c r="C195" t="s">
        <v>200</v>
      </c>
      <c r="D195" t="s">
        <v>190</v>
      </c>
      <c r="E195" s="60" t="s">
        <v>278</v>
      </c>
      <c r="F195" s="61" t="s">
        <v>279</v>
      </c>
      <c r="G195" s="62" t="s">
        <v>201</v>
      </c>
      <c r="H195" s="63" t="s">
        <v>195</v>
      </c>
      <c r="I195" s="64" t="s">
        <v>267</v>
      </c>
      <c r="J195" s="65" t="str">
        <f>IFERROR(INDEX('Cost_Components'!$K$2:$K$27,MATCH(E195,'Cost_Components'!$A$2:$A$27,0)),"")</f>
      </c>
      <c r="K195" s="66" t="str">
        <f>IF(OR(L195="",Z195="",AA195="",AB195=""),"",IF(B195&lt;AA195,L195,IF(B195&gt;AB195,Z195,L195+(Z195-L195)*MIN(MAX((B195-AA195+1)/MAX(AB195-AA195+1,1),0),1))))</f>
      </c>
      <c r="L195" s="67" t="str">
        <f>IFERROR(INDEX('Cost_Components'!$S$2:$S$27,MATCH(E195,'Cost_Components'!$A$2:$A$27,0)),"")</f>
      </c>
      <c r="M195" s="68" t="str">
        <f>IFERROR(INDEX('Cost_Components'!$L$2:$L$27,MATCH(E195,'Cost_Components'!$A$2:$A$27,0)),"")</f>
      </c>
      <c r="N195" s="69" t="str">
        <f>IFERROR(INDEX('Cost_Components'!$P$2:$P$27,MATCH(E195,'Cost_Components'!$A$2:$A$27,0)),"")</f>
      </c>
      <c r="O195" s="70" t="str">
        <f>AF195*J195</f>
      </c>
      <c r="P195" s="71" t="str">
        <f>AG195*J195</f>
      </c>
      <c r="Q195" s="72" t="str">
        <f>P195*L195*M195*N195</f>
      </c>
      <c r="R195" s="73" t="str">
        <f>O195*K195*M195*N195</f>
      </c>
      <c r="S195" s="74" t="str">
        <f>R195-Q195</f>
      </c>
      <c r="T195" s="20" t="str">
        <f>IFERROR(INDEX('Cost_Components'!$R$2:$R$27,MATCH(E195,'Cost_Components'!$A$2:$A$27,0)),"")</f>
      </c>
      <c r="U195" s="75" t="str">
        <f>IFERROR(INDEX('Cost_Components'!$Q$2:$Q$27,MATCH(E195,'Cost_Components'!$A$2:$A$27,0)),"")</f>
      </c>
      <c r="V195" s="76" t="str">
        <f>1/(1+'Calculation_Assumptions'!$B$5)^(B195-'Calculation_Assumptions'!$B$2)</f>
      </c>
      <c r="W195" s="77" t="str">
        <f>Q195*V195</f>
      </c>
      <c r="X195" s="78" t="str">
        <f>R195*V195</f>
      </c>
      <c r="Y195" s="79" t="str">
        <f>S195*V195</f>
      </c>
      <c r="Z195" s="80" t="str">
        <f>IFERROR(INDEX('Cost_Components'!$T$2:$T$27,MATCH(E195,'Cost_Components'!$A$2:$A$27,0)),"")</f>
      </c>
      <c r="AA195" s="81" t="str">
        <f>IFERROR(INDEX('Cost_Components'!$U$2:$U$27,MATCH(E195,'Cost_Components'!$A$2:$A$27,0)),"")</f>
      </c>
      <c r="AB195" s="82" t="str">
        <f>IFERROR(INDEX('Cost_Components'!$V$2:$V$27,MATCH(E195,'Cost_Components'!$A$2:$A$27,0)),"")</f>
      </c>
      <c r="AC195" s="83" t="str">
        <f>IFERROR(INDEX('Cost_Components'!$M$2:$M$27,MATCH(E195,'Cost_Components'!$A$2:$A$27,0)),"")</f>
      </c>
      <c r="AD195" s="84" t="str">
        <f>IFERROR(INDEX('Cost_Components'!$N$2:$N$27,MATCH(E195,'Cost_Components'!$A$2:$A$27,0)),"")</f>
      </c>
      <c r="AE195" s="20" t="str">
        <f>IFERROR(INDEX('Cost_Components'!$O$2:$O$27,MATCH(E195,'Cost_Components'!$A$2:$A$27,0)),"")</f>
      </c>
      <c r="AF195" s="85" t="n">
        <v>98381.103681591</v>
      </c>
      <c r="AG195" s="86" t="n">
        <v>95335.6352226668</v>
      </c>
      <c r="AH195" s="87" t="str">
        <f>IF(H195="shared-count-once",COUNTIFS($A$2:$A$1353,A195,$B$2:$B$1353,B195,$E$2:$E$1353,E195),1)</f>
      </c>
    </row>
    <row r="196">
      <c r="A196" t="s">
        <v>200</v>
      </c>
      <c r="B196" s="59" t="n">
        <v>2037</v>
      </c>
      <c r="C196" t="s">
        <v>200</v>
      </c>
      <c r="D196" t="s">
        <v>190</v>
      </c>
      <c r="E196" s="60" t="s">
        <v>278</v>
      </c>
      <c r="F196" s="61" t="s">
        <v>279</v>
      </c>
      <c r="G196" s="62" t="s">
        <v>201</v>
      </c>
      <c r="H196" s="63" t="s">
        <v>195</v>
      </c>
      <c r="I196" s="64" t="s">
        <v>267</v>
      </c>
      <c r="J196" s="65" t="str">
        <f>IFERROR(INDEX('Cost_Components'!$K$2:$K$27,MATCH(E196,'Cost_Components'!$A$2:$A$27,0)),"")</f>
      </c>
      <c r="K196" s="66" t="str">
        <f>IF(OR(L196="",Z196="",AA196="",AB196=""),"",IF(B196&lt;AA196,L196,IF(B196&gt;AB196,Z196,L196+(Z196-L196)*MIN(MAX((B196-AA196+1)/MAX(AB196-AA196+1,1),0),1))))</f>
      </c>
      <c r="L196" s="67" t="str">
        <f>IFERROR(INDEX('Cost_Components'!$S$2:$S$27,MATCH(E196,'Cost_Components'!$A$2:$A$27,0)),"")</f>
      </c>
      <c r="M196" s="68" t="str">
        <f>IFERROR(INDEX('Cost_Components'!$L$2:$L$27,MATCH(E196,'Cost_Components'!$A$2:$A$27,0)),"")</f>
      </c>
      <c r="N196" s="69" t="str">
        <f>IFERROR(INDEX('Cost_Components'!$P$2:$P$27,MATCH(E196,'Cost_Components'!$A$2:$A$27,0)),"")</f>
      </c>
      <c r="O196" s="70" t="str">
        <f>AF196*J196</f>
      </c>
      <c r="P196" s="71" t="str">
        <f>AG196*J196</f>
      </c>
      <c r="Q196" s="72" t="str">
        <f>P196*L196*M196*N196</f>
      </c>
      <c r="R196" s="73" t="str">
        <f>O196*K196*M196*N196</f>
      </c>
      <c r="S196" s="74" t="str">
        <f>R196-Q196</f>
      </c>
      <c r="T196" s="20" t="str">
        <f>IFERROR(INDEX('Cost_Components'!$R$2:$R$27,MATCH(E196,'Cost_Components'!$A$2:$A$27,0)),"")</f>
      </c>
      <c r="U196" s="75" t="str">
        <f>IFERROR(INDEX('Cost_Components'!$Q$2:$Q$27,MATCH(E196,'Cost_Components'!$A$2:$A$27,0)),"")</f>
      </c>
      <c r="V196" s="76" t="str">
        <f>1/(1+'Calculation_Assumptions'!$B$5)^(B196-'Calculation_Assumptions'!$B$2)</f>
      </c>
      <c r="W196" s="77" t="str">
        <f>Q196*V196</f>
      </c>
      <c r="X196" s="78" t="str">
        <f>R196*V196</f>
      </c>
      <c r="Y196" s="79" t="str">
        <f>S196*V196</f>
      </c>
      <c r="Z196" s="80" t="str">
        <f>IFERROR(INDEX('Cost_Components'!$T$2:$T$27,MATCH(E196,'Cost_Components'!$A$2:$A$27,0)),"")</f>
      </c>
      <c r="AA196" s="81" t="str">
        <f>IFERROR(INDEX('Cost_Components'!$U$2:$U$27,MATCH(E196,'Cost_Components'!$A$2:$A$27,0)),"")</f>
      </c>
      <c r="AB196" s="82" t="str">
        <f>IFERROR(INDEX('Cost_Components'!$V$2:$V$27,MATCH(E196,'Cost_Components'!$A$2:$A$27,0)),"")</f>
      </c>
      <c r="AC196" s="83" t="str">
        <f>IFERROR(INDEX('Cost_Components'!$M$2:$M$27,MATCH(E196,'Cost_Components'!$A$2:$A$27,0)),"")</f>
      </c>
      <c r="AD196" s="84" t="str">
        <f>IFERROR(INDEX('Cost_Components'!$N$2:$N$27,MATCH(E196,'Cost_Components'!$A$2:$A$27,0)),"")</f>
      </c>
      <c r="AE196" s="20" t="str">
        <f>IFERROR(INDEX('Cost_Components'!$O$2:$O$27,MATCH(E196,'Cost_Components'!$A$2:$A$27,0)),"")</f>
      </c>
      <c r="AF196" s="85" t="n">
        <v>100611.081658285</v>
      </c>
      <c r="AG196" s="86" t="n">
        <v>97136.1570592132</v>
      </c>
      <c r="AH196" s="87" t="str">
        <f>IF(H196="shared-count-once",COUNTIFS($A$2:$A$1353,A196,$B$2:$B$1353,B196,$E$2:$E$1353,E196),1)</f>
      </c>
    </row>
    <row r="197">
      <c r="A197" t="s">
        <v>200</v>
      </c>
      <c r="B197" s="59" t="n">
        <v>2038</v>
      </c>
      <c r="C197" t="s">
        <v>200</v>
      </c>
      <c r="D197" t="s">
        <v>190</v>
      </c>
      <c r="E197" s="60" t="s">
        <v>278</v>
      </c>
      <c r="F197" s="61" t="s">
        <v>279</v>
      </c>
      <c r="G197" s="62" t="s">
        <v>201</v>
      </c>
      <c r="H197" s="63" t="s">
        <v>195</v>
      </c>
      <c r="I197" s="64" t="s">
        <v>267</v>
      </c>
      <c r="J197" s="65" t="str">
        <f>IFERROR(INDEX('Cost_Components'!$K$2:$K$27,MATCH(E197,'Cost_Components'!$A$2:$A$27,0)),"")</f>
      </c>
      <c r="K197" s="66" t="str">
        <f>IF(OR(L197="",Z197="",AA197="",AB197=""),"",IF(B197&lt;AA197,L197,IF(B197&gt;AB197,Z197,L197+(Z197-L197)*MIN(MAX((B197-AA197+1)/MAX(AB197-AA197+1,1),0),1))))</f>
      </c>
      <c r="L197" s="67" t="str">
        <f>IFERROR(INDEX('Cost_Components'!$S$2:$S$27,MATCH(E197,'Cost_Components'!$A$2:$A$27,0)),"")</f>
      </c>
      <c r="M197" s="68" t="str">
        <f>IFERROR(INDEX('Cost_Components'!$L$2:$L$27,MATCH(E197,'Cost_Components'!$A$2:$A$27,0)),"")</f>
      </c>
      <c r="N197" s="69" t="str">
        <f>IFERROR(INDEX('Cost_Components'!$P$2:$P$27,MATCH(E197,'Cost_Components'!$A$2:$A$27,0)),"")</f>
      </c>
      <c r="O197" s="70" t="str">
        <f>AF197*J197</f>
      </c>
      <c r="P197" s="71" t="str">
        <f>AG197*J197</f>
      </c>
      <c r="Q197" s="72" t="str">
        <f>P197*L197*M197*N197</f>
      </c>
      <c r="R197" s="73" t="str">
        <f>O197*K197*M197*N197</f>
      </c>
      <c r="S197" s="74" t="str">
        <f>R197-Q197</f>
      </c>
      <c r="T197" s="20" t="str">
        <f>IFERROR(INDEX('Cost_Components'!$R$2:$R$27,MATCH(E197,'Cost_Components'!$A$2:$A$27,0)),"")</f>
      </c>
      <c r="U197" s="75" t="str">
        <f>IFERROR(INDEX('Cost_Components'!$Q$2:$Q$27,MATCH(E197,'Cost_Components'!$A$2:$A$27,0)),"")</f>
      </c>
      <c r="V197" s="76" t="str">
        <f>1/(1+'Calculation_Assumptions'!$B$5)^(B197-'Calculation_Assumptions'!$B$2)</f>
      </c>
      <c r="W197" s="77" t="str">
        <f>Q197*V197</f>
      </c>
      <c r="X197" s="78" t="str">
        <f>R197*V197</f>
      </c>
      <c r="Y197" s="79" t="str">
        <f>S197*V197</f>
      </c>
      <c r="Z197" s="80" t="str">
        <f>IFERROR(INDEX('Cost_Components'!$T$2:$T$27,MATCH(E197,'Cost_Components'!$A$2:$A$27,0)),"")</f>
      </c>
      <c r="AA197" s="81" t="str">
        <f>IFERROR(INDEX('Cost_Components'!$U$2:$U$27,MATCH(E197,'Cost_Components'!$A$2:$A$27,0)),"")</f>
      </c>
      <c r="AB197" s="82" t="str">
        <f>IFERROR(INDEX('Cost_Components'!$V$2:$V$27,MATCH(E197,'Cost_Components'!$A$2:$A$27,0)),"")</f>
      </c>
      <c r="AC197" s="83" t="str">
        <f>IFERROR(INDEX('Cost_Components'!$M$2:$M$27,MATCH(E197,'Cost_Components'!$A$2:$A$27,0)),"")</f>
      </c>
      <c r="AD197" s="84" t="str">
        <f>IFERROR(INDEX('Cost_Components'!$N$2:$N$27,MATCH(E197,'Cost_Components'!$A$2:$A$27,0)),"")</f>
      </c>
      <c r="AE197" s="20" t="str">
        <f>IFERROR(INDEX('Cost_Components'!$O$2:$O$27,MATCH(E197,'Cost_Components'!$A$2:$A$27,0)),"")</f>
      </c>
      <c r="AF197" s="85" t="n">
        <v>102924.377380418</v>
      </c>
      <c r="AG197" s="86" t="n">
        <v>98998.0143549304</v>
      </c>
      <c r="AH197" s="87" t="str">
        <f>IF(H197="shared-count-once",COUNTIFS($A$2:$A$1353,A197,$B$2:$B$1353,B197,$E$2:$E$1353,E197),1)</f>
      </c>
    </row>
    <row r="198">
      <c r="A198" t="s">
        <v>200</v>
      </c>
      <c r="B198" s="59" t="n">
        <v>2039</v>
      </c>
      <c r="C198" t="s">
        <v>200</v>
      </c>
      <c r="D198" t="s">
        <v>190</v>
      </c>
      <c r="E198" s="60" t="s">
        <v>278</v>
      </c>
      <c r="F198" s="61" t="s">
        <v>279</v>
      </c>
      <c r="G198" s="62" t="s">
        <v>201</v>
      </c>
      <c r="H198" s="63" t="s">
        <v>195</v>
      </c>
      <c r="I198" s="64" t="s">
        <v>267</v>
      </c>
      <c r="J198" s="65" t="str">
        <f>IFERROR(INDEX('Cost_Components'!$K$2:$K$27,MATCH(E198,'Cost_Components'!$A$2:$A$27,0)),"")</f>
      </c>
      <c r="K198" s="66" t="str">
        <f>IF(OR(L198="",Z198="",AA198="",AB198=""),"",IF(B198&lt;AA198,L198,IF(B198&gt;AB198,Z198,L198+(Z198-L198)*MIN(MAX((B198-AA198+1)/MAX(AB198-AA198+1,1),0),1))))</f>
      </c>
      <c r="L198" s="67" t="str">
        <f>IFERROR(INDEX('Cost_Components'!$S$2:$S$27,MATCH(E198,'Cost_Components'!$A$2:$A$27,0)),"")</f>
      </c>
      <c r="M198" s="68" t="str">
        <f>IFERROR(INDEX('Cost_Components'!$L$2:$L$27,MATCH(E198,'Cost_Components'!$A$2:$A$27,0)),"")</f>
      </c>
      <c r="N198" s="69" t="str">
        <f>IFERROR(INDEX('Cost_Components'!$P$2:$P$27,MATCH(E198,'Cost_Components'!$A$2:$A$27,0)),"")</f>
      </c>
      <c r="O198" s="70" t="str">
        <f>AF198*J198</f>
      </c>
      <c r="P198" s="71" t="str">
        <f>AG198*J198</f>
      </c>
      <c r="Q198" s="72" t="str">
        <f>P198*L198*M198*N198</f>
      </c>
      <c r="R198" s="73" t="str">
        <f>O198*K198*M198*N198</f>
      </c>
      <c r="S198" s="74" t="str">
        <f>R198-Q198</f>
      </c>
      <c r="T198" s="20" t="str">
        <f>IFERROR(INDEX('Cost_Components'!$R$2:$R$27,MATCH(E198,'Cost_Components'!$A$2:$A$27,0)),"")</f>
      </c>
      <c r="U198" s="75" t="str">
        <f>IFERROR(INDEX('Cost_Components'!$Q$2:$Q$27,MATCH(E198,'Cost_Components'!$A$2:$A$27,0)),"")</f>
      </c>
      <c r="V198" s="76" t="str">
        <f>1/(1+'Calculation_Assumptions'!$B$5)^(B198-'Calculation_Assumptions'!$B$2)</f>
      </c>
      <c r="W198" s="77" t="str">
        <f>Q198*V198</f>
      </c>
      <c r="X198" s="78" t="str">
        <f>R198*V198</f>
      </c>
      <c r="Y198" s="79" t="str">
        <f>S198*V198</f>
      </c>
      <c r="Z198" s="80" t="str">
        <f>IFERROR(INDEX('Cost_Components'!$T$2:$T$27,MATCH(E198,'Cost_Components'!$A$2:$A$27,0)),"")</f>
      </c>
      <c r="AA198" s="81" t="str">
        <f>IFERROR(INDEX('Cost_Components'!$U$2:$U$27,MATCH(E198,'Cost_Components'!$A$2:$A$27,0)),"")</f>
      </c>
      <c r="AB198" s="82" t="str">
        <f>IFERROR(INDEX('Cost_Components'!$V$2:$V$27,MATCH(E198,'Cost_Components'!$A$2:$A$27,0)),"")</f>
      </c>
      <c r="AC198" s="83" t="str">
        <f>IFERROR(INDEX('Cost_Components'!$M$2:$M$27,MATCH(E198,'Cost_Components'!$A$2:$A$27,0)),"")</f>
      </c>
      <c r="AD198" s="84" t="str">
        <f>IFERROR(INDEX('Cost_Components'!$N$2:$N$27,MATCH(E198,'Cost_Components'!$A$2:$A$27,0)),"")</f>
      </c>
      <c r="AE198" s="20" t="str">
        <f>IFERROR(INDEX('Cost_Components'!$O$2:$O$27,MATCH(E198,'Cost_Components'!$A$2:$A$27,0)),"")</f>
      </c>
      <c r="AF198" s="85" t="n">
        <v>105325.3864422</v>
      </c>
      <c r="AG198" s="86" t="n">
        <v>100926.209893404</v>
      </c>
      <c r="AH198" s="87" t="str">
        <f>IF(H198="shared-count-once",COUNTIFS($A$2:$A$1353,A198,$B$2:$B$1353,B198,$E$2:$E$1353,E198),1)</f>
      </c>
    </row>
    <row r="199">
      <c r="A199" t="s">
        <v>200</v>
      </c>
      <c r="B199" s="59" t="n">
        <v>2040</v>
      </c>
      <c r="C199" t="s">
        <v>200</v>
      </c>
      <c r="D199" t="s">
        <v>190</v>
      </c>
      <c r="E199" s="60" t="s">
        <v>278</v>
      </c>
      <c r="F199" s="61" t="s">
        <v>279</v>
      </c>
      <c r="G199" s="62" t="s">
        <v>201</v>
      </c>
      <c r="H199" s="63" t="s">
        <v>195</v>
      </c>
      <c r="I199" s="64" t="s">
        <v>267</v>
      </c>
      <c r="J199" s="65" t="str">
        <f>IFERROR(INDEX('Cost_Components'!$K$2:$K$27,MATCH(E199,'Cost_Components'!$A$2:$A$27,0)),"")</f>
      </c>
      <c r="K199" s="66" t="str">
        <f>IF(OR(L199="",Z199="",AA199="",AB199=""),"",IF(B199&lt;AA199,L199,IF(B199&gt;AB199,Z199,L199+(Z199-L199)*MIN(MAX((B199-AA199+1)/MAX(AB199-AA199+1,1),0),1))))</f>
      </c>
      <c r="L199" s="67" t="str">
        <f>IFERROR(INDEX('Cost_Components'!$S$2:$S$27,MATCH(E199,'Cost_Components'!$A$2:$A$27,0)),"")</f>
      </c>
      <c r="M199" s="68" t="str">
        <f>IFERROR(INDEX('Cost_Components'!$L$2:$L$27,MATCH(E199,'Cost_Components'!$A$2:$A$27,0)),"")</f>
      </c>
      <c r="N199" s="69" t="str">
        <f>IFERROR(INDEX('Cost_Components'!$P$2:$P$27,MATCH(E199,'Cost_Components'!$A$2:$A$27,0)),"")</f>
      </c>
      <c r="O199" s="70" t="str">
        <f>AF199*J199</f>
      </c>
      <c r="P199" s="71" t="str">
        <f>AG199*J199</f>
      </c>
      <c r="Q199" s="72" t="str">
        <f>P199*L199*M199*N199</f>
      </c>
      <c r="R199" s="73" t="str">
        <f>O199*K199*M199*N199</f>
      </c>
      <c r="S199" s="74" t="str">
        <f>R199-Q199</f>
      </c>
      <c r="T199" s="20" t="str">
        <f>IFERROR(INDEX('Cost_Components'!$R$2:$R$27,MATCH(E199,'Cost_Components'!$A$2:$A$27,0)),"")</f>
      </c>
      <c r="U199" s="75" t="str">
        <f>IFERROR(INDEX('Cost_Components'!$Q$2:$Q$27,MATCH(E199,'Cost_Components'!$A$2:$A$27,0)),"")</f>
      </c>
      <c r="V199" s="76" t="str">
        <f>1/(1+'Calculation_Assumptions'!$B$5)^(B199-'Calculation_Assumptions'!$B$2)</f>
      </c>
      <c r="W199" s="77" t="str">
        <f>Q199*V199</f>
      </c>
      <c r="X199" s="78" t="str">
        <f>R199*V199</f>
      </c>
      <c r="Y199" s="79" t="str">
        <f>S199*V199</f>
      </c>
      <c r="Z199" s="80" t="str">
        <f>IFERROR(INDEX('Cost_Components'!$T$2:$T$27,MATCH(E199,'Cost_Components'!$A$2:$A$27,0)),"")</f>
      </c>
      <c r="AA199" s="81" t="str">
        <f>IFERROR(INDEX('Cost_Components'!$U$2:$U$27,MATCH(E199,'Cost_Components'!$A$2:$A$27,0)),"")</f>
      </c>
      <c r="AB199" s="82" t="str">
        <f>IFERROR(INDEX('Cost_Components'!$V$2:$V$27,MATCH(E199,'Cost_Components'!$A$2:$A$27,0)),"")</f>
      </c>
      <c r="AC199" s="83" t="str">
        <f>IFERROR(INDEX('Cost_Components'!$M$2:$M$27,MATCH(E199,'Cost_Components'!$A$2:$A$27,0)),"")</f>
      </c>
      <c r="AD199" s="84" t="str">
        <f>IFERROR(INDEX('Cost_Components'!$N$2:$N$27,MATCH(E199,'Cost_Components'!$A$2:$A$27,0)),"")</f>
      </c>
      <c r="AE199" s="20" t="str">
        <f>IFERROR(INDEX('Cost_Components'!$O$2:$O$27,MATCH(E199,'Cost_Components'!$A$2:$A$27,0)),"")</f>
      </c>
      <c r="AF199" s="85" t="n">
        <v>107825.411834588</v>
      </c>
      <c r="AG199" s="86" t="n">
        <v>102933.12938022</v>
      </c>
      <c r="AH199" s="87" t="str">
        <f>IF(H199="shared-count-once",COUNTIFS($A$2:$A$1353,A199,$B$2:$B$1353,B199,$E$2:$E$1353,E199),1)</f>
      </c>
    </row>
    <row r="200">
      <c r="A200" t="s">
        <v>200</v>
      </c>
      <c r="B200" s="59" t="n">
        <v>2041</v>
      </c>
      <c r="C200" t="s">
        <v>200</v>
      </c>
      <c r="D200" t="s">
        <v>190</v>
      </c>
      <c r="E200" s="60" t="s">
        <v>278</v>
      </c>
      <c r="F200" s="61" t="s">
        <v>279</v>
      </c>
      <c r="G200" s="62" t="s">
        <v>201</v>
      </c>
      <c r="H200" s="63" t="s">
        <v>195</v>
      </c>
      <c r="I200" s="64" t="s">
        <v>267</v>
      </c>
      <c r="J200" s="65" t="str">
        <f>IFERROR(INDEX('Cost_Components'!$K$2:$K$27,MATCH(E200,'Cost_Components'!$A$2:$A$27,0)),"")</f>
      </c>
      <c r="K200" s="66" t="str">
        <f>IF(OR(L200="",Z200="",AA200="",AB200=""),"",IF(B200&lt;AA200,L200,IF(B200&gt;AB200,Z200,L200+(Z200-L200)*MIN(MAX((B200-AA200+1)/MAX(AB200-AA200+1,1),0),1))))</f>
      </c>
      <c r="L200" s="67" t="str">
        <f>IFERROR(INDEX('Cost_Components'!$S$2:$S$27,MATCH(E200,'Cost_Components'!$A$2:$A$27,0)),"")</f>
      </c>
      <c r="M200" s="68" t="str">
        <f>IFERROR(INDEX('Cost_Components'!$L$2:$L$27,MATCH(E200,'Cost_Components'!$A$2:$A$27,0)),"")</f>
      </c>
      <c r="N200" s="69" t="str">
        <f>IFERROR(INDEX('Cost_Components'!$P$2:$P$27,MATCH(E200,'Cost_Components'!$A$2:$A$27,0)),"")</f>
      </c>
      <c r="O200" s="70" t="str">
        <f>AF200*J200</f>
      </c>
      <c r="P200" s="71" t="str">
        <f>AG200*J200</f>
      </c>
      <c r="Q200" s="72" t="str">
        <f>P200*L200*M200*N200</f>
      </c>
      <c r="R200" s="73" t="str">
        <f>O200*K200*M200*N200</f>
      </c>
      <c r="S200" s="74" t="str">
        <f>R200-Q200</f>
      </c>
      <c r="T200" s="20" t="str">
        <f>IFERROR(INDEX('Cost_Components'!$R$2:$R$27,MATCH(E200,'Cost_Components'!$A$2:$A$27,0)),"")</f>
      </c>
      <c r="U200" s="75" t="str">
        <f>IFERROR(INDEX('Cost_Components'!$Q$2:$Q$27,MATCH(E200,'Cost_Components'!$A$2:$A$27,0)),"")</f>
      </c>
      <c r="V200" s="76" t="str">
        <f>1/(1+'Calculation_Assumptions'!$B$5)^(B200-'Calculation_Assumptions'!$B$2)</f>
      </c>
      <c r="W200" s="77" t="str">
        <f>Q200*V200</f>
      </c>
      <c r="X200" s="78" t="str">
        <f>R200*V200</f>
      </c>
      <c r="Y200" s="79" t="str">
        <f>S200*V200</f>
      </c>
      <c r="Z200" s="80" t="str">
        <f>IFERROR(INDEX('Cost_Components'!$T$2:$T$27,MATCH(E200,'Cost_Components'!$A$2:$A$27,0)),"")</f>
      </c>
      <c r="AA200" s="81" t="str">
        <f>IFERROR(INDEX('Cost_Components'!$U$2:$U$27,MATCH(E200,'Cost_Components'!$A$2:$A$27,0)),"")</f>
      </c>
      <c r="AB200" s="82" t="str">
        <f>IFERROR(INDEX('Cost_Components'!$V$2:$V$27,MATCH(E200,'Cost_Components'!$A$2:$A$27,0)),"")</f>
      </c>
      <c r="AC200" s="83" t="str">
        <f>IFERROR(INDEX('Cost_Components'!$M$2:$M$27,MATCH(E200,'Cost_Components'!$A$2:$A$27,0)),"")</f>
      </c>
      <c r="AD200" s="84" t="str">
        <f>IFERROR(INDEX('Cost_Components'!$N$2:$N$27,MATCH(E200,'Cost_Components'!$A$2:$A$27,0)),"")</f>
      </c>
      <c r="AE200" s="20" t="str">
        <f>IFERROR(INDEX('Cost_Components'!$O$2:$O$27,MATCH(E200,'Cost_Components'!$A$2:$A$27,0)),"")</f>
      </c>
      <c r="AF200" s="85" t="n">
        <v>110423.968661541</v>
      </c>
      <c r="AG200" s="86" t="n">
        <v>105017.945173141</v>
      </c>
      <c r="AH200" s="87" t="str">
        <f>IF(H200="shared-count-once",COUNTIFS($A$2:$A$1353,A200,$B$2:$B$1353,B200,$E$2:$E$1353,E200),1)</f>
      </c>
    </row>
    <row r="201">
      <c r="A201" t="s">
        <v>200</v>
      </c>
      <c r="B201" s="59" t="n">
        <v>2042</v>
      </c>
      <c r="C201" t="s">
        <v>200</v>
      </c>
      <c r="D201" t="s">
        <v>190</v>
      </c>
      <c r="E201" s="60" t="s">
        <v>278</v>
      </c>
      <c r="F201" s="61" t="s">
        <v>279</v>
      </c>
      <c r="G201" s="62" t="s">
        <v>201</v>
      </c>
      <c r="H201" s="63" t="s">
        <v>195</v>
      </c>
      <c r="I201" s="64" t="s">
        <v>267</v>
      </c>
      <c r="J201" s="65" t="str">
        <f>IFERROR(INDEX('Cost_Components'!$K$2:$K$27,MATCH(E201,'Cost_Components'!$A$2:$A$27,0)),"")</f>
      </c>
      <c r="K201" s="66" t="str">
        <f>IF(OR(L201="",Z201="",AA201="",AB201=""),"",IF(B201&lt;AA201,L201,IF(B201&gt;AB201,Z201,L201+(Z201-L201)*MIN(MAX((B201-AA201+1)/MAX(AB201-AA201+1,1),0),1))))</f>
      </c>
      <c r="L201" s="67" t="str">
        <f>IFERROR(INDEX('Cost_Components'!$S$2:$S$27,MATCH(E201,'Cost_Components'!$A$2:$A$27,0)),"")</f>
      </c>
      <c r="M201" s="68" t="str">
        <f>IFERROR(INDEX('Cost_Components'!$L$2:$L$27,MATCH(E201,'Cost_Components'!$A$2:$A$27,0)),"")</f>
      </c>
      <c r="N201" s="69" t="str">
        <f>IFERROR(INDEX('Cost_Components'!$P$2:$P$27,MATCH(E201,'Cost_Components'!$A$2:$A$27,0)),"")</f>
      </c>
      <c r="O201" s="70" t="str">
        <f>AF201*J201</f>
      </c>
      <c r="P201" s="71" t="str">
        <f>AG201*J201</f>
      </c>
      <c r="Q201" s="72" t="str">
        <f>P201*L201*M201*N201</f>
      </c>
      <c r="R201" s="73" t="str">
        <f>O201*K201*M201*N201</f>
      </c>
      <c r="S201" s="74" t="str">
        <f>R201-Q201</f>
      </c>
      <c r="T201" s="20" t="str">
        <f>IFERROR(INDEX('Cost_Components'!$R$2:$R$27,MATCH(E201,'Cost_Components'!$A$2:$A$27,0)),"")</f>
      </c>
      <c r="U201" s="75" t="str">
        <f>IFERROR(INDEX('Cost_Components'!$Q$2:$Q$27,MATCH(E201,'Cost_Components'!$A$2:$A$27,0)),"")</f>
      </c>
      <c r="V201" s="76" t="str">
        <f>1/(1+'Calculation_Assumptions'!$B$5)^(B201-'Calculation_Assumptions'!$B$2)</f>
      </c>
      <c r="W201" s="77" t="str">
        <f>Q201*V201</f>
      </c>
      <c r="X201" s="78" t="str">
        <f>R201*V201</f>
      </c>
      <c r="Y201" s="79" t="str">
        <f>S201*V201</f>
      </c>
      <c r="Z201" s="80" t="str">
        <f>IFERROR(INDEX('Cost_Components'!$T$2:$T$27,MATCH(E201,'Cost_Components'!$A$2:$A$27,0)),"")</f>
      </c>
      <c r="AA201" s="81" t="str">
        <f>IFERROR(INDEX('Cost_Components'!$U$2:$U$27,MATCH(E201,'Cost_Components'!$A$2:$A$27,0)),"")</f>
      </c>
      <c r="AB201" s="82" t="str">
        <f>IFERROR(INDEX('Cost_Components'!$V$2:$V$27,MATCH(E201,'Cost_Components'!$A$2:$A$27,0)),"")</f>
      </c>
      <c r="AC201" s="83" t="str">
        <f>IFERROR(INDEX('Cost_Components'!$M$2:$M$27,MATCH(E201,'Cost_Components'!$A$2:$A$27,0)),"")</f>
      </c>
      <c r="AD201" s="84" t="str">
        <f>IFERROR(INDEX('Cost_Components'!$N$2:$N$27,MATCH(E201,'Cost_Components'!$A$2:$A$27,0)),"")</f>
      </c>
      <c r="AE201" s="20" t="str">
        <f>IFERROR(INDEX('Cost_Components'!$O$2:$O$27,MATCH(E201,'Cost_Components'!$A$2:$A$27,0)),"")</f>
      </c>
      <c r="AF201" s="85" t="n">
        <v>113116.814448138</v>
      </c>
      <c r="AG201" s="86" t="n">
        <v>107176.827813899</v>
      </c>
      <c r="AH201" s="87" t="str">
        <f>IF(H201="shared-count-once",COUNTIFS($A$2:$A$1353,A201,$B$2:$B$1353,B201,$E$2:$E$1353,E201),1)</f>
      </c>
    </row>
    <row r="202">
      <c r="A202" t="s">
        <v>200</v>
      </c>
      <c r="B202" s="59" t="n">
        <v>2043</v>
      </c>
      <c r="C202" t="s">
        <v>200</v>
      </c>
      <c r="D202" t="s">
        <v>190</v>
      </c>
      <c r="E202" s="60" t="s">
        <v>278</v>
      </c>
      <c r="F202" s="61" t="s">
        <v>279</v>
      </c>
      <c r="G202" s="62" t="s">
        <v>201</v>
      </c>
      <c r="H202" s="63" t="s">
        <v>195</v>
      </c>
      <c r="I202" s="64" t="s">
        <v>267</v>
      </c>
      <c r="J202" s="65" t="str">
        <f>IFERROR(INDEX('Cost_Components'!$K$2:$K$27,MATCH(E202,'Cost_Components'!$A$2:$A$27,0)),"")</f>
      </c>
      <c r="K202" s="66" t="str">
        <f>IF(OR(L202="",Z202="",AA202="",AB202=""),"",IF(B202&lt;AA202,L202,IF(B202&gt;AB202,Z202,L202+(Z202-L202)*MIN(MAX((B202-AA202+1)/MAX(AB202-AA202+1,1),0),1))))</f>
      </c>
      <c r="L202" s="67" t="str">
        <f>IFERROR(INDEX('Cost_Components'!$S$2:$S$27,MATCH(E202,'Cost_Components'!$A$2:$A$27,0)),"")</f>
      </c>
      <c r="M202" s="68" t="str">
        <f>IFERROR(INDEX('Cost_Components'!$L$2:$L$27,MATCH(E202,'Cost_Components'!$A$2:$A$27,0)),"")</f>
      </c>
      <c r="N202" s="69" t="str">
        <f>IFERROR(INDEX('Cost_Components'!$P$2:$P$27,MATCH(E202,'Cost_Components'!$A$2:$A$27,0)),"")</f>
      </c>
      <c r="O202" s="70" t="str">
        <f>AF202*J202</f>
      </c>
      <c r="P202" s="71" t="str">
        <f>AG202*J202</f>
      </c>
      <c r="Q202" s="72" t="str">
        <f>P202*L202*M202*N202</f>
      </c>
      <c r="R202" s="73" t="str">
        <f>O202*K202*M202*N202</f>
      </c>
      <c r="S202" s="74" t="str">
        <f>R202-Q202</f>
      </c>
      <c r="T202" s="20" t="str">
        <f>IFERROR(INDEX('Cost_Components'!$R$2:$R$27,MATCH(E202,'Cost_Components'!$A$2:$A$27,0)),"")</f>
      </c>
      <c r="U202" s="75" t="str">
        <f>IFERROR(INDEX('Cost_Components'!$Q$2:$Q$27,MATCH(E202,'Cost_Components'!$A$2:$A$27,0)),"")</f>
      </c>
      <c r="V202" s="76" t="str">
        <f>1/(1+'Calculation_Assumptions'!$B$5)^(B202-'Calculation_Assumptions'!$B$2)</f>
      </c>
      <c r="W202" s="77" t="str">
        <f>Q202*V202</f>
      </c>
      <c r="X202" s="78" t="str">
        <f>R202*V202</f>
      </c>
      <c r="Y202" s="79" t="str">
        <f>S202*V202</f>
      </c>
      <c r="Z202" s="80" t="str">
        <f>IFERROR(INDEX('Cost_Components'!$T$2:$T$27,MATCH(E202,'Cost_Components'!$A$2:$A$27,0)),"")</f>
      </c>
      <c r="AA202" s="81" t="str">
        <f>IFERROR(INDEX('Cost_Components'!$U$2:$U$27,MATCH(E202,'Cost_Components'!$A$2:$A$27,0)),"")</f>
      </c>
      <c r="AB202" s="82" t="str">
        <f>IFERROR(INDEX('Cost_Components'!$V$2:$V$27,MATCH(E202,'Cost_Components'!$A$2:$A$27,0)),"")</f>
      </c>
      <c r="AC202" s="83" t="str">
        <f>IFERROR(INDEX('Cost_Components'!$M$2:$M$27,MATCH(E202,'Cost_Components'!$A$2:$A$27,0)),"")</f>
      </c>
      <c r="AD202" s="84" t="str">
        <f>IFERROR(INDEX('Cost_Components'!$N$2:$N$27,MATCH(E202,'Cost_Components'!$A$2:$A$27,0)),"")</f>
      </c>
      <c r="AE202" s="20" t="str">
        <f>IFERROR(INDEX('Cost_Components'!$O$2:$O$27,MATCH(E202,'Cost_Components'!$A$2:$A$27,0)),"")</f>
      </c>
      <c r="AF202" s="85" t="n">
        <v>115905.968149768</v>
      </c>
      <c r="AG202" s="86" t="n">
        <v>109412.075927052</v>
      </c>
      <c r="AH202" s="87" t="str">
        <f>IF(H202="shared-count-once",COUNTIFS($A$2:$A$1353,A202,$B$2:$B$1353,B202,$E$2:$E$1353,E202),1)</f>
      </c>
    </row>
    <row r="203">
      <c r="A203" t="s">
        <v>200</v>
      </c>
      <c r="B203" s="59" t="n">
        <v>2044</v>
      </c>
      <c r="C203" t="s">
        <v>200</v>
      </c>
      <c r="D203" t="s">
        <v>190</v>
      </c>
      <c r="E203" s="60" t="s">
        <v>278</v>
      </c>
      <c r="F203" s="61" t="s">
        <v>279</v>
      </c>
      <c r="G203" s="62" t="s">
        <v>201</v>
      </c>
      <c r="H203" s="63" t="s">
        <v>195</v>
      </c>
      <c r="I203" s="64" t="s">
        <v>267</v>
      </c>
      <c r="J203" s="65" t="str">
        <f>IFERROR(INDEX('Cost_Components'!$K$2:$K$27,MATCH(E203,'Cost_Components'!$A$2:$A$27,0)),"")</f>
      </c>
      <c r="K203" s="66" t="str">
        <f>IF(OR(L203="",Z203="",AA203="",AB203=""),"",IF(B203&lt;AA203,L203,IF(B203&gt;AB203,Z203,L203+(Z203-L203)*MIN(MAX((B203-AA203+1)/MAX(AB203-AA203+1,1),0),1))))</f>
      </c>
      <c r="L203" s="67" t="str">
        <f>IFERROR(INDEX('Cost_Components'!$S$2:$S$27,MATCH(E203,'Cost_Components'!$A$2:$A$27,0)),"")</f>
      </c>
      <c r="M203" s="68" t="str">
        <f>IFERROR(INDEX('Cost_Components'!$L$2:$L$27,MATCH(E203,'Cost_Components'!$A$2:$A$27,0)),"")</f>
      </c>
      <c r="N203" s="69" t="str">
        <f>IFERROR(INDEX('Cost_Components'!$P$2:$P$27,MATCH(E203,'Cost_Components'!$A$2:$A$27,0)),"")</f>
      </c>
      <c r="O203" s="70" t="str">
        <f>AF203*J203</f>
      </c>
      <c r="P203" s="71" t="str">
        <f>AG203*J203</f>
      </c>
      <c r="Q203" s="72" t="str">
        <f>P203*L203*M203*N203</f>
      </c>
      <c r="R203" s="73" t="str">
        <f>O203*K203*M203*N203</f>
      </c>
      <c r="S203" s="74" t="str">
        <f>R203-Q203</f>
      </c>
      <c r="T203" s="20" t="str">
        <f>IFERROR(INDEX('Cost_Components'!$R$2:$R$27,MATCH(E203,'Cost_Components'!$A$2:$A$27,0)),"")</f>
      </c>
      <c r="U203" s="75" t="str">
        <f>IFERROR(INDEX('Cost_Components'!$Q$2:$Q$27,MATCH(E203,'Cost_Components'!$A$2:$A$27,0)),"")</f>
      </c>
      <c r="V203" s="76" t="str">
        <f>1/(1+'Calculation_Assumptions'!$B$5)^(B203-'Calculation_Assumptions'!$B$2)</f>
      </c>
      <c r="W203" s="77" t="str">
        <f>Q203*V203</f>
      </c>
      <c r="X203" s="78" t="str">
        <f>R203*V203</f>
      </c>
      <c r="Y203" s="79" t="str">
        <f>S203*V203</f>
      </c>
      <c r="Z203" s="80" t="str">
        <f>IFERROR(INDEX('Cost_Components'!$T$2:$T$27,MATCH(E203,'Cost_Components'!$A$2:$A$27,0)),"")</f>
      </c>
      <c r="AA203" s="81" t="str">
        <f>IFERROR(INDEX('Cost_Components'!$U$2:$U$27,MATCH(E203,'Cost_Components'!$A$2:$A$27,0)),"")</f>
      </c>
      <c r="AB203" s="82" t="str">
        <f>IFERROR(INDEX('Cost_Components'!$V$2:$V$27,MATCH(E203,'Cost_Components'!$A$2:$A$27,0)),"")</f>
      </c>
      <c r="AC203" s="83" t="str">
        <f>IFERROR(INDEX('Cost_Components'!$M$2:$M$27,MATCH(E203,'Cost_Components'!$A$2:$A$27,0)),"")</f>
      </c>
      <c r="AD203" s="84" t="str">
        <f>IFERROR(INDEX('Cost_Components'!$N$2:$N$27,MATCH(E203,'Cost_Components'!$A$2:$A$27,0)),"")</f>
      </c>
      <c r="AE203" s="20" t="str">
        <f>IFERROR(INDEX('Cost_Components'!$O$2:$O$27,MATCH(E203,'Cost_Components'!$A$2:$A$27,0)),"")</f>
      </c>
      <c r="AF203" s="85" t="n">
        <v>118784.47918703</v>
      </c>
      <c r="AG203" s="86" t="n">
        <v>111717.49359171</v>
      </c>
      <c r="AH203" s="87" t="str">
        <f>IF(H203="shared-count-once",COUNTIFS($A$2:$A$1353,A203,$B$2:$B$1353,B203,$E$2:$E$1353,E203),1)</f>
      </c>
    </row>
    <row r="204">
      <c r="A204" t="s">
        <v>200</v>
      </c>
      <c r="B204" s="59" t="n">
        <v>2045</v>
      </c>
      <c r="C204" t="s">
        <v>200</v>
      </c>
      <c r="D204" t="s">
        <v>190</v>
      </c>
      <c r="E204" s="60" t="s">
        <v>278</v>
      </c>
      <c r="F204" s="61" t="s">
        <v>279</v>
      </c>
      <c r="G204" s="62" t="s">
        <v>201</v>
      </c>
      <c r="H204" s="63" t="s">
        <v>195</v>
      </c>
      <c r="I204" s="64" t="s">
        <v>267</v>
      </c>
      <c r="J204" s="65" t="str">
        <f>IFERROR(INDEX('Cost_Components'!$K$2:$K$27,MATCH(E204,'Cost_Components'!$A$2:$A$27,0)),"")</f>
      </c>
      <c r="K204" s="66" t="str">
        <f>IF(OR(L204="",Z204="",AA204="",AB204=""),"",IF(B204&lt;AA204,L204,IF(B204&gt;AB204,Z204,L204+(Z204-L204)*MIN(MAX((B204-AA204+1)/MAX(AB204-AA204+1,1),0),1))))</f>
      </c>
      <c r="L204" s="67" t="str">
        <f>IFERROR(INDEX('Cost_Components'!$S$2:$S$27,MATCH(E204,'Cost_Components'!$A$2:$A$27,0)),"")</f>
      </c>
      <c r="M204" s="68" t="str">
        <f>IFERROR(INDEX('Cost_Components'!$L$2:$L$27,MATCH(E204,'Cost_Components'!$A$2:$A$27,0)),"")</f>
      </c>
      <c r="N204" s="69" t="str">
        <f>IFERROR(INDEX('Cost_Components'!$P$2:$P$27,MATCH(E204,'Cost_Components'!$A$2:$A$27,0)),"")</f>
      </c>
      <c r="O204" s="70" t="str">
        <f>AF204*J204</f>
      </c>
      <c r="P204" s="71" t="str">
        <f>AG204*J204</f>
      </c>
      <c r="Q204" s="72" t="str">
        <f>P204*L204*M204*N204</f>
      </c>
      <c r="R204" s="73" t="str">
        <f>O204*K204*M204*N204</f>
      </c>
      <c r="S204" s="74" t="str">
        <f>R204-Q204</f>
      </c>
      <c r="T204" s="20" t="str">
        <f>IFERROR(INDEX('Cost_Components'!$R$2:$R$27,MATCH(E204,'Cost_Components'!$A$2:$A$27,0)),"")</f>
      </c>
      <c r="U204" s="75" t="str">
        <f>IFERROR(INDEX('Cost_Components'!$Q$2:$Q$27,MATCH(E204,'Cost_Components'!$A$2:$A$27,0)),"")</f>
      </c>
      <c r="V204" s="76" t="str">
        <f>1/(1+'Calculation_Assumptions'!$B$5)^(B204-'Calculation_Assumptions'!$B$2)</f>
      </c>
      <c r="W204" s="77" t="str">
        <f>Q204*V204</f>
      </c>
      <c r="X204" s="78" t="str">
        <f>R204*V204</f>
      </c>
      <c r="Y204" s="79" t="str">
        <f>S204*V204</f>
      </c>
      <c r="Z204" s="80" t="str">
        <f>IFERROR(INDEX('Cost_Components'!$T$2:$T$27,MATCH(E204,'Cost_Components'!$A$2:$A$27,0)),"")</f>
      </c>
      <c r="AA204" s="81" t="str">
        <f>IFERROR(INDEX('Cost_Components'!$U$2:$U$27,MATCH(E204,'Cost_Components'!$A$2:$A$27,0)),"")</f>
      </c>
      <c r="AB204" s="82" t="str">
        <f>IFERROR(INDEX('Cost_Components'!$V$2:$V$27,MATCH(E204,'Cost_Components'!$A$2:$A$27,0)),"")</f>
      </c>
      <c r="AC204" s="83" t="str">
        <f>IFERROR(INDEX('Cost_Components'!$M$2:$M$27,MATCH(E204,'Cost_Components'!$A$2:$A$27,0)),"")</f>
      </c>
      <c r="AD204" s="84" t="str">
        <f>IFERROR(INDEX('Cost_Components'!$N$2:$N$27,MATCH(E204,'Cost_Components'!$A$2:$A$27,0)),"")</f>
      </c>
      <c r="AE204" s="20" t="str">
        <f>IFERROR(INDEX('Cost_Components'!$O$2:$O$27,MATCH(E204,'Cost_Components'!$A$2:$A$27,0)),"")</f>
      </c>
      <c r="AF204" s="85" t="n">
        <v>121753.051784295</v>
      </c>
      <c r="AG204" s="86" t="n">
        <v>114095.274012368</v>
      </c>
      <c r="AH204" s="87" t="str">
        <f>IF(H204="shared-count-once",COUNTIFS($A$2:$A$1353,A204,$B$2:$B$1353,B204,$E$2:$E$1353,E204),1)</f>
      </c>
    </row>
    <row r="205">
      <c r="A205" t="s">
        <v>200</v>
      </c>
      <c r="B205" s="59" t="n">
        <v>2046</v>
      </c>
      <c r="C205" t="s">
        <v>200</v>
      </c>
      <c r="D205" t="s">
        <v>190</v>
      </c>
      <c r="E205" s="60" t="s">
        <v>278</v>
      </c>
      <c r="F205" s="61" t="s">
        <v>279</v>
      </c>
      <c r="G205" s="62" t="s">
        <v>201</v>
      </c>
      <c r="H205" s="63" t="s">
        <v>195</v>
      </c>
      <c r="I205" s="64" t="s">
        <v>267</v>
      </c>
      <c r="J205" s="65" t="str">
        <f>IFERROR(INDEX('Cost_Components'!$K$2:$K$27,MATCH(E205,'Cost_Components'!$A$2:$A$27,0)),"")</f>
      </c>
      <c r="K205" s="66" t="str">
        <f>IF(OR(L205="",Z205="",AA205="",AB205=""),"",IF(B205&lt;AA205,L205,IF(B205&gt;AB205,Z205,L205+(Z205-L205)*MIN(MAX((B205-AA205+1)/MAX(AB205-AA205+1,1),0),1))))</f>
      </c>
      <c r="L205" s="67" t="str">
        <f>IFERROR(INDEX('Cost_Components'!$S$2:$S$27,MATCH(E205,'Cost_Components'!$A$2:$A$27,0)),"")</f>
      </c>
      <c r="M205" s="68" t="str">
        <f>IFERROR(INDEX('Cost_Components'!$L$2:$L$27,MATCH(E205,'Cost_Components'!$A$2:$A$27,0)),"")</f>
      </c>
      <c r="N205" s="69" t="str">
        <f>IFERROR(INDEX('Cost_Components'!$P$2:$P$27,MATCH(E205,'Cost_Components'!$A$2:$A$27,0)),"")</f>
      </c>
      <c r="O205" s="70" t="str">
        <f>AF205*J205</f>
      </c>
      <c r="P205" s="71" t="str">
        <f>AG205*J205</f>
      </c>
      <c r="Q205" s="72" t="str">
        <f>P205*L205*M205*N205</f>
      </c>
      <c r="R205" s="73" t="str">
        <f>O205*K205*M205*N205</f>
      </c>
      <c r="S205" s="74" t="str">
        <f>R205-Q205</f>
      </c>
      <c r="T205" s="20" t="str">
        <f>IFERROR(INDEX('Cost_Components'!$R$2:$R$27,MATCH(E205,'Cost_Components'!$A$2:$A$27,0)),"")</f>
      </c>
      <c r="U205" s="75" t="str">
        <f>IFERROR(INDEX('Cost_Components'!$Q$2:$Q$27,MATCH(E205,'Cost_Components'!$A$2:$A$27,0)),"")</f>
      </c>
      <c r="V205" s="76" t="str">
        <f>1/(1+'Calculation_Assumptions'!$B$5)^(B205-'Calculation_Assumptions'!$B$2)</f>
      </c>
      <c r="W205" s="77" t="str">
        <f>Q205*V205</f>
      </c>
      <c r="X205" s="78" t="str">
        <f>R205*V205</f>
      </c>
      <c r="Y205" s="79" t="str">
        <f>S205*V205</f>
      </c>
      <c r="Z205" s="80" t="str">
        <f>IFERROR(INDEX('Cost_Components'!$T$2:$T$27,MATCH(E205,'Cost_Components'!$A$2:$A$27,0)),"")</f>
      </c>
      <c r="AA205" s="81" t="str">
        <f>IFERROR(INDEX('Cost_Components'!$U$2:$U$27,MATCH(E205,'Cost_Components'!$A$2:$A$27,0)),"")</f>
      </c>
      <c r="AB205" s="82" t="str">
        <f>IFERROR(INDEX('Cost_Components'!$V$2:$V$27,MATCH(E205,'Cost_Components'!$A$2:$A$27,0)),"")</f>
      </c>
      <c r="AC205" s="83" t="str">
        <f>IFERROR(INDEX('Cost_Components'!$M$2:$M$27,MATCH(E205,'Cost_Components'!$A$2:$A$27,0)),"")</f>
      </c>
      <c r="AD205" s="84" t="str">
        <f>IFERROR(INDEX('Cost_Components'!$N$2:$N$27,MATCH(E205,'Cost_Components'!$A$2:$A$27,0)),"")</f>
      </c>
      <c r="AE205" s="20" t="str">
        <f>IFERROR(INDEX('Cost_Components'!$O$2:$O$27,MATCH(E205,'Cost_Components'!$A$2:$A$27,0)),"")</f>
      </c>
      <c r="AF205" s="85" t="n">
        <v>124793.172281909</v>
      </c>
      <c r="AG205" s="86" t="n">
        <v>116526.846002341</v>
      </c>
      <c r="AH205" s="87" t="str">
        <f>IF(H205="shared-count-once",COUNTIFS($A$2:$A$1353,A205,$B$2:$B$1353,B205,$E$2:$E$1353,E205),1)</f>
      </c>
    </row>
    <row r="206">
      <c r="A206" t="s">
        <v>200</v>
      </c>
      <c r="B206" s="59" t="n">
        <v>2047</v>
      </c>
      <c r="C206" t="s">
        <v>200</v>
      </c>
      <c r="D206" t="s">
        <v>190</v>
      </c>
      <c r="E206" s="60" t="s">
        <v>278</v>
      </c>
      <c r="F206" s="61" t="s">
        <v>279</v>
      </c>
      <c r="G206" s="62" t="s">
        <v>201</v>
      </c>
      <c r="H206" s="63" t="s">
        <v>195</v>
      </c>
      <c r="I206" s="64" t="s">
        <v>267</v>
      </c>
      <c r="J206" s="65" t="str">
        <f>IFERROR(INDEX('Cost_Components'!$K$2:$K$27,MATCH(E206,'Cost_Components'!$A$2:$A$27,0)),"")</f>
      </c>
      <c r="K206" s="66" t="str">
        <f>IF(OR(L206="",Z206="",AA206="",AB206=""),"",IF(B206&lt;AA206,L206,IF(B206&gt;AB206,Z206,L206+(Z206-L206)*MIN(MAX((B206-AA206+1)/MAX(AB206-AA206+1,1),0),1))))</f>
      </c>
      <c r="L206" s="67" t="str">
        <f>IFERROR(INDEX('Cost_Components'!$S$2:$S$27,MATCH(E206,'Cost_Components'!$A$2:$A$27,0)),"")</f>
      </c>
      <c r="M206" s="68" t="str">
        <f>IFERROR(INDEX('Cost_Components'!$L$2:$L$27,MATCH(E206,'Cost_Components'!$A$2:$A$27,0)),"")</f>
      </c>
      <c r="N206" s="69" t="str">
        <f>IFERROR(INDEX('Cost_Components'!$P$2:$P$27,MATCH(E206,'Cost_Components'!$A$2:$A$27,0)),"")</f>
      </c>
      <c r="O206" s="70" t="str">
        <f>AF206*J206</f>
      </c>
      <c r="P206" s="71" t="str">
        <f>AG206*J206</f>
      </c>
      <c r="Q206" s="72" t="str">
        <f>P206*L206*M206*N206</f>
      </c>
      <c r="R206" s="73" t="str">
        <f>O206*K206*M206*N206</f>
      </c>
      <c r="S206" s="74" t="str">
        <f>R206-Q206</f>
      </c>
      <c r="T206" s="20" t="str">
        <f>IFERROR(INDEX('Cost_Components'!$R$2:$R$27,MATCH(E206,'Cost_Components'!$A$2:$A$27,0)),"")</f>
      </c>
      <c r="U206" s="75" t="str">
        <f>IFERROR(INDEX('Cost_Components'!$Q$2:$Q$27,MATCH(E206,'Cost_Components'!$A$2:$A$27,0)),"")</f>
      </c>
      <c r="V206" s="76" t="str">
        <f>1/(1+'Calculation_Assumptions'!$B$5)^(B206-'Calculation_Assumptions'!$B$2)</f>
      </c>
      <c r="W206" s="77" t="str">
        <f>Q206*V206</f>
      </c>
      <c r="X206" s="78" t="str">
        <f>R206*V206</f>
      </c>
      <c r="Y206" s="79" t="str">
        <f>S206*V206</f>
      </c>
      <c r="Z206" s="80" t="str">
        <f>IFERROR(INDEX('Cost_Components'!$T$2:$T$27,MATCH(E206,'Cost_Components'!$A$2:$A$27,0)),"")</f>
      </c>
      <c r="AA206" s="81" t="str">
        <f>IFERROR(INDEX('Cost_Components'!$U$2:$U$27,MATCH(E206,'Cost_Components'!$A$2:$A$27,0)),"")</f>
      </c>
      <c r="AB206" s="82" t="str">
        <f>IFERROR(INDEX('Cost_Components'!$V$2:$V$27,MATCH(E206,'Cost_Components'!$A$2:$A$27,0)),"")</f>
      </c>
      <c r="AC206" s="83" t="str">
        <f>IFERROR(INDEX('Cost_Components'!$M$2:$M$27,MATCH(E206,'Cost_Components'!$A$2:$A$27,0)),"")</f>
      </c>
      <c r="AD206" s="84" t="str">
        <f>IFERROR(INDEX('Cost_Components'!$N$2:$N$27,MATCH(E206,'Cost_Components'!$A$2:$A$27,0)),"")</f>
      </c>
      <c r="AE206" s="20" t="str">
        <f>IFERROR(INDEX('Cost_Components'!$O$2:$O$27,MATCH(E206,'Cost_Components'!$A$2:$A$27,0)),"")</f>
      </c>
      <c r="AF206" s="85" t="n">
        <v>127887.081083015</v>
      </c>
      <c r="AG206" s="86" t="n">
        <v>118996.23941396</v>
      </c>
      <c r="AH206" s="87" t="str">
        <f>IF(H206="shared-count-once",COUNTIFS($A$2:$A$1353,A206,$B$2:$B$1353,B206,$E$2:$E$1353,E206),1)</f>
      </c>
    </row>
    <row r="207">
      <c r="A207" t="s">
        <v>200</v>
      </c>
      <c r="B207" s="59" t="n">
        <v>2048</v>
      </c>
      <c r="C207" t="s">
        <v>200</v>
      </c>
      <c r="D207" t="s">
        <v>190</v>
      </c>
      <c r="E207" s="60" t="s">
        <v>278</v>
      </c>
      <c r="F207" s="61" t="s">
        <v>279</v>
      </c>
      <c r="G207" s="62" t="s">
        <v>201</v>
      </c>
      <c r="H207" s="63" t="s">
        <v>195</v>
      </c>
      <c r="I207" s="64" t="s">
        <v>267</v>
      </c>
      <c r="J207" s="65" t="str">
        <f>IFERROR(INDEX('Cost_Components'!$K$2:$K$27,MATCH(E207,'Cost_Components'!$A$2:$A$27,0)),"")</f>
      </c>
      <c r="K207" s="66" t="str">
        <f>IF(OR(L207="",Z207="",AA207="",AB207=""),"",IF(B207&lt;AA207,L207,IF(B207&gt;AB207,Z207,L207+(Z207-L207)*MIN(MAX((B207-AA207+1)/MAX(AB207-AA207+1,1),0),1))))</f>
      </c>
      <c r="L207" s="67" t="str">
        <f>IFERROR(INDEX('Cost_Components'!$S$2:$S$27,MATCH(E207,'Cost_Components'!$A$2:$A$27,0)),"")</f>
      </c>
      <c r="M207" s="68" t="str">
        <f>IFERROR(INDEX('Cost_Components'!$L$2:$L$27,MATCH(E207,'Cost_Components'!$A$2:$A$27,0)),"")</f>
      </c>
      <c r="N207" s="69" t="str">
        <f>IFERROR(INDEX('Cost_Components'!$P$2:$P$27,MATCH(E207,'Cost_Components'!$A$2:$A$27,0)),"")</f>
      </c>
      <c r="O207" s="70" t="str">
        <f>AF207*J207</f>
      </c>
      <c r="P207" s="71" t="str">
        <f>AG207*J207</f>
      </c>
      <c r="Q207" s="72" t="str">
        <f>P207*L207*M207*N207</f>
      </c>
      <c r="R207" s="73" t="str">
        <f>O207*K207*M207*N207</f>
      </c>
      <c r="S207" s="74" t="str">
        <f>R207-Q207</f>
      </c>
      <c r="T207" s="20" t="str">
        <f>IFERROR(INDEX('Cost_Components'!$R$2:$R$27,MATCH(E207,'Cost_Components'!$A$2:$A$27,0)),"")</f>
      </c>
      <c r="U207" s="75" t="str">
        <f>IFERROR(INDEX('Cost_Components'!$Q$2:$Q$27,MATCH(E207,'Cost_Components'!$A$2:$A$27,0)),"")</f>
      </c>
      <c r="V207" s="76" t="str">
        <f>1/(1+'Calculation_Assumptions'!$B$5)^(B207-'Calculation_Assumptions'!$B$2)</f>
      </c>
      <c r="W207" s="77" t="str">
        <f>Q207*V207</f>
      </c>
      <c r="X207" s="78" t="str">
        <f>R207*V207</f>
      </c>
      <c r="Y207" s="79" t="str">
        <f>S207*V207</f>
      </c>
      <c r="Z207" s="80" t="str">
        <f>IFERROR(INDEX('Cost_Components'!$T$2:$T$27,MATCH(E207,'Cost_Components'!$A$2:$A$27,0)),"")</f>
      </c>
      <c r="AA207" s="81" t="str">
        <f>IFERROR(INDEX('Cost_Components'!$U$2:$U$27,MATCH(E207,'Cost_Components'!$A$2:$A$27,0)),"")</f>
      </c>
      <c r="AB207" s="82" t="str">
        <f>IFERROR(INDEX('Cost_Components'!$V$2:$V$27,MATCH(E207,'Cost_Components'!$A$2:$A$27,0)),"")</f>
      </c>
      <c r="AC207" s="83" t="str">
        <f>IFERROR(INDEX('Cost_Components'!$M$2:$M$27,MATCH(E207,'Cost_Components'!$A$2:$A$27,0)),"")</f>
      </c>
      <c r="AD207" s="84" t="str">
        <f>IFERROR(INDEX('Cost_Components'!$N$2:$N$27,MATCH(E207,'Cost_Components'!$A$2:$A$27,0)),"")</f>
      </c>
      <c r="AE207" s="20" t="str">
        <f>IFERROR(INDEX('Cost_Components'!$O$2:$O$27,MATCH(E207,'Cost_Components'!$A$2:$A$27,0)),"")</f>
      </c>
      <c r="AF207" s="85" t="n">
        <v>131012.530996211</v>
      </c>
      <c r="AG207" s="86" t="n">
        <v>121484.742904679</v>
      </c>
      <c r="AH207" s="87" t="str">
        <f>IF(H207="shared-count-once",COUNTIFS($A$2:$A$1353,A207,$B$2:$B$1353,B207,$E$2:$E$1353,E207),1)</f>
      </c>
    </row>
    <row r="208">
      <c r="A208" t="s">
        <v>200</v>
      </c>
      <c r="B208" s="59" t="n">
        <v>2049</v>
      </c>
      <c r="C208" t="s">
        <v>200</v>
      </c>
      <c r="D208" t="s">
        <v>190</v>
      </c>
      <c r="E208" s="60" t="s">
        <v>278</v>
      </c>
      <c r="F208" s="61" t="s">
        <v>279</v>
      </c>
      <c r="G208" s="62" t="s">
        <v>201</v>
      </c>
      <c r="H208" s="63" t="s">
        <v>195</v>
      </c>
      <c r="I208" s="64" t="s">
        <v>267</v>
      </c>
      <c r="J208" s="65" t="str">
        <f>IFERROR(INDEX('Cost_Components'!$K$2:$K$27,MATCH(E208,'Cost_Components'!$A$2:$A$27,0)),"")</f>
      </c>
      <c r="K208" s="66" t="str">
        <f>IF(OR(L208="",Z208="",AA208="",AB208=""),"",IF(B208&lt;AA208,L208,IF(B208&gt;AB208,Z208,L208+(Z208-L208)*MIN(MAX((B208-AA208+1)/MAX(AB208-AA208+1,1),0),1))))</f>
      </c>
      <c r="L208" s="67" t="str">
        <f>IFERROR(INDEX('Cost_Components'!$S$2:$S$27,MATCH(E208,'Cost_Components'!$A$2:$A$27,0)),"")</f>
      </c>
      <c r="M208" s="68" t="str">
        <f>IFERROR(INDEX('Cost_Components'!$L$2:$L$27,MATCH(E208,'Cost_Components'!$A$2:$A$27,0)),"")</f>
      </c>
      <c r="N208" s="69" t="str">
        <f>IFERROR(INDEX('Cost_Components'!$P$2:$P$27,MATCH(E208,'Cost_Components'!$A$2:$A$27,0)),"")</f>
      </c>
      <c r="O208" s="70" t="str">
        <f>AF208*J208</f>
      </c>
      <c r="P208" s="71" t="str">
        <f>AG208*J208</f>
      </c>
      <c r="Q208" s="72" t="str">
        <f>P208*L208*M208*N208</f>
      </c>
      <c r="R208" s="73" t="str">
        <f>O208*K208*M208*N208</f>
      </c>
      <c r="S208" s="74" t="str">
        <f>R208-Q208</f>
      </c>
      <c r="T208" s="20" t="str">
        <f>IFERROR(INDEX('Cost_Components'!$R$2:$R$27,MATCH(E208,'Cost_Components'!$A$2:$A$27,0)),"")</f>
      </c>
      <c r="U208" s="75" t="str">
        <f>IFERROR(INDEX('Cost_Components'!$Q$2:$Q$27,MATCH(E208,'Cost_Components'!$A$2:$A$27,0)),"")</f>
      </c>
      <c r="V208" s="76" t="str">
        <f>1/(1+'Calculation_Assumptions'!$B$5)^(B208-'Calculation_Assumptions'!$B$2)</f>
      </c>
      <c r="W208" s="77" t="str">
        <f>Q208*V208</f>
      </c>
      <c r="X208" s="78" t="str">
        <f>R208*V208</f>
      </c>
      <c r="Y208" s="79" t="str">
        <f>S208*V208</f>
      </c>
      <c r="Z208" s="80" t="str">
        <f>IFERROR(INDEX('Cost_Components'!$T$2:$T$27,MATCH(E208,'Cost_Components'!$A$2:$A$27,0)),"")</f>
      </c>
      <c r="AA208" s="81" t="str">
        <f>IFERROR(INDEX('Cost_Components'!$U$2:$U$27,MATCH(E208,'Cost_Components'!$A$2:$A$27,0)),"")</f>
      </c>
      <c r="AB208" s="82" t="str">
        <f>IFERROR(INDEX('Cost_Components'!$V$2:$V$27,MATCH(E208,'Cost_Components'!$A$2:$A$27,0)),"")</f>
      </c>
      <c r="AC208" s="83" t="str">
        <f>IFERROR(INDEX('Cost_Components'!$M$2:$M$27,MATCH(E208,'Cost_Components'!$A$2:$A$27,0)),"")</f>
      </c>
      <c r="AD208" s="84" t="str">
        <f>IFERROR(INDEX('Cost_Components'!$N$2:$N$27,MATCH(E208,'Cost_Components'!$A$2:$A$27,0)),"")</f>
      </c>
      <c r="AE208" s="20" t="str">
        <f>IFERROR(INDEX('Cost_Components'!$O$2:$O$27,MATCH(E208,'Cost_Components'!$A$2:$A$27,0)),"")</f>
      </c>
      <c r="AF208" s="85" t="n">
        <v>134149.88960143</v>
      </c>
      <c r="AG208" s="86" t="n">
        <v>123973.319152679</v>
      </c>
      <c r="AH208" s="87" t="str">
        <f>IF(H208="shared-count-once",COUNTIFS($A$2:$A$1353,A208,$B$2:$B$1353,B208,$E$2:$E$1353,E208),1)</f>
      </c>
    </row>
    <row r="209">
      <c r="A209" t="s">
        <v>200</v>
      </c>
      <c r="B209" s="59" t="n">
        <v>2050</v>
      </c>
      <c r="C209" t="s">
        <v>200</v>
      </c>
      <c r="D209" t="s">
        <v>190</v>
      </c>
      <c r="E209" s="60" t="s">
        <v>278</v>
      </c>
      <c r="F209" s="61" t="s">
        <v>279</v>
      </c>
      <c r="G209" s="62" t="s">
        <v>201</v>
      </c>
      <c r="H209" s="63" t="s">
        <v>195</v>
      </c>
      <c r="I209" s="64" t="s">
        <v>267</v>
      </c>
      <c r="J209" s="65" t="str">
        <f>IFERROR(INDEX('Cost_Components'!$K$2:$K$27,MATCH(E209,'Cost_Components'!$A$2:$A$27,0)),"")</f>
      </c>
      <c r="K209" s="66" t="str">
        <f>IF(OR(L209="",Z209="",AA209="",AB209=""),"",IF(B209&lt;AA209,L209,IF(B209&gt;AB209,Z209,L209+(Z209-L209)*MIN(MAX((B209-AA209+1)/MAX(AB209-AA209+1,1),0),1))))</f>
      </c>
      <c r="L209" s="67" t="str">
        <f>IFERROR(INDEX('Cost_Components'!$S$2:$S$27,MATCH(E209,'Cost_Components'!$A$2:$A$27,0)),"")</f>
      </c>
      <c r="M209" s="68" t="str">
        <f>IFERROR(INDEX('Cost_Components'!$L$2:$L$27,MATCH(E209,'Cost_Components'!$A$2:$A$27,0)),"")</f>
      </c>
      <c r="N209" s="69" t="str">
        <f>IFERROR(INDEX('Cost_Components'!$P$2:$P$27,MATCH(E209,'Cost_Components'!$A$2:$A$27,0)),"")</f>
      </c>
      <c r="O209" s="70" t="str">
        <f>AF209*J209</f>
      </c>
      <c r="P209" s="71" t="str">
        <f>AG209*J209</f>
      </c>
      <c r="Q209" s="72" t="str">
        <f>P209*L209*M209*N209</f>
      </c>
      <c r="R209" s="73" t="str">
        <f>O209*K209*M209*N209</f>
      </c>
      <c r="S209" s="74" t="str">
        <f>R209-Q209</f>
      </c>
      <c r="T209" s="20" t="str">
        <f>IFERROR(INDEX('Cost_Components'!$R$2:$R$27,MATCH(E209,'Cost_Components'!$A$2:$A$27,0)),"")</f>
      </c>
      <c r="U209" s="75" t="str">
        <f>IFERROR(INDEX('Cost_Components'!$Q$2:$Q$27,MATCH(E209,'Cost_Components'!$A$2:$A$27,0)),"")</f>
      </c>
      <c r="V209" s="76" t="str">
        <f>1/(1+'Calculation_Assumptions'!$B$5)^(B209-'Calculation_Assumptions'!$B$2)</f>
      </c>
      <c r="W209" s="77" t="str">
        <f>Q209*V209</f>
      </c>
      <c r="X209" s="78" t="str">
        <f>R209*V209</f>
      </c>
      <c r="Y209" s="79" t="str">
        <f>S209*V209</f>
      </c>
      <c r="Z209" s="80" t="str">
        <f>IFERROR(INDEX('Cost_Components'!$T$2:$T$27,MATCH(E209,'Cost_Components'!$A$2:$A$27,0)),"")</f>
      </c>
      <c r="AA209" s="81" t="str">
        <f>IFERROR(INDEX('Cost_Components'!$U$2:$U$27,MATCH(E209,'Cost_Components'!$A$2:$A$27,0)),"")</f>
      </c>
      <c r="AB209" s="82" t="str">
        <f>IFERROR(INDEX('Cost_Components'!$V$2:$V$27,MATCH(E209,'Cost_Components'!$A$2:$A$27,0)),"")</f>
      </c>
      <c r="AC209" s="83" t="str">
        <f>IFERROR(INDEX('Cost_Components'!$M$2:$M$27,MATCH(E209,'Cost_Components'!$A$2:$A$27,0)),"")</f>
      </c>
      <c r="AD209" s="84" t="str">
        <f>IFERROR(INDEX('Cost_Components'!$N$2:$N$27,MATCH(E209,'Cost_Components'!$A$2:$A$27,0)),"")</f>
      </c>
      <c r="AE209" s="20" t="str">
        <f>IFERROR(INDEX('Cost_Components'!$O$2:$O$27,MATCH(E209,'Cost_Components'!$A$2:$A$27,0)),"")</f>
      </c>
      <c r="AF209" s="85" t="n">
        <v>137296.05020091</v>
      </c>
      <c r="AG209" s="86" t="n">
        <v>126459.62395605</v>
      </c>
      <c r="AH209" s="87" t="str">
        <f>IF(H209="shared-count-once",COUNTIFS($A$2:$A$1353,A209,$B$2:$B$1353,B209,$E$2:$E$1353,E209),1)</f>
      </c>
    </row>
    <row r="210">
      <c r="A210" t="s">
        <v>200</v>
      </c>
      <c r="B210" s="59" t="n">
        <v>2025</v>
      </c>
      <c r="C210" t="s">
        <v>200</v>
      </c>
      <c r="D210" t="s">
        <v>166</v>
      </c>
      <c r="E210" s="60" t="s">
        <v>281</v>
      </c>
      <c r="F210" s="61" t="s">
        <v>282</v>
      </c>
      <c r="G210" s="62" t="s">
        <v>203</v>
      </c>
      <c r="H210" s="63" t="s">
        <v>195</v>
      </c>
      <c r="I210" s="64" t="s">
        <v>267</v>
      </c>
      <c r="J210" s="65" t="str">
        <f>IFERROR(INDEX('Cost_Components'!$K$2:$K$27,MATCH(E210,'Cost_Components'!$A$2:$A$27,0)),"")</f>
      </c>
      <c r="K210" s="66" t="str">
        <f>IF(OR(L210="",Z210="",AA210="",AB210=""),"",IF(B210&lt;AA210,L210,IF(B210&gt;AB210,Z210,L210+(Z210-L210)*MIN(MAX((B210-AA210+1)/MAX(AB210-AA210+1,1),0),1))))</f>
      </c>
      <c r="L210" s="67" t="str">
        <f>IFERROR(INDEX('Cost_Components'!$S$2:$S$27,MATCH(E210,'Cost_Components'!$A$2:$A$27,0)),"")</f>
      </c>
      <c r="M210" s="68" t="str">
        <f>IFERROR(INDEX('Cost_Components'!$L$2:$L$27,MATCH(E210,'Cost_Components'!$A$2:$A$27,0)),"")</f>
      </c>
      <c r="N210" s="69" t="str">
        <f>IFERROR(INDEX('Cost_Components'!$P$2:$P$27,MATCH(E210,'Cost_Components'!$A$2:$A$27,0)),"")</f>
      </c>
      <c r="O210" s="70" t="str">
        <f>AF210*J210</f>
      </c>
      <c r="P210" s="71" t="str">
        <f>AG210*J210</f>
      </c>
      <c r="Q210" s="72" t="str">
        <f>P210*L210*M210*N210</f>
      </c>
      <c r="R210" s="73" t="str">
        <f>O210*K210*M210*N210</f>
      </c>
      <c r="S210" s="74" t="str">
        <f>R210-Q210</f>
      </c>
      <c r="T210" s="20" t="str">
        <f>IFERROR(INDEX('Cost_Components'!$R$2:$R$27,MATCH(E210,'Cost_Components'!$A$2:$A$27,0)),"")</f>
      </c>
      <c r="U210" s="75" t="str">
        <f>IFERROR(INDEX('Cost_Components'!$Q$2:$Q$27,MATCH(E210,'Cost_Components'!$A$2:$A$27,0)),"")</f>
      </c>
      <c r="V210" s="76" t="str">
        <f>1/(1+'Calculation_Assumptions'!$B$5)^(B210-'Calculation_Assumptions'!$B$2)</f>
      </c>
      <c r="W210" s="77" t="str">
        <f>Q210*V210</f>
      </c>
      <c r="X210" s="78" t="str">
        <f>R210*V210</f>
      </c>
      <c r="Y210" s="79" t="str">
        <f>S210*V210</f>
      </c>
      <c r="Z210" s="80" t="str">
        <f>IFERROR(INDEX('Cost_Components'!$T$2:$T$27,MATCH(E210,'Cost_Components'!$A$2:$A$27,0)),"")</f>
      </c>
      <c r="AA210" s="81" t="str">
        <f>IFERROR(INDEX('Cost_Components'!$U$2:$U$27,MATCH(E210,'Cost_Components'!$A$2:$A$27,0)),"")</f>
      </c>
      <c r="AB210" s="82" t="str">
        <f>IFERROR(INDEX('Cost_Components'!$V$2:$V$27,MATCH(E210,'Cost_Components'!$A$2:$A$27,0)),"")</f>
      </c>
      <c r="AC210" s="83" t="str">
        <f>IFERROR(INDEX('Cost_Components'!$M$2:$M$27,MATCH(E210,'Cost_Components'!$A$2:$A$27,0)),"")</f>
      </c>
      <c r="AD210" s="84" t="str">
        <f>IFERROR(INDEX('Cost_Components'!$N$2:$N$27,MATCH(E210,'Cost_Components'!$A$2:$A$27,0)),"")</f>
      </c>
      <c r="AE210" s="20" t="str">
        <f>IFERROR(INDEX('Cost_Components'!$O$2:$O$27,MATCH(E210,'Cost_Components'!$A$2:$A$27,0)),"")</f>
      </c>
      <c r="AF210" s="85" t="n">
        <v>448716.479983467</v>
      </c>
      <c r="AG210" s="86" t="n">
        <v>448478.89837514</v>
      </c>
      <c r="AH210" s="87" t="str">
        <f>IF(H210="shared-count-once",COUNTIFS($A$2:$A$1353,A210,$B$2:$B$1353,B210,$E$2:$E$1353,E210),1)</f>
      </c>
    </row>
    <row r="211">
      <c r="A211" t="s">
        <v>200</v>
      </c>
      <c r="B211" s="59" t="n">
        <v>2026</v>
      </c>
      <c r="C211" t="s">
        <v>200</v>
      </c>
      <c r="D211" t="s">
        <v>166</v>
      </c>
      <c r="E211" s="60" t="s">
        <v>281</v>
      </c>
      <c r="F211" s="61" t="s">
        <v>282</v>
      </c>
      <c r="G211" s="62" t="s">
        <v>203</v>
      </c>
      <c r="H211" s="63" t="s">
        <v>195</v>
      </c>
      <c r="I211" s="64" t="s">
        <v>267</v>
      </c>
      <c r="J211" s="65" t="str">
        <f>IFERROR(INDEX('Cost_Components'!$K$2:$K$27,MATCH(E211,'Cost_Components'!$A$2:$A$27,0)),"")</f>
      </c>
      <c r="K211" s="66" t="str">
        <f>IF(OR(L211="",Z211="",AA211="",AB211=""),"",IF(B211&lt;AA211,L211,IF(B211&gt;AB211,Z211,L211+(Z211-L211)*MIN(MAX((B211-AA211+1)/MAX(AB211-AA211+1,1),0),1))))</f>
      </c>
      <c r="L211" s="67" t="str">
        <f>IFERROR(INDEX('Cost_Components'!$S$2:$S$27,MATCH(E211,'Cost_Components'!$A$2:$A$27,0)),"")</f>
      </c>
      <c r="M211" s="68" t="str">
        <f>IFERROR(INDEX('Cost_Components'!$L$2:$L$27,MATCH(E211,'Cost_Components'!$A$2:$A$27,0)),"")</f>
      </c>
      <c r="N211" s="69" t="str">
        <f>IFERROR(INDEX('Cost_Components'!$P$2:$P$27,MATCH(E211,'Cost_Components'!$A$2:$A$27,0)),"")</f>
      </c>
      <c r="O211" s="70" t="str">
        <f>AF211*J211</f>
      </c>
      <c r="P211" s="71" t="str">
        <f>AG211*J211</f>
      </c>
      <c r="Q211" s="72" t="str">
        <f>P211*L211*M211*N211</f>
      </c>
      <c r="R211" s="73" t="str">
        <f>O211*K211*M211*N211</f>
      </c>
      <c r="S211" s="74" t="str">
        <f>R211-Q211</f>
      </c>
      <c r="T211" s="20" t="str">
        <f>IFERROR(INDEX('Cost_Components'!$R$2:$R$27,MATCH(E211,'Cost_Components'!$A$2:$A$27,0)),"")</f>
      </c>
      <c r="U211" s="75" t="str">
        <f>IFERROR(INDEX('Cost_Components'!$Q$2:$Q$27,MATCH(E211,'Cost_Components'!$A$2:$A$27,0)),"")</f>
      </c>
      <c r="V211" s="76" t="str">
        <f>1/(1+'Calculation_Assumptions'!$B$5)^(B211-'Calculation_Assumptions'!$B$2)</f>
      </c>
      <c r="W211" s="77" t="str">
        <f>Q211*V211</f>
      </c>
      <c r="X211" s="78" t="str">
        <f>R211*V211</f>
      </c>
      <c r="Y211" s="79" t="str">
        <f>S211*V211</f>
      </c>
      <c r="Z211" s="80" t="str">
        <f>IFERROR(INDEX('Cost_Components'!$T$2:$T$27,MATCH(E211,'Cost_Components'!$A$2:$A$27,0)),"")</f>
      </c>
      <c r="AA211" s="81" t="str">
        <f>IFERROR(INDEX('Cost_Components'!$U$2:$U$27,MATCH(E211,'Cost_Components'!$A$2:$A$27,0)),"")</f>
      </c>
      <c r="AB211" s="82" t="str">
        <f>IFERROR(INDEX('Cost_Components'!$V$2:$V$27,MATCH(E211,'Cost_Components'!$A$2:$A$27,0)),"")</f>
      </c>
      <c r="AC211" s="83" t="str">
        <f>IFERROR(INDEX('Cost_Components'!$M$2:$M$27,MATCH(E211,'Cost_Components'!$A$2:$A$27,0)),"")</f>
      </c>
      <c r="AD211" s="84" t="str">
        <f>IFERROR(INDEX('Cost_Components'!$N$2:$N$27,MATCH(E211,'Cost_Components'!$A$2:$A$27,0)),"")</f>
      </c>
      <c r="AE211" s="20" t="str">
        <f>IFERROR(INDEX('Cost_Components'!$O$2:$O$27,MATCH(E211,'Cost_Components'!$A$2:$A$27,0)),"")</f>
      </c>
      <c r="AF211" s="85" t="n">
        <v>467461.927682412</v>
      </c>
      <c r="AG211" s="86" t="n">
        <v>466784.814466804</v>
      </c>
      <c r="AH211" s="87" t="str">
        <f>IF(H211="shared-count-once",COUNTIFS($A$2:$A$1353,A211,$B$2:$B$1353,B211,$E$2:$E$1353,E211),1)</f>
      </c>
    </row>
    <row r="212">
      <c r="A212" t="s">
        <v>200</v>
      </c>
      <c r="B212" s="59" t="n">
        <v>2027</v>
      </c>
      <c r="C212" t="s">
        <v>200</v>
      </c>
      <c r="D212" t="s">
        <v>166</v>
      </c>
      <c r="E212" s="60" t="s">
        <v>281</v>
      </c>
      <c r="F212" s="61" t="s">
        <v>282</v>
      </c>
      <c r="G212" s="62" t="s">
        <v>203</v>
      </c>
      <c r="H212" s="63" t="s">
        <v>195</v>
      </c>
      <c r="I212" s="64" t="s">
        <v>267</v>
      </c>
      <c r="J212" s="65" t="str">
        <f>IFERROR(INDEX('Cost_Components'!$K$2:$K$27,MATCH(E212,'Cost_Components'!$A$2:$A$27,0)),"")</f>
      </c>
      <c r="K212" s="66" t="str">
        <f>IF(OR(L212="",Z212="",AA212="",AB212=""),"",IF(B212&lt;AA212,L212,IF(B212&gt;AB212,Z212,L212+(Z212-L212)*MIN(MAX((B212-AA212+1)/MAX(AB212-AA212+1,1),0),1))))</f>
      </c>
      <c r="L212" s="67" t="str">
        <f>IFERROR(INDEX('Cost_Components'!$S$2:$S$27,MATCH(E212,'Cost_Components'!$A$2:$A$27,0)),"")</f>
      </c>
      <c r="M212" s="68" t="str">
        <f>IFERROR(INDEX('Cost_Components'!$L$2:$L$27,MATCH(E212,'Cost_Components'!$A$2:$A$27,0)),"")</f>
      </c>
      <c r="N212" s="69" t="str">
        <f>IFERROR(INDEX('Cost_Components'!$P$2:$P$27,MATCH(E212,'Cost_Components'!$A$2:$A$27,0)),"")</f>
      </c>
      <c r="O212" s="70" t="str">
        <f>AF212*J212</f>
      </c>
      <c r="P212" s="71" t="str">
        <f>AG212*J212</f>
      </c>
      <c r="Q212" s="72" t="str">
        <f>P212*L212*M212*N212</f>
      </c>
      <c r="R212" s="73" t="str">
        <f>O212*K212*M212*N212</f>
      </c>
      <c r="S212" s="74" t="str">
        <f>R212-Q212</f>
      </c>
      <c r="T212" s="20" t="str">
        <f>IFERROR(INDEX('Cost_Components'!$R$2:$R$27,MATCH(E212,'Cost_Components'!$A$2:$A$27,0)),"")</f>
      </c>
      <c r="U212" s="75" t="str">
        <f>IFERROR(INDEX('Cost_Components'!$Q$2:$Q$27,MATCH(E212,'Cost_Components'!$A$2:$A$27,0)),"")</f>
      </c>
      <c r="V212" s="76" t="str">
        <f>1/(1+'Calculation_Assumptions'!$B$5)^(B212-'Calculation_Assumptions'!$B$2)</f>
      </c>
      <c r="W212" s="77" t="str">
        <f>Q212*V212</f>
      </c>
      <c r="X212" s="78" t="str">
        <f>R212*V212</f>
      </c>
      <c r="Y212" s="79" t="str">
        <f>S212*V212</f>
      </c>
      <c r="Z212" s="80" t="str">
        <f>IFERROR(INDEX('Cost_Components'!$T$2:$T$27,MATCH(E212,'Cost_Components'!$A$2:$A$27,0)),"")</f>
      </c>
      <c r="AA212" s="81" t="str">
        <f>IFERROR(INDEX('Cost_Components'!$U$2:$U$27,MATCH(E212,'Cost_Components'!$A$2:$A$27,0)),"")</f>
      </c>
      <c r="AB212" s="82" t="str">
        <f>IFERROR(INDEX('Cost_Components'!$V$2:$V$27,MATCH(E212,'Cost_Components'!$A$2:$A$27,0)),"")</f>
      </c>
      <c r="AC212" s="83" t="str">
        <f>IFERROR(INDEX('Cost_Components'!$M$2:$M$27,MATCH(E212,'Cost_Components'!$A$2:$A$27,0)),"")</f>
      </c>
      <c r="AD212" s="84" t="str">
        <f>IFERROR(INDEX('Cost_Components'!$N$2:$N$27,MATCH(E212,'Cost_Components'!$A$2:$A$27,0)),"")</f>
      </c>
      <c r="AE212" s="20" t="str">
        <f>IFERROR(INDEX('Cost_Components'!$O$2:$O$27,MATCH(E212,'Cost_Components'!$A$2:$A$27,0)),"")</f>
      </c>
      <c r="AF212" s="85" t="n">
        <v>482907.636944933</v>
      </c>
      <c r="AG212" s="86" t="n">
        <v>481614.310299758</v>
      </c>
      <c r="AH212" s="87" t="str">
        <f>IF(H212="shared-count-once",COUNTIFS($A$2:$A$1353,A212,$B$2:$B$1353,B212,$E$2:$E$1353,E212),1)</f>
      </c>
    </row>
    <row r="213">
      <c r="A213" t="s">
        <v>200</v>
      </c>
      <c r="B213" s="59" t="n">
        <v>2028</v>
      </c>
      <c r="C213" t="s">
        <v>200</v>
      </c>
      <c r="D213" t="s">
        <v>166</v>
      </c>
      <c r="E213" s="60" t="s">
        <v>281</v>
      </c>
      <c r="F213" s="61" t="s">
        <v>282</v>
      </c>
      <c r="G213" s="62" t="s">
        <v>203</v>
      </c>
      <c r="H213" s="63" t="s">
        <v>195</v>
      </c>
      <c r="I213" s="64" t="s">
        <v>267</v>
      </c>
      <c r="J213" s="65" t="str">
        <f>IFERROR(INDEX('Cost_Components'!$K$2:$K$27,MATCH(E213,'Cost_Components'!$A$2:$A$27,0)),"")</f>
      </c>
      <c r="K213" s="66" t="str">
        <f>IF(OR(L213="",Z213="",AA213="",AB213=""),"",IF(B213&lt;AA213,L213,IF(B213&gt;AB213,Z213,L213+(Z213-L213)*MIN(MAX((B213-AA213+1)/MAX(AB213-AA213+1,1),0),1))))</f>
      </c>
      <c r="L213" s="67" t="str">
        <f>IFERROR(INDEX('Cost_Components'!$S$2:$S$27,MATCH(E213,'Cost_Components'!$A$2:$A$27,0)),"")</f>
      </c>
      <c r="M213" s="68" t="str">
        <f>IFERROR(INDEX('Cost_Components'!$L$2:$L$27,MATCH(E213,'Cost_Components'!$A$2:$A$27,0)),"")</f>
      </c>
      <c r="N213" s="69" t="str">
        <f>IFERROR(INDEX('Cost_Components'!$P$2:$P$27,MATCH(E213,'Cost_Components'!$A$2:$A$27,0)),"")</f>
      </c>
      <c r="O213" s="70" t="str">
        <f>AF213*J213</f>
      </c>
      <c r="P213" s="71" t="str">
        <f>AG213*J213</f>
      </c>
      <c r="Q213" s="72" t="str">
        <f>P213*L213*M213*N213</f>
      </c>
      <c r="R213" s="73" t="str">
        <f>O213*K213*M213*N213</f>
      </c>
      <c r="S213" s="74" t="str">
        <f>R213-Q213</f>
      </c>
      <c r="T213" s="20" t="str">
        <f>IFERROR(INDEX('Cost_Components'!$R$2:$R$27,MATCH(E213,'Cost_Components'!$A$2:$A$27,0)),"")</f>
      </c>
      <c r="U213" s="75" t="str">
        <f>IFERROR(INDEX('Cost_Components'!$Q$2:$Q$27,MATCH(E213,'Cost_Components'!$A$2:$A$27,0)),"")</f>
      </c>
      <c r="V213" s="76" t="str">
        <f>1/(1+'Calculation_Assumptions'!$B$5)^(B213-'Calculation_Assumptions'!$B$2)</f>
      </c>
      <c r="W213" s="77" t="str">
        <f>Q213*V213</f>
      </c>
      <c r="X213" s="78" t="str">
        <f>R213*V213</f>
      </c>
      <c r="Y213" s="79" t="str">
        <f>S213*V213</f>
      </c>
      <c r="Z213" s="80" t="str">
        <f>IFERROR(INDEX('Cost_Components'!$T$2:$T$27,MATCH(E213,'Cost_Components'!$A$2:$A$27,0)),"")</f>
      </c>
      <c r="AA213" s="81" t="str">
        <f>IFERROR(INDEX('Cost_Components'!$U$2:$U$27,MATCH(E213,'Cost_Components'!$A$2:$A$27,0)),"")</f>
      </c>
      <c r="AB213" s="82" t="str">
        <f>IFERROR(INDEX('Cost_Components'!$V$2:$V$27,MATCH(E213,'Cost_Components'!$A$2:$A$27,0)),"")</f>
      </c>
      <c r="AC213" s="83" t="str">
        <f>IFERROR(INDEX('Cost_Components'!$M$2:$M$27,MATCH(E213,'Cost_Components'!$A$2:$A$27,0)),"")</f>
      </c>
      <c r="AD213" s="84" t="str">
        <f>IFERROR(INDEX('Cost_Components'!$N$2:$N$27,MATCH(E213,'Cost_Components'!$A$2:$A$27,0)),"")</f>
      </c>
      <c r="AE213" s="20" t="str">
        <f>IFERROR(INDEX('Cost_Components'!$O$2:$O$27,MATCH(E213,'Cost_Components'!$A$2:$A$27,0)),"")</f>
      </c>
      <c r="AF213" s="85" t="n">
        <v>496412.218888145</v>
      </c>
      <c r="AG213" s="86" t="n">
        <v>494345.788363417</v>
      </c>
      <c r="AH213" s="87" t="str">
        <f>IF(H213="shared-count-once",COUNTIFS($A$2:$A$1353,A213,$B$2:$B$1353,B213,$E$2:$E$1353,E213),1)</f>
      </c>
    </row>
    <row r="214">
      <c r="A214" t="s">
        <v>200</v>
      </c>
      <c r="B214" s="59" t="n">
        <v>2029</v>
      </c>
      <c r="C214" t="s">
        <v>200</v>
      </c>
      <c r="D214" t="s">
        <v>166</v>
      </c>
      <c r="E214" s="60" t="s">
        <v>281</v>
      </c>
      <c r="F214" s="61" t="s">
        <v>282</v>
      </c>
      <c r="G214" s="62" t="s">
        <v>203</v>
      </c>
      <c r="H214" s="63" t="s">
        <v>195</v>
      </c>
      <c r="I214" s="64" t="s">
        <v>267</v>
      </c>
      <c r="J214" s="65" t="str">
        <f>IFERROR(INDEX('Cost_Components'!$K$2:$K$27,MATCH(E214,'Cost_Components'!$A$2:$A$27,0)),"")</f>
      </c>
      <c r="K214" s="66" t="str">
        <f>IF(OR(L214="",Z214="",AA214="",AB214=""),"",IF(B214&lt;AA214,L214,IF(B214&gt;AB214,Z214,L214+(Z214-L214)*MIN(MAX((B214-AA214+1)/MAX(AB214-AA214+1,1),0),1))))</f>
      </c>
      <c r="L214" s="67" t="str">
        <f>IFERROR(INDEX('Cost_Components'!$S$2:$S$27,MATCH(E214,'Cost_Components'!$A$2:$A$27,0)),"")</f>
      </c>
      <c r="M214" s="68" t="str">
        <f>IFERROR(INDEX('Cost_Components'!$L$2:$L$27,MATCH(E214,'Cost_Components'!$A$2:$A$27,0)),"")</f>
      </c>
      <c r="N214" s="69" t="str">
        <f>IFERROR(INDEX('Cost_Components'!$P$2:$P$27,MATCH(E214,'Cost_Components'!$A$2:$A$27,0)),"")</f>
      </c>
      <c r="O214" s="70" t="str">
        <f>AF214*J214</f>
      </c>
      <c r="P214" s="71" t="str">
        <f>AG214*J214</f>
      </c>
      <c r="Q214" s="72" t="str">
        <f>P214*L214*M214*N214</f>
      </c>
      <c r="R214" s="73" t="str">
        <f>O214*K214*M214*N214</f>
      </c>
      <c r="S214" s="74" t="str">
        <f>R214-Q214</f>
      </c>
      <c r="T214" s="20" t="str">
        <f>IFERROR(INDEX('Cost_Components'!$R$2:$R$27,MATCH(E214,'Cost_Components'!$A$2:$A$27,0)),"")</f>
      </c>
      <c r="U214" s="75" t="str">
        <f>IFERROR(INDEX('Cost_Components'!$Q$2:$Q$27,MATCH(E214,'Cost_Components'!$A$2:$A$27,0)),"")</f>
      </c>
      <c r="V214" s="76" t="str">
        <f>1/(1+'Calculation_Assumptions'!$B$5)^(B214-'Calculation_Assumptions'!$B$2)</f>
      </c>
      <c r="W214" s="77" t="str">
        <f>Q214*V214</f>
      </c>
      <c r="X214" s="78" t="str">
        <f>R214*V214</f>
      </c>
      <c r="Y214" s="79" t="str">
        <f>S214*V214</f>
      </c>
      <c r="Z214" s="80" t="str">
        <f>IFERROR(INDEX('Cost_Components'!$T$2:$T$27,MATCH(E214,'Cost_Components'!$A$2:$A$27,0)),"")</f>
      </c>
      <c r="AA214" s="81" t="str">
        <f>IFERROR(INDEX('Cost_Components'!$U$2:$U$27,MATCH(E214,'Cost_Components'!$A$2:$A$27,0)),"")</f>
      </c>
      <c r="AB214" s="82" t="str">
        <f>IFERROR(INDEX('Cost_Components'!$V$2:$V$27,MATCH(E214,'Cost_Components'!$A$2:$A$27,0)),"")</f>
      </c>
      <c r="AC214" s="83" t="str">
        <f>IFERROR(INDEX('Cost_Components'!$M$2:$M$27,MATCH(E214,'Cost_Components'!$A$2:$A$27,0)),"")</f>
      </c>
      <c r="AD214" s="84" t="str">
        <f>IFERROR(INDEX('Cost_Components'!$N$2:$N$27,MATCH(E214,'Cost_Components'!$A$2:$A$27,0)),"")</f>
      </c>
      <c r="AE214" s="20" t="str">
        <f>IFERROR(INDEX('Cost_Components'!$O$2:$O$27,MATCH(E214,'Cost_Components'!$A$2:$A$27,0)),"")</f>
      </c>
      <c r="AF214" s="85" t="n">
        <v>508176.645274569</v>
      </c>
      <c r="AG214" s="86" t="n">
        <v>505191.380474151</v>
      </c>
      <c r="AH214" s="87" t="str">
        <f>IF(H214="shared-count-once",COUNTIFS($A$2:$A$1353,A214,$B$2:$B$1353,B214,$E$2:$E$1353,E214),1)</f>
      </c>
    </row>
    <row r="215">
      <c r="A215" t="s">
        <v>200</v>
      </c>
      <c r="B215" s="59" t="n">
        <v>2030</v>
      </c>
      <c r="C215" t="s">
        <v>200</v>
      </c>
      <c r="D215" t="s">
        <v>166</v>
      </c>
      <c r="E215" s="60" t="s">
        <v>281</v>
      </c>
      <c r="F215" s="61" t="s">
        <v>282</v>
      </c>
      <c r="G215" s="62" t="s">
        <v>203</v>
      </c>
      <c r="H215" s="63" t="s">
        <v>195</v>
      </c>
      <c r="I215" s="64" t="s">
        <v>267</v>
      </c>
      <c r="J215" s="65" t="str">
        <f>IFERROR(INDEX('Cost_Components'!$K$2:$K$27,MATCH(E215,'Cost_Components'!$A$2:$A$27,0)),"")</f>
      </c>
      <c r="K215" s="66" t="str">
        <f>IF(OR(L215="",Z215="",AA215="",AB215=""),"",IF(B215&lt;AA215,L215,IF(B215&gt;AB215,Z215,L215+(Z215-L215)*MIN(MAX((B215-AA215+1)/MAX(AB215-AA215+1,1),0),1))))</f>
      </c>
      <c r="L215" s="67" t="str">
        <f>IFERROR(INDEX('Cost_Components'!$S$2:$S$27,MATCH(E215,'Cost_Components'!$A$2:$A$27,0)),"")</f>
      </c>
      <c r="M215" s="68" t="str">
        <f>IFERROR(INDEX('Cost_Components'!$L$2:$L$27,MATCH(E215,'Cost_Components'!$A$2:$A$27,0)),"")</f>
      </c>
      <c r="N215" s="69" t="str">
        <f>IFERROR(INDEX('Cost_Components'!$P$2:$P$27,MATCH(E215,'Cost_Components'!$A$2:$A$27,0)),"")</f>
      </c>
      <c r="O215" s="70" t="str">
        <f>AF215*J215</f>
      </c>
      <c r="P215" s="71" t="str">
        <f>AG215*J215</f>
      </c>
      <c r="Q215" s="72" t="str">
        <f>P215*L215*M215*N215</f>
      </c>
      <c r="R215" s="73" t="str">
        <f>O215*K215*M215*N215</f>
      </c>
      <c r="S215" s="74" t="str">
        <f>R215-Q215</f>
      </c>
      <c r="T215" s="20" t="str">
        <f>IFERROR(INDEX('Cost_Components'!$R$2:$R$27,MATCH(E215,'Cost_Components'!$A$2:$A$27,0)),"")</f>
      </c>
      <c r="U215" s="75" t="str">
        <f>IFERROR(INDEX('Cost_Components'!$Q$2:$Q$27,MATCH(E215,'Cost_Components'!$A$2:$A$27,0)),"")</f>
      </c>
      <c r="V215" s="76" t="str">
        <f>1/(1+'Calculation_Assumptions'!$B$5)^(B215-'Calculation_Assumptions'!$B$2)</f>
      </c>
      <c r="W215" s="77" t="str">
        <f>Q215*V215</f>
      </c>
      <c r="X215" s="78" t="str">
        <f>R215*V215</f>
      </c>
      <c r="Y215" s="79" t="str">
        <f>S215*V215</f>
      </c>
      <c r="Z215" s="80" t="str">
        <f>IFERROR(INDEX('Cost_Components'!$T$2:$T$27,MATCH(E215,'Cost_Components'!$A$2:$A$27,0)),"")</f>
      </c>
      <c r="AA215" s="81" t="str">
        <f>IFERROR(INDEX('Cost_Components'!$U$2:$U$27,MATCH(E215,'Cost_Components'!$A$2:$A$27,0)),"")</f>
      </c>
      <c r="AB215" s="82" t="str">
        <f>IFERROR(INDEX('Cost_Components'!$V$2:$V$27,MATCH(E215,'Cost_Components'!$A$2:$A$27,0)),"")</f>
      </c>
      <c r="AC215" s="83" t="str">
        <f>IFERROR(INDEX('Cost_Components'!$M$2:$M$27,MATCH(E215,'Cost_Components'!$A$2:$A$27,0)),"")</f>
      </c>
      <c r="AD215" s="84" t="str">
        <f>IFERROR(INDEX('Cost_Components'!$N$2:$N$27,MATCH(E215,'Cost_Components'!$A$2:$A$27,0)),"")</f>
      </c>
      <c r="AE215" s="20" t="str">
        <f>IFERROR(INDEX('Cost_Components'!$O$2:$O$27,MATCH(E215,'Cost_Components'!$A$2:$A$27,0)),"")</f>
      </c>
      <c r="AF215" s="85" t="n">
        <v>520079.239902453</v>
      </c>
      <c r="AG215" s="86" t="n">
        <v>516054.92713886</v>
      </c>
      <c r="AH215" s="87" t="str">
        <f>IF(H215="shared-count-once",COUNTIFS($A$2:$A$1353,A215,$B$2:$B$1353,B215,$E$2:$E$1353,E215),1)</f>
      </c>
    </row>
    <row r="216">
      <c r="A216" t="s">
        <v>200</v>
      </c>
      <c r="B216" s="59" t="n">
        <v>2031</v>
      </c>
      <c r="C216" t="s">
        <v>200</v>
      </c>
      <c r="D216" t="s">
        <v>166</v>
      </c>
      <c r="E216" s="60" t="s">
        <v>281</v>
      </c>
      <c r="F216" s="61" t="s">
        <v>282</v>
      </c>
      <c r="G216" s="62" t="s">
        <v>203</v>
      </c>
      <c r="H216" s="63" t="s">
        <v>195</v>
      </c>
      <c r="I216" s="64" t="s">
        <v>267</v>
      </c>
      <c r="J216" s="65" t="str">
        <f>IFERROR(INDEX('Cost_Components'!$K$2:$K$27,MATCH(E216,'Cost_Components'!$A$2:$A$27,0)),"")</f>
      </c>
      <c r="K216" s="66" t="str">
        <f>IF(OR(L216="",Z216="",AA216="",AB216=""),"",IF(B216&lt;AA216,L216,IF(B216&gt;AB216,Z216,L216+(Z216-L216)*MIN(MAX((B216-AA216+1)/MAX(AB216-AA216+1,1),0),1))))</f>
      </c>
      <c r="L216" s="67" t="str">
        <f>IFERROR(INDEX('Cost_Components'!$S$2:$S$27,MATCH(E216,'Cost_Components'!$A$2:$A$27,0)),"")</f>
      </c>
      <c r="M216" s="68" t="str">
        <f>IFERROR(INDEX('Cost_Components'!$L$2:$L$27,MATCH(E216,'Cost_Components'!$A$2:$A$27,0)),"")</f>
      </c>
      <c r="N216" s="69" t="str">
        <f>IFERROR(INDEX('Cost_Components'!$P$2:$P$27,MATCH(E216,'Cost_Components'!$A$2:$A$27,0)),"")</f>
      </c>
      <c r="O216" s="70" t="str">
        <f>AF216*J216</f>
      </c>
      <c r="P216" s="71" t="str">
        <f>AG216*J216</f>
      </c>
      <c r="Q216" s="72" t="str">
        <f>P216*L216*M216*N216</f>
      </c>
      <c r="R216" s="73" t="str">
        <f>O216*K216*M216*N216</f>
      </c>
      <c r="S216" s="74" t="str">
        <f>R216-Q216</f>
      </c>
      <c r="T216" s="20" t="str">
        <f>IFERROR(INDEX('Cost_Components'!$R$2:$R$27,MATCH(E216,'Cost_Components'!$A$2:$A$27,0)),"")</f>
      </c>
      <c r="U216" s="75" t="str">
        <f>IFERROR(INDEX('Cost_Components'!$Q$2:$Q$27,MATCH(E216,'Cost_Components'!$A$2:$A$27,0)),"")</f>
      </c>
      <c r="V216" s="76" t="str">
        <f>1/(1+'Calculation_Assumptions'!$B$5)^(B216-'Calculation_Assumptions'!$B$2)</f>
      </c>
      <c r="W216" s="77" t="str">
        <f>Q216*V216</f>
      </c>
      <c r="X216" s="78" t="str">
        <f>R216*V216</f>
      </c>
      <c r="Y216" s="79" t="str">
        <f>S216*V216</f>
      </c>
      <c r="Z216" s="80" t="str">
        <f>IFERROR(INDEX('Cost_Components'!$T$2:$T$27,MATCH(E216,'Cost_Components'!$A$2:$A$27,0)),"")</f>
      </c>
      <c r="AA216" s="81" t="str">
        <f>IFERROR(INDEX('Cost_Components'!$U$2:$U$27,MATCH(E216,'Cost_Components'!$A$2:$A$27,0)),"")</f>
      </c>
      <c r="AB216" s="82" t="str">
        <f>IFERROR(INDEX('Cost_Components'!$V$2:$V$27,MATCH(E216,'Cost_Components'!$A$2:$A$27,0)),"")</f>
      </c>
      <c r="AC216" s="83" t="str">
        <f>IFERROR(INDEX('Cost_Components'!$M$2:$M$27,MATCH(E216,'Cost_Components'!$A$2:$A$27,0)),"")</f>
      </c>
      <c r="AD216" s="84" t="str">
        <f>IFERROR(INDEX('Cost_Components'!$N$2:$N$27,MATCH(E216,'Cost_Components'!$A$2:$A$27,0)),"")</f>
      </c>
      <c r="AE216" s="20" t="str">
        <f>IFERROR(INDEX('Cost_Components'!$O$2:$O$27,MATCH(E216,'Cost_Components'!$A$2:$A$27,0)),"")</f>
      </c>
      <c r="AF216" s="85" t="n">
        <v>532432.933729791</v>
      </c>
      <c r="AG216" s="86" t="n">
        <v>527258.82041239</v>
      </c>
      <c r="AH216" s="87" t="str">
        <f>IF(H216="shared-count-once",COUNTIFS($A$2:$A$1353,A216,$B$2:$B$1353,B216,$E$2:$E$1353,E216),1)</f>
      </c>
    </row>
    <row r="217">
      <c r="A217" t="s">
        <v>200</v>
      </c>
      <c r="B217" s="59" t="n">
        <v>2032</v>
      </c>
      <c r="C217" t="s">
        <v>200</v>
      </c>
      <c r="D217" t="s">
        <v>166</v>
      </c>
      <c r="E217" s="60" t="s">
        <v>281</v>
      </c>
      <c r="F217" s="61" t="s">
        <v>282</v>
      </c>
      <c r="G217" s="62" t="s">
        <v>203</v>
      </c>
      <c r="H217" s="63" t="s">
        <v>195</v>
      </c>
      <c r="I217" s="64" t="s">
        <v>267</v>
      </c>
      <c r="J217" s="65" t="str">
        <f>IFERROR(INDEX('Cost_Components'!$K$2:$K$27,MATCH(E217,'Cost_Components'!$A$2:$A$27,0)),"")</f>
      </c>
      <c r="K217" s="66" t="str">
        <f>IF(OR(L217="",Z217="",AA217="",AB217=""),"",IF(B217&lt;AA217,L217,IF(B217&gt;AB217,Z217,L217+(Z217-L217)*MIN(MAX((B217-AA217+1)/MAX(AB217-AA217+1,1),0),1))))</f>
      </c>
      <c r="L217" s="67" t="str">
        <f>IFERROR(INDEX('Cost_Components'!$S$2:$S$27,MATCH(E217,'Cost_Components'!$A$2:$A$27,0)),"")</f>
      </c>
      <c r="M217" s="68" t="str">
        <f>IFERROR(INDEX('Cost_Components'!$L$2:$L$27,MATCH(E217,'Cost_Components'!$A$2:$A$27,0)),"")</f>
      </c>
      <c r="N217" s="69" t="str">
        <f>IFERROR(INDEX('Cost_Components'!$P$2:$P$27,MATCH(E217,'Cost_Components'!$A$2:$A$27,0)),"")</f>
      </c>
      <c r="O217" s="70" t="str">
        <f>AF217*J217</f>
      </c>
      <c r="P217" s="71" t="str">
        <f>AG217*J217</f>
      </c>
      <c r="Q217" s="72" t="str">
        <f>P217*L217*M217*N217</f>
      </c>
      <c r="R217" s="73" t="str">
        <f>O217*K217*M217*N217</f>
      </c>
      <c r="S217" s="74" t="str">
        <f>R217-Q217</f>
      </c>
      <c r="T217" s="20" t="str">
        <f>IFERROR(INDEX('Cost_Components'!$R$2:$R$27,MATCH(E217,'Cost_Components'!$A$2:$A$27,0)),"")</f>
      </c>
      <c r="U217" s="75" t="str">
        <f>IFERROR(INDEX('Cost_Components'!$Q$2:$Q$27,MATCH(E217,'Cost_Components'!$A$2:$A$27,0)),"")</f>
      </c>
      <c r="V217" s="76" t="str">
        <f>1/(1+'Calculation_Assumptions'!$B$5)^(B217-'Calculation_Assumptions'!$B$2)</f>
      </c>
      <c r="W217" s="77" t="str">
        <f>Q217*V217</f>
      </c>
      <c r="X217" s="78" t="str">
        <f>R217*V217</f>
      </c>
      <c r="Y217" s="79" t="str">
        <f>S217*V217</f>
      </c>
      <c r="Z217" s="80" t="str">
        <f>IFERROR(INDEX('Cost_Components'!$T$2:$T$27,MATCH(E217,'Cost_Components'!$A$2:$A$27,0)),"")</f>
      </c>
      <c r="AA217" s="81" t="str">
        <f>IFERROR(INDEX('Cost_Components'!$U$2:$U$27,MATCH(E217,'Cost_Components'!$A$2:$A$27,0)),"")</f>
      </c>
      <c r="AB217" s="82" t="str">
        <f>IFERROR(INDEX('Cost_Components'!$V$2:$V$27,MATCH(E217,'Cost_Components'!$A$2:$A$27,0)),"")</f>
      </c>
      <c r="AC217" s="83" t="str">
        <f>IFERROR(INDEX('Cost_Components'!$M$2:$M$27,MATCH(E217,'Cost_Components'!$A$2:$A$27,0)),"")</f>
      </c>
      <c r="AD217" s="84" t="str">
        <f>IFERROR(INDEX('Cost_Components'!$N$2:$N$27,MATCH(E217,'Cost_Components'!$A$2:$A$27,0)),"")</f>
      </c>
      <c r="AE217" s="20" t="str">
        <f>IFERROR(INDEX('Cost_Components'!$O$2:$O$27,MATCH(E217,'Cost_Components'!$A$2:$A$27,0)),"")</f>
      </c>
      <c r="AF217" s="85" t="n">
        <v>545268.555084001</v>
      </c>
      <c r="AG217" s="86" t="n">
        <v>538838.193996299</v>
      </c>
      <c r="AH217" s="87" t="str">
        <f>IF(H217="shared-count-once",COUNTIFS($A$2:$A$1353,A217,$B$2:$B$1353,B217,$E$2:$E$1353,E217),1)</f>
      </c>
    </row>
    <row r="218">
      <c r="A218" t="s">
        <v>200</v>
      </c>
      <c r="B218" s="59" t="n">
        <v>2033</v>
      </c>
      <c r="C218" t="s">
        <v>200</v>
      </c>
      <c r="D218" t="s">
        <v>166</v>
      </c>
      <c r="E218" s="60" t="s">
        <v>281</v>
      </c>
      <c r="F218" s="61" t="s">
        <v>282</v>
      </c>
      <c r="G218" s="62" t="s">
        <v>203</v>
      </c>
      <c r="H218" s="63" t="s">
        <v>195</v>
      </c>
      <c r="I218" s="64" t="s">
        <v>267</v>
      </c>
      <c r="J218" s="65" t="str">
        <f>IFERROR(INDEX('Cost_Components'!$K$2:$K$27,MATCH(E218,'Cost_Components'!$A$2:$A$27,0)),"")</f>
      </c>
      <c r="K218" s="66" t="str">
        <f>IF(OR(L218="",Z218="",AA218="",AB218=""),"",IF(B218&lt;AA218,L218,IF(B218&gt;AB218,Z218,L218+(Z218-L218)*MIN(MAX((B218-AA218+1)/MAX(AB218-AA218+1,1),0),1))))</f>
      </c>
      <c r="L218" s="67" t="str">
        <f>IFERROR(INDEX('Cost_Components'!$S$2:$S$27,MATCH(E218,'Cost_Components'!$A$2:$A$27,0)),"")</f>
      </c>
      <c r="M218" s="68" t="str">
        <f>IFERROR(INDEX('Cost_Components'!$L$2:$L$27,MATCH(E218,'Cost_Components'!$A$2:$A$27,0)),"")</f>
      </c>
      <c r="N218" s="69" t="str">
        <f>IFERROR(INDEX('Cost_Components'!$P$2:$P$27,MATCH(E218,'Cost_Components'!$A$2:$A$27,0)),"")</f>
      </c>
      <c r="O218" s="70" t="str">
        <f>AF218*J218</f>
      </c>
      <c r="P218" s="71" t="str">
        <f>AG218*J218</f>
      </c>
      <c r="Q218" s="72" t="str">
        <f>P218*L218*M218*N218</f>
      </c>
      <c r="R218" s="73" t="str">
        <f>O218*K218*M218*N218</f>
      </c>
      <c r="S218" s="74" t="str">
        <f>R218-Q218</f>
      </c>
      <c r="T218" s="20" t="str">
        <f>IFERROR(INDEX('Cost_Components'!$R$2:$R$27,MATCH(E218,'Cost_Components'!$A$2:$A$27,0)),"")</f>
      </c>
      <c r="U218" s="75" t="str">
        <f>IFERROR(INDEX('Cost_Components'!$Q$2:$Q$27,MATCH(E218,'Cost_Components'!$A$2:$A$27,0)),"")</f>
      </c>
      <c r="V218" s="76" t="str">
        <f>1/(1+'Calculation_Assumptions'!$B$5)^(B218-'Calculation_Assumptions'!$B$2)</f>
      </c>
      <c r="W218" s="77" t="str">
        <f>Q218*V218</f>
      </c>
      <c r="X218" s="78" t="str">
        <f>R218*V218</f>
      </c>
      <c r="Y218" s="79" t="str">
        <f>S218*V218</f>
      </c>
      <c r="Z218" s="80" t="str">
        <f>IFERROR(INDEX('Cost_Components'!$T$2:$T$27,MATCH(E218,'Cost_Components'!$A$2:$A$27,0)),"")</f>
      </c>
      <c r="AA218" s="81" t="str">
        <f>IFERROR(INDEX('Cost_Components'!$U$2:$U$27,MATCH(E218,'Cost_Components'!$A$2:$A$27,0)),"")</f>
      </c>
      <c r="AB218" s="82" t="str">
        <f>IFERROR(INDEX('Cost_Components'!$V$2:$V$27,MATCH(E218,'Cost_Components'!$A$2:$A$27,0)),"")</f>
      </c>
      <c r="AC218" s="83" t="str">
        <f>IFERROR(INDEX('Cost_Components'!$M$2:$M$27,MATCH(E218,'Cost_Components'!$A$2:$A$27,0)),"")</f>
      </c>
      <c r="AD218" s="84" t="str">
        <f>IFERROR(INDEX('Cost_Components'!$N$2:$N$27,MATCH(E218,'Cost_Components'!$A$2:$A$27,0)),"")</f>
      </c>
      <c r="AE218" s="20" t="str">
        <f>IFERROR(INDEX('Cost_Components'!$O$2:$O$27,MATCH(E218,'Cost_Components'!$A$2:$A$27,0)),"")</f>
      </c>
      <c r="AF218" s="85" t="n">
        <v>558701.169418937</v>
      </c>
      <c r="AG218" s="86" t="n">
        <v>550915.137227313</v>
      </c>
      <c r="AH218" s="87" t="str">
        <f>IF(H218="shared-count-once",COUNTIFS($A$2:$A$1353,A218,$B$2:$B$1353,B218,$E$2:$E$1353,E218),1)</f>
      </c>
    </row>
    <row r="219">
      <c r="A219" t="s">
        <v>200</v>
      </c>
      <c r="B219" s="59" t="n">
        <v>2034</v>
      </c>
      <c r="C219" t="s">
        <v>200</v>
      </c>
      <c r="D219" t="s">
        <v>166</v>
      </c>
      <c r="E219" s="60" t="s">
        <v>281</v>
      </c>
      <c r="F219" s="61" t="s">
        <v>282</v>
      </c>
      <c r="G219" s="62" t="s">
        <v>203</v>
      </c>
      <c r="H219" s="63" t="s">
        <v>195</v>
      </c>
      <c r="I219" s="64" t="s">
        <v>267</v>
      </c>
      <c r="J219" s="65" t="str">
        <f>IFERROR(INDEX('Cost_Components'!$K$2:$K$27,MATCH(E219,'Cost_Components'!$A$2:$A$27,0)),"")</f>
      </c>
      <c r="K219" s="66" t="str">
        <f>IF(OR(L219="",Z219="",AA219="",AB219=""),"",IF(B219&lt;AA219,L219,IF(B219&gt;AB219,Z219,L219+(Z219-L219)*MIN(MAX((B219-AA219+1)/MAX(AB219-AA219+1,1),0),1))))</f>
      </c>
      <c r="L219" s="67" t="str">
        <f>IFERROR(INDEX('Cost_Components'!$S$2:$S$27,MATCH(E219,'Cost_Components'!$A$2:$A$27,0)),"")</f>
      </c>
      <c r="M219" s="68" t="str">
        <f>IFERROR(INDEX('Cost_Components'!$L$2:$L$27,MATCH(E219,'Cost_Components'!$A$2:$A$27,0)),"")</f>
      </c>
      <c r="N219" s="69" t="str">
        <f>IFERROR(INDEX('Cost_Components'!$P$2:$P$27,MATCH(E219,'Cost_Components'!$A$2:$A$27,0)),"")</f>
      </c>
      <c r="O219" s="70" t="str">
        <f>AF219*J219</f>
      </c>
      <c r="P219" s="71" t="str">
        <f>AG219*J219</f>
      </c>
      <c r="Q219" s="72" t="str">
        <f>P219*L219*M219*N219</f>
      </c>
      <c r="R219" s="73" t="str">
        <f>O219*K219*M219*N219</f>
      </c>
      <c r="S219" s="74" t="str">
        <f>R219-Q219</f>
      </c>
      <c r="T219" s="20" t="str">
        <f>IFERROR(INDEX('Cost_Components'!$R$2:$R$27,MATCH(E219,'Cost_Components'!$A$2:$A$27,0)),"")</f>
      </c>
      <c r="U219" s="75" t="str">
        <f>IFERROR(INDEX('Cost_Components'!$Q$2:$Q$27,MATCH(E219,'Cost_Components'!$A$2:$A$27,0)),"")</f>
      </c>
      <c r="V219" s="76" t="str">
        <f>1/(1+'Calculation_Assumptions'!$B$5)^(B219-'Calculation_Assumptions'!$B$2)</f>
      </c>
      <c r="W219" s="77" t="str">
        <f>Q219*V219</f>
      </c>
      <c r="X219" s="78" t="str">
        <f>R219*V219</f>
      </c>
      <c r="Y219" s="79" t="str">
        <f>S219*V219</f>
      </c>
      <c r="Z219" s="80" t="str">
        <f>IFERROR(INDEX('Cost_Components'!$T$2:$T$27,MATCH(E219,'Cost_Components'!$A$2:$A$27,0)),"")</f>
      </c>
      <c r="AA219" s="81" t="str">
        <f>IFERROR(INDEX('Cost_Components'!$U$2:$U$27,MATCH(E219,'Cost_Components'!$A$2:$A$27,0)),"")</f>
      </c>
      <c r="AB219" s="82" t="str">
        <f>IFERROR(INDEX('Cost_Components'!$V$2:$V$27,MATCH(E219,'Cost_Components'!$A$2:$A$27,0)),"")</f>
      </c>
      <c r="AC219" s="83" t="str">
        <f>IFERROR(INDEX('Cost_Components'!$M$2:$M$27,MATCH(E219,'Cost_Components'!$A$2:$A$27,0)),"")</f>
      </c>
      <c r="AD219" s="84" t="str">
        <f>IFERROR(INDEX('Cost_Components'!$N$2:$N$27,MATCH(E219,'Cost_Components'!$A$2:$A$27,0)),"")</f>
      </c>
      <c r="AE219" s="20" t="str">
        <f>IFERROR(INDEX('Cost_Components'!$O$2:$O$27,MATCH(E219,'Cost_Components'!$A$2:$A$27,0)),"")</f>
      </c>
      <c r="AF219" s="85" t="n">
        <v>572181.989293991</v>
      </c>
      <c r="AG219" s="86" t="n">
        <v>562945.263154292</v>
      </c>
      <c r="AH219" s="87" t="str">
        <f>IF(H219="shared-count-once",COUNTIFS($A$2:$A$1353,A219,$B$2:$B$1353,B219,$E$2:$E$1353,E219),1)</f>
      </c>
    </row>
    <row r="220">
      <c r="A220" t="s">
        <v>200</v>
      </c>
      <c r="B220" s="59" t="n">
        <v>2035</v>
      </c>
      <c r="C220" t="s">
        <v>200</v>
      </c>
      <c r="D220" t="s">
        <v>166</v>
      </c>
      <c r="E220" s="60" t="s">
        <v>281</v>
      </c>
      <c r="F220" s="61" t="s">
        <v>282</v>
      </c>
      <c r="G220" s="62" t="s">
        <v>203</v>
      </c>
      <c r="H220" s="63" t="s">
        <v>195</v>
      </c>
      <c r="I220" s="64" t="s">
        <v>267</v>
      </c>
      <c r="J220" s="65" t="str">
        <f>IFERROR(INDEX('Cost_Components'!$K$2:$K$27,MATCH(E220,'Cost_Components'!$A$2:$A$27,0)),"")</f>
      </c>
      <c r="K220" s="66" t="str">
        <f>IF(OR(L220="",Z220="",AA220="",AB220=""),"",IF(B220&lt;AA220,L220,IF(B220&gt;AB220,Z220,L220+(Z220-L220)*MIN(MAX((B220-AA220+1)/MAX(AB220-AA220+1,1),0),1))))</f>
      </c>
      <c r="L220" s="67" t="str">
        <f>IFERROR(INDEX('Cost_Components'!$S$2:$S$27,MATCH(E220,'Cost_Components'!$A$2:$A$27,0)),"")</f>
      </c>
      <c r="M220" s="68" t="str">
        <f>IFERROR(INDEX('Cost_Components'!$L$2:$L$27,MATCH(E220,'Cost_Components'!$A$2:$A$27,0)),"")</f>
      </c>
      <c r="N220" s="69" t="str">
        <f>IFERROR(INDEX('Cost_Components'!$P$2:$P$27,MATCH(E220,'Cost_Components'!$A$2:$A$27,0)),"")</f>
      </c>
      <c r="O220" s="70" t="str">
        <f>AF220*J220</f>
      </c>
      <c r="P220" s="71" t="str">
        <f>AG220*J220</f>
      </c>
      <c r="Q220" s="72" t="str">
        <f>P220*L220*M220*N220</f>
      </c>
      <c r="R220" s="73" t="str">
        <f>O220*K220*M220*N220</f>
      </c>
      <c r="S220" s="74" t="str">
        <f>R220-Q220</f>
      </c>
      <c r="T220" s="20" t="str">
        <f>IFERROR(INDEX('Cost_Components'!$R$2:$R$27,MATCH(E220,'Cost_Components'!$A$2:$A$27,0)),"")</f>
      </c>
      <c r="U220" s="75" t="str">
        <f>IFERROR(INDEX('Cost_Components'!$Q$2:$Q$27,MATCH(E220,'Cost_Components'!$A$2:$A$27,0)),"")</f>
      </c>
      <c r="V220" s="76" t="str">
        <f>1/(1+'Calculation_Assumptions'!$B$5)^(B220-'Calculation_Assumptions'!$B$2)</f>
      </c>
      <c r="W220" s="77" t="str">
        <f>Q220*V220</f>
      </c>
      <c r="X220" s="78" t="str">
        <f>R220*V220</f>
      </c>
      <c r="Y220" s="79" t="str">
        <f>S220*V220</f>
      </c>
      <c r="Z220" s="80" t="str">
        <f>IFERROR(INDEX('Cost_Components'!$T$2:$T$27,MATCH(E220,'Cost_Components'!$A$2:$A$27,0)),"")</f>
      </c>
      <c r="AA220" s="81" t="str">
        <f>IFERROR(INDEX('Cost_Components'!$U$2:$U$27,MATCH(E220,'Cost_Components'!$A$2:$A$27,0)),"")</f>
      </c>
      <c r="AB220" s="82" t="str">
        <f>IFERROR(INDEX('Cost_Components'!$V$2:$V$27,MATCH(E220,'Cost_Components'!$A$2:$A$27,0)),"")</f>
      </c>
      <c r="AC220" s="83" t="str">
        <f>IFERROR(INDEX('Cost_Components'!$M$2:$M$27,MATCH(E220,'Cost_Components'!$A$2:$A$27,0)),"")</f>
      </c>
      <c r="AD220" s="84" t="str">
        <f>IFERROR(INDEX('Cost_Components'!$N$2:$N$27,MATCH(E220,'Cost_Components'!$A$2:$A$27,0)),"")</f>
      </c>
      <c r="AE220" s="20" t="str">
        <f>IFERROR(INDEX('Cost_Components'!$O$2:$O$27,MATCH(E220,'Cost_Components'!$A$2:$A$27,0)),"")</f>
      </c>
      <c r="AF220" s="85" t="n">
        <v>586446.975511646</v>
      </c>
      <c r="AG220" s="86" t="n">
        <v>575676.013132482</v>
      </c>
      <c r="AH220" s="87" t="str">
        <f>IF(H220="shared-count-once",COUNTIFS($A$2:$A$1353,A220,$B$2:$B$1353,B220,$E$2:$E$1353,E220),1)</f>
      </c>
    </row>
    <row r="221">
      <c r="A221" t="s">
        <v>200</v>
      </c>
      <c r="B221" s="59" t="n">
        <v>2036</v>
      </c>
      <c r="C221" t="s">
        <v>200</v>
      </c>
      <c r="D221" t="s">
        <v>166</v>
      </c>
      <c r="E221" s="60" t="s">
        <v>281</v>
      </c>
      <c r="F221" s="61" t="s">
        <v>282</v>
      </c>
      <c r="G221" s="62" t="s">
        <v>203</v>
      </c>
      <c r="H221" s="63" t="s">
        <v>195</v>
      </c>
      <c r="I221" s="64" t="s">
        <v>267</v>
      </c>
      <c r="J221" s="65" t="str">
        <f>IFERROR(INDEX('Cost_Components'!$K$2:$K$27,MATCH(E221,'Cost_Components'!$A$2:$A$27,0)),"")</f>
      </c>
      <c r="K221" s="66" t="str">
        <f>IF(OR(L221="",Z221="",AA221="",AB221=""),"",IF(B221&lt;AA221,L221,IF(B221&gt;AB221,Z221,L221+(Z221-L221)*MIN(MAX((B221-AA221+1)/MAX(AB221-AA221+1,1),0),1))))</f>
      </c>
      <c r="L221" s="67" t="str">
        <f>IFERROR(INDEX('Cost_Components'!$S$2:$S$27,MATCH(E221,'Cost_Components'!$A$2:$A$27,0)),"")</f>
      </c>
      <c r="M221" s="68" t="str">
        <f>IFERROR(INDEX('Cost_Components'!$L$2:$L$27,MATCH(E221,'Cost_Components'!$A$2:$A$27,0)),"")</f>
      </c>
      <c r="N221" s="69" t="str">
        <f>IFERROR(INDEX('Cost_Components'!$P$2:$P$27,MATCH(E221,'Cost_Components'!$A$2:$A$27,0)),"")</f>
      </c>
      <c r="O221" s="70" t="str">
        <f>AF221*J221</f>
      </c>
      <c r="P221" s="71" t="str">
        <f>AG221*J221</f>
      </c>
      <c r="Q221" s="72" t="str">
        <f>P221*L221*M221*N221</f>
      </c>
      <c r="R221" s="73" t="str">
        <f>O221*K221*M221*N221</f>
      </c>
      <c r="S221" s="74" t="str">
        <f>R221-Q221</f>
      </c>
      <c r="T221" s="20" t="str">
        <f>IFERROR(INDEX('Cost_Components'!$R$2:$R$27,MATCH(E221,'Cost_Components'!$A$2:$A$27,0)),"")</f>
      </c>
      <c r="U221" s="75" t="str">
        <f>IFERROR(INDEX('Cost_Components'!$Q$2:$Q$27,MATCH(E221,'Cost_Components'!$A$2:$A$27,0)),"")</f>
      </c>
      <c r="V221" s="76" t="str">
        <f>1/(1+'Calculation_Assumptions'!$B$5)^(B221-'Calculation_Assumptions'!$B$2)</f>
      </c>
      <c r="W221" s="77" t="str">
        <f>Q221*V221</f>
      </c>
      <c r="X221" s="78" t="str">
        <f>R221*V221</f>
      </c>
      <c r="Y221" s="79" t="str">
        <f>S221*V221</f>
      </c>
      <c r="Z221" s="80" t="str">
        <f>IFERROR(INDEX('Cost_Components'!$T$2:$T$27,MATCH(E221,'Cost_Components'!$A$2:$A$27,0)),"")</f>
      </c>
      <c r="AA221" s="81" t="str">
        <f>IFERROR(INDEX('Cost_Components'!$U$2:$U$27,MATCH(E221,'Cost_Components'!$A$2:$A$27,0)),"")</f>
      </c>
      <c r="AB221" s="82" t="str">
        <f>IFERROR(INDEX('Cost_Components'!$V$2:$V$27,MATCH(E221,'Cost_Components'!$A$2:$A$27,0)),"")</f>
      </c>
      <c r="AC221" s="83" t="str">
        <f>IFERROR(INDEX('Cost_Components'!$M$2:$M$27,MATCH(E221,'Cost_Components'!$A$2:$A$27,0)),"")</f>
      </c>
      <c r="AD221" s="84" t="str">
        <f>IFERROR(INDEX('Cost_Components'!$N$2:$N$27,MATCH(E221,'Cost_Components'!$A$2:$A$27,0)),"")</f>
      </c>
      <c r="AE221" s="20" t="str">
        <f>IFERROR(INDEX('Cost_Components'!$O$2:$O$27,MATCH(E221,'Cost_Components'!$A$2:$A$27,0)),"")</f>
      </c>
      <c r="AF221" s="85" t="n">
        <v>601417.958366121</v>
      </c>
      <c r="AG221" s="86" t="n">
        <v>589036.334662854</v>
      </c>
      <c r="AH221" s="87" t="str">
        <f>IF(H221="shared-count-once",COUNTIFS($A$2:$A$1353,A221,$B$2:$B$1353,B221,$E$2:$E$1353,E221),1)</f>
      </c>
    </row>
    <row r="222">
      <c r="A222" t="s">
        <v>200</v>
      </c>
      <c r="B222" s="59" t="n">
        <v>2037</v>
      </c>
      <c r="C222" t="s">
        <v>200</v>
      </c>
      <c r="D222" t="s">
        <v>166</v>
      </c>
      <c r="E222" s="60" t="s">
        <v>281</v>
      </c>
      <c r="F222" s="61" t="s">
        <v>282</v>
      </c>
      <c r="G222" s="62" t="s">
        <v>203</v>
      </c>
      <c r="H222" s="63" t="s">
        <v>195</v>
      </c>
      <c r="I222" s="64" t="s">
        <v>267</v>
      </c>
      <c r="J222" s="65" t="str">
        <f>IFERROR(INDEX('Cost_Components'!$K$2:$K$27,MATCH(E222,'Cost_Components'!$A$2:$A$27,0)),"")</f>
      </c>
      <c r="K222" s="66" t="str">
        <f>IF(OR(L222="",Z222="",AA222="",AB222=""),"",IF(B222&lt;AA222,L222,IF(B222&gt;AB222,Z222,L222+(Z222-L222)*MIN(MAX((B222-AA222+1)/MAX(AB222-AA222+1,1),0),1))))</f>
      </c>
      <c r="L222" s="67" t="str">
        <f>IFERROR(INDEX('Cost_Components'!$S$2:$S$27,MATCH(E222,'Cost_Components'!$A$2:$A$27,0)),"")</f>
      </c>
      <c r="M222" s="68" t="str">
        <f>IFERROR(INDEX('Cost_Components'!$L$2:$L$27,MATCH(E222,'Cost_Components'!$A$2:$A$27,0)),"")</f>
      </c>
      <c r="N222" s="69" t="str">
        <f>IFERROR(INDEX('Cost_Components'!$P$2:$P$27,MATCH(E222,'Cost_Components'!$A$2:$A$27,0)),"")</f>
      </c>
      <c r="O222" s="70" t="str">
        <f>AF222*J222</f>
      </c>
      <c r="P222" s="71" t="str">
        <f>AG222*J222</f>
      </c>
      <c r="Q222" s="72" t="str">
        <f>P222*L222*M222*N222</f>
      </c>
      <c r="R222" s="73" t="str">
        <f>O222*K222*M222*N222</f>
      </c>
      <c r="S222" s="74" t="str">
        <f>R222-Q222</f>
      </c>
      <c r="T222" s="20" t="str">
        <f>IFERROR(INDEX('Cost_Components'!$R$2:$R$27,MATCH(E222,'Cost_Components'!$A$2:$A$27,0)),"")</f>
      </c>
      <c r="U222" s="75" t="str">
        <f>IFERROR(INDEX('Cost_Components'!$Q$2:$Q$27,MATCH(E222,'Cost_Components'!$A$2:$A$27,0)),"")</f>
      </c>
      <c r="V222" s="76" t="str">
        <f>1/(1+'Calculation_Assumptions'!$B$5)^(B222-'Calculation_Assumptions'!$B$2)</f>
      </c>
      <c r="W222" s="77" t="str">
        <f>Q222*V222</f>
      </c>
      <c r="X222" s="78" t="str">
        <f>R222*V222</f>
      </c>
      <c r="Y222" s="79" t="str">
        <f>S222*V222</f>
      </c>
      <c r="Z222" s="80" t="str">
        <f>IFERROR(INDEX('Cost_Components'!$T$2:$T$27,MATCH(E222,'Cost_Components'!$A$2:$A$27,0)),"")</f>
      </c>
      <c r="AA222" s="81" t="str">
        <f>IFERROR(INDEX('Cost_Components'!$U$2:$U$27,MATCH(E222,'Cost_Components'!$A$2:$A$27,0)),"")</f>
      </c>
      <c r="AB222" s="82" t="str">
        <f>IFERROR(INDEX('Cost_Components'!$V$2:$V$27,MATCH(E222,'Cost_Components'!$A$2:$A$27,0)),"")</f>
      </c>
      <c r="AC222" s="83" t="str">
        <f>IFERROR(INDEX('Cost_Components'!$M$2:$M$27,MATCH(E222,'Cost_Components'!$A$2:$A$27,0)),"")</f>
      </c>
      <c r="AD222" s="84" t="str">
        <f>IFERROR(INDEX('Cost_Components'!$N$2:$N$27,MATCH(E222,'Cost_Components'!$A$2:$A$27,0)),"")</f>
      </c>
      <c r="AE222" s="20" t="str">
        <f>IFERROR(INDEX('Cost_Components'!$O$2:$O$27,MATCH(E222,'Cost_Components'!$A$2:$A$27,0)),"")</f>
      </c>
      <c r="AF222" s="85" t="n">
        <v>616962.659930918</v>
      </c>
      <c r="AG222" s="86" t="n">
        <v>602896.994272446</v>
      </c>
      <c r="AH222" s="87" t="str">
        <f>IF(H222="shared-count-once",COUNTIFS($A$2:$A$1353,A222,$B$2:$B$1353,B222,$E$2:$E$1353,E222),1)</f>
      </c>
    </row>
    <row r="223">
      <c r="A223" t="s">
        <v>200</v>
      </c>
      <c r="B223" s="59" t="n">
        <v>2038</v>
      </c>
      <c r="C223" t="s">
        <v>200</v>
      </c>
      <c r="D223" t="s">
        <v>166</v>
      </c>
      <c r="E223" s="60" t="s">
        <v>281</v>
      </c>
      <c r="F223" s="61" t="s">
        <v>282</v>
      </c>
      <c r="G223" s="62" t="s">
        <v>203</v>
      </c>
      <c r="H223" s="63" t="s">
        <v>195</v>
      </c>
      <c r="I223" s="64" t="s">
        <v>267</v>
      </c>
      <c r="J223" s="65" t="str">
        <f>IFERROR(INDEX('Cost_Components'!$K$2:$K$27,MATCH(E223,'Cost_Components'!$A$2:$A$27,0)),"")</f>
      </c>
      <c r="K223" s="66" t="str">
        <f>IF(OR(L223="",Z223="",AA223="",AB223=""),"",IF(B223&lt;AA223,L223,IF(B223&gt;AB223,Z223,L223+(Z223-L223)*MIN(MAX((B223-AA223+1)/MAX(AB223-AA223+1,1),0),1))))</f>
      </c>
      <c r="L223" s="67" t="str">
        <f>IFERROR(INDEX('Cost_Components'!$S$2:$S$27,MATCH(E223,'Cost_Components'!$A$2:$A$27,0)),"")</f>
      </c>
      <c r="M223" s="68" t="str">
        <f>IFERROR(INDEX('Cost_Components'!$L$2:$L$27,MATCH(E223,'Cost_Components'!$A$2:$A$27,0)),"")</f>
      </c>
      <c r="N223" s="69" t="str">
        <f>IFERROR(INDEX('Cost_Components'!$P$2:$P$27,MATCH(E223,'Cost_Components'!$A$2:$A$27,0)),"")</f>
      </c>
      <c r="O223" s="70" t="str">
        <f>AF223*J223</f>
      </c>
      <c r="P223" s="71" t="str">
        <f>AG223*J223</f>
      </c>
      <c r="Q223" s="72" t="str">
        <f>P223*L223*M223*N223</f>
      </c>
      <c r="R223" s="73" t="str">
        <f>O223*K223*M223*N223</f>
      </c>
      <c r="S223" s="74" t="str">
        <f>R223-Q223</f>
      </c>
      <c r="T223" s="20" t="str">
        <f>IFERROR(INDEX('Cost_Components'!$R$2:$R$27,MATCH(E223,'Cost_Components'!$A$2:$A$27,0)),"")</f>
      </c>
      <c r="U223" s="75" t="str">
        <f>IFERROR(INDEX('Cost_Components'!$Q$2:$Q$27,MATCH(E223,'Cost_Components'!$A$2:$A$27,0)),"")</f>
      </c>
      <c r="V223" s="76" t="str">
        <f>1/(1+'Calculation_Assumptions'!$B$5)^(B223-'Calculation_Assumptions'!$B$2)</f>
      </c>
      <c r="W223" s="77" t="str">
        <f>Q223*V223</f>
      </c>
      <c r="X223" s="78" t="str">
        <f>R223*V223</f>
      </c>
      <c r="Y223" s="79" t="str">
        <f>S223*V223</f>
      </c>
      <c r="Z223" s="80" t="str">
        <f>IFERROR(INDEX('Cost_Components'!$T$2:$T$27,MATCH(E223,'Cost_Components'!$A$2:$A$27,0)),"")</f>
      </c>
      <c r="AA223" s="81" t="str">
        <f>IFERROR(INDEX('Cost_Components'!$U$2:$U$27,MATCH(E223,'Cost_Components'!$A$2:$A$27,0)),"")</f>
      </c>
      <c r="AB223" s="82" t="str">
        <f>IFERROR(INDEX('Cost_Components'!$V$2:$V$27,MATCH(E223,'Cost_Components'!$A$2:$A$27,0)),"")</f>
      </c>
      <c r="AC223" s="83" t="str">
        <f>IFERROR(INDEX('Cost_Components'!$M$2:$M$27,MATCH(E223,'Cost_Components'!$A$2:$A$27,0)),"")</f>
      </c>
      <c r="AD223" s="84" t="str">
        <f>IFERROR(INDEX('Cost_Components'!$N$2:$N$27,MATCH(E223,'Cost_Components'!$A$2:$A$27,0)),"")</f>
      </c>
      <c r="AE223" s="20" t="str">
        <f>IFERROR(INDEX('Cost_Components'!$O$2:$O$27,MATCH(E223,'Cost_Components'!$A$2:$A$27,0)),"")</f>
      </c>
      <c r="AF223" s="85" t="n">
        <v>633129.195533701</v>
      </c>
      <c r="AG223" s="86" t="n">
        <v>617309.427161682</v>
      </c>
      <c r="AH223" s="87" t="str">
        <f>IF(H223="shared-count-once",COUNTIFS($A$2:$A$1353,A223,$B$2:$B$1353,B223,$E$2:$E$1353,E223),1)</f>
      </c>
    </row>
    <row r="224">
      <c r="A224" t="s">
        <v>200</v>
      </c>
      <c r="B224" s="59" t="n">
        <v>2039</v>
      </c>
      <c r="C224" t="s">
        <v>200</v>
      </c>
      <c r="D224" t="s">
        <v>166</v>
      </c>
      <c r="E224" s="60" t="s">
        <v>281</v>
      </c>
      <c r="F224" s="61" t="s">
        <v>282</v>
      </c>
      <c r="G224" s="62" t="s">
        <v>203</v>
      </c>
      <c r="H224" s="63" t="s">
        <v>195</v>
      </c>
      <c r="I224" s="64" t="s">
        <v>267</v>
      </c>
      <c r="J224" s="65" t="str">
        <f>IFERROR(INDEX('Cost_Components'!$K$2:$K$27,MATCH(E224,'Cost_Components'!$A$2:$A$27,0)),"")</f>
      </c>
      <c r="K224" s="66" t="str">
        <f>IF(OR(L224="",Z224="",AA224="",AB224=""),"",IF(B224&lt;AA224,L224,IF(B224&gt;AB224,Z224,L224+(Z224-L224)*MIN(MAX((B224-AA224+1)/MAX(AB224-AA224+1,1),0),1))))</f>
      </c>
      <c r="L224" s="67" t="str">
        <f>IFERROR(INDEX('Cost_Components'!$S$2:$S$27,MATCH(E224,'Cost_Components'!$A$2:$A$27,0)),"")</f>
      </c>
      <c r="M224" s="68" t="str">
        <f>IFERROR(INDEX('Cost_Components'!$L$2:$L$27,MATCH(E224,'Cost_Components'!$A$2:$A$27,0)),"")</f>
      </c>
      <c r="N224" s="69" t="str">
        <f>IFERROR(INDEX('Cost_Components'!$P$2:$P$27,MATCH(E224,'Cost_Components'!$A$2:$A$27,0)),"")</f>
      </c>
      <c r="O224" s="70" t="str">
        <f>AF224*J224</f>
      </c>
      <c r="P224" s="71" t="str">
        <f>AG224*J224</f>
      </c>
      <c r="Q224" s="72" t="str">
        <f>P224*L224*M224*N224</f>
      </c>
      <c r="R224" s="73" t="str">
        <f>O224*K224*M224*N224</f>
      </c>
      <c r="S224" s="74" t="str">
        <f>R224-Q224</f>
      </c>
      <c r="T224" s="20" t="str">
        <f>IFERROR(INDEX('Cost_Components'!$R$2:$R$27,MATCH(E224,'Cost_Components'!$A$2:$A$27,0)),"")</f>
      </c>
      <c r="U224" s="75" t="str">
        <f>IFERROR(INDEX('Cost_Components'!$Q$2:$Q$27,MATCH(E224,'Cost_Components'!$A$2:$A$27,0)),"")</f>
      </c>
      <c r="V224" s="76" t="str">
        <f>1/(1+'Calculation_Assumptions'!$B$5)^(B224-'Calculation_Assumptions'!$B$2)</f>
      </c>
      <c r="W224" s="77" t="str">
        <f>Q224*V224</f>
      </c>
      <c r="X224" s="78" t="str">
        <f>R224*V224</f>
      </c>
      <c r="Y224" s="79" t="str">
        <f>S224*V224</f>
      </c>
      <c r="Z224" s="80" t="str">
        <f>IFERROR(INDEX('Cost_Components'!$T$2:$T$27,MATCH(E224,'Cost_Components'!$A$2:$A$27,0)),"")</f>
      </c>
      <c r="AA224" s="81" t="str">
        <f>IFERROR(INDEX('Cost_Components'!$U$2:$U$27,MATCH(E224,'Cost_Components'!$A$2:$A$27,0)),"")</f>
      </c>
      <c r="AB224" s="82" t="str">
        <f>IFERROR(INDEX('Cost_Components'!$V$2:$V$27,MATCH(E224,'Cost_Components'!$A$2:$A$27,0)),"")</f>
      </c>
      <c r="AC224" s="83" t="str">
        <f>IFERROR(INDEX('Cost_Components'!$M$2:$M$27,MATCH(E224,'Cost_Components'!$A$2:$A$27,0)),"")</f>
      </c>
      <c r="AD224" s="84" t="str">
        <f>IFERROR(INDEX('Cost_Components'!$N$2:$N$27,MATCH(E224,'Cost_Components'!$A$2:$A$27,0)),"")</f>
      </c>
      <c r="AE224" s="20" t="str">
        <f>IFERROR(INDEX('Cost_Components'!$O$2:$O$27,MATCH(E224,'Cost_Components'!$A$2:$A$27,0)),"")</f>
      </c>
      <c r="AF224" s="85" t="n">
        <v>649137.476975761</v>
      </c>
      <c r="AG224" s="86" t="n">
        <v>631494.66209286</v>
      </c>
      <c r="AH224" s="87" t="str">
        <f>IF(H224="shared-count-once",COUNTIFS($A$2:$A$1353,A224,$B$2:$B$1353,B224,$E$2:$E$1353,E224),1)</f>
      </c>
    </row>
    <row r="225">
      <c r="A225" t="s">
        <v>200</v>
      </c>
      <c r="B225" s="59" t="n">
        <v>2040</v>
      </c>
      <c r="C225" t="s">
        <v>200</v>
      </c>
      <c r="D225" t="s">
        <v>166</v>
      </c>
      <c r="E225" s="60" t="s">
        <v>281</v>
      </c>
      <c r="F225" s="61" t="s">
        <v>282</v>
      </c>
      <c r="G225" s="62" t="s">
        <v>203</v>
      </c>
      <c r="H225" s="63" t="s">
        <v>195</v>
      </c>
      <c r="I225" s="64" t="s">
        <v>267</v>
      </c>
      <c r="J225" s="65" t="str">
        <f>IFERROR(INDEX('Cost_Components'!$K$2:$K$27,MATCH(E225,'Cost_Components'!$A$2:$A$27,0)),"")</f>
      </c>
      <c r="K225" s="66" t="str">
        <f>IF(OR(L225="",Z225="",AA225="",AB225=""),"",IF(B225&lt;AA225,L225,IF(B225&gt;AB225,Z225,L225+(Z225-L225)*MIN(MAX((B225-AA225+1)/MAX(AB225-AA225+1,1),0),1))))</f>
      </c>
      <c r="L225" s="67" t="str">
        <f>IFERROR(INDEX('Cost_Components'!$S$2:$S$27,MATCH(E225,'Cost_Components'!$A$2:$A$27,0)),"")</f>
      </c>
      <c r="M225" s="68" t="str">
        <f>IFERROR(INDEX('Cost_Components'!$L$2:$L$27,MATCH(E225,'Cost_Components'!$A$2:$A$27,0)),"")</f>
      </c>
      <c r="N225" s="69" t="str">
        <f>IFERROR(INDEX('Cost_Components'!$P$2:$P$27,MATCH(E225,'Cost_Components'!$A$2:$A$27,0)),"")</f>
      </c>
      <c r="O225" s="70" t="str">
        <f>AF225*J225</f>
      </c>
      <c r="P225" s="71" t="str">
        <f>AG225*J225</f>
      </c>
      <c r="Q225" s="72" t="str">
        <f>P225*L225*M225*N225</f>
      </c>
      <c r="R225" s="73" t="str">
        <f>O225*K225*M225*N225</f>
      </c>
      <c r="S225" s="74" t="str">
        <f>R225-Q225</f>
      </c>
      <c r="T225" s="20" t="str">
        <f>IFERROR(INDEX('Cost_Components'!$R$2:$R$27,MATCH(E225,'Cost_Components'!$A$2:$A$27,0)),"")</f>
      </c>
      <c r="U225" s="75" t="str">
        <f>IFERROR(INDEX('Cost_Components'!$Q$2:$Q$27,MATCH(E225,'Cost_Components'!$A$2:$A$27,0)),"")</f>
      </c>
      <c r="V225" s="76" t="str">
        <f>1/(1+'Calculation_Assumptions'!$B$5)^(B225-'Calculation_Assumptions'!$B$2)</f>
      </c>
      <c r="W225" s="77" t="str">
        <f>Q225*V225</f>
      </c>
      <c r="X225" s="78" t="str">
        <f>R225*V225</f>
      </c>
      <c r="Y225" s="79" t="str">
        <f>S225*V225</f>
      </c>
      <c r="Z225" s="80" t="str">
        <f>IFERROR(INDEX('Cost_Components'!$T$2:$T$27,MATCH(E225,'Cost_Components'!$A$2:$A$27,0)),"")</f>
      </c>
      <c r="AA225" s="81" t="str">
        <f>IFERROR(INDEX('Cost_Components'!$U$2:$U$27,MATCH(E225,'Cost_Components'!$A$2:$A$27,0)),"")</f>
      </c>
      <c r="AB225" s="82" t="str">
        <f>IFERROR(INDEX('Cost_Components'!$V$2:$V$27,MATCH(E225,'Cost_Components'!$A$2:$A$27,0)),"")</f>
      </c>
      <c r="AC225" s="83" t="str">
        <f>IFERROR(INDEX('Cost_Components'!$M$2:$M$27,MATCH(E225,'Cost_Components'!$A$2:$A$27,0)),"")</f>
      </c>
      <c r="AD225" s="84" t="str">
        <f>IFERROR(INDEX('Cost_Components'!$N$2:$N$27,MATCH(E225,'Cost_Components'!$A$2:$A$27,0)),"")</f>
      </c>
      <c r="AE225" s="20" t="str">
        <f>IFERROR(INDEX('Cost_Components'!$O$2:$O$27,MATCH(E225,'Cost_Components'!$A$2:$A$27,0)),"")</f>
      </c>
      <c r="AF225" s="85" t="n">
        <v>665631.953195164</v>
      </c>
      <c r="AG225" s="86" t="n">
        <v>646103.245721349</v>
      </c>
      <c r="AH225" s="87" t="str">
        <f>IF(H225="shared-count-once",COUNTIFS($A$2:$A$1353,A225,$B$2:$B$1353,B225,$E$2:$E$1353,E225),1)</f>
      </c>
    </row>
    <row r="226">
      <c r="A226" t="s">
        <v>200</v>
      </c>
      <c r="B226" s="59" t="n">
        <v>2041</v>
      </c>
      <c r="C226" t="s">
        <v>200</v>
      </c>
      <c r="D226" t="s">
        <v>166</v>
      </c>
      <c r="E226" s="60" t="s">
        <v>281</v>
      </c>
      <c r="F226" s="61" t="s">
        <v>282</v>
      </c>
      <c r="G226" s="62" t="s">
        <v>203</v>
      </c>
      <c r="H226" s="63" t="s">
        <v>195</v>
      </c>
      <c r="I226" s="64" t="s">
        <v>267</v>
      </c>
      <c r="J226" s="65" t="str">
        <f>IFERROR(INDEX('Cost_Components'!$K$2:$K$27,MATCH(E226,'Cost_Components'!$A$2:$A$27,0)),"")</f>
      </c>
      <c r="K226" s="66" t="str">
        <f>IF(OR(L226="",Z226="",AA226="",AB226=""),"",IF(B226&lt;AA226,L226,IF(B226&gt;AB226,Z226,L226+(Z226-L226)*MIN(MAX((B226-AA226+1)/MAX(AB226-AA226+1,1),0),1))))</f>
      </c>
      <c r="L226" s="67" t="str">
        <f>IFERROR(INDEX('Cost_Components'!$S$2:$S$27,MATCH(E226,'Cost_Components'!$A$2:$A$27,0)),"")</f>
      </c>
      <c r="M226" s="68" t="str">
        <f>IFERROR(INDEX('Cost_Components'!$L$2:$L$27,MATCH(E226,'Cost_Components'!$A$2:$A$27,0)),"")</f>
      </c>
      <c r="N226" s="69" t="str">
        <f>IFERROR(INDEX('Cost_Components'!$P$2:$P$27,MATCH(E226,'Cost_Components'!$A$2:$A$27,0)),"")</f>
      </c>
      <c r="O226" s="70" t="str">
        <f>AF226*J226</f>
      </c>
      <c r="P226" s="71" t="str">
        <f>AG226*J226</f>
      </c>
      <c r="Q226" s="72" t="str">
        <f>P226*L226*M226*N226</f>
      </c>
      <c r="R226" s="73" t="str">
        <f>O226*K226*M226*N226</f>
      </c>
      <c r="S226" s="74" t="str">
        <f>R226-Q226</f>
      </c>
      <c r="T226" s="20" t="str">
        <f>IFERROR(INDEX('Cost_Components'!$R$2:$R$27,MATCH(E226,'Cost_Components'!$A$2:$A$27,0)),"")</f>
      </c>
      <c r="U226" s="75" t="str">
        <f>IFERROR(INDEX('Cost_Components'!$Q$2:$Q$27,MATCH(E226,'Cost_Components'!$A$2:$A$27,0)),"")</f>
      </c>
      <c r="V226" s="76" t="str">
        <f>1/(1+'Calculation_Assumptions'!$B$5)^(B226-'Calculation_Assumptions'!$B$2)</f>
      </c>
      <c r="W226" s="77" t="str">
        <f>Q226*V226</f>
      </c>
      <c r="X226" s="78" t="str">
        <f>R226*V226</f>
      </c>
      <c r="Y226" s="79" t="str">
        <f>S226*V226</f>
      </c>
      <c r="Z226" s="80" t="str">
        <f>IFERROR(INDEX('Cost_Components'!$T$2:$T$27,MATCH(E226,'Cost_Components'!$A$2:$A$27,0)),"")</f>
      </c>
      <c r="AA226" s="81" t="str">
        <f>IFERROR(INDEX('Cost_Components'!$U$2:$U$27,MATCH(E226,'Cost_Components'!$A$2:$A$27,0)),"")</f>
      </c>
      <c r="AB226" s="82" t="str">
        <f>IFERROR(INDEX('Cost_Components'!$V$2:$V$27,MATCH(E226,'Cost_Components'!$A$2:$A$27,0)),"")</f>
      </c>
      <c r="AC226" s="83" t="str">
        <f>IFERROR(INDEX('Cost_Components'!$M$2:$M$27,MATCH(E226,'Cost_Components'!$A$2:$A$27,0)),"")</f>
      </c>
      <c r="AD226" s="84" t="str">
        <f>IFERROR(INDEX('Cost_Components'!$N$2:$N$27,MATCH(E226,'Cost_Components'!$A$2:$A$27,0)),"")</f>
      </c>
      <c r="AE226" s="20" t="str">
        <f>IFERROR(INDEX('Cost_Components'!$O$2:$O$27,MATCH(E226,'Cost_Components'!$A$2:$A$27,0)),"")</f>
      </c>
      <c r="AF226" s="85" t="n">
        <v>682569.751943258</v>
      </c>
      <c r="AG226" s="86" t="n">
        <v>661097.35077381</v>
      </c>
      <c r="AH226" s="87" t="str">
        <f>IF(H226="shared-count-once",COUNTIFS($A$2:$A$1353,A226,$B$2:$B$1353,B226,$E$2:$E$1353,E226),1)</f>
      </c>
    </row>
    <row r="227">
      <c r="A227" t="s">
        <v>200</v>
      </c>
      <c r="B227" s="59" t="n">
        <v>2042</v>
      </c>
      <c r="C227" t="s">
        <v>200</v>
      </c>
      <c r="D227" t="s">
        <v>166</v>
      </c>
      <c r="E227" s="60" t="s">
        <v>281</v>
      </c>
      <c r="F227" s="61" t="s">
        <v>282</v>
      </c>
      <c r="G227" s="62" t="s">
        <v>203</v>
      </c>
      <c r="H227" s="63" t="s">
        <v>195</v>
      </c>
      <c r="I227" s="64" t="s">
        <v>267</v>
      </c>
      <c r="J227" s="65" t="str">
        <f>IFERROR(INDEX('Cost_Components'!$K$2:$K$27,MATCH(E227,'Cost_Components'!$A$2:$A$27,0)),"")</f>
      </c>
      <c r="K227" s="66" t="str">
        <f>IF(OR(L227="",Z227="",AA227="",AB227=""),"",IF(B227&lt;AA227,L227,IF(B227&gt;AB227,Z227,L227+(Z227-L227)*MIN(MAX((B227-AA227+1)/MAX(AB227-AA227+1,1),0),1))))</f>
      </c>
      <c r="L227" s="67" t="str">
        <f>IFERROR(INDEX('Cost_Components'!$S$2:$S$27,MATCH(E227,'Cost_Components'!$A$2:$A$27,0)),"")</f>
      </c>
      <c r="M227" s="68" t="str">
        <f>IFERROR(INDEX('Cost_Components'!$L$2:$L$27,MATCH(E227,'Cost_Components'!$A$2:$A$27,0)),"")</f>
      </c>
      <c r="N227" s="69" t="str">
        <f>IFERROR(INDEX('Cost_Components'!$P$2:$P$27,MATCH(E227,'Cost_Components'!$A$2:$A$27,0)),"")</f>
      </c>
      <c r="O227" s="70" t="str">
        <f>AF227*J227</f>
      </c>
      <c r="P227" s="71" t="str">
        <f>AG227*J227</f>
      </c>
      <c r="Q227" s="72" t="str">
        <f>P227*L227*M227*N227</f>
      </c>
      <c r="R227" s="73" t="str">
        <f>O227*K227*M227*N227</f>
      </c>
      <c r="S227" s="74" t="str">
        <f>R227-Q227</f>
      </c>
      <c r="T227" s="20" t="str">
        <f>IFERROR(INDEX('Cost_Components'!$R$2:$R$27,MATCH(E227,'Cost_Components'!$A$2:$A$27,0)),"")</f>
      </c>
      <c r="U227" s="75" t="str">
        <f>IFERROR(INDEX('Cost_Components'!$Q$2:$Q$27,MATCH(E227,'Cost_Components'!$A$2:$A$27,0)),"")</f>
      </c>
      <c r="V227" s="76" t="str">
        <f>1/(1+'Calculation_Assumptions'!$B$5)^(B227-'Calculation_Assumptions'!$B$2)</f>
      </c>
      <c r="W227" s="77" t="str">
        <f>Q227*V227</f>
      </c>
      <c r="X227" s="78" t="str">
        <f>R227*V227</f>
      </c>
      <c r="Y227" s="79" t="str">
        <f>S227*V227</f>
      </c>
      <c r="Z227" s="80" t="str">
        <f>IFERROR(INDEX('Cost_Components'!$T$2:$T$27,MATCH(E227,'Cost_Components'!$A$2:$A$27,0)),"")</f>
      </c>
      <c r="AA227" s="81" t="str">
        <f>IFERROR(INDEX('Cost_Components'!$U$2:$U$27,MATCH(E227,'Cost_Components'!$A$2:$A$27,0)),"")</f>
      </c>
      <c r="AB227" s="82" t="str">
        <f>IFERROR(INDEX('Cost_Components'!$V$2:$V$27,MATCH(E227,'Cost_Components'!$A$2:$A$27,0)),"")</f>
      </c>
      <c r="AC227" s="83" t="str">
        <f>IFERROR(INDEX('Cost_Components'!$M$2:$M$27,MATCH(E227,'Cost_Components'!$A$2:$A$27,0)),"")</f>
      </c>
      <c r="AD227" s="84" t="str">
        <f>IFERROR(INDEX('Cost_Components'!$N$2:$N$27,MATCH(E227,'Cost_Components'!$A$2:$A$27,0)),"")</f>
      </c>
      <c r="AE227" s="20" t="str">
        <f>IFERROR(INDEX('Cost_Components'!$O$2:$O$27,MATCH(E227,'Cost_Components'!$A$2:$A$27,0)),"")</f>
      </c>
      <c r="AF227" s="85" t="n">
        <v>699844.585090926</v>
      </c>
      <c r="AG227" s="86" t="n">
        <v>676373.405782993</v>
      </c>
      <c r="AH227" s="87" t="str">
        <f>IF(H227="shared-count-once",COUNTIFS($A$2:$A$1353,A227,$B$2:$B$1353,B227,$E$2:$E$1353,E227),1)</f>
      </c>
    </row>
    <row r="228">
      <c r="A228" t="s">
        <v>200</v>
      </c>
      <c r="B228" s="59" t="n">
        <v>2043</v>
      </c>
      <c r="C228" t="s">
        <v>200</v>
      </c>
      <c r="D228" t="s">
        <v>166</v>
      </c>
      <c r="E228" s="60" t="s">
        <v>281</v>
      </c>
      <c r="F228" s="61" t="s">
        <v>282</v>
      </c>
      <c r="G228" s="62" t="s">
        <v>203</v>
      </c>
      <c r="H228" s="63" t="s">
        <v>195</v>
      </c>
      <c r="I228" s="64" t="s">
        <v>267</v>
      </c>
      <c r="J228" s="65" t="str">
        <f>IFERROR(INDEX('Cost_Components'!$K$2:$K$27,MATCH(E228,'Cost_Components'!$A$2:$A$27,0)),"")</f>
      </c>
      <c r="K228" s="66" t="str">
        <f>IF(OR(L228="",Z228="",AA228="",AB228=""),"",IF(B228&lt;AA228,L228,IF(B228&gt;AB228,Z228,L228+(Z228-L228)*MIN(MAX((B228-AA228+1)/MAX(AB228-AA228+1,1),0),1))))</f>
      </c>
      <c r="L228" s="67" t="str">
        <f>IFERROR(INDEX('Cost_Components'!$S$2:$S$27,MATCH(E228,'Cost_Components'!$A$2:$A$27,0)),"")</f>
      </c>
      <c r="M228" s="68" t="str">
        <f>IFERROR(INDEX('Cost_Components'!$L$2:$L$27,MATCH(E228,'Cost_Components'!$A$2:$A$27,0)),"")</f>
      </c>
      <c r="N228" s="69" t="str">
        <f>IFERROR(INDEX('Cost_Components'!$P$2:$P$27,MATCH(E228,'Cost_Components'!$A$2:$A$27,0)),"")</f>
      </c>
      <c r="O228" s="70" t="str">
        <f>AF228*J228</f>
      </c>
      <c r="P228" s="71" t="str">
        <f>AG228*J228</f>
      </c>
      <c r="Q228" s="72" t="str">
        <f>P228*L228*M228*N228</f>
      </c>
      <c r="R228" s="73" t="str">
        <f>O228*K228*M228*N228</f>
      </c>
      <c r="S228" s="74" t="str">
        <f>R228-Q228</f>
      </c>
      <c r="T228" s="20" t="str">
        <f>IFERROR(INDEX('Cost_Components'!$R$2:$R$27,MATCH(E228,'Cost_Components'!$A$2:$A$27,0)),"")</f>
      </c>
      <c r="U228" s="75" t="str">
        <f>IFERROR(INDEX('Cost_Components'!$Q$2:$Q$27,MATCH(E228,'Cost_Components'!$A$2:$A$27,0)),"")</f>
      </c>
      <c r="V228" s="76" t="str">
        <f>1/(1+'Calculation_Assumptions'!$B$5)^(B228-'Calculation_Assumptions'!$B$2)</f>
      </c>
      <c r="W228" s="77" t="str">
        <f>Q228*V228</f>
      </c>
      <c r="X228" s="78" t="str">
        <f>R228*V228</f>
      </c>
      <c r="Y228" s="79" t="str">
        <f>S228*V228</f>
      </c>
      <c r="Z228" s="80" t="str">
        <f>IFERROR(INDEX('Cost_Components'!$T$2:$T$27,MATCH(E228,'Cost_Components'!$A$2:$A$27,0)),"")</f>
      </c>
      <c r="AA228" s="81" t="str">
        <f>IFERROR(INDEX('Cost_Components'!$U$2:$U$27,MATCH(E228,'Cost_Components'!$A$2:$A$27,0)),"")</f>
      </c>
      <c r="AB228" s="82" t="str">
        <f>IFERROR(INDEX('Cost_Components'!$V$2:$V$27,MATCH(E228,'Cost_Components'!$A$2:$A$27,0)),"")</f>
      </c>
      <c r="AC228" s="83" t="str">
        <f>IFERROR(INDEX('Cost_Components'!$M$2:$M$27,MATCH(E228,'Cost_Components'!$A$2:$A$27,0)),"")</f>
      </c>
      <c r="AD228" s="84" t="str">
        <f>IFERROR(INDEX('Cost_Components'!$N$2:$N$27,MATCH(E228,'Cost_Components'!$A$2:$A$27,0)),"")</f>
      </c>
      <c r="AE228" s="20" t="str">
        <f>IFERROR(INDEX('Cost_Components'!$O$2:$O$27,MATCH(E228,'Cost_Components'!$A$2:$A$27,0)),"")</f>
      </c>
      <c r="AF228" s="85" t="n">
        <v>717533.950776703</v>
      </c>
      <c r="AG228" s="86" t="n">
        <v>692011.846145533</v>
      </c>
      <c r="AH228" s="87" t="str">
        <f>IF(H228="shared-count-once",COUNTIFS($A$2:$A$1353,A228,$B$2:$B$1353,B228,$E$2:$E$1353,E228),1)</f>
      </c>
    </row>
    <row r="229">
      <c r="A229" t="s">
        <v>200</v>
      </c>
      <c r="B229" s="59" t="n">
        <v>2044</v>
      </c>
      <c r="C229" t="s">
        <v>200</v>
      </c>
      <c r="D229" t="s">
        <v>166</v>
      </c>
      <c r="E229" s="60" t="s">
        <v>281</v>
      </c>
      <c r="F229" s="61" t="s">
        <v>282</v>
      </c>
      <c r="G229" s="62" t="s">
        <v>203</v>
      </c>
      <c r="H229" s="63" t="s">
        <v>195</v>
      </c>
      <c r="I229" s="64" t="s">
        <v>267</v>
      </c>
      <c r="J229" s="65" t="str">
        <f>IFERROR(INDEX('Cost_Components'!$K$2:$K$27,MATCH(E229,'Cost_Components'!$A$2:$A$27,0)),"")</f>
      </c>
      <c r="K229" s="66" t="str">
        <f>IF(OR(L229="",Z229="",AA229="",AB229=""),"",IF(B229&lt;AA229,L229,IF(B229&gt;AB229,Z229,L229+(Z229-L229)*MIN(MAX((B229-AA229+1)/MAX(AB229-AA229+1,1),0),1))))</f>
      </c>
      <c r="L229" s="67" t="str">
        <f>IFERROR(INDEX('Cost_Components'!$S$2:$S$27,MATCH(E229,'Cost_Components'!$A$2:$A$27,0)),"")</f>
      </c>
      <c r="M229" s="68" t="str">
        <f>IFERROR(INDEX('Cost_Components'!$L$2:$L$27,MATCH(E229,'Cost_Components'!$A$2:$A$27,0)),"")</f>
      </c>
      <c r="N229" s="69" t="str">
        <f>IFERROR(INDEX('Cost_Components'!$P$2:$P$27,MATCH(E229,'Cost_Components'!$A$2:$A$27,0)),"")</f>
      </c>
      <c r="O229" s="70" t="str">
        <f>AF229*J229</f>
      </c>
      <c r="P229" s="71" t="str">
        <f>AG229*J229</f>
      </c>
      <c r="Q229" s="72" t="str">
        <f>P229*L229*M229*N229</f>
      </c>
      <c r="R229" s="73" t="str">
        <f>O229*K229*M229*N229</f>
      </c>
      <c r="S229" s="74" t="str">
        <f>R229-Q229</f>
      </c>
      <c r="T229" s="20" t="str">
        <f>IFERROR(INDEX('Cost_Components'!$R$2:$R$27,MATCH(E229,'Cost_Components'!$A$2:$A$27,0)),"")</f>
      </c>
      <c r="U229" s="75" t="str">
        <f>IFERROR(INDEX('Cost_Components'!$Q$2:$Q$27,MATCH(E229,'Cost_Components'!$A$2:$A$27,0)),"")</f>
      </c>
      <c r="V229" s="76" t="str">
        <f>1/(1+'Calculation_Assumptions'!$B$5)^(B229-'Calculation_Assumptions'!$B$2)</f>
      </c>
      <c r="W229" s="77" t="str">
        <f>Q229*V229</f>
      </c>
      <c r="X229" s="78" t="str">
        <f>R229*V229</f>
      </c>
      <c r="Y229" s="79" t="str">
        <f>S229*V229</f>
      </c>
      <c r="Z229" s="80" t="str">
        <f>IFERROR(INDEX('Cost_Components'!$T$2:$T$27,MATCH(E229,'Cost_Components'!$A$2:$A$27,0)),"")</f>
      </c>
      <c r="AA229" s="81" t="str">
        <f>IFERROR(INDEX('Cost_Components'!$U$2:$U$27,MATCH(E229,'Cost_Components'!$A$2:$A$27,0)),"")</f>
      </c>
      <c r="AB229" s="82" t="str">
        <f>IFERROR(INDEX('Cost_Components'!$V$2:$V$27,MATCH(E229,'Cost_Components'!$A$2:$A$27,0)),"")</f>
      </c>
      <c r="AC229" s="83" t="str">
        <f>IFERROR(INDEX('Cost_Components'!$M$2:$M$27,MATCH(E229,'Cost_Components'!$A$2:$A$27,0)),"")</f>
      </c>
      <c r="AD229" s="84" t="str">
        <f>IFERROR(INDEX('Cost_Components'!$N$2:$N$27,MATCH(E229,'Cost_Components'!$A$2:$A$27,0)),"")</f>
      </c>
      <c r="AE229" s="20" t="str">
        <f>IFERROR(INDEX('Cost_Components'!$O$2:$O$27,MATCH(E229,'Cost_Components'!$A$2:$A$27,0)),"")</f>
      </c>
      <c r="AF229" s="85" t="n">
        <v>734858.462300632</v>
      </c>
      <c r="AG229" s="86" t="n">
        <v>707234.188054573</v>
      </c>
      <c r="AH229" s="87" t="str">
        <f>IF(H229="shared-count-once",COUNTIFS($A$2:$A$1353,A229,$B$2:$B$1353,B229,$E$2:$E$1353,E229),1)</f>
      </c>
    </row>
    <row r="230">
      <c r="A230" t="s">
        <v>200</v>
      </c>
      <c r="B230" s="59" t="n">
        <v>2045</v>
      </c>
      <c r="C230" t="s">
        <v>200</v>
      </c>
      <c r="D230" t="s">
        <v>166</v>
      </c>
      <c r="E230" s="60" t="s">
        <v>281</v>
      </c>
      <c r="F230" s="61" t="s">
        <v>282</v>
      </c>
      <c r="G230" s="62" t="s">
        <v>203</v>
      </c>
      <c r="H230" s="63" t="s">
        <v>195</v>
      </c>
      <c r="I230" s="64" t="s">
        <v>267</v>
      </c>
      <c r="J230" s="65" t="str">
        <f>IFERROR(INDEX('Cost_Components'!$K$2:$K$27,MATCH(E230,'Cost_Components'!$A$2:$A$27,0)),"")</f>
      </c>
      <c r="K230" s="66" t="str">
        <f>IF(OR(L230="",Z230="",AA230="",AB230=""),"",IF(B230&lt;AA230,L230,IF(B230&gt;AB230,Z230,L230+(Z230-L230)*MIN(MAX((B230-AA230+1)/MAX(AB230-AA230+1,1),0),1))))</f>
      </c>
      <c r="L230" s="67" t="str">
        <f>IFERROR(INDEX('Cost_Components'!$S$2:$S$27,MATCH(E230,'Cost_Components'!$A$2:$A$27,0)),"")</f>
      </c>
      <c r="M230" s="68" t="str">
        <f>IFERROR(INDEX('Cost_Components'!$L$2:$L$27,MATCH(E230,'Cost_Components'!$A$2:$A$27,0)),"")</f>
      </c>
      <c r="N230" s="69" t="str">
        <f>IFERROR(INDEX('Cost_Components'!$P$2:$P$27,MATCH(E230,'Cost_Components'!$A$2:$A$27,0)),"")</f>
      </c>
      <c r="O230" s="70" t="str">
        <f>AF230*J230</f>
      </c>
      <c r="P230" s="71" t="str">
        <f>AG230*J230</f>
      </c>
      <c r="Q230" s="72" t="str">
        <f>P230*L230*M230*N230</f>
      </c>
      <c r="R230" s="73" t="str">
        <f>O230*K230*M230*N230</f>
      </c>
      <c r="S230" s="74" t="str">
        <f>R230-Q230</f>
      </c>
      <c r="T230" s="20" t="str">
        <f>IFERROR(INDEX('Cost_Components'!$R$2:$R$27,MATCH(E230,'Cost_Components'!$A$2:$A$27,0)),"")</f>
      </c>
      <c r="U230" s="75" t="str">
        <f>IFERROR(INDEX('Cost_Components'!$Q$2:$Q$27,MATCH(E230,'Cost_Components'!$A$2:$A$27,0)),"")</f>
      </c>
      <c r="V230" s="76" t="str">
        <f>1/(1+'Calculation_Assumptions'!$B$5)^(B230-'Calculation_Assumptions'!$B$2)</f>
      </c>
      <c r="W230" s="77" t="str">
        <f>Q230*V230</f>
      </c>
      <c r="X230" s="78" t="str">
        <f>R230*V230</f>
      </c>
      <c r="Y230" s="79" t="str">
        <f>S230*V230</f>
      </c>
      <c r="Z230" s="80" t="str">
        <f>IFERROR(INDEX('Cost_Components'!$T$2:$T$27,MATCH(E230,'Cost_Components'!$A$2:$A$27,0)),"")</f>
      </c>
      <c r="AA230" s="81" t="str">
        <f>IFERROR(INDEX('Cost_Components'!$U$2:$U$27,MATCH(E230,'Cost_Components'!$A$2:$A$27,0)),"")</f>
      </c>
      <c r="AB230" s="82" t="str">
        <f>IFERROR(INDEX('Cost_Components'!$V$2:$V$27,MATCH(E230,'Cost_Components'!$A$2:$A$27,0)),"")</f>
      </c>
      <c r="AC230" s="83" t="str">
        <f>IFERROR(INDEX('Cost_Components'!$M$2:$M$27,MATCH(E230,'Cost_Components'!$A$2:$A$27,0)),"")</f>
      </c>
      <c r="AD230" s="84" t="str">
        <f>IFERROR(INDEX('Cost_Components'!$N$2:$N$27,MATCH(E230,'Cost_Components'!$A$2:$A$27,0)),"")</f>
      </c>
      <c r="AE230" s="20" t="str">
        <f>IFERROR(INDEX('Cost_Components'!$O$2:$O$27,MATCH(E230,'Cost_Components'!$A$2:$A$27,0)),"")</f>
      </c>
      <c r="AF230" s="85" t="n">
        <v>752328.942036949</v>
      </c>
      <c r="AG230" s="86" t="n">
        <v>722555.372182865</v>
      </c>
      <c r="AH230" s="87" t="str">
        <f>IF(H230="shared-count-once",COUNTIFS($A$2:$A$1353,A230,$B$2:$B$1353,B230,$E$2:$E$1353,E230),1)</f>
      </c>
    </row>
    <row r="231">
      <c r="A231" t="s">
        <v>200</v>
      </c>
      <c r="B231" s="59" t="n">
        <v>2046</v>
      </c>
      <c r="C231" t="s">
        <v>200</v>
      </c>
      <c r="D231" t="s">
        <v>166</v>
      </c>
      <c r="E231" s="60" t="s">
        <v>281</v>
      </c>
      <c r="F231" s="61" t="s">
        <v>282</v>
      </c>
      <c r="G231" s="62" t="s">
        <v>203</v>
      </c>
      <c r="H231" s="63" t="s">
        <v>195</v>
      </c>
      <c r="I231" s="64" t="s">
        <v>267</v>
      </c>
      <c r="J231" s="65" t="str">
        <f>IFERROR(INDEX('Cost_Components'!$K$2:$K$27,MATCH(E231,'Cost_Components'!$A$2:$A$27,0)),"")</f>
      </c>
      <c r="K231" s="66" t="str">
        <f>IF(OR(L231="",Z231="",AA231="",AB231=""),"",IF(B231&lt;AA231,L231,IF(B231&gt;AB231,Z231,L231+(Z231-L231)*MIN(MAX((B231-AA231+1)/MAX(AB231-AA231+1,1),0),1))))</f>
      </c>
      <c r="L231" s="67" t="str">
        <f>IFERROR(INDEX('Cost_Components'!$S$2:$S$27,MATCH(E231,'Cost_Components'!$A$2:$A$27,0)),"")</f>
      </c>
      <c r="M231" s="68" t="str">
        <f>IFERROR(INDEX('Cost_Components'!$L$2:$L$27,MATCH(E231,'Cost_Components'!$A$2:$A$27,0)),"")</f>
      </c>
      <c r="N231" s="69" t="str">
        <f>IFERROR(INDEX('Cost_Components'!$P$2:$P$27,MATCH(E231,'Cost_Components'!$A$2:$A$27,0)),"")</f>
      </c>
      <c r="O231" s="70" t="str">
        <f>AF231*J231</f>
      </c>
      <c r="P231" s="71" t="str">
        <f>AG231*J231</f>
      </c>
      <c r="Q231" s="72" t="str">
        <f>P231*L231*M231*N231</f>
      </c>
      <c r="R231" s="73" t="str">
        <f>O231*K231*M231*N231</f>
      </c>
      <c r="S231" s="74" t="str">
        <f>R231-Q231</f>
      </c>
      <c r="T231" s="20" t="str">
        <f>IFERROR(INDEX('Cost_Components'!$R$2:$R$27,MATCH(E231,'Cost_Components'!$A$2:$A$27,0)),"")</f>
      </c>
      <c r="U231" s="75" t="str">
        <f>IFERROR(INDEX('Cost_Components'!$Q$2:$Q$27,MATCH(E231,'Cost_Components'!$A$2:$A$27,0)),"")</f>
      </c>
      <c r="V231" s="76" t="str">
        <f>1/(1+'Calculation_Assumptions'!$B$5)^(B231-'Calculation_Assumptions'!$B$2)</f>
      </c>
      <c r="W231" s="77" t="str">
        <f>Q231*V231</f>
      </c>
      <c r="X231" s="78" t="str">
        <f>R231*V231</f>
      </c>
      <c r="Y231" s="79" t="str">
        <f>S231*V231</f>
      </c>
      <c r="Z231" s="80" t="str">
        <f>IFERROR(INDEX('Cost_Components'!$T$2:$T$27,MATCH(E231,'Cost_Components'!$A$2:$A$27,0)),"")</f>
      </c>
      <c r="AA231" s="81" t="str">
        <f>IFERROR(INDEX('Cost_Components'!$U$2:$U$27,MATCH(E231,'Cost_Components'!$A$2:$A$27,0)),"")</f>
      </c>
      <c r="AB231" s="82" t="str">
        <f>IFERROR(INDEX('Cost_Components'!$V$2:$V$27,MATCH(E231,'Cost_Components'!$A$2:$A$27,0)),"")</f>
      </c>
      <c r="AC231" s="83" t="str">
        <f>IFERROR(INDEX('Cost_Components'!$M$2:$M$27,MATCH(E231,'Cost_Components'!$A$2:$A$27,0)),"")</f>
      </c>
      <c r="AD231" s="84" t="str">
        <f>IFERROR(INDEX('Cost_Components'!$N$2:$N$27,MATCH(E231,'Cost_Components'!$A$2:$A$27,0)),"")</f>
      </c>
      <c r="AE231" s="20" t="str">
        <f>IFERROR(INDEX('Cost_Components'!$O$2:$O$27,MATCH(E231,'Cost_Components'!$A$2:$A$27,0)),"")</f>
      </c>
      <c r="AF231" s="85" t="n">
        <v>769850.208837841</v>
      </c>
      <c r="AG231" s="86" t="n">
        <v>737879.853931334</v>
      </c>
      <c r="AH231" s="87" t="str">
        <f>IF(H231="shared-count-once",COUNTIFS($A$2:$A$1353,A231,$B$2:$B$1353,B231,$E$2:$E$1353,E231),1)</f>
      </c>
    </row>
    <row r="232">
      <c r="A232" t="s">
        <v>200</v>
      </c>
      <c r="B232" s="59" t="n">
        <v>2047</v>
      </c>
      <c r="C232" t="s">
        <v>200</v>
      </c>
      <c r="D232" t="s">
        <v>166</v>
      </c>
      <c r="E232" s="60" t="s">
        <v>281</v>
      </c>
      <c r="F232" s="61" t="s">
        <v>282</v>
      </c>
      <c r="G232" s="62" t="s">
        <v>203</v>
      </c>
      <c r="H232" s="63" t="s">
        <v>195</v>
      </c>
      <c r="I232" s="64" t="s">
        <v>267</v>
      </c>
      <c r="J232" s="65" t="str">
        <f>IFERROR(INDEX('Cost_Components'!$K$2:$K$27,MATCH(E232,'Cost_Components'!$A$2:$A$27,0)),"")</f>
      </c>
      <c r="K232" s="66" t="str">
        <f>IF(OR(L232="",Z232="",AA232="",AB232=""),"",IF(B232&lt;AA232,L232,IF(B232&gt;AB232,Z232,L232+(Z232-L232)*MIN(MAX((B232-AA232+1)/MAX(AB232-AA232+1,1),0),1))))</f>
      </c>
      <c r="L232" s="67" t="str">
        <f>IFERROR(INDEX('Cost_Components'!$S$2:$S$27,MATCH(E232,'Cost_Components'!$A$2:$A$27,0)),"")</f>
      </c>
      <c r="M232" s="68" t="str">
        <f>IFERROR(INDEX('Cost_Components'!$L$2:$L$27,MATCH(E232,'Cost_Components'!$A$2:$A$27,0)),"")</f>
      </c>
      <c r="N232" s="69" t="str">
        <f>IFERROR(INDEX('Cost_Components'!$P$2:$P$27,MATCH(E232,'Cost_Components'!$A$2:$A$27,0)),"")</f>
      </c>
      <c r="O232" s="70" t="str">
        <f>AF232*J232</f>
      </c>
      <c r="P232" s="71" t="str">
        <f>AG232*J232</f>
      </c>
      <c r="Q232" s="72" t="str">
        <f>P232*L232*M232*N232</f>
      </c>
      <c r="R232" s="73" t="str">
        <f>O232*K232*M232*N232</f>
      </c>
      <c r="S232" s="74" t="str">
        <f>R232-Q232</f>
      </c>
      <c r="T232" s="20" t="str">
        <f>IFERROR(INDEX('Cost_Components'!$R$2:$R$27,MATCH(E232,'Cost_Components'!$A$2:$A$27,0)),"")</f>
      </c>
      <c r="U232" s="75" t="str">
        <f>IFERROR(INDEX('Cost_Components'!$Q$2:$Q$27,MATCH(E232,'Cost_Components'!$A$2:$A$27,0)),"")</f>
      </c>
      <c r="V232" s="76" t="str">
        <f>1/(1+'Calculation_Assumptions'!$B$5)^(B232-'Calculation_Assumptions'!$B$2)</f>
      </c>
      <c r="W232" s="77" t="str">
        <f>Q232*V232</f>
      </c>
      <c r="X232" s="78" t="str">
        <f>R232*V232</f>
      </c>
      <c r="Y232" s="79" t="str">
        <f>S232*V232</f>
      </c>
      <c r="Z232" s="80" t="str">
        <f>IFERROR(INDEX('Cost_Components'!$T$2:$T$27,MATCH(E232,'Cost_Components'!$A$2:$A$27,0)),"")</f>
      </c>
      <c r="AA232" s="81" t="str">
        <f>IFERROR(INDEX('Cost_Components'!$U$2:$U$27,MATCH(E232,'Cost_Components'!$A$2:$A$27,0)),"")</f>
      </c>
      <c r="AB232" s="82" t="str">
        <f>IFERROR(INDEX('Cost_Components'!$V$2:$V$27,MATCH(E232,'Cost_Components'!$A$2:$A$27,0)),"")</f>
      </c>
      <c r="AC232" s="83" t="str">
        <f>IFERROR(INDEX('Cost_Components'!$M$2:$M$27,MATCH(E232,'Cost_Components'!$A$2:$A$27,0)),"")</f>
      </c>
      <c r="AD232" s="84" t="str">
        <f>IFERROR(INDEX('Cost_Components'!$N$2:$N$27,MATCH(E232,'Cost_Components'!$A$2:$A$27,0)),"")</f>
      </c>
      <c r="AE232" s="20" t="str">
        <f>IFERROR(INDEX('Cost_Components'!$O$2:$O$27,MATCH(E232,'Cost_Components'!$A$2:$A$27,0)),"")</f>
      </c>
      <c r="AF232" s="85" t="n">
        <v>787442.159557721</v>
      </c>
      <c r="AG232" s="86" t="n">
        <v>753233.18651991</v>
      </c>
      <c r="AH232" s="87" t="str">
        <f>IF(H232="shared-count-once",COUNTIFS($A$2:$A$1353,A232,$B$2:$B$1353,B232,$E$2:$E$1353,E232),1)</f>
      </c>
    </row>
    <row r="233">
      <c r="A233" t="s">
        <v>200</v>
      </c>
      <c r="B233" s="59" t="n">
        <v>2048</v>
      </c>
      <c r="C233" t="s">
        <v>200</v>
      </c>
      <c r="D233" t="s">
        <v>166</v>
      </c>
      <c r="E233" s="60" t="s">
        <v>281</v>
      </c>
      <c r="F233" s="61" t="s">
        <v>282</v>
      </c>
      <c r="G233" s="62" t="s">
        <v>203</v>
      </c>
      <c r="H233" s="63" t="s">
        <v>195</v>
      </c>
      <c r="I233" s="64" t="s">
        <v>267</v>
      </c>
      <c r="J233" s="65" t="str">
        <f>IFERROR(INDEX('Cost_Components'!$K$2:$K$27,MATCH(E233,'Cost_Components'!$A$2:$A$27,0)),"")</f>
      </c>
      <c r="K233" s="66" t="str">
        <f>IF(OR(L233="",Z233="",AA233="",AB233=""),"",IF(B233&lt;AA233,L233,IF(B233&gt;AB233,Z233,L233+(Z233-L233)*MIN(MAX((B233-AA233+1)/MAX(AB233-AA233+1,1),0),1))))</f>
      </c>
      <c r="L233" s="67" t="str">
        <f>IFERROR(INDEX('Cost_Components'!$S$2:$S$27,MATCH(E233,'Cost_Components'!$A$2:$A$27,0)),"")</f>
      </c>
      <c r="M233" s="68" t="str">
        <f>IFERROR(INDEX('Cost_Components'!$L$2:$L$27,MATCH(E233,'Cost_Components'!$A$2:$A$27,0)),"")</f>
      </c>
      <c r="N233" s="69" t="str">
        <f>IFERROR(INDEX('Cost_Components'!$P$2:$P$27,MATCH(E233,'Cost_Components'!$A$2:$A$27,0)),"")</f>
      </c>
      <c r="O233" s="70" t="str">
        <f>AF233*J233</f>
      </c>
      <c r="P233" s="71" t="str">
        <f>AG233*J233</f>
      </c>
      <c r="Q233" s="72" t="str">
        <f>P233*L233*M233*N233</f>
      </c>
      <c r="R233" s="73" t="str">
        <f>O233*K233*M233*N233</f>
      </c>
      <c r="S233" s="74" t="str">
        <f>R233-Q233</f>
      </c>
      <c r="T233" s="20" t="str">
        <f>IFERROR(INDEX('Cost_Components'!$R$2:$R$27,MATCH(E233,'Cost_Components'!$A$2:$A$27,0)),"")</f>
      </c>
      <c r="U233" s="75" t="str">
        <f>IFERROR(INDEX('Cost_Components'!$Q$2:$Q$27,MATCH(E233,'Cost_Components'!$A$2:$A$27,0)),"")</f>
      </c>
      <c r="V233" s="76" t="str">
        <f>1/(1+'Calculation_Assumptions'!$B$5)^(B233-'Calculation_Assumptions'!$B$2)</f>
      </c>
      <c r="W233" s="77" t="str">
        <f>Q233*V233</f>
      </c>
      <c r="X233" s="78" t="str">
        <f>R233*V233</f>
      </c>
      <c r="Y233" s="79" t="str">
        <f>S233*V233</f>
      </c>
      <c r="Z233" s="80" t="str">
        <f>IFERROR(INDEX('Cost_Components'!$T$2:$T$27,MATCH(E233,'Cost_Components'!$A$2:$A$27,0)),"")</f>
      </c>
      <c r="AA233" s="81" t="str">
        <f>IFERROR(INDEX('Cost_Components'!$U$2:$U$27,MATCH(E233,'Cost_Components'!$A$2:$A$27,0)),"")</f>
      </c>
      <c r="AB233" s="82" t="str">
        <f>IFERROR(INDEX('Cost_Components'!$V$2:$V$27,MATCH(E233,'Cost_Components'!$A$2:$A$27,0)),"")</f>
      </c>
      <c r="AC233" s="83" t="str">
        <f>IFERROR(INDEX('Cost_Components'!$M$2:$M$27,MATCH(E233,'Cost_Components'!$A$2:$A$27,0)),"")</f>
      </c>
      <c r="AD233" s="84" t="str">
        <f>IFERROR(INDEX('Cost_Components'!$N$2:$N$27,MATCH(E233,'Cost_Components'!$A$2:$A$27,0)),"")</f>
      </c>
      <c r="AE233" s="20" t="str">
        <f>IFERROR(INDEX('Cost_Components'!$O$2:$O$27,MATCH(E233,'Cost_Components'!$A$2:$A$27,0)),"")</f>
      </c>
      <c r="AF233" s="85" t="n">
        <v>805265.924430069</v>
      </c>
      <c r="AG233" s="86" t="n">
        <v>768783.336092168</v>
      </c>
      <c r="AH233" s="87" t="str">
        <f>IF(H233="shared-count-once",COUNTIFS($A$2:$A$1353,A233,$B$2:$B$1353,B233,$E$2:$E$1353,E233),1)</f>
      </c>
    </row>
    <row r="234">
      <c r="A234" t="s">
        <v>200</v>
      </c>
      <c r="B234" s="59" t="n">
        <v>2049</v>
      </c>
      <c r="C234" t="s">
        <v>200</v>
      </c>
      <c r="D234" t="s">
        <v>166</v>
      </c>
      <c r="E234" s="60" t="s">
        <v>281</v>
      </c>
      <c r="F234" s="61" t="s">
        <v>282</v>
      </c>
      <c r="G234" s="62" t="s">
        <v>203</v>
      </c>
      <c r="H234" s="63" t="s">
        <v>195</v>
      </c>
      <c r="I234" s="64" t="s">
        <v>267</v>
      </c>
      <c r="J234" s="65" t="str">
        <f>IFERROR(INDEX('Cost_Components'!$K$2:$K$27,MATCH(E234,'Cost_Components'!$A$2:$A$27,0)),"")</f>
      </c>
      <c r="K234" s="66" t="str">
        <f>IF(OR(L234="",Z234="",AA234="",AB234=""),"",IF(B234&lt;AA234,L234,IF(B234&gt;AB234,Z234,L234+(Z234-L234)*MIN(MAX((B234-AA234+1)/MAX(AB234-AA234+1,1),0),1))))</f>
      </c>
      <c r="L234" s="67" t="str">
        <f>IFERROR(INDEX('Cost_Components'!$S$2:$S$27,MATCH(E234,'Cost_Components'!$A$2:$A$27,0)),"")</f>
      </c>
      <c r="M234" s="68" t="str">
        <f>IFERROR(INDEX('Cost_Components'!$L$2:$L$27,MATCH(E234,'Cost_Components'!$A$2:$A$27,0)),"")</f>
      </c>
      <c r="N234" s="69" t="str">
        <f>IFERROR(INDEX('Cost_Components'!$P$2:$P$27,MATCH(E234,'Cost_Components'!$A$2:$A$27,0)),"")</f>
      </c>
      <c r="O234" s="70" t="str">
        <f>AF234*J234</f>
      </c>
      <c r="P234" s="71" t="str">
        <f>AG234*J234</f>
      </c>
      <c r="Q234" s="72" t="str">
        <f>P234*L234*M234*N234</f>
      </c>
      <c r="R234" s="73" t="str">
        <f>O234*K234*M234*N234</f>
      </c>
      <c r="S234" s="74" t="str">
        <f>R234-Q234</f>
      </c>
      <c r="T234" s="20" t="str">
        <f>IFERROR(INDEX('Cost_Components'!$R$2:$R$27,MATCH(E234,'Cost_Components'!$A$2:$A$27,0)),"")</f>
      </c>
      <c r="U234" s="75" t="str">
        <f>IFERROR(INDEX('Cost_Components'!$Q$2:$Q$27,MATCH(E234,'Cost_Components'!$A$2:$A$27,0)),"")</f>
      </c>
      <c r="V234" s="76" t="str">
        <f>1/(1+'Calculation_Assumptions'!$B$5)^(B234-'Calculation_Assumptions'!$B$2)</f>
      </c>
      <c r="W234" s="77" t="str">
        <f>Q234*V234</f>
      </c>
      <c r="X234" s="78" t="str">
        <f>R234*V234</f>
      </c>
      <c r="Y234" s="79" t="str">
        <f>S234*V234</f>
      </c>
      <c r="Z234" s="80" t="str">
        <f>IFERROR(INDEX('Cost_Components'!$T$2:$T$27,MATCH(E234,'Cost_Components'!$A$2:$A$27,0)),"")</f>
      </c>
      <c r="AA234" s="81" t="str">
        <f>IFERROR(INDEX('Cost_Components'!$U$2:$U$27,MATCH(E234,'Cost_Components'!$A$2:$A$27,0)),"")</f>
      </c>
      <c r="AB234" s="82" t="str">
        <f>IFERROR(INDEX('Cost_Components'!$V$2:$V$27,MATCH(E234,'Cost_Components'!$A$2:$A$27,0)),"")</f>
      </c>
      <c r="AC234" s="83" t="str">
        <f>IFERROR(INDEX('Cost_Components'!$M$2:$M$27,MATCH(E234,'Cost_Components'!$A$2:$A$27,0)),"")</f>
      </c>
      <c r="AD234" s="84" t="str">
        <f>IFERROR(INDEX('Cost_Components'!$N$2:$N$27,MATCH(E234,'Cost_Components'!$A$2:$A$27,0)),"")</f>
      </c>
      <c r="AE234" s="20" t="str">
        <f>IFERROR(INDEX('Cost_Components'!$O$2:$O$27,MATCH(E234,'Cost_Components'!$A$2:$A$27,0)),"")</f>
      </c>
      <c r="AF234" s="85" t="n">
        <v>822565.230007403</v>
      </c>
      <c r="AG234" s="86" t="n">
        <v>783775.538450204</v>
      </c>
      <c r="AH234" s="87" t="str">
        <f>IF(H234="shared-count-once",COUNTIFS($A$2:$A$1353,A234,$B$2:$B$1353,B234,$E$2:$E$1353,E234),1)</f>
      </c>
    </row>
    <row r="235">
      <c r="A235" t="s">
        <v>200</v>
      </c>
      <c r="B235" s="59" t="n">
        <v>2050</v>
      </c>
      <c r="C235" t="s">
        <v>200</v>
      </c>
      <c r="D235" t="s">
        <v>166</v>
      </c>
      <c r="E235" s="60" t="s">
        <v>281</v>
      </c>
      <c r="F235" s="61" t="s">
        <v>282</v>
      </c>
      <c r="G235" s="62" t="s">
        <v>203</v>
      </c>
      <c r="H235" s="63" t="s">
        <v>195</v>
      </c>
      <c r="I235" s="64" t="s">
        <v>267</v>
      </c>
      <c r="J235" s="65" t="str">
        <f>IFERROR(INDEX('Cost_Components'!$K$2:$K$27,MATCH(E235,'Cost_Components'!$A$2:$A$27,0)),"")</f>
      </c>
      <c r="K235" s="66" t="str">
        <f>IF(OR(L235="",Z235="",AA235="",AB235=""),"",IF(B235&lt;AA235,L235,IF(B235&gt;AB235,Z235,L235+(Z235-L235)*MIN(MAX((B235-AA235+1)/MAX(AB235-AA235+1,1),0),1))))</f>
      </c>
      <c r="L235" s="67" t="str">
        <f>IFERROR(INDEX('Cost_Components'!$S$2:$S$27,MATCH(E235,'Cost_Components'!$A$2:$A$27,0)),"")</f>
      </c>
      <c r="M235" s="68" t="str">
        <f>IFERROR(INDEX('Cost_Components'!$L$2:$L$27,MATCH(E235,'Cost_Components'!$A$2:$A$27,0)),"")</f>
      </c>
      <c r="N235" s="69" t="str">
        <f>IFERROR(INDEX('Cost_Components'!$P$2:$P$27,MATCH(E235,'Cost_Components'!$A$2:$A$27,0)),"")</f>
      </c>
      <c r="O235" s="70" t="str">
        <f>AF235*J235</f>
      </c>
      <c r="P235" s="71" t="str">
        <f>AG235*J235</f>
      </c>
      <c r="Q235" s="72" t="str">
        <f>P235*L235*M235*N235</f>
      </c>
      <c r="R235" s="73" t="str">
        <f>O235*K235*M235*N235</f>
      </c>
      <c r="S235" s="74" t="str">
        <f>R235-Q235</f>
      </c>
      <c r="T235" s="20" t="str">
        <f>IFERROR(INDEX('Cost_Components'!$R$2:$R$27,MATCH(E235,'Cost_Components'!$A$2:$A$27,0)),"")</f>
      </c>
      <c r="U235" s="75" t="str">
        <f>IFERROR(INDEX('Cost_Components'!$Q$2:$Q$27,MATCH(E235,'Cost_Components'!$A$2:$A$27,0)),"")</f>
      </c>
      <c r="V235" s="76" t="str">
        <f>1/(1+'Calculation_Assumptions'!$B$5)^(B235-'Calculation_Assumptions'!$B$2)</f>
      </c>
      <c r="W235" s="77" t="str">
        <f>Q235*V235</f>
      </c>
      <c r="X235" s="78" t="str">
        <f>R235*V235</f>
      </c>
      <c r="Y235" s="79" t="str">
        <f>S235*V235</f>
      </c>
      <c r="Z235" s="80" t="str">
        <f>IFERROR(INDEX('Cost_Components'!$T$2:$T$27,MATCH(E235,'Cost_Components'!$A$2:$A$27,0)),"")</f>
      </c>
      <c r="AA235" s="81" t="str">
        <f>IFERROR(INDEX('Cost_Components'!$U$2:$U$27,MATCH(E235,'Cost_Components'!$A$2:$A$27,0)),"")</f>
      </c>
      <c r="AB235" s="82" t="str">
        <f>IFERROR(INDEX('Cost_Components'!$V$2:$V$27,MATCH(E235,'Cost_Components'!$A$2:$A$27,0)),"")</f>
      </c>
      <c r="AC235" s="83" t="str">
        <f>IFERROR(INDEX('Cost_Components'!$M$2:$M$27,MATCH(E235,'Cost_Components'!$A$2:$A$27,0)),"")</f>
      </c>
      <c r="AD235" s="84" t="str">
        <f>IFERROR(INDEX('Cost_Components'!$N$2:$N$27,MATCH(E235,'Cost_Components'!$A$2:$A$27,0)),"")</f>
      </c>
      <c r="AE235" s="20" t="str">
        <f>IFERROR(INDEX('Cost_Components'!$O$2:$O$27,MATCH(E235,'Cost_Components'!$A$2:$A$27,0)),"")</f>
      </c>
      <c r="AF235" s="85" t="n">
        <v>839604.686238042</v>
      </c>
      <c r="AG235" s="86" t="n">
        <v>798478.813288951</v>
      </c>
      <c r="AH235" s="87" t="str">
        <f>IF(H235="shared-count-once",COUNTIFS($A$2:$A$1353,A235,$B$2:$B$1353,B235,$E$2:$E$1353,E235),1)</f>
      </c>
    </row>
    <row r="236">
      <c r="A236" t="s">
        <v>200</v>
      </c>
      <c r="B236" s="59" t="n">
        <v>2025</v>
      </c>
      <c r="C236" t="s">
        <v>200</v>
      </c>
      <c r="D236" t="s">
        <v>166</v>
      </c>
      <c r="E236" s="60" t="s">
        <v>283</v>
      </c>
      <c r="F236" s="61" t="s">
        <v>284</v>
      </c>
      <c r="G236" s="62" t="s">
        <v>203</v>
      </c>
      <c r="H236" s="63" t="s">
        <v>195</v>
      </c>
      <c r="I236" s="64" t="s">
        <v>267</v>
      </c>
      <c r="J236" s="65" t="str">
        <f>IFERROR(INDEX('Cost_Components'!$K$2:$K$27,MATCH(E236,'Cost_Components'!$A$2:$A$27,0)),"")</f>
      </c>
      <c r="K236" s="66" t="str">
        <f>IF(OR(L236="",Z236="",AA236="",AB236=""),"",IF(B236&lt;AA236,L236,IF(B236&gt;AB236,Z236,L236+(Z236-L236)*MIN(MAX((B236-AA236+1)/MAX(AB236-AA236+1,1),0),1))))</f>
      </c>
      <c r="L236" s="67" t="str">
        <f>IFERROR(INDEX('Cost_Components'!$S$2:$S$27,MATCH(E236,'Cost_Components'!$A$2:$A$27,0)),"")</f>
      </c>
      <c r="M236" s="68" t="str">
        <f>IFERROR(INDEX('Cost_Components'!$L$2:$L$27,MATCH(E236,'Cost_Components'!$A$2:$A$27,0)),"")</f>
      </c>
      <c r="N236" s="69" t="str">
        <f>IFERROR(INDEX('Cost_Components'!$P$2:$P$27,MATCH(E236,'Cost_Components'!$A$2:$A$27,0)),"")</f>
      </c>
      <c r="O236" s="70" t="str">
        <f>AF236*J236</f>
      </c>
      <c r="P236" s="71" t="str">
        <f>AG236*J236</f>
      </c>
      <c r="Q236" s="72" t="str">
        <f>P236*L236*M236*N236</f>
      </c>
      <c r="R236" s="73" t="str">
        <f>O236*K236*M236*N236</f>
      </c>
      <c r="S236" s="74" t="str">
        <f>R236-Q236</f>
      </c>
      <c r="T236" s="20" t="str">
        <f>IFERROR(INDEX('Cost_Components'!$R$2:$R$27,MATCH(E236,'Cost_Components'!$A$2:$A$27,0)),"")</f>
      </c>
      <c r="U236" s="75" t="str">
        <f>IFERROR(INDEX('Cost_Components'!$Q$2:$Q$27,MATCH(E236,'Cost_Components'!$A$2:$A$27,0)),"")</f>
      </c>
      <c r="V236" s="76" t="str">
        <f>1/(1+'Calculation_Assumptions'!$B$5)^(B236-'Calculation_Assumptions'!$B$2)</f>
      </c>
      <c r="W236" s="77" t="str">
        <f>Q236*V236</f>
      </c>
      <c r="X236" s="78" t="str">
        <f>R236*V236</f>
      </c>
      <c r="Y236" s="79" t="str">
        <f>S236*V236</f>
      </c>
      <c r="Z236" s="80" t="str">
        <f>IFERROR(INDEX('Cost_Components'!$T$2:$T$27,MATCH(E236,'Cost_Components'!$A$2:$A$27,0)),"")</f>
      </c>
      <c r="AA236" s="81" t="str">
        <f>IFERROR(INDEX('Cost_Components'!$U$2:$U$27,MATCH(E236,'Cost_Components'!$A$2:$A$27,0)),"")</f>
      </c>
      <c r="AB236" s="82" t="str">
        <f>IFERROR(INDEX('Cost_Components'!$V$2:$V$27,MATCH(E236,'Cost_Components'!$A$2:$A$27,0)),"")</f>
      </c>
      <c r="AC236" s="83" t="str">
        <f>IFERROR(INDEX('Cost_Components'!$M$2:$M$27,MATCH(E236,'Cost_Components'!$A$2:$A$27,0)),"")</f>
      </c>
      <c r="AD236" s="84" t="str">
        <f>IFERROR(INDEX('Cost_Components'!$N$2:$N$27,MATCH(E236,'Cost_Components'!$A$2:$A$27,0)),"")</f>
      </c>
      <c r="AE236" s="20" t="str">
        <f>IFERROR(INDEX('Cost_Components'!$O$2:$O$27,MATCH(E236,'Cost_Components'!$A$2:$A$27,0)),"")</f>
      </c>
      <c r="AF236" s="85" t="n">
        <v>448716.479983467</v>
      </c>
      <c r="AG236" s="86" t="n">
        <v>448478.89837514</v>
      </c>
      <c r="AH236" s="87" t="str">
        <f>IF(H236="shared-count-once",COUNTIFS($A$2:$A$1353,A236,$B$2:$B$1353,B236,$E$2:$E$1353,E236),1)</f>
      </c>
    </row>
    <row r="237">
      <c r="A237" t="s">
        <v>200</v>
      </c>
      <c r="B237" s="59" t="n">
        <v>2026</v>
      </c>
      <c r="C237" t="s">
        <v>200</v>
      </c>
      <c r="D237" t="s">
        <v>166</v>
      </c>
      <c r="E237" s="60" t="s">
        <v>283</v>
      </c>
      <c r="F237" s="61" t="s">
        <v>284</v>
      </c>
      <c r="G237" s="62" t="s">
        <v>203</v>
      </c>
      <c r="H237" s="63" t="s">
        <v>195</v>
      </c>
      <c r="I237" s="64" t="s">
        <v>267</v>
      </c>
      <c r="J237" s="65" t="str">
        <f>IFERROR(INDEX('Cost_Components'!$K$2:$K$27,MATCH(E237,'Cost_Components'!$A$2:$A$27,0)),"")</f>
      </c>
      <c r="K237" s="66" t="str">
        <f>IF(OR(L237="",Z237="",AA237="",AB237=""),"",IF(B237&lt;AA237,L237,IF(B237&gt;AB237,Z237,L237+(Z237-L237)*MIN(MAX((B237-AA237+1)/MAX(AB237-AA237+1,1),0),1))))</f>
      </c>
      <c r="L237" s="67" t="str">
        <f>IFERROR(INDEX('Cost_Components'!$S$2:$S$27,MATCH(E237,'Cost_Components'!$A$2:$A$27,0)),"")</f>
      </c>
      <c r="M237" s="68" t="str">
        <f>IFERROR(INDEX('Cost_Components'!$L$2:$L$27,MATCH(E237,'Cost_Components'!$A$2:$A$27,0)),"")</f>
      </c>
      <c r="N237" s="69" t="str">
        <f>IFERROR(INDEX('Cost_Components'!$P$2:$P$27,MATCH(E237,'Cost_Components'!$A$2:$A$27,0)),"")</f>
      </c>
      <c r="O237" s="70" t="str">
        <f>AF237*J237</f>
      </c>
      <c r="P237" s="71" t="str">
        <f>AG237*J237</f>
      </c>
      <c r="Q237" s="72" t="str">
        <f>P237*L237*M237*N237</f>
      </c>
      <c r="R237" s="73" t="str">
        <f>O237*K237*M237*N237</f>
      </c>
      <c r="S237" s="74" t="str">
        <f>R237-Q237</f>
      </c>
      <c r="T237" s="20" t="str">
        <f>IFERROR(INDEX('Cost_Components'!$R$2:$R$27,MATCH(E237,'Cost_Components'!$A$2:$A$27,0)),"")</f>
      </c>
      <c r="U237" s="75" t="str">
        <f>IFERROR(INDEX('Cost_Components'!$Q$2:$Q$27,MATCH(E237,'Cost_Components'!$A$2:$A$27,0)),"")</f>
      </c>
      <c r="V237" s="76" t="str">
        <f>1/(1+'Calculation_Assumptions'!$B$5)^(B237-'Calculation_Assumptions'!$B$2)</f>
      </c>
      <c r="W237" s="77" t="str">
        <f>Q237*V237</f>
      </c>
      <c r="X237" s="78" t="str">
        <f>R237*V237</f>
      </c>
      <c r="Y237" s="79" t="str">
        <f>S237*V237</f>
      </c>
      <c r="Z237" s="80" t="str">
        <f>IFERROR(INDEX('Cost_Components'!$T$2:$T$27,MATCH(E237,'Cost_Components'!$A$2:$A$27,0)),"")</f>
      </c>
      <c r="AA237" s="81" t="str">
        <f>IFERROR(INDEX('Cost_Components'!$U$2:$U$27,MATCH(E237,'Cost_Components'!$A$2:$A$27,0)),"")</f>
      </c>
      <c r="AB237" s="82" t="str">
        <f>IFERROR(INDEX('Cost_Components'!$V$2:$V$27,MATCH(E237,'Cost_Components'!$A$2:$A$27,0)),"")</f>
      </c>
      <c r="AC237" s="83" t="str">
        <f>IFERROR(INDEX('Cost_Components'!$M$2:$M$27,MATCH(E237,'Cost_Components'!$A$2:$A$27,0)),"")</f>
      </c>
      <c r="AD237" s="84" t="str">
        <f>IFERROR(INDEX('Cost_Components'!$N$2:$N$27,MATCH(E237,'Cost_Components'!$A$2:$A$27,0)),"")</f>
      </c>
      <c r="AE237" s="20" t="str">
        <f>IFERROR(INDEX('Cost_Components'!$O$2:$O$27,MATCH(E237,'Cost_Components'!$A$2:$A$27,0)),"")</f>
      </c>
      <c r="AF237" s="85" t="n">
        <v>467461.927682412</v>
      </c>
      <c r="AG237" s="86" t="n">
        <v>466784.814466804</v>
      </c>
      <c r="AH237" s="87" t="str">
        <f>IF(H237="shared-count-once",COUNTIFS($A$2:$A$1353,A237,$B$2:$B$1353,B237,$E$2:$E$1353,E237),1)</f>
      </c>
    </row>
    <row r="238">
      <c r="A238" t="s">
        <v>200</v>
      </c>
      <c r="B238" s="59" t="n">
        <v>2027</v>
      </c>
      <c r="C238" t="s">
        <v>200</v>
      </c>
      <c r="D238" t="s">
        <v>166</v>
      </c>
      <c r="E238" s="60" t="s">
        <v>283</v>
      </c>
      <c r="F238" s="61" t="s">
        <v>284</v>
      </c>
      <c r="G238" s="62" t="s">
        <v>203</v>
      </c>
      <c r="H238" s="63" t="s">
        <v>195</v>
      </c>
      <c r="I238" s="64" t="s">
        <v>267</v>
      </c>
      <c r="J238" s="65" t="str">
        <f>IFERROR(INDEX('Cost_Components'!$K$2:$K$27,MATCH(E238,'Cost_Components'!$A$2:$A$27,0)),"")</f>
      </c>
      <c r="K238" s="66" t="str">
        <f>IF(OR(L238="",Z238="",AA238="",AB238=""),"",IF(B238&lt;AA238,L238,IF(B238&gt;AB238,Z238,L238+(Z238-L238)*MIN(MAX((B238-AA238+1)/MAX(AB238-AA238+1,1),0),1))))</f>
      </c>
      <c r="L238" s="67" t="str">
        <f>IFERROR(INDEX('Cost_Components'!$S$2:$S$27,MATCH(E238,'Cost_Components'!$A$2:$A$27,0)),"")</f>
      </c>
      <c r="M238" s="68" t="str">
        <f>IFERROR(INDEX('Cost_Components'!$L$2:$L$27,MATCH(E238,'Cost_Components'!$A$2:$A$27,0)),"")</f>
      </c>
      <c r="N238" s="69" t="str">
        <f>IFERROR(INDEX('Cost_Components'!$P$2:$P$27,MATCH(E238,'Cost_Components'!$A$2:$A$27,0)),"")</f>
      </c>
      <c r="O238" s="70" t="str">
        <f>AF238*J238</f>
      </c>
      <c r="P238" s="71" t="str">
        <f>AG238*J238</f>
      </c>
      <c r="Q238" s="72" t="str">
        <f>P238*L238*M238*N238</f>
      </c>
      <c r="R238" s="73" t="str">
        <f>O238*K238*M238*N238</f>
      </c>
      <c r="S238" s="74" t="str">
        <f>R238-Q238</f>
      </c>
      <c r="T238" s="20" t="str">
        <f>IFERROR(INDEX('Cost_Components'!$R$2:$R$27,MATCH(E238,'Cost_Components'!$A$2:$A$27,0)),"")</f>
      </c>
      <c r="U238" s="75" t="str">
        <f>IFERROR(INDEX('Cost_Components'!$Q$2:$Q$27,MATCH(E238,'Cost_Components'!$A$2:$A$27,0)),"")</f>
      </c>
      <c r="V238" s="76" t="str">
        <f>1/(1+'Calculation_Assumptions'!$B$5)^(B238-'Calculation_Assumptions'!$B$2)</f>
      </c>
      <c r="W238" s="77" t="str">
        <f>Q238*V238</f>
      </c>
      <c r="X238" s="78" t="str">
        <f>R238*V238</f>
      </c>
      <c r="Y238" s="79" t="str">
        <f>S238*V238</f>
      </c>
      <c r="Z238" s="80" t="str">
        <f>IFERROR(INDEX('Cost_Components'!$T$2:$T$27,MATCH(E238,'Cost_Components'!$A$2:$A$27,0)),"")</f>
      </c>
      <c r="AA238" s="81" t="str">
        <f>IFERROR(INDEX('Cost_Components'!$U$2:$U$27,MATCH(E238,'Cost_Components'!$A$2:$A$27,0)),"")</f>
      </c>
      <c r="AB238" s="82" t="str">
        <f>IFERROR(INDEX('Cost_Components'!$V$2:$V$27,MATCH(E238,'Cost_Components'!$A$2:$A$27,0)),"")</f>
      </c>
      <c r="AC238" s="83" t="str">
        <f>IFERROR(INDEX('Cost_Components'!$M$2:$M$27,MATCH(E238,'Cost_Components'!$A$2:$A$27,0)),"")</f>
      </c>
      <c r="AD238" s="84" t="str">
        <f>IFERROR(INDEX('Cost_Components'!$N$2:$N$27,MATCH(E238,'Cost_Components'!$A$2:$A$27,0)),"")</f>
      </c>
      <c r="AE238" s="20" t="str">
        <f>IFERROR(INDEX('Cost_Components'!$O$2:$O$27,MATCH(E238,'Cost_Components'!$A$2:$A$27,0)),"")</f>
      </c>
      <c r="AF238" s="85" t="n">
        <v>482907.636944933</v>
      </c>
      <c r="AG238" s="86" t="n">
        <v>481614.310299758</v>
      </c>
      <c r="AH238" s="87" t="str">
        <f>IF(H238="shared-count-once",COUNTIFS($A$2:$A$1353,A238,$B$2:$B$1353,B238,$E$2:$E$1353,E238),1)</f>
      </c>
    </row>
    <row r="239">
      <c r="A239" t="s">
        <v>200</v>
      </c>
      <c r="B239" s="59" t="n">
        <v>2028</v>
      </c>
      <c r="C239" t="s">
        <v>200</v>
      </c>
      <c r="D239" t="s">
        <v>166</v>
      </c>
      <c r="E239" s="60" t="s">
        <v>283</v>
      </c>
      <c r="F239" s="61" t="s">
        <v>284</v>
      </c>
      <c r="G239" s="62" t="s">
        <v>203</v>
      </c>
      <c r="H239" s="63" t="s">
        <v>195</v>
      </c>
      <c r="I239" s="64" t="s">
        <v>267</v>
      </c>
      <c r="J239" s="65" t="str">
        <f>IFERROR(INDEX('Cost_Components'!$K$2:$K$27,MATCH(E239,'Cost_Components'!$A$2:$A$27,0)),"")</f>
      </c>
      <c r="K239" s="66" t="str">
        <f>IF(OR(L239="",Z239="",AA239="",AB239=""),"",IF(B239&lt;AA239,L239,IF(B239&gt;AB239,Z239,L239+(Z239-L239)*MIN(MAX((B239-AA239+1)/MAX(AB239-AA239+1,1),0),1))))</f>
      </c>
      <c r="L239" s="67" t="str">
        <f>IFERROR(INDEX('Cost_Components'!$S$2:$S$27,MATCH(E239,'Cost_Components'!$A$2:$A$27,0)),"")</f>
      </c>
      <c r="M239" s="68" t="str">
        <f>IFERROR(INDEX('Cost_Components'!$L$2:$L$27,MATCH(E239,'Cost_Components'!$A$2:$A$27,0)),"")</f>
      </c>
      <c r="N239" s="69" t="str">
        <f>IFERROR(INDEX('Cost_Components'!$P$2:$P$27,MATCH(E239,'Cost_Components'!$A$2:$A$27,0)),"")</f>
      </c>
      <c r="O239" s="70" t="str">
        <f>AF239*J239</f>
      </c>
      <c r="P239" s="71" t="str">
        <f>AG239*J239</f>
      </c>
      <c r="Q239" s="72" t="str">
        <f>P239*L239*M239*N239</f>
      </c>
      <c r="R239" s="73" t="str">
        <f>O239*K239*M239*N239</f>
      </c>
      <c r="S239" s="74" t="str">
        <f>R239-Q239</f>
      </c>
      <c r="T239" s="20" t="str">
        <f>IFERROR(INDEX('Cost_Components'!$R$2:$R$27,MATCH(E239,'Cost_Components'!$A$2:$A$27,0)),"")</f>
      </c>
      <c r="U239" s="75" t="str">
        <f>IFERROR(INDEX('Cost_Components'!$Q$2:$Q$27,MATCH(E239,'Cost_Components'!$A$2:$A$27,0)),"")</f>
      </c>
      <c r="V239" s="76" t="str">
        <f>1/(1+'Calculation_Assumptions'!$B$5)^(B239-'Calculation_Assumptions'!$B$2)</f>
      </c>
      <c r="W239" s="77" t="str">
        <f>Q239*V239</f>
      </c>
      <c r="X239" s="78" t="str">
        <f>R239*V239</f>
      </c>
      <c r="Y239" s="79" t="str">
        <f>S239*V239</f>
      </c>
      <c r="Z239" s="80" t="str">
        <f>IFERROR(INDEX('Cost_Components'!$T$2:$T$27,MATCH(E239,'Cost_Components'!$A$2:$A$27,0)),"")</f>
      </c>
      <c r="AA239" s="81" t="str">
        <f>IFERROR(INDEX('Cost_Components'!$U$2:$U$27,MATCH(E239,'Cost_Components'!$A$2:$A$27,0)),"")</f>
      </c>
      <c r="AB239" s="82" t="str">
        <f>IFERROR(INDEX('Cost_Components'!$V$2:$V$27,MATCH(E239,'Cost_Components'!$A$2:$A$27,0)),"")</f>
      </c>
      <c r="AC239" s="83" t="str">
        <f>IFERROR(INDEX('Cost_Components'!$M$2:$M$27,MATCH(E239,'Cost_Components'!$A$2:$A$27,0)),"")</f>
      </c>
      <c r="AD239" s="84" t="str">
        <f>IFERROR(INDEX('Cost_Components'!$N$2:$N$27,MATCH(E239,'Cost_Components'!$A$2:$A$27,0)),"")</f>
      </c>
      <c r="AE239" s="20" t="str">
        <f>IFERROR(INDEX('Cost_Components'!$O$2:$O$27,MATCH(E239,'Cost_Components'!$A$2:$A$27,0)),"")</f>
      </c>
      <c r="AF239" s="85" t="n">
        <v>496412.218888145</v>
      </c>
      <c r="AG239" s="86" t="n">
        <v>494345.788363417</v>
      </c>
      <c r="AH239" s="87" t="str">
        <f>IF(H239="shared-count-once",COUNTIFS($A$2:$A$1353,A239,$B$2:$B$1353,B239,$E$2:$E$1353,E239),1)</f>
      </c>
    </row>
    <row r="240">
      <c r="A240" t="s">
        <v>200</v>
      </c>
      <c r="B240" s="59" t="n">
        <v>2029</v>
      </c>
      <c r="C240" t="s">
        <v>200</v>
      </c>
      <c r="D240" t="s">
        <v>166</v>
      </c>
      <c r="E240" s="60" t="s">
        <v>283</v>
      </c>
      <c r="F240" s="61" t="s">
        <v>284</v>
      </c>
      <c r="G240" s="62" t="s">
        <v>203</v>
      </c>
      <c r="H240" s="63" t="s">
        <v>195</v>
      </c>
      <c r="I240" s="64" t="s">
        <v>267</v>
      </c>
      <c r="J240" s="65" t="str">
        <f>IFERROR(INDEX('Cost_Components'!$K$2:$K$27,MATCH(E240,'Cost_Components'!$A$2:$A$27,0)),"")</f>
      </c>
      <c r="K240" s="66" t="str">
        <f>IF(OR(L240="",Z240="",AA240="",AB240=""),"",IF(B240&lt;AA240,L240,IF(B240&gt;AB240,Z240,L240+(Z240-L240)*MIN(MAX((B240-AA240+1)/MAX(AB240-AA240+1,1),0),1))))</f>
      </c>
      <c r="L240" s="67" t="str">
        <f>IFERROR(INDEX('Cost_Components'!$S$2:$S$27,MATCH(E240,'Cost_Components'!$A$2:$A$27,0)),"")</f>
      </c>
      <c r="M240" s="68" t="str">
        <f>IFERROR(INDEX('Cost_Components'!$L$2:$L$27,MATCH(E240,'Cost_Components'!$A$2:$A$27,0)),"")</f>
      </c>
      <c r="N240" s="69" t="str">
        <f>IFERROR(INDEX('Cost_Components'!$P$2:$P$27,MATCH(E240,'Cost_Components'!$A$2:$A$27,0)),"")</f>
      </c>
      <c r="O240" s="70" t="str">
        <f>AF240*J240</f>
      </c>
      <c r="P240" s="71" t="str">
        <f>AG240*J240</f>
      </c>
      <c r="Q240" s="72" t="str">
        <f>P240*L240*M240*N240</f>
      </c>
      <c r="R240" s="73" t="str">
        <f>O240*K240*M240*N240</f>
      </c>
      <c r="S240" s="74" t="str">
        <f>R240-Q240</f>
      </c>
      <c r="T240" s="20" t="str">
        <f>IFERROR(INDEX('Cost_Components'!$R$2:$R$27,MATCH(E240,'Cost_Components'!$A$2:$A$27,0)),"")</f>
      </c>
      <c r="U240" s="75" t="str">
        <f>IFERROR(INDEX('Cost_Components'!$Q$2:$Q$27,MATCH(E240,'Cost_Components'!$A$2:$A$27,0)),"")</f>
      </c>
      <c r="V240" s="76" t="str">
        <f>1/(1+'Calculation_Assumptions'!$B$5)^(B240-'Calculation_Assumptions'!$B$2)</f>
      </c>
      <c r="W240" s="77" t="str">
        <f>Q240*V240</f>
      </c>
      <c r="X240" s="78" t="str">
        <f>R240*V240</f>
      </c>
      <c r="Y240" s="79" t="str">
        <f>S240*V240</f>
      </c>
      <c r="Z240" s="80" t="str">
        <f>IFERROR(INDEX('Cost_Components'!$T$2:$T$27,MATCH(E240,'Cost_Components'!$A$2:$A$27,0)),"")</f>
      </c>
      <c r="AA240" s="81" t="str">
        <f>IFERROR(INDEX('Cost_Components'!$U$2:$U$27,MATCH(E240,'Cost_Components'!$A$2:$A$27,0)),"")</f>
      </c>
      <c r="AB240" s="82" t="str">
        <f>IFERROR(INDEX('Cost_Components'!$V$2:$V$27,MATCH(E240,'Cost_Components'!$A$2:$A$27,0)),"")</f>
      </c>
      <c r="AC240" s="83" t="str">
        <f>IFERROR(INDEX('Cost_Components'!$M$2:$M$27,MATCH(E240,'Cost_Components'!$A$2:$A$27,0)),"")</f>
      </c>
      <c r="AD240" s="84" t="str">
        <f>IFERROR(INDEX('Cost_Components'!$N$2:$N$27,MATCH(E240,'Cost_Components'!$A$2:$A$27,0)),"")</f>
      </c>
      <c r="AE240" s="20" t="str">
        <f>IFERROR(INDEX('Cost_Components'!$O$2:$O$27,MATCH(E240,'Cost_Components'!$A$2:$A$27,0)),"")</f>
      </c>
      <c r="AF240" s="85" t="n">
        <v>508176.645274569</v>
      </c>
      <c r="AG240" s="86" t="n">
        <v>505191.380474151</v>
      </c>
      <c r="AH240" s="87" t="str">
        <f>IF(H240="shared-count-once",COUNTIFS($A$2:$A$1353,A240,$B$2:$B$1353,B240,$E$2:$E$1353,E240),1)</f>
      </c>
    </row>
    <row r="241">
      <c r="A241" t="s">
        <v>200</v>
      </c>
      <c r="B241" s="59" t="n">
        <v>2030</v>
      </c>
      <c r="C241" t="s">
        <v>200</v>
      </c>
      <c r="D241" t="s">
        <v>166</v>
      </c>
      <c r="E241" s="60" t="s">
        <v>283</v>
      </c>
      <c r="F241" s="61" t="s">
        <v>284</v>
      </c>
      <c r="G241" s="62" t="s">
        <v>203</v>
      </c>
      <c r="H241" s="63" t="s">
        <v>195</v>
      </c>
      <c r="I241" s="64" t="s">
        <v>267</v>
      </c>
      <c r="J241" s="65" t="str">
        <f>IFERROR(INDEX('Cost_Components'!$K$2:$K$27,MATCH(E241,'Cost_Components'!$A$2:$A$27,0)),"")</f>
      </c>
      <c r="K241" s="66" t="str">
        <f>IF(OR(L241="",Z241="",AA241="",AB241=""),"",IF(B241&lt;AA241,L241,IF(B241&gt;AB241,Z241,L241+(Z241-L241)*MIN(MAX((B241-AA241+1)/MAX(AB241-AA241+1,1),0),1))))</f>
      </c>
      <c r="L241" s="67" t="str">
        <f>IFERROR(INDEX('Cost_Components'!$S$2:$S$27,MATCH(E241,'Cost_Components'!$A$2:$A$27,0)),"")</f>
      </c>
      <c r="M241" s="68" t="str">
        <f>IFERROR(INDEX('Cost_Components'!$L$2:$L$27,MATCH(E241,'Cost_Components'!$A$2:$A$27,0)),"")</f>
      </c>
      <c r="N241" s="69" t="str">
        <f>IFERROR(INDEX('Cost_Components'!$P$2:$P$27,MATCH(E241,'Cost_Components'!$A$2:$A$27,0)),"")</f>
      </c>
      <c r="O241" s="70" t="str">
        <f>AF241*J241</f>
      </c>
      <c r="P241" s="71" t="str">
        <f>AG241*J241</f>
      </c>
      <c r="Q241" s="72" t="str">
        <f>P241*L241*M241*N241</f>
      </c>
      <c r="R241" s="73" t="str">
        <f>O241*K241*M241*N241</f>
      </c>
      <c r="S241" s="74" t="str">
        <f>R241-Q241</f>
      </c>
      <c r="T241" s="20" t="str">
        <f>IFERROR(INDEX('Cost_Components'!$R$2:$R$27,MATCH(E241,'Cost_Components'!$A$2:$A$27,0)),"")</f>
      </c>
      <c r="U241" s="75" t="str">
        <f>IFERROR(INDEX('Cost_Components'!$Q$2:$Q$27,MATCH(E241,'Cost_Components'!$A$2:$A$27,0)),"")</f>
      </c>
      <c r="V241" s="76" t="str">
        <f>1/(1+'Calculation_Assumptions'!$B$5)^(B241-'Calculation_Assumptions'!$B$2)</f>
      </c>
      <c r="W241" s="77" t="str">
        <f>Q241*V241</f>
      </c>
      <c r="X241" s="78" t="str">
        <f>R241*V241</f>
      </c>
      <c r="Y241" s="79" t="str">
        <f>S241*V241</f>
      </c>
      <c r="Z241" s="80" t="str">
        <f>IFERROR(INDEX('Cost_Components'!$T$2:$T$27,MATCH(E241,'Cost_Components'!$A$2:$A$27,0)),"")</f>
      </c>
      <c r="AA241" s="81" t="str">
        <f>IFERROR(INDEX('Cost_Components'!$U$2:$U$27,MATCH(E241,'Cost_Components'!$A$2:$A$27,0)),"")</f>
      </c>
      <c r="AB241" s="82" t="str">
        <f>IFERROR(INDEX('Cost_Components'!$V$2:$V$27,MATCH(E241,'Cost_Components'!$A$2:$A$27,0)),"")</f>
      </c>
      <c r="AC241" s="83" t="str">
        <f>IFERROR(INDEX('Cost_Components'!$M$2:$M$27,MATCH(E241,'Cost_Components'!$A$2:$A$27,0)),"")</f>
      </c>
      <c r="AD241" s="84" t="str">
        <f>IFERROR(INDEX('Cost_Components'!$N$2:$N$27,MATCH(E241,'Cost_Components'!$A$2:$A$27,0)),"")</f>
      </c>
      <c r="AE241" s="20" t="str">
        <f>IFERROR(INDEX('Cost_Components'!$O$2:$O$27,MATCH(E241,'Cost_Components'!$A$2:$A$27,0)),"")</f>
      </c>
      <c r="AF241" s="85" t="n">
        <v>520079.239902453</v>
      </c>
      <c r="AG241" s="86" t="n">
        <v>516054.92713886</v>
      </c>
      <c r="AH241" s="87" t="str">
        <f>IF(H241="shared-count-once",COUNTIFS($A$2:$A$1353,A241,$B$2:$B$1353,B241,$E$2:$E$1353,E241),1)</f>
      </c>
    </row>
    <row r="242">
      <c r="A242" t="s">
        <v>200</v>
      </c>
      <c r="B242" s="59" t="n">
        <v>2031</v>
      </c>
      <c r="C242" t="s">
        <v>200</v>
      </c>
      <c r="D242" t="s">
        <v>166</v>
      </c>
      <c r="E242" s="60" t="s">
        <v>283</v>
      </c>
      <c r="F242" s="61" t="s">
        <v>284</v>
      </c>
      <c r="G242" s="62" t="s">
        <v>203</v>
      </c>
      <c r="H242" s="63" t="s">
        <v>195</v>
      </c>
      <c r="I242" s="64" t="s">
        <v>267</v>
      </c>
      <c r="J242" s="65" t="str">
        <f>IFERROR(INDEX('Cost_Components'!$K$2:$K$27,MATCH(E242,'Cost_Components'!$A$2:$A$27,0)),"")</f>
      </c>
      <c r="K242" s="66" t="str">
        <f>IF(OR(L242="",Z242="",AA242="",AB242=""),"",IF(B242&lt;AA242,L242,IF(B242&gt;AB242,Z242,L242+(Z242-L242)*MIN(MAX((B242-AA242+1)/MAX(AB242-AA242+1,1),0),1))))</f>
      </c>
      <c r="L242" s="67" t="str">
        <f>IFERROR(INDEX('Cost_Components'!$S$2:$S$27,MATCH(E242,'Cost_Components'!$A$2:$A$27,0)),"")</f>
      </c>
      <c r="M242" s="68" t="str">
        <f>IFERROR(INDEX('Cost_Components'!$L$2:$L$27,MATCH(E242,'Cost_Components'!$A$2:$A$27,0)),"")</f>
      </c>
      <c r="N242" s="69" t="str">
        <f>IFERROR(INDEX('Cost_Components'!$P$2:$P$27,MATCH(E242,'Cost_Components'!$A$2:$A$27,0)),"")</f>
      </c>
      <c r="O242" s="70" t="str">
        <f>AF242*J242</f>
      </c>
      <c r="P242" s="71" t="str">
        <f>AG242*J242</f>
      </c>
      <c r="Q242" s="72" t="str">
        <f>P242*L242*M242*N242</f>
      </c>
      <c r="R242" s="73" t="str">
        <f>O242*K242*M242*N242</f>
      </c>
      <c r="S242" s="74" t="str">
        <f>R242-Q242</f>
      </c>
      <c r="T242" s="20" t="str">
        <f>IFERROR(INDEX('Cost_Components'!$R$2:$R$27,MATCH(E242,'Cost_Components'!$A$2:$A$27,0)),"")</f>
      </c>
      <c r="U242" s="75" t="str">
        <f>IFERROR(INDEX('Cost_Components'!$Q$2:$Q$27,MATCH(E242,'Cost_Components'!$A$2:$A$27,0)),"")</f>
      </c>
      <c r="V242" s="76" t="str">
        <f>1/(1+'Calculation_Assumptions'!$B$5)^(B242-'Calculation_Assumptions'!$B$2)</f>
      </c>
      <c r="W242" s="77" t="str">
        <f>Q242*V242</f>
      </c>
      <c r="X242" s="78" t="str">
        <f>R242*V242</f>
      </c>
      <c r="Y242" s="79" t="str">
        <f>S242*V242</f>
      </c>
      <c r="Z242" s="80" t="str">
        <f>IFERROR(INDEX('Cost_Components'!$T$2:$T$27,MATCH(E242,'Cost_Components'!$A$2:$A$27,0)),"")</f>
      </c>
      <c r="AA242" s="81" t="str">
        <f>IFERROR(INDEX('Cost_Components'!$U$2:$U$27,MATCH(E242,'Cost_Components'!$A$2:$A$27,0)),"")</f>
      </c>
      <c r="AB242" s="82" t="str">
        <f>IFERROR(INDEX('Cost_Components'!$V$2:$V$27,MATCH(E242,'Cost_Components'!$A$2:$A$27,0)),"")</f>
      </c>
      <c r="AC242" s="83" t="str">
        <f>IFERROR(INDEX('Cost_Components'!$M$2:$M$27,MATCH(E242,'Cost_Components'!$A$2:$A$27,0)),"")</f>
      </c>
      <c r="AD242" s="84" t="str">
        <f>IFERROR(INDEX('Cost_Components'!$N$2:$N$27,MATCH(E242,'Cost_Components'!$A$2:$A$27,0)),"")</f>
      </c>
      <c r="AE242" s="20" t="str">
        <f>IFERROR(INDEX('Cost_Components'!$O$2:$O$27,MATCH(E242,'Cost_Components'!$A$2:$A$27,0)),"")</f>
      </c>
      <c r="AF242" s="85" t="n">
        <v>532432.933729791</v>
      </c>
      <c r="AG242" s="86" t="n">
        <v>527258.82041239</v>
      </c>
      <c r="AH242" s="87" t="str">
        <f>IF(H242="shared-count-once",COUNTIFS($A$2:$A$1353,A242,$B$2:$B$1353,B242,$E$2:$E$1353,E242),1)</f>
      </c>
    </row>
    <row r="243">
      <c r="A243" t="s">
        <v>200</v>
      </c>
      <c r="B243" s="59" t="n">
        <v>2032</v>
      </c>
      <c r="C243" t="s">
        <v>200</v>
      </c>
      <c r="D243" t="s">
        <v>166</v>
      </c>
      <c r="E243" s="60" t="s">
        <v>283</v>
      </c>
      <c r="F243" s="61" t="s">
        <v>284</v>
      </c>
      <c r="G243" s="62" t="s">
        <v>203</v>
      </c>
      <c r="H243" s="63" t="s">
        <v>195</v>
      </c>
      <c r="I243" s="64" t="s">
        <v>267</v>
      </c>
      <c r="J243" s="65" t="str">
        <f>IFERROR(INDEX('Cost_Components'!$K$2:$K$27,MATCH(E243,'Cost_Components'!$A$2:$A$27,0)),"")</f>
      </c>
      <c r="K243" s="66" t="str">
        <f>IF(OR(L243="",Z243="",AA243="",AB243=""),"",IF(B243&lt;AA243,L243,IF(B243&gt;AB243,Z243,L243+(Z243-L243)*MIN(MAX((B243-AA243+1)/MAX(AB243-AA243+1,1),0),1))))</f>
      </c>
      <c r="L243" s="67" t="str">
        <f>IFERROR(INDEX('Cost_Components'!$S$2:$S$27,MATCH(E243,'Cost_Components'!$A$2:$A$27,0)),"")</f>
      </c>
      <c r="M243" s="68" t="str">
        <f>IFERROR(INDEX('Cost_Components'!$L$2:$L$27,MATCH(E243,'Cost_Components'!$A$2:$A$27,0)),"")</f>
      </c>
      <c r="N243" s="69" t="str">
        <f>IFERROR(INDEX('Cost_Components'!$P$2:$P$27,MATCH(E243,'Cost_Components'!$A$2:$A$27,0)),"")</f>
      </c>
      <c r="O243" s="70" t="str">
        <f>AF243*J243</f>
      </c>
      <c r="P243" s="71" t="str">
        <f>AG243*J243</f>
      </c>
      <c r="Q243" s="72" t="str">
        <f>P243*L243*M243*N243</f>
      </c>
      <c r="R243" s="73" t="str">
        <f>O243*K243*M243*N243</f>
      </c>
      <c r="S243" s="74" t="str">
        <f>R243-Q243</f>
      </c>
      <c r="T243" s="20" t="str">
        <f>IFERROR(INDEX('Cost_Components'!$R$2:$R$27,MATCH(E243,'Cost_Components'!$A$2:$A$27,0)),"")</f>
      </c>
      <c r="U243" s="75" t="str">
        <f>IFERROR(INDEX('Cost_Components'!$Q$2:$Q$27,MATCH(E243,'Cost_Components'!$A$2:$A$27,0)),"")</f>
      </c>
      <c r="V243" s="76" t="str">
        <f>1/(1+'Calculation_Assumptions'!$B$5)^(B243-'Calculation_Assumptions'!$B$2)</f>
      </c>
      <c r="W243" s="77" t="str">
        <f>Q243*V243</f>
      </c>
      <c r="X243" s="78" t="str">
        <f>R243*V243</f>
      </c>
      <c r="Y243" s="79" t="str">
        <f>S243*V243</f>
      </c>
      <c r="Z243" s="80" t="str">
        <f>IFERROR(INDEX('Cost_Components'!$T$2:$T$27,MATCH(E243,'Cost_Components'!$A$2:$A$27,0)),"")</f>
      </c>
      <c r="AA243" s="81" t="str">
        <f>IFERROR(INDEX('Cost_Components'!$U$2:$U$27,MATCH(E243,'Cost_Components'!$A$2:$A$27,0)),"")</f>
      </c>
      <c r="AB243" s="82" t="str">
        <f>IFERROR(INDEX('Cost_Components'!$V$2:$V$27,MATCH(E243,'Cost_Components'!$A$2:$A$27,0)),"")</f>
      </c>
      <c r="AC243" s="83" t="str">
        <f>IFERROR(INDEX('Cost_Components'!$M$2:$M$27,MATCH(E243,'Cost_Components'!$A$2:$A$27,0)),"")</f>
      </c>
      <c r="AD243" s="84" t="str">
        <f>IFERROR(INDEX('Cost_Components'!$N$2:$N$27,MATCH(E243,'Cost_Components'!$A$2:$A$27,0)),"")</f>
      </c>
      <c r="AE243" s="20" t="str">
        <f>IFERROR(INDEX('Cost_Components'!$O$2:$O$27,MATCH(E243,'Cost_Components'!$A$2:$A$27,0)),"")</f>
      </c>
      <c r="AF243" s="85" t="n">
        <v>545268.555084001</v>
      </c>
      <c r="AG243" s="86" t="n">
        <v>538838.193996299</v>
      </c>
      <c r="AH243" s="87" t="str">
        <f>IF(H243="shared-count-once",COUNTIFS($A$2:$A$1353,A243,$B$2:$B$1353,B243,$E$2:$E$1353,E243),1)</f>
      </c>
    </row>
    <row r="244">
      <c r="A244" t="s">
        <v>200</v>
      </c>
      <c r="B244" s="59" t="n">
        <v>2033</v>
      </c>
      <c r="C244" t="s">
        <v>200</v>
      </c>
      <c r="D244" t="s">
        <v>166</v>
      </c>
      <c r="E244" s="60" t="s">
        <v>283</v>
      </c>
      <c r="F244" s="61" t="s">
        <v>284</v>
      </c>
      <c r="G244" s="62" t="s">
        <v>203</v>
      </c>
      <c r="H244" s="63" t="s">
        <v>195</v>
      </c>
      <c r="I244" s="64" t="s">
        <v>267</v>
      </c>
      <c r="J244" s="65" t="str">
        <f>IFERROR(INDEX('Cost_Components'!$K$2:$K$27,MATCH(E244,'Cost_Components'!$A$2:$A$27,0)),"")</f>
      </c>
      <c r="K244" s="66" t="str">
        <f>IF(OR(L244="",Z244="",AA244="",AB244=""),"",IF(B244&lt;AA244,L244,IF(B244&gt;AB244,Z244,L244+(Z244-L244)*MIN(MAX((B244-AA244+1)/MAX(AB244-AA244+1,1),0),1))))</f>
      </c>
      <c r="L244" s="67" t="str">
        <f>IFERROR(INDEX('Cost_Components'!$S$2:$S$27,MATCH(E244,'Cost_Components'!$A$2:$A$27,0)),"")</f>
      </c>
      <c r="M244" s="68" t="str">
        <f>IFERROR(INDEX('Cost_Components'!$L$2:$L$27,MATCH(E244,'Cost_Components'!$A$2:$A$27,0)),"")</f>
      </c>
      <c r="N244" s="69" t="str">
        <f>IFERROR(INDEX('Cost_Components'!$P$2:$P$27,MATCH(E244,'Cost_Components'!$A$2:$A$27,0)),"")</f>
      </c>
      <c r="O244" s="70" t="str">
        <f>AF244*J244</f>
      </c>
      <c r="P244" s="71" t="str">
        <f>AG244*J244</f>
      </c>
      <c r="Q244" s="72" t="str">
        <f>P244*L244*M244*N244</f>
      </c>
      <c r="R244" s="73" t="str">
        <f>O244*K244*M244*N244</f>
      </c>
      <c r="S244" s="74" t="str">
        <f>R244-Q244</f>
      </c>
      <c r="T244" s="20" t="str">
        <f>IFERROR(INDEX('Cost_Components'!$R$2:$R$27,MATCH(E244,'Cost_Components'!$A$2:$A$27,0)),"")</f>
      </c>
      <c r="U244" s="75" t="str">
        <f>IFERROR(INDEX('Cost_Components'!$Q$2:$Q$27,MATCH(E244,'Cost_Components'!$A$2:$A$27,0)),"")</f>
      </c>
      <c r="V244" s="76" t="str">
        <f>1/(1+'Calculation_Assumptions'!$B$5)^(B244-'Calculation_Assumptions'!$B$2)</f>
      </c>
      <c r="W244" s="77" t="str">
        <f>Q244*V244</f>
      </c>
      <c r="X244" s="78" t="str">
        <f>R244*V244</f>
      </c>
      <c r="Y244" s="79" t="str">
        <f>S244*V244</f>
      </c>
      <c r="Z244" s="80" t="str">
        <f>IFERROR(INDEX('Cost_Components'!$T$2:$T$27,MATCH(E244,'Cost_Components'!$A$2:$A$27,0)),"")</f>
      </c>
      <c r="AA244" s="81" t="str">
        <f>IFERROR(INDEX('Cost_Components'!$U$2:$U$27,MATCH(E244,'Cost_Components'!$A$2:$A$27,0)),"")</f>
      </c>
      <c r="AB244" s="82" t="str">
        <f>IFERROR(INDEX('Cost_Components'!$V$2:$V$27,MATCH(E244,'Cost_Components'!$A$2:$A$27,0)),"")</f>
      </c>
      <c r="AC244" s="83" t="str">
        <f>IFERROR(INDEX('Cost_Components'!$M$2:$M$27,MATCH(E244,'Cost_Components'!$A$2:$A$27,0)),"")</f>
      </c>
      <c r="AD244" s="84" t="str">
        <f>IFERROR(INDEX('Cost_Components'!$N$2:$N$27,MATCH(E244,'Cost_Components'!$A$2:$A$27,0)),"")</f>
      </c>
      <c r="AE244" s="20" t="str">
        <f>IFERROR(INDEX('Cost_Components'!$O$2:$O$27,MATCH(E244,'Cost_Components'!$A$2:$A$27,0)),"")</f>
      </c>
      <c r="AF244" s="85" t="n">
        <v>558701.169418937</v>
      </c>
      <c r="AG244" s="86" t="n">
        <v>550915.137227313</v>
      </c>
      <c r="AH244" s="87" t="str">
        <f>IF(H244="shared-count-once",COUNTIFS($A$2:$A$1353,A244,$B$2:$B$1353,B244,$E$2:$E$1353,E244),1)</f>
      </c>
    </row>
    <row r="245">
      <c r="A245" t="s">
        <v>200</v>
      </c>
      <c r="B245" s="59" t="n">
        <v>2034</v>
      </c>
      <c r="C245" t="s">
        <v>200</v>
      </c>
      <c r="D245" t="s">
        <v>166</v>
      </c>
      <c r="E245" s="60" t="s">
        <v>283</v>
      </c>
      <c r="F245" s="61" t="s">
        <v>284</v>
      </c>
      <c r="G245" s="62" t="s">
        <v>203</v>
      </c>
      <c r="H245" s="63" t="s">
        <v>195</v>
      </c>
      <c r="I245" s="64" t="s">
        <v>267</v>
      </c>
      <c r="J245" s="65" t="str">
        <f>IFERROR(INDEX('Cost_Components'!$K$2:$K$27,MATCH(E245,'Cost_Components'!$A$2:$A$27,0)),"")</f>
      </c>
      <c r="K245" s="66" t="str">
        <f>IF(OR(L245="",Z245="",AA245="",AB245=""),"",IF(B245&lt;AA245,L245,IF(B245&gt;AB245,Z245,L245+(Z245-L245)*MIN(MAX((B245-AA245+1)/MAX(AB245-AA245+1,1),0),1))))</f>
      </c>
      <c r="L245" s="67" t="str">
        <f>IFERROR(INDEX('Cost_Components'!$S$2:$S$27,MATCH(E245,'Cost_Components'!$A$2:$A$27,0)),"")</f>
      </c>
      <c r="M245" s="68" t="str">
        <f>IFERROR(INDEX('Cost_Components'!$L$2:$L$27,MATCH(E245,'Cost_Components'!$A$2:$A$27,0)),"")</f>
      </c>
      <c r="N245" s="69" t="str">
        <f>IFERROR(INDEX('Cost_Components'!$P$2:$P$27,MATCH(E245,'Cost_Components'!$A$2:$A$27,0)),"")</f>
      </c>
      <c r="O245" s="70" t="str">
        <f>AF245*J245</f>
      </c>
      <c r="P245" s="71" t="str">
        <f>AG245*J245</f>
      </c>
      <c r="Q245" s="72" t="str">
        <f>P245*L245*M245*N245</f>
      </c>
      <c r="R245" s="73" t="str">
        <f>O245*K245*M245*N245</f>
      </c>
      <c r="S245" s="74" t="str">
        <f>R245-Q245</f>
      </c>
      <c r="T245" s="20" t="str">
        <f>IFERROR(INDEX('Cost_Components'!$R$2:$R$27,MATCH(E245,'Cost_Components'!$A$2:$A$27,0)),"")</f>
      </c>
      <c r="U245" s="75" t="str">
        <f>IFERROR(INDEX('Cost_Components'!$Q$2:$Q$27,MATCH(E245,'Cost_Components'!$A$2:$A$27,0)),"")</f>
      </c>
      <c r="V245" s="76" t="str">
        <f>1/(1+'Calculation_Assumptions'!$B$5)^(B245-'Calculation_Assumptions'!$B$2)</f>
      </c>
      <c r="W245" s="77" t="str">
        <f>Q245*V245</f>
      </c>
      <c r="X245" s="78" t="str">
        <f>R245*V245</f>
      </c>
      <c r="Y245" s="79" t="str">
        <f>S245*V245</f>
      </c>
      <c r="Z245" s="80" t="str">
        <f>IFERROR(INDEX('Cost_Components'!$T$2:$T$27,MATCH(E245,'Cost_Components'!$A$2:$A$27,0)),"")</f>
      </c>
      <c r="AA245" s="81" t="str">
        <f>IFERROR(INDEX('Cost_Components'!$U$2:$U$27,MATCH(E245,'Cost_Components'!$A$2:$A$27,0)),"")</f>
      </c>
      <c r="AB245" s="82" t="str">
        <f>IFERROR(INDEX('Cost_Components'!$V$2:$V$27,MATCH(E245,'Cost_Components'!$A$2:$A$27,0)),"")</f>
      </c>
      <c r="AC245" s="83" t="str">
        <f>IFERROR(INDEX('Cost_Components'!$M$2:$M$27,MATCH(E245,'Cost_Components'!$A$2:$A$27,0)),"")</f>
      </c>
      <c r="AD245" s="84" t="str">
        <f>IFERROR(INDEX('Cost_Components'!$N$2:$N$27,MATCH(E245,'Cost_Components'!$A$2:$A$27,0)),"")</f>
      </c>
      <c r="AE245" s="20" t="str">
        <f>IFERROR(INDEX('Cost_Components'!$O$2:$O$27,MATCH(E245,'Cost_Components'!$A$2:$A$27,0)),"")</f>
      </c>
      <c r="AF245" s="85" t="n">
        <v>572181.989293991</v>
      </c>
      <c r="AG245" s="86" t="n">
        <v>562945.263154292</v>
      </c>
      <c r="AH245" s="87" t="str">
        <f>IF(H245="shared-count-once",COUNTIFS($A$2:$A$1353,A245,$B$2:$B$1353,B245,$E$2:$E$1353,E245),1)</f>
      </c>
    </row>
    <row r="246">
      <c r="A246" t="s">
        <v>200</v>
      </c>
      <c r="B246" s="59" t="n">
        <v>2035</v>
      </c>
      <c r="C246" t="s">
        <v>200</v>
      </c>
      <c r="D246" t="s">
        <v>166</v>
      </c>
      <c r="E246" s="60" t="s">
        <v>283</v>
      </c>
      <c r="F246" s="61" t="s">
        <v>284</v>
      </c>
      <c r="G246" s="62" t="s">
        <v>203</v>
      </c>
      <c r="H246" s="63" t="s">
        <v>195</v>
      </c>
      <c r="I246" s="64" t="s">
        <v>267</v>
      </c>
      <c r="J246" s="65" t="str">
        <f>IFERROR(INDEX('Cost_Components'!$K$2:$K$27,MATCH(E246,'Cost_Components'!$A$2:$A$27,0)),"")</f>
      </c>
      <c r="K246" s="66" t="str">
        <f>IF(OR(L246="",Z246="",AA246="",AB246=""),"",IF(B246&lt;AA246,L246,IF(B246&gt;AB246,Z246,L246+(Z246-L246)*MIN(MAX((B246-AA246+1)/MAX(AB246-AA246+1,1),0),1))))</f>
      </c>
      <c r="L246" s="67" t="str">
        <f>IFERROR(INDEX('Cost_Components'!$S$2:$S$27,MATCH(E246,'Cost_Components'!$A$2:$A$27,0)),"")</f>
      </c>
      <c r="M246" s="68" t="str">
        <f>IFERROR(INDEX('Cost_Components'!$L$2:$L$27,MATCH(E246,'Cost_Components'!$A$2:$A$27,0)),"")</f>
      </c>
      <c r="N246" s="69" t="str">
        <f>IFERROR(INDEX('Cost_Components'!$P$2:$P$27,MATCH(E246,'Cost_Components'!$A$2:$A$27,0)),"")</f>
      </c>
      <c r="O246" s="70" t="str">
        <f>AF246*J246</f>
      </c>
      <c r="P246" s="71" t="str">
        <f>AG246*J246</f>
      </c>
      <c r="Q246" s="72" t="str">
        <f>P246*L246*M246*N246</f>
      </c>
      <c r="R246" s="73" t="str">
        <f>O246*K246*M246*N246</f>
      </c>
      <c r="S246" s="74" t="str">
        <f>R246-Q246</f>
      </c>
      <c r="T246" s="20" t="str">
        <f>IFERROR(INDEX('Cost_Components'!$R$2:$R$27,MATCH(E246,'Cost_Components'!$A$2:$A$27,0)),"")</f>
      </c>
      <c r="U246" s="75" t="str">
        <f>IFERROR(INDEX('Cost_Components'!$Q$2:$Q$27,MATCH(E246,'Cost_Components'!$A$2:$A$27,0)),"")</f>
      </c>
      <c r="V246" s="76" t="str">
        <f>1/(1+'Calculation_Assumptions'!$B$5)^(B246-'Calculation_Assumptions'!$B$2)</f>
      </c>
      <c r="W246" s="77" t="str">
        <f>Q246*V246</f>
      </c>
      <c r="X246" s="78" t="str">
        <f>R246*V246</f>
      </c>
      <c r="Y246" s="79" t="str">
        <f>S246*V246</f>
      </c>
      <c r="Z246" s="80" t="str">
        <f>IFERROR(INDEX('Cost_Components'!$T$2:$T$27,MATCH(E246,'Cost_Components'!$A$2:$A$27,0)),"")</f>
      </c>
      <c r="AA246" s="81" t="str">
        <f>IFERROR(INDEX('Cost_Components'!$U$2:$U$27,MATCH(E246,'Cost_Components'!$A$2:$A$27,0)),"")</f>
      </c>
      <c r="AB246" s="82" t="str">
        <f>IFERROR(INDEX('Cost_Components'!$V$2:$V$27,MATCH(E246,'Cost_Components'!$A$2:$A$27,0)),"")</f>
      </c>
      <c r="AC246" s="83" t="str">
        <f>IFERROR(INDEX('Cost_Components'!$M$2:$M$27,MATCH(E246,'Cost_Components'!$A$2:$A$27,0)),"")</f>
      </c>
      <c r="AD246" s="84" t="str">
        <f>IFERROR(INDEX('Cost_Components'!$N$2:$N$27,MATCH(E246,'Cost_Components'!$A$2:$A$27,0)),"")</f>
      </c>
      <c r="AE246" s="20" t="str">
        <f>IFERROR(INDEX('Cost_Components'!$O$2:$O$27,MATCH(E246,'Cost_Components'!$A$2:$A$27,0)),"")</f>
      </c>
      <c r="AF246" s="85" t="n">
        <v>586446.975511646</v>
      </c>
      <c r="AG246" s="86" t="n">
        <v>575676.013132482</v>
      </c>
      <c r="AH246" s="87" t="str">
        <f>IF(H246="shared-count-once",COUNTIFS($A$2:$A$1353,A246,$B$2:$B$1353,B246,$E$2:$E$1353,E246),1)</f>
      </c>
    </row>
    <row r="247">
      <c r="A247" t="s">
        <v>200</v>
      </c>
      <c r="B247" s="59" t="n">
        <v>2036</v>
      </c>
      <c r="C247" t="s">
        <v>200</v>
      </c>
      <c r="D247" t="s">
        <v>166</v>
      </c>
      <c r="E247" s="60" t="s">
        <v>283</v>
      </c>
      <c r="F247" s="61" t="s">
        <v>284</v>
      </c>
      <c r="G247" s="62" t="s">
        <v>203</v>
      </c>
      <c r="H247" s="63" t="s">
        <v>195</v>
      </c>
      <c r="I247" s="64" t="s">
        <v>267</v>
      </c>
      <c r="J247" s="65" t="str">
        <f>IFERROR(INDEX('Cost_Components'!$K$2:$K$27,MATCH(E247,'Cost_Components'!$A$2:$A$27,0)),"")</f>
      </c>
      <c r="K247" s="66" t="str">
        <f>IF(OR(L247="",Z247="",AA247="",AB247=""),"",IF(B247&lt;AA247,L247,IF(B247&gt;AB247,Z247,L247+(Z247-L247)*MIN(MAX((B247-AA247+1)/MAX(AB247-AA247+1,1),0),1))))</f>
      </c>
      <c r="L247" s="67" t="str">
        <f>IFERROR(INDEX('Cost_Components'!$S$2:$S$27,MATCH(E247,'Cost_Components'!$A$2:$A$27,0)),"")</f>
      </c>
      <c r="M247" s="68" t="str">
        <f>IFERROR(INDEX('Cost_Components'!$L$2:$L$27,MATCH(E247,'Cost_Components'!$A$2:$A$27,0)),"")</f>
      </c>
      <c r="N247" s="69" t="str">
        <f>IFERROR(INDEX('Cost_Components'!$P$2:$P$27,MATCH(E247,'Cost_Components'!$A$2:$A$27,0)),"")</f>
      </c>
      <c r="O247" s="70" t="str">
        <f>AF247*J247</f>
      </c>
      <c r="P247" s="71" t="str">
        <f>AG247*J247</f>
      </c>
      <c r="Q247" s="72" t="str">
        <f>P247*L247*M247*N247</f>
      </c>
      <c r="R247" s="73" t="str">
        <f>O247*K247*M247*N247</f>
      </c>
      <c r="S247" s="74" t="str">
        <f>R247-Q247</f>
      </c>
      <c r="T247" s="20" t="str">
        <f>IFERROR(INDEX('Cost_Components'!$R$2:$R$27,MATCH(E247,'Cost_Components'!$A$2:$A$27,0)),"")</f>
      </c>
      <c r="U247" s="75" t="str">
        <f>IFERROR(INDEX('Cost_Components'!$Q$2:$Q$27,MATCH(E247,'Cost_Components'!$A$2:$A$27,0)),"")</f>
      </c>
      <c r="V247" s="76" t="str">
        <f>1/(1+'Calculation_Assumptions'!$B$5)^(B247-'Calculation_Assumptions'!$B$2)</f>
      </c>
      <c r="W247" s="77" t="str">
        <f>Q247*V247</f>
      </c>
      <c r="X247" s="78" t="str">
        <f>R247*V247</f>
      </c>
      <c r="Y247" s="79" t="str">
        <f>S247*V247</f>
      </c>
      <c r="Z247" s="80" t="str">
        <f>IFERROR(INDEX('Cost_Components'!$T$2:$T$27,MATCH(E247,'Cost_Components'!$A$2:$A$27,0)),"")</f>
      </c>
      <c r="AA247" s="81" t="str">
        <f>IFERROR(INDEX('Cost_Components'!$U$2:$U$27,MATCH(E247,'Cost_Components'!$A$2:$A$27,0)),"")</f>
      </c>
      <c r="AB247" s="82" t="str">
        <f>IFERROR(INDEX('Cost_Components'!$V$2:$V$27,MATCH(E247,'Cost_Components'!$A$2:$A$27,0)),"")</f>
      </c>
      <c r="AC247" s="83" t="str">
        <f>IFERROR(INDEX('Cost_Components'!$M$2:$M$27,MATCH(E247,'Cost_Components'!$A$2:$A$27,0)),"")</f>
      </c>
      <c r="AD247" s="84" t="str">
        <f>IFERROR(INDEX('Cost_Components'!$N$2:$N$27,MATCH(E247,'Cost_Components'!$A$2:$A$27,0)),"")</f>
      </c>
      <c r="AE247" s="20" t="str">
        <f>IFERROR(INDEX('Cost_Components'!$O$2:$O$27,MATCH(E247,'Cost_Components'!$A$2:$A$27,0)),"")</f>
      </c>
      <c r="AF247" s="85" t="n">
        <v>601417.958366121</v>
      </c>
      <c r="AG247" s="86" t="n">
        <v>589036.334662854</v>
      </c>
      <c r="AH247" s="87" t="str">
        <f>IF(H247="shared-count-once",COUNTIFS($A$2:$A$1353,A247,$B$2:$B$1353,B247,$E$2:$E$1353,E247),1)</f>
      </c>
    </row>
    <row r="248">
      <c r="A248" t="s">
        <v>200</v>
      </c>
      <c r="B248" s="59" t="n">
        <v>2037</v>
      </c>
      <c r="C248" t="s">
        <v>200</v>
      </c>
      <c r="D248" t="s">
        <v>166</v>
      </c>
      <c r="E248" s="60" t="s">
        <v>283</v>
      </c>
      <c r="F248" s="61" t="s">
        <v>284</v>
      </c>
      <c r="G248" s="62" t="s">
        <v>203</v>
      </c>
      <c r="H248" s="63" t="s">
        <v>195</v>
      </c>
      <c r="I248" s="64" t="s">
        <v>267</v>
      </c>
      <c r="J248" s="65" t="str">
        <f>IFERROR(INDEX('Cost_Components'!$K$2:$K$27,MATCH(E248,'Cost_Components'!$A$2:$A$27,0)),"")</f>
      </c>
      <c r="K248" s="66" t="str">
        <f>IF(OR(L248="",Z248="",AA248="",AB248=""),"",IF(B248&lt;AA248,L248,IF(B248&gt;AB248,Z248,L248+(Z248-L248)*MIN(MAX((B248-AA248+1)/MAX(AB248-AA248+1,1),0),1))))</f>
      </c>
      <c r="L248" s="67" t="str">
        <f>IFERROR(INDEX('Cost_Components'!$S$2:$S$27,MATCH(E248,'Cost_Components'!$A$2:$A$27,0)),"")</f>
      </c>
      <c r="M248" s="68" t="str">
        <f>IFERROR(INDEX('Cost_Components'!$L$2:$L$27,MATCH(E248,'Cost_Components'!$A$2:$A$27,0)),"")</f>
      </c>
      <c r="N248" s="69" t="str">
        <f>IFERROR(INDEX('Cost_Components'!$P$2:$P$27,MATCH(E248,'Cost_Components'!$A$2:$A$27,0)),"")</f>
      </c>
      <c r="O248" s="70" t="str">
        <f>AF248*J248</f>
      </c>
      <c r="P248" s="71" t="str">
        <f>AG248*J248</f>
      </c>
      <c r="Q248" s="72" t="str">
        <f>P248*L248*M248*N248</f>
      </c>
      <c r="R248" s="73" t="str">
        <f>O248*K248*M248*N248</f>
      </c>
      <c r="S248" s="74" t="str">
        <f>R248-Q248</f>
      </c>
      <c r="T248" s="20" t="str">
        <f>IFERROR(INDEX('Cost_Components'!$R$2:$R$27,MATCH(E248,'Cost_Components'!$A$2:$A$27,0)),"")</f>
      </c>
      <c r="U248" s="75" t="str">
        <f>IFERROR(INDEX('Cost_Components'!$Q$2:$Q$27,MATCH(E248,'Cost_Components'!$A$2:$A$27,0)),"")</f>
      </c>
      <c r="V248" s="76" t="str">
        <f>1/(1+'Calculation_Assumptions'!$B$5)^(B248-'Calculation_Assumptions'!$B$2)</f>
      </c>
      <c r="W248" s="77" t="str">
        <f>Q248*V248</f>
      </c>
      <c r="X248" s="78" t="str">
        <f>R248*V248</f>
      </c>
      <c r="Y248" s="79" t="str">
        <f>S248*V248</f>
      </c>
      <c r="Z248" s="80" t="str">
        <f>IFERROR(INDEX('Cost_Components'!$T$2:$T$27,MATCH(E248,'Cost_Components'!$A$2:$A$27,0)),"")</f>
      </c>
      <c r="AA248" s="81" t="str">
        <f>IFERROR(INDEX('Cost_Components'!$U$2:$U$27,MATCH(E248,'Cost_Components'!$A$2:$A$27,0)),"")</f>
      </c>
      <c r="AB248" s="82" t="str">
        <f>IFERROR(INDEX('Cost_Components'!$V$2:$V$27,MATCH(E248,'Cost_Components'!$A$2:$A$27,0)),"")</f>
      </c>
      <c r="AC248" s="83" t="str">
        <f>IFERROR(INDEX('Cost_Components'!$M$2:$M$27,MATCH(E248,'Cost_Components'!$A$2:$A$27,0)),"")</f>
      </c>
      <c r="AD248" s="84" t="str">
        <f>IFERROR(INDEX('Cost_Components'!$N$2:$N$27,MATCH(E248,'Cost_Components'!$A$2:$A$27,0)),"")</f>
      </c>
      <c r="AE248" s="20" t="str">
        <f>IFERROR(INDEX('Cost_Components'!$O$2:$O$27,MATCH(E248,'Cost_Components'!$A$2:$A$27,0)),"")</f>
      </c>
      <c r="AF248" s="85" t="n">
        <v>616962.659930918</v>
      </c>
      <c r="AG248" s="86" t="n">
        <v>602896.994272446</v>
      </c>
      <c r="AH248" s="87" t="str">
        <f>IF(H248="shared-count-once",COUNTIFS($A$2:$A$1353,A248,$B$2:$B$1353,B248,$E$2:$E$1353,E248),1)</f>
      </c>
    </row>
    <row r="249">
      <c r="A249" t="s">
        <v>200</v>
      </c>
      <c r="B249" s="59" t="n">
        <v>2038</v>
      </c>
      <c r="C249" t="s">
        <v>200</v>
      </c>
      <c r="D249" t="s">
        <v>166</v>
      </c>
      <c r="E249" s="60" t="s">
        <v>283</v>
      </c>
      <c r="F249" s="61" t="s">
        <v>284</v>
      </c>
      <c r="G249" s="62" t="s">
        <v>203</v>
      </c>
      <c r="H249" s="63" t="s">
        <v>195</v>
      </c>
      <c r="I249" s="64" t="s">
        <v>267</v>
      </c>
      <c r="J249" s="65" t="str">
        <f>IFERROR(INDEX('Cost_Components'!$K$2:$K$27,MATCH(E249,'Cost_Components'!$A$2:$A$27,0)),"")</f>
      </c>
      <c r="K249" s="66" t="str">
        <f>IF(OR(L249="",Z249="",AA249="",AB249=""),"",IF(B249&lt;AA249,L249,IF(B249&gt;AB249,Z249,L249+(Z249-L249)*MIN(MAX((B249-AA249+1)/MAX(AB249-AA249+1,1),0),1))))</f>
      </c>
      <c r="L249" s="67" t="str">
        <f>IFERROR(INDEX('Cost_Components'!$S$2:$S$27,MATCH(E249,'Cost_Components'!$A$2:$A$27,0)),"")</f>
      </c>
      <c r="M249" s="68" t="str">
        <f>IFERROR(INDEX('Cost_Components'!$L$2:$L$27,MATCH(E249,'Cost_Components'!$A$2:$A$27,0)),"")</f>
      </c>
      <c r="N249" s="69" t="str">
        <f>IFERROR(INDEX('Cost_Components'!$P$2:$P$27,MATCH(E249,'Cost_Components'!$A$2:$A$27,0)),"")</f>
      </c>
      <c r="O249" s="70" t="str">
        <f>AF249*J249</f>
      </c>
      <c r="P249" s="71" t="str">
        <f>AG249*J249</f>
      </c>
      <c r="Q249" s="72" t="str">
        <f>P249*L249*M249*N249</f>
      </c>
      <c r="R249" s="73" t="str">
        <f>O249*K249*M249*N249</f>
      </c>
      <c r="S249" s="74" t="str">
        <f>R249-Q249</f>
      </c>
      <c r="T249" s="20" t="str">
        <f>IFERROR(INDEX('Cost_Components'!$R$2:$R$27,MATCH(E249,'Cost_Components'!$A$2:$A$27,0)),"")</f>
      </c>
      <c r="U249" s="75" t="str">
        <f>IFERROR(INDEX('Cost_Components'!$Q$2:$Q$27,MATCH(E249,'Cost_Components'!$A$2:$A$27,0)),"")</f>
      </c>
      <c r="V249" s="76" t="str">
        <f>1/(1+'Calculation_Assumptions'!$B$5)^(B249-'Calculation_Assumptions'!$B$2)</f>
      </c>
      <c r="W249" s="77" t="str">
        <f>Q249*V249</f>
      </c>
      <c r="X249" s="78" t="str">
        <f>R249*V249</f>
      </c>
      <c r="Y249" s="79" t="str">
        <f>S249*V249</f>
      </c>
      <c r="Z249" s="80" t="str">
        <f>IFERROR(INDEX('Cost_Components'!$T$2:$T$27,MATCH(E249,'Cost_Components'!$A$2:$A$27,0)),"")</f>
      </c>
      <c r="AA249" s="81" t="str">
        <f>IFERROR(INDEX('Cost_Components'!$U$2:$U$27,MATCH(E249,'Cost_Components'!$A$2:$A$27,0)),"")</f>
      </c>
      <c r="AB249" s="82" t="str">
        <f>IFERROR(INDEX('Cost_Components'!$V$2:$V$27,MATCH(E249,'Cost_Components'!$A$2:$A$27,0)),"")</f>
      </c>
      <c r="AC249" s="83" t="str">
        <f>IFERROR(INDEX('Cost_Components'!$M$2:$M$27,MATCH(E249,'Cost_Components'!$A$2:$A$27,0)),"")</f>
      </c>
      <c r="AD249" s="84" t="str">
        <f>IFERROR(INDEX('Cost_Components'!$N$2:$N$27,MATCH(E249,'Cost_Components'!$A$2:$A$27,0)),"")</f>
      </c>
      <c r="AE249" s="20" t="str">
        <f>IFERROR(INDEX('Cost_Components'!$O$2:$O$27,MATCH(E249,'Cost_Components'!$A$2:$A$27,0)),"")</f>
      </c>
      <c r="AF249" s="85" t="n">
        <v>633129.195533701</v>
      </c>
      <c r="AG249" s="86" t="n">
        <v>617309.427161682</v>
      </c>
      <c r="AH249" s="87" t="str">
        <f>IF(H249="shared-count-once",COUNTIFS($A$2:$A$1353,A249,$B$2:$B$1353,B249,$E$2:$E$1353,E249),1)</f>
      </c>
    </row>
    <row r="250">
      <c r="A250" t="s">
        <v>200</v>
      </c>
      <c r="B250" s="59" t="n">
        <v>2039</v>
      </c>
      <c r="C250" t="s">
        <v>200</v>
      </c>
      <c r="D250" t="s">
        <v>166</v>
      </c>
      <c r="E250" s="60" t="s">
        <v>283</v>
      </c>
      <c r="F250" s="61" t="s">
        <v>284</v>
      </c>
      <c r="G250" s="62" t="s">
        <v>203</v>
      </c>
      <c r="H250" s="63" t="s">
        <v>195</v>
      </c>
      <c r="I250" s="64" t="s">
        <v>267</v>
      </c>
      <c r="J250" s="65" t="str">
        <f>IFERROR(INDEX('Cost_Components'!$K$2:$K$27,MATCH(E250,'Cost_Components'!$A$2:$A$27,0)),"")</f>
      </c>
      <c r="K250" s="66" t="str">
        <f>IF(OR(L250="",Z250="",AA250="",AB250=""),"",IF(B250&lt;AA250,L250,IF(B250&gt;AB250,Z250,L250+(Z250-L250)*MIN(MAX((B250-AA250+1)/MAX(AB250-AA250+1,1),0),1))))</f>
      </c>
      <c r="L250" s="67" t="str">
        <f>IFERROR(INDEX('Cost_Components'!$S$2:$S$27,MATCH(E250,'Cost_Components'!$A$2:$A$27,0)),"")</f>
      </c>
      <c r="M250" s="68" t="str">
        <f>IFERROR(INDEX('Cost_Components'!$L$2:$L$27,MATCH(E250,'Cost_Components'!$A$2:$A$27,0)),"")</f>
      </c>
      <c r="N250" s="69" t="str">
        <f>IFERROR(INDEX('Cost_Components'!$P$2:$P$27,MATCH(E250,'Cost_Components'!$A$2:$A$27,0)),"")</f>
      </c>
      <c r="O250" s="70" t="str">
        <f>AF250*J250</f>
      </c>
      <c r="P250" s="71" t="str">
        <f>AG250*J250</f>
      </c>
      <c r="Q250" s="72" t="str">
        <f>P250*L250*M250*N250</f>
      </c>
      <c r="R250" s="73" t="str">
        <f>O250*K250*M250*N250</f>
      </c>
      <c r="S250" s="74" t="str">
        <f>R250-Q250</f>
      </c>
      <c r="T250" s="20" t="str">
        <f>IFERROR(INDEX('Cost_Components'!$R$2:$R$27,MATCH(E250,'Cost_Components'!$A$2:$A$27,0)),"")</f>
      </c>
      <c r="U250" s="75" t="str">
        <f>IFERROR(INDEX('Cost_Components'!$Q$2:$Q$27,MATCH(E250,'Cost_Components'!$A$2:$A$27,0)),"")</f>
      </c>
      <c r="V250" s="76" t="str">
        <f>1/(1+'Calculation_Assumptions'!$B$5)^(B250-'Calculation_Assumptions'!$B$2)</f>
      </c>
      <c r="W250" s="77" t="str">
        <f>Q250*V250</f>
      </c>
      <c r="X250" s="78" t="str">
        <f>R250*V250</f>
      </c>
      <c r="Y250" s="79" t="str">
        <f>S250*V250</f>
      </c>
      <c r="Z250" s="80" t="str">
        <f>IFERROR(INDEX('Cost_Components'!$T$2:$T$27,MATCH(E250,'Cost_Components'!$A$2:$A$27,0)),"")</f>
      </c>
      <c r="AA250" s="81" t="str">
        <f>IFERROR(INDEX('Cost_Components'!$U$2:$U$27,MATCH(E250,'Cost_Components'!$A$2:$A$27,0)),"")</f>
      </c>
      <c r="AB250" s="82" t="str">
        <f>IFERROR(INDEX('Cost_Components'!$V$2:$V$27,MATCH(E250,'Cost_Components'!$A$2:$A$27,0)),"")</f>
      </c>
      <c r="AC250" s="83" t="str">
        <f>IFERROR(INDEX('Cost_Components'!$M$2:$M$27,MATCH(E250,'Cost_Components'!$A$2:$A$27,0)),"")</f>
      </c>
      <c r="AD250" s="84" t="str">
        <f>IFERROR(INDEX('Cost_Components'!$N$2:$N$27,MATCH(E250,'Cost_Components'!$A$2:$A$27,0)),"")</f>
      </c>
      <c r="AE250" s="20" t="str">
        <f>IFERROR(INDEX('Cost_Components'!$O$2:$O$27,MATCH(E250,'Cost_Components'!$A$2:$A$27,0)),"")</f>
      </c>
      <c r="AF250" s="85" t="n">
        <v>649137.476975761</v>
      </c>
      <c r="AG250" s="86" t="n">
        <v>631494.66209286</v>
      </c>
      <c r="AH250" s="87" t="str">
        <f>IF(H250="shared-count-once",COUNTIFS($A$2:$A$1353,A250,$B$2:$B$1353,B250,$E$2:$E$1353,E250),1)</f>
      </c>
    </row>
    <row r="251">
      <c r="A251" t="s">
        <v>200</v>
      </c>
      <c r="B251" s="59" t="n">
        <v>2040</v>
      </c>
      <c r="C251" t="s">
        <v>200</v>
      </c>
      <c r="D251" t="s">
        <v>166</v>
      </c>
      <c r="E251" s="60" t="s">
        <v>283</v>
      </c>
      <c r="F251" s="61" t="s">
        <v>284</v>
      </c>
      <c r="G251" s="62" t="s">
        <v>203</v>
      </c>
      <c r="H251" s="63" t="s">
        <v>195</v>
      </c>
      <c r="I251" s="64" t="s">
        <v>267</v>
      </c>
      <c r="J251" s="65" t="str">
        <f>IFERROR(INDEX('Cost_Components'!$K$2:$K$27,MATCH(E251,'Cost_Components'!$A$2:$A$27,0)),"")</f>
      </c>
      <c r="K251" s="66" t="str">
        <f>IF(OR(L251="",Z251="",AA251="",AB251=""),"",IF(B251&lt;AA251,L251,IF(B251&gt;AB251,Z251,L251+(Z251-L251)*MIN(MAX((B251-AA251+1)/MAX(AB251-AA251+1,1),0),1))))</f>
      </c>
      <c r="L251" s="67" t="str">
        <f>IFERROR(INDEX('Cost_Components'!$S$2:$S$27,MATCH(E251,'Cost_Components'!$A$2:$A$27,0)),"")</f>
      </c>
      <c r="M251" s="68" t="str">
        <f>IFERROR(INDEX('Cost_Components'!$L$2:$L$27,MATCH(E251,'Cost_Components'!$A$2:$A$27,0)),"")</f>
      </c>
      <c r="N251" s="69" t="str">
        <f>IFERROR(INDEX('Cost_Components'!$P$2:$P$27,MATCH(E251,'Cost_Components'!$A$2:$A$27,0)),"")</f>
      </c>
      <c r="O251" s="70" t="str">
        <f>AF251*J251</f>
      </c>
      <c r="P251" s="71" t="str">
        <f>AG251*J251</f>
      </c>
      <c r="Q251" s="72" t="str">
        <f>P251*L251*M251*N251</f>
      </c>
      <c r="R251" s="73" t="str">
        <f>O251*K251*M251*N251</f>
      </c>
      <c r="S251" s="74" t="str">
        <f>R251-Q251</f>
      </c>
      <c r="T251" s="20" t="str">
        <f>IFERROR(INDEX('Cost_Components'!$R$2:$R$27,MATCH(E251,'Cost_Components'!$A$2:$A$27,0)),"")</f>
      </c>
      <c r="U251" s="75" t="str">
        <f>IFERROR(INDEX('Cost_Components'!$Q$2:$Q$27,MATCH(E251,'Cost_Components'!$A$2:$A$27,0)),"")</f>
      </c>
      <c r="V251" s="76" t="str">
        <f>1/(1+'Calculation_Assumptions'!$B$5)^(B251-'Calculation_Assumptions'!$B$2)</f>
      </c>
      <c r="W251" s="77" t="str">
        <f>Q251*V251</f>
      </c>
      <c r="X251" s="78" t="str">
        <f>R251*V251</f>
      </c>
      <c r="Y251" s="79" t="str">
        <f>S251*V251</f>
      </c>
      <c r="Z251" s="80" t="str">
        <f>IFERROR(INDEX('Cost_Components'!$T$2:$T$27,MATCH(E251,'Cost_Components'!$A$2:$A$27,0)),"")</f>
      </c>
      <c r="AA251" s="81" t="str">
        <f>IFERROR(INDEX('Cost_Components'!$U$2:$U$27,MATCH(E251,'Cost_Components'!$A$2:$A$27,0)),"")</f>
      </c>
      <c r="AB251" s="82" t="str">
        <f>IFERROR(INDEX('Cost_Components'!$V$2:$V$27,MATCH(E251,'Cost_Components'!$A$2:$A$27,0)),"")</f>
      </c>
      <c r="AC251" s="83" t="str">
        <f>IFERROR(INDEX('Cost_Components'!$M$2:$M$27,MATCH(E251,'Cost_Components'!$A$2:$A$27,0)),"")</f>
      </c>
      <c r="AD251" s="84" t="str">
        <f>IFERROR(INDEX('Cost_Components'!$N$2:$N$27,MATCH(E251,'Cost_Components'!$A$2:$A$27,0)),"")</f>
      </c>
      <c r="AE251" s="20" t="str">
        <f>IFERROR(INDEX('Cost_Components'!$O$2:$O$27,MATCH(E251,'Cost_Components'!$A$2:$A$27,0)),"")</f>
      </c>
      <c r="AF251" s="85" t="n">
        <v>665631.953195164</v>
      </c>
      <c r="AG251" s="86" t="n">
        <v>646103.245721349</v>
      </c>
      <c r="AH251" s="87" t="str">
        <f>IF(H251="shared-count-once",COUNTIFS($A$2:$A$1353,A251,$B$2:$B$1353,B251,$E$2:$E$1353,E251),1)</f>
      </c>
    </row>
    <row r="252">
      <c r="A252" t="s">
        <v>200</v>
      </c>
      <c r="B252" s="59" t="n">
        <v>2041</v>
      </c>
      <c r="C252" t="s">
        <v>200</v>
      </c>
      <c r="D252" t="s">
        <v>166</v>
      </c>
      <c r="E252" s="60" t="s">
        <v>283</v>
      </c>
      <c r="F252" s="61" t="s">
        <v>284</v>
      </c>
      <c r="G252" s="62" t="s">
        <v>203</v>
      </c>
      <c r="H252" s="63" t="s">
        <v>195</v>
      </c>
      <c r="I252" s="64" t="s">
        <v>267</v>
      </c>
      <c r="J252" s="65" t="str">
        <f>IFERROR(INDEX('Cost_Components'!$K$2:$K$27,MATCH(E252,'Cost_Components'!$A$2:$A$27,0)),"")</f>
      </c>
      <c r="K252" s="66" t="str">
        <f>IF(OR(L252="",Z252="",AA252="",AB252=""),"",IF(B252&lt;AA252,L252,IF(B252&gt;AB252,Z252,L252+(Z252-L252)*MIN(MAX((B252-AA252+1)/MAX(AB252-AA252+1,1),0),1))))</f>
      </c>
      <c r="L252" s="67" t="str">
        <f>IFERROR(INDEX('Cost_Components'!$S$2:$S$27,MATCH(E252,'Cost_Components'!$A$2:$A$27,0)),"")</f>
      </c>
      <c r="M252" s="68" t="str">
        <f>IFERROR(INDEX('Cost_Components'!$L$2:$L$27,MATCH(E252,'Cost_Components'!$A$2:$A$27,0)),"")</f>
      </c>
      <c r="N252" s="69" t="str">
        <f>IFERROR(INDEX('Cost_Components'!$P$2:$P$27,MATCH(E252,'Cost_Components'!$A$2:$A$27,0)),"")</f>
      </c>
      <c r="O252" s="70" t="str">
        <f>AF252*J252</f>
      </c>
      <c r="P252" s="71" t="str">
        <f>AG252*J252</f>
      </c>
      <c r="Q252" s="72" t="str">
        <f>P252*L252*M252*N252</f>
      </c>
      <c r="R252" s="73" t="str">
        <f>O252*K252*M252*N252</f>
      </c>
      <c r="S252" s="74" t="str">
        <f>R252-Q252</f>
      </c>
      <c r="T252" s="20" t="str">
        <f>IFERROR(INDEX('Cost_Components'!$R$2:$R$27,MATCH(E252,'Cost_Components'!$A$2:$A$27,0)),"")</f>
      </c>
      <c r="U252" s="75" t="str">
        <f>IFERROR(INDEX('Cost_Components'!$Q$2:$Q$27,MATCH(E252,'Cost_Components'!$A$2:$A$27,0)),"")</f>
      </c>
      <c r="V252" s="76" t="str">
        <f>1/(1+'Calculation_Assumptions'!$B$5)^(B252-'Calculation_Assumptions'!$B$2)</f>
      </c>
      <c r="W252" s="77" t="str">
        <f>Q252*V252</f>
      </c>
      <c r="X252" s="78" t="str">
        <f>R252*V252</f>
      </c>
      <c r="Y252" s="79" t="str">
        <f>S252*V252</f>
      </c>
      <c r="Z252" s="80" t="str">
        <f>IFERROR(INDEX('Cost_Components'!$T$2:$T$27,MATCH(E252,'Cost_Components'!$A$2:$A$27,0)),"")</f>
      </c>
      <c r="AA252" s="81" t="str">
        <f>IFERROR(INDEX('Cost_Components'!$U$2:$U$27,MATCH(E252,'Cost_Components'!$A$2:$A$27,0)),"")</f>
      </c>
      <c r="AB252" s="82" t="str">
        <f>IFERROR(INDEX('Cost_Components'!$V$2:$V$27,MATCH(E252,'Cost_Components'!$A$2:$A$27,0)),"")</f>
      </c>
      <c r="AC252" s="83" t="str">
        <f>IFERROR(INDEX('Cost_Components'!$M$2:$M$27,MATCH(E252,'Cost_Components'!$A$2:$A$27,0)),"")</f>
      </c>
      <c r="AD252" s="84" t="str">
        <f>IFERROR(INDEX('Cost_Components'!$N$2:$N$27,MATCH(E252,'Cost_Components'!$A$2:$A$27,0)),"")</f>
      </c>
      <c r="AE252" s="20" t="str">
        <f>IFERROR(INDEX('Cost_Components'!$O$2:$O$27,MATCH(E252,'Cost_Components'!$A$2:$A$27,0)),"")</f>
      </c>
      <c r="AF252" s="85" t="n">
        <v>682569.751943258</v>
      </c>
      <c r="AG252" s="86" t="n">
        <v>661097.35077381</v>
      </c>
      <c r="AH252" s="87" t="str">
        <f>IF(H252="shared-count-once",COUNTIFS($A$2:$A$1353,A252,$B$2:$B$1353,B252,$E$2:$E$1353,E252),1)</f>
      </c>
    </row>
    <row r="253">
      <c r="A253" t="s">
        <v>200</v>
      </c>
      <c r="B253" s="59" t="n">
        <v>2042</v>
      </c>
      <c r="C253" t="s">
        <v>200</v>
      </c>
      <c r="D253" t="s">
        <v>166</v>
      </c>
      <c r="E253" s="60" t="s">
        <v>283</v>
      </c>
      <c r="F253" s="61" t="s">
        <v>284</v>
      </c>
      <c r="G253" s="62" t="s">
        <v>203</v>
      </c>
      <c r="H253" s="63" t="s">
        <v>195</v>
      </c>
      <c r="I253" s="64" t="s">
        <v>267</v>
      </c>
      <c r="J253" s="65" t="str">
        <f>IFERROR(INDEX('Cost_Components'!$K$2:$K$27,MATCH(E253,'Cost_Components'!$A$2:$A$27,0)),"")</f>
      </c>
      <c r="K253" s="66" t="str">
        <f>IF(OR(L253="",Z253="",AA253="",AB253=""),"",IF(B253&lt;AA253,L253,IF(B253&gt;AB253,Z253,L253+(Z253-L253)*MIN(MAX((B253-AA253+1)/MAX(AB253-AA253+1,1),0),1))))</f>
      </c>
      <c r="L253" s="67" t="str">
        <f>IFERROR(INDEX('Cost_Components'!$S$2:$S$27,MATCH(E253,'Cost_Components'!$A$2:$A$27,0)),"")</f>
      </c>
      <c r="M253" s="68" t="str">
        <f>IFERROR(INDEX('Cost_Components'!$L$2:$L$27,MATCH(E253,'Cost_Components'!$A$2:$A$27,0)),"")</f>
      </c>
      <c r="N253" s="69" t="str">
        <f>IFERROR(INDEX('Cost_Components'!$P$2:$P$27,MATCH(E253,'Cost_Components'!$A$2:$A$27,0)),"")</f>
      </c>
      <c r="O253" s="70" t="str">
        <f>AF253*J253</f>
      </c>
      <c r="P253" s="71" t="str">
        <f>AG253*J253</f>
      </c>
      <c r="Q253" s="72" t="str">
        <f>P253*L253*M253*N253</f>
      </c>
      <c r="R253" s="73" t="str">
        <f>O253*K253*M253*N253</f>
      </c>
      <c r="S253" s="74" t="str">
        <f>R253-Q253</f>
      </c>
      <c r="T253" s="20" t="str">
        <f>IFERROR(INDEX('Cost_Components'!$R$2:$R$27,MATCH(E253,'Cost_Components'!$A$2:$A$27,0)),"")</f>
      </c>
      <c r="U253" s="75" t="str">
        <f>IFERROR(INDEX('Cost_Components'!$Q$2:$Q$27,MATCH(E253,'Cost_Components'!$A$2:$A$27,0)),"")</f>
      </c>
      <c r="V253" s="76" t="str">
        <f>1/(1+'Calculation_Assumptions'!$B$5)^(B253-'Calculation_Assumptions'!$B$2)</f>
      </c>
      <c r="W253" s="77" t="str">
        <f>Q253*V253</f>
      </c>
      <c r="X253" s="78" t="str">
        <f>R253*V253</f>
      </c>
      <c r="Y253" s="79" t="str">
        <f>S253*V253</f>
      </c>
      <c r="Z253" s="80" t="str">
        <f>IFERROR(INDEX('Cost_Components'!$T$2:$T$27,MATCH(E253,'Cost_Components'!$A$2:$A$27,0)),"")</f>
      </c>
      <c r="AA253" s="81" t="str">
        <f>IFERROR(INDEX('Cost_Components'!$U$2:$U$27,MATCH(E253,'Cost_Components'!$A$2:$A$27,0)),"")</f>
      </c>
      <c r="AB253" s="82" t="str">
        <f>IFERROR(INDEX('Cost_Components'!$V$2:$V$27,MATCH(E253,'Cost_Components'!$A$2:$A$27,0)),"")</f>
      </c>
      <c r="AC253" s="83" t="str">
        <f>IFERROR(INDEX('Cost_Components'!$M$2:$M$27,MATCH(E253,'Cost_Components'!$A$2:$A$27,0)),"")</f>
      </c>
      <c r="AD253" s="84" t="str">
        <f>IFERROR(INDEX('Cost_Components'!$N$2:$N$27,MATCH(E253,'Cost_Components'!$A$2:$A$27,0)),"")</f>
      </c>
      <c r="AE253" s="20" t="str">
        <f>IFERROR(INDEX('Cost_Components'!$O$2:$O$27,MATCH(E253,'Cost_Components'!$A$2:$A$27,0)),"")</f>
      </c>
      <c r="AF253" s="85" t="n">
        <v>699844.585090926</v>
      </c>
      <c r="AG253" s="86" t="n">
        <v>676373.405782993</v>
      </c>
      <c r="AH253" s="87" t="str">
        <f>IF(H253="shared-count-once",COUNTIFS($A$2:$A$1353,A253,$B$2:$B$1353,B253,$E$2:$E$1353,E253),1)</f>
      </c>
    </row>
    <row r="254">
      <c r="A254" t="s">
        <v>200</v>
      </c>
      <c r="B254" s="59" t="n">
        <v>2043</v>
      </c>
      <c r="C254" t="s">
        <v>200</v>
      </c>
      <c r="D254" t="s">
        <v>166</v>
      </c>
      <c r="E254" s="60" t="s">
        <v>283</v>
      </c>
      <c r="F254" s="61" t="s">
        <v>284</v>
      </c>
      <c r="G254" s="62" t="s">
        <v>203</v>
      </c>
      <c r="H254" s="63" t="s">
        <v>195</v>
      </c>
      <c r="I254" s="64" t="s">
        <v>267</v>
      </c>
      <c r="J254" s="65" t="str">
        <f>IFERROR(INDEX('Cost_Components'!$K$2:$K$27,MATCH(E254,'Cost_Components'!$A$2:$A$27,0)),"")</f>
      </c>
      <c r="K254" s="66" t="str">
        <f>IF(OR(L254="",Z254="",AA254="",AB254=""),"",IF(B254&lt;AA254,L254,IF(B254&gt;AB254,Z254,L254+(Z254-L254)*MIN(MAX((B254-AA254+1)/MAX(AB254-AA254+1,1),0),1))))</f>
      </c>
      <c r="L254" s="67" t="str">
        <f>IFERROR(INDEX('Cost_Components'!$S$2:$S$27,MATCH(E254,'Cost_Components'!$A$2:$A$27,0)),"")</f>
      </c>
      <c r="M254" s="68" t="str">
        <f>IFERROR(INDEX('Cost_Components'!$L$2:$L$27,MATCH(E254,'Cost_Components'!$A$2:$A$27,0)),"")</f>
      </c>
      <c r="N254" s="69" t="str">
        <f>IFERROR(INDEX('Cost_Components'!$P$2:$P$27,MATCH(E254,'Cost_Components'!$A$2:$A$27,0)),"")</f>
      </c>
      <c r="O254" s="70" t="str">
        <f>AF254*J254</f>
      </c>
      <c r="P254" s="71" t="str">
        <f>AG254*J254</f>
      </c>
      <c r="Q254" s="72" t="str">
        <f>P254*L254*M254*N254</f>
      </c>
      <c r="R254" s="73" t="str">
        <f>O254*K254*M254*N254</f>
      </c>
      <c r="S254" s="74" t="str">
        <f>R254-Q254</f>
      </c>
      <c r="T254" s="20" t="str">
        <f>IFERROR(INDEX('Cost_Components'!$R$2:$R$27,MATCH(E254,'Cost_Components'!$A$2:$A$27,0)),"")</f>
      </c>
      <c r="U254" s="75" t="str">
        <f>IFERROR(INDEX('Cost_Components'!$Q$2:$Q$27,MATCH(E254,'Cost_Components'!$A$2:$A$27,0)),"")</f>
      </c>
      <c r="V254" s="76" t="str">
        <f>1/(1+'Calculation_Assumptions'!$B$5)^(B254-'Calculation_Assumptions'!$B$2)</f>
      </c>
      <c r="W254" s="77" t="str">
        <f>Q254*V254</f>
      </c>
      <c r="X254" s="78" t="str">
        <f>R254*V254</f>
      </c>
      <c r="Y254" s="79" t="str">
        <f>S254*V254</f>
      </c>
      <c r="Z254" s="80" t="str">
        <f>IFERROR(INDEX('Cost_Components'!$T$2:$T$27,MATCH(E254,'Cost_Components'!$A$2:$A$27,0)),"")</f>
      </c>
      <c r="AA254" s="81" t="str">
        <f>IFERROR(INDEX('Cost_Components'!$U$2:$U$27,MATCH(E254,'Cost_Components'!$A$2:$A$27,0)),"")</f>
      </c>
      <c r="AB254" s="82" t="str">
        <f>IFERROR(INDEX('Cost_Components'!$V$2:$V$27,MATCH(E254,'Cost_Components'!$A$2:$A$27,0)),"")</f>
      </c>
      <c r="AC254" s="83" t="str">
        <f>IFERROR(INDEX('Cost_Components'!$M$2:$M$27,MATCH(E254,'Cost_Components'!$A$2:$A$27,0)),"")</f>
      </c>
      <c r="AD254" s="84" t="str">
        <f>IFERROR(INDEX('Cost_Components'!$N$2:$N$27,MATCH(E254,'Cost_Components'!$A$2:$A$27,0)),"")</f>
      </c>
      <c r="AE254" s="20" t="str">
        <f>IFERROR(INDEX('Cost_Components'!$O$2:$O$27,MATCH(E254,'Cost_Components'!$A$2:$A$27,0)),"")</f>
      </c>
      <c r="AF254" s="85" t="n">
        <v>717533.950776703</v>
      </c>
      <c r="AG254" s="86" t="n">
        <v>692011.846145533</v>
      </c>
      <c r="AH254" s="87" t="str">
        <f>IF(H254="shared-count-once",COUNTIFS($A$2:$A$1353,A254,$B$2:$B$1353,B254,$E$2:$E$1353,E254),1)</f>
      </c>
    </row>
    <row r="255">
      <c r="A255" t="s">
        <v>200</v>
      </c>
      <c r="B255" s="59" t="n">
        <v>2044</v>
      </c>
      <c r="C255" t="s">
        <v>200</v>
      </c>
      <c r="D255" t="s">
        <v>166</v>
      </c>
      <c r="E255" s="60" t="s">
        <v>283</v>
      </c>
      <c r="F255" s="61" t="s">
        <v>284</v>
      </c>
      <c r="G255" s="62" t="s">
        <v>203</v>
      </c>
      <c r="H255" s="63" t="s">
        <v>195</v>
      </c>
      <c r="I255" s="64" t="s">
        <v>267</v>
      </c>
      <c r="J255" s="65" t="str">
        <f>IFERROR(INDEX('Cost_Components'!$K$2:$K$27,MATCH(E255,'Cost_Components'!$A$2:$A$27,0)),"")</f>
      </c>
      <c r="K255" s="66" t="str">
        <f>IF(OR(L255="",Z255="",AA255="",AB255=""),"",IF(B255&lt;AA255,L255,IF(B255&gt;AB255,Z255,L255+(Z255-L255)*MIN(MAX((B255-AA255+1)/MAX(AB255-AA255+1,1),0),1))))</f>
      </c>
      <c r="L255" s="67" t="str">
        <f>IFERROR(INDEX('Cost_Components'!$S$2:$S$27,MATCH(E255,'Cost_Components'!$A$2:$A$27,0)),"")</f>
      </c>
      <c r="M255" s="68" t="str">
        <f>IFERROR(INDEX('Cost_Components'!$L$2:$L$27,MATCH(E255,'Cost_Components'!$A$2:$A$27,0)),"")</f>
      </c>
      <c r="N255" s="69" t="str">
        <f>IFERROR(INDEX('Cost_Components'!$P$2:$P$27,MATCH(E255,'Cost_Components'!$A$2:$A$27,0)),"")</f>
      </c>
      <c r="O255" s="70" t="str">
        <f>AF255*J255</f>
      </c>
      <c r="P255" s="71" t="str">
        <f>AG255*J255</f>
      </c>
      <c r="Q255" s="72" t="str">
        <f>P255*L255*M255*N255</f>
      </c>
      <c r="R255" s="73" t="str">
        <f>O255*K255*M255*N255</f>
      </c>
      <c r="S255" s="74" t="str">
        <f>R255-Q255</f>
      </c>
      <c r="T255" s="20" t="str">
        <f>IFERROR(INDEX('Cost_Components'!$R$2:$R$27,MATCH(E255,'Cost_Components'!$A$2:$A$27,0)),"")</f>
      </c>
      <c r="U255" s="75" t="str">
        <f>IFERROR(INDEX('Cost_Components'!$Q$2:$Q$27,MATCH(E255,'Cost_Components'!$A$2:$A$27,0)),"")</f>
      </c>
      <c r="V255" s="76" t="str">
        <f>1/(1+'Calculation_Assumptions'!$B$5)^(B255-'Calculation_Assumptions'!$B$2)</f>
      </c>
      <c r="W255" s="77" t="str">
        <f>Q255*V255</f>
      </c>
      <c r="X255" s="78" t="str">
        <f>R255*V255</f>
      </c>
      <c r="Y255" s="79" t="str">
        <f>S255*V255</f>
      </c>
      <c r="Z255" s="80" t="str">
        <f>IFERROR(INDEX('Cost_Components'!$T$2:$T$27,MATCH(E255,'Cost_Components'!$A$2:$A$27,0)),"")</f>
      </c>
      <c r="AA255" s="81" t="str">
        <f>IFERROR(INDEX('Cost_Components'!$U$2:$U$27,MATCH(E255,'Cost_Components'!$A$2:$A$27,0)),"")</f>
      </c>
      <c r="AB255" s="82" t="str">
        <f>IFERROR(INDEX('Cost_Components'!$V$2:$V$27,MATCH(E255,'Cost_Components'!$A$2:$A$27,0)),"")</f>
      </c>
      <c r="AC255" s="83" t="str">
        <f>IFERROR(INDEX('Cost_Components'!$M$2:$M$27,MATCH(E255,'Cost_Components'!$A$2:$A$27,0)),"")</f>
      </c>
      <c r="AD255" s="84" t="str">
        <f>IFERROR(INDEX('Cost_Components'!$N$2:$N$27,MATCH(E255,'Cost_Components'!$A$2:$A$27,0)),"")</f>
      </c>
      <c r="AE255" s="20" t="str">
        <f>IFERROR(INDEX('Cost_Components'!$O$2:$O$27,MATCH(E255,'Cost_Components'!$A$2:$A$27,0)),"")</f>
      </c>
      <c r="AF255" s="85" t="n">
        <v>734858.462300632</v>
      </c>
      <c r="AG255" s="86" t="n">
        <v>707234.188054573</v>
      </c>
      <c r="AH255" s="87" t="str">
        <f>IF(H255="shared-count-once",COUNTIFS($A$2:$A$1353,A255,$B$2:$B$1353,B255,$E$2:$E$1353,E255),1)</f>
      </c>
    </row>
    <row r="256">
      <c r="A256" t="s">
        <v>200</v>
      </c>
      <c r="B256" s="59" t="n">
        <v>2045</v>
      </c>
      <c r="C256" t="s">
        <v>200</v>
      </c>
      <c r="D256" t="s">
        <v>166</v>
      </c>
      <c r="E256" s="60" t="s">
        <v>283</v>
      </c>
      <c r="F256" s="61" t="s">
        <v>284</v>
      </c>
      <c r="G256" s="62" t="s">
        <v>203</v>
      </c>
      <c r="H256" s="63" t="s">
        <v>195</v>
      </c>
      <c r="I256" s="64" t="s">
        <v>267</v>
      </c>
      <c r="J256" s="65" t="str">
        <f>IFERROR(INDEX('Cost_Components'!$K$2:$K$27,MATCH(E256,'Cost_Components'!$A$2:$A$27,0)),"")</f>
      </c>
      <c r="K256" s="66" t="str">
        <f>IF(OR(L256="",Z256="",AA256="",AB256=""),"",IF(B256&lt;AA256,L256,IF(B256&gt;AB256,Z256,L256+(Z256-L256)*MIN(MAX((B256-AA256+1)/MAX(AB256-AA256+1,1),0),1))))</f>
      </c>
      <c r="L256" s="67" t="str">
        <f>IFERROR(INDEX('Cost_Components'!$S$2:$S$27,MATCH(E256,'Cost_Components'!$A$2:$A$27,0)),"")</f>
      </c>
      <c r="M256" s="68" t="str">
        <f>IFERROR(INDEX('Cost_Components'!$L$2:$L$27,MATCH(E256,'Cost_Components'!$A$2:$A$27,0)),"")</f>
      </c>
      <c r="N256" s="69" t="str">
        <f>IFERROR(INDEX('Cost_Components'!$P$2:$P$27,MATCH(E256,'Cost_Components'!$A$2:$A$27,0)),"")</f>
      </c>
      <c r="O256" s="70" t="str">
        <f>AF256*J256</f>
      </c>
      <c r="P256" s="71" t="str">
        <f>AG256*J256</f>
      </c>
      <c r="Q256" s="72" t="str">
        <f>P256*L256*M256*N256</f>
      </c>
      <c r="R256" s="73" t="str">
        <f>O256*K256*M256*N256</f>
      </c>
      <c r="S256" s="74" t="str">
        <f>R256-Q256</f>
      </c>
      <c r="T256" s="20" t="str">
        <f>IFERROR(INDEX('Cost_Components'!$R$2:$R$27,MATCH(E256,'Cost_Components'!$A$2:$A$27,0)),"")</f>
      </c>
      <c r="U256" s="75" t="str">
        <f>IFERROR(INDEX('Cost_Components'!$Q$2:$Q$27,MATCH(E256,'Cost_Components'!$A$2:$A$27,0)),"")</f>
      </c>
      <c r="V256" s="76" t="str">
        <f>1/(1+'Calculation_Assumptions'!$B$5)^(B256-'Calculation_Assumptions'!$B$2)</f>
      </c>
      <c r="W256" s="77" t="str">
        <f>Q256*V256</f>
      </c>
      <c r="X256" s="78" t="str">
        <f>R256*V256</f>
      </c>
      <c r="Y256" s="79" t="str">
        <f>S256*V256</f>
      </c>
      <c r="Z256" s="80" t="str">
        <f>IFERROR(INDEX('Cost_Components'!$T$2:$T$27,MATCH(E256,'Cost_Components'!$A$2:$A$27,0)),"")</f>
      </c>
      <c r="AA256" s="81" t="str">
        <f>IFERROR(INDEX('Cost_Components'!$U$2:$U$27,MATCH(E256,'Cost_Components'!$A$2:$A$27,0)),"")</f>
      </c>
      <c r="AB256" s="82" t="str">
        <f>IFERROR(INDEX('Cost_Components'!$V$2:$V$27,MATCH(E256,'Cost_Components'!$A$2:$A$27,0)),"")</f>
      </c>
      <c r="AC256" s="83" t="str">
        <f>IFERROR(INDEX('Cost_Components'!$M$2:$M$27,MATCH(E256,'Cost_Components'!$A$2:$A$27,0)),"")</f>
      </c>
      <c r="AD256" s="84" t="str">
        <f>IFERROR(INDEX('Cost_Components'!$N$2:$N$27,MATCH(E256,'Cost_Components'!$A$2:$A$27,0)),"")</f>
      </c>
      <c r="AE256" s="20" t="str">
        <f>IFERROR(INDEX('Cost_Components'!$O$2:$O$27,MATCH(E256,'Cost_Components'!$A$2:$A$27,0)),"")</f>
      </c>
      <c r="AF256" s="85" t="n">
        <v>752328.942036949</v>
      </c>
      <c r="AG256" s="86" t="n">
        <v>722555.372182865</v>
      </c>
      <c r="AH256" s="87" t="str">
        <f>IF(H256="shared-count-once",COUNTIFS($A$2:$A$1353,A256,$B$2:$B$1353,B256,$E$2:$E$1353,E256),1)</f>
      </c>
    </row>
    <row r="257">
      <c r="A257" t="s">
        <v>200</v>
      </c>
      <c r="B257" s="59" t="n">
        <v>2046</v>
      </c>
      <c r="C257" t="s">
        <v>200</v>
      </c>
      <c r="D257" t="s">
        <v>166</v>
      </c>
      <c r="E257" s="60" t="s">
        <v>283</v>
      </c>
      <c r="F257" s="61" t="s">
        <v>284</v>
      </c>
      <c r="G257" s="62" t="s">
        <v>203</v>
      </c>
      <c r="H257" s="63" t="s">
        <v>195</v>
      </c>
      <c r="I257" s="64" t="s">
        <v>267</v>
      </c>
      <c r="J257" s="65" t="str">
        <f>IFERROR(INDEX('Cost_Components'!$K$2:$K$27,MATCH(E257,'Cost_Components'!$A$2:$A$27,0)),"")</f>
      </c>
      <c r="K257" s="66" t="str">
        <f>IF(OR(L257="",Z257="",AA257="",AB257=""),"",IF(B257&lt;AA257,L257,IF(B257&gt;AB257,Z257,L257+(Z257-L257)*MIN(MAX((B257-AA257+1)/MAX(AB257-AA257+1,1),0),1))))</f>
      </c>
      <c r="L257" s="67" t="str">
        <f>IFERROR(INDEX('Cost_Components'!$S$2:$S$27,MATCH(E257,'Cost_Components'!$A$2:$A$27,0)),"")</f>
      </c>
      <c r="M257" s="68" t="str">
        <f>IFERROR(INDEX('Cost_Components'!$L$2:$L$27,MATCH(E257,'Cost_Components'!$A$2:$A$27,0)),"")</f>
      </c>
      <c r="N257" s="69" t="str">
        <f>IFERROR(INDEX('Cost_Components'!$P$2:$P$27,MATCH(E257,'Cost_Components'!$A$2:$A$27,0)),"")</f>
      </c>
      <c r="O257" s="70" t="str">
        <f>AF257*J257</f>
      </c>
      <c r="P257" s="71" t="str">
        <f>AG257*J257</f>
      </c>
      <c r="Q257" s="72" t="str">
        <f>P257*L257*M257*N257</f>
      </c>
      <c r="R257" s="73" t="str">
        <f>O257*K257*M257*N257</f>
      </c>
      <c r="S257" s="74" t="str">
        <f>R257-Q257</f>
      </c>
      <c r="T257" s="20" t="str">
        <f>IFERROR(INDEX('Cost_Components'!$R$2:$R$27,MATCH(E257,'Cost_Components'!$A$2:$A$27,0)),"")</f>
      </c>
      <c r="U257" s="75" t="str">
        <f>IFERROR(INDEX('Cost_Components'!$Q$2:$Q$27,MATCH(E257,'Cost_Components'!$A$2:$A$27,0)),"")</f>
      </c>
      <c r="V257" s="76" t="str">
        <f>1/(1+'Calculation_Assumptions'!$B$5)^(B257-'Calculation_Assumptions'!$B$2)</f>
      </c>
      <c r="W257" s="77" t="str">
        <f>Q257*V257</f>
      </c>
      <c r="X257" s="78" t="str">
        <f>R257*V257</f>
      </c>
      <c r="Y257" s="79" t="str">
        <f>S257*V257</f>
      </c>
      <c r="Z257" s="80" t="str">
        <f>IFERROR(INDEX('Cost_Components'!$T$2:$T$27,MATCH(E257,'Cost_Components'!$A$2:$A$27,0)),"")</f>
      </c>
      <c r="AA257" s="81" t="str">
        <f>IFERROR(INDEX('Cost_Components'!$U$2:$U$27,MATCH(E257,'Cost_Components'!$A$2:$A$27,0)),"")</f>
      </c>
      <c r="AB257" s="82" t="str">
        <f>IFERROR(INDEX('Cost_Components'!$V$2:$V$27,MATCH(E257,'Cost_Components'!$A$2:$A$27,0)),"")</f>
      </c>
      <c r="AC257" s="83" t="str">
        <f>IFERROR(INDEX('Cost_Components'!$M$2:$M$27,MATCH(E257,'Cost_Components'!$A$2:$A$27,0)),"")</f>
      </c>
      <c r="AD257" s="84" t="str">
        <f>IFERROR(INDEX('Cost_Components'!$N$2:$N$27,MATCH(E257,'Cost_Components'!$A$2:$A$27,0)),"")</f>
      </c>
      <c r="AE257" s="20" t="str">
        <f>IFERROR(INDEX('Cost_Components'!$O$2:$O$27,MATCH(E257,'Cost_Components'!$A$2:$A$27,0)),"")</f>
      </c>
      <c r="AF257" s="85" t="n">
        <v>769850.208837841</v>
      </c>
      <c r="AG257" s="86" t="n">
        <v>737879.853931334</v>
      </c>
      <c r="AH257" s="87" t="str">
        <f>IF(H257="shared-count-once",COUNTIFS($A$2:$A$1353,A257,$B$2:$B$1353,B257,$E$2:$E$1353,E257),1)</f>
      </c>
    </row>
    <row r="258">
      <c r="A258" t="s">
        <v>200</v>
      </c>
      <c r="B258" s="59" t="n">
        <v>2047</v>
      </c>
      <c r="C258" t="s">
        <v>200</v>
      </c>
      <c r="D258" t="s">
        <v>166</v>
      </c>
      <c r="E258" s="60" t="s">
        <v>283</v>
      </c>
      <c r="F258" s="61" t="s">
        <v>284</v>
      </c>
      <c r="G258" s="62" t="s">
        <v>203</v>
      </c>
      <c r="H258" s="63" t="s">
        <v>195</v>
      </c>
      <c r="I258" s="64" t="s">
        <v>267</v>
      </c>
      <c r="J258" s="65" t="str">
        <f>IFERROR(INDEX('Cost_Components'!$K$2:$K$27,MATCH(E258,'Cost_Components'!$A$2:$A$27,0)),"")</f>
      </c>
      <c r="K258" s="66" t="str">
        <f>IF(OR(L258="",Z258="",AA258="",AB258=""),"",IF(B258&lt;AA258,L258,IF(B258&gt;AB258,Z258,L258+(Z258-L258)*MIN(MAX((B258-AA258+1)/MAX(AB258-AA258+1,1),0),1))))</f>
      </c>
      <c r="L258" s="67" t="str">
        <f>IFERROR(INDEX('Cost_Components'!$S$2:$S$27,MATCH(E258,'Cost_Components'!$A$2:$A$27,0)),"")</f>
      </c>
      <c r="M258" s="68" t="str">
        <f>IFERROR(INDEX('Cost_Components'!$L$2:$L$27,MATCH(E258,'Cost_Components'!$A$2:$A$27,0)),"")</f>
      </c>
      <c r="N258" s="69" t="str">
        <f>IFERROR(INDEX('Cost_Components'!$P$2:$P$27,MATCH(E258,'Cost_Components'!$A$2:$A$27,0)),"")</f>
      </c>
      <c r="O258" s="70" t="str">
        <f>AF258*J258</f>
      </c>
      <c r="P258" s="71" t="str">
        <f>AG258*J258</f>
      </c>
      <c r="Q258" s="72" t="str">
        <f>P258*L258*M258*N258</f>
      </c>
      <c r="R258" s="73" t="str">
        <f>O258*K258*M258*N258</f>
      </c>
      <c r="S258" s="74" t="str">
        <f>R258-Q258</f>
      </c>
      <c r="T258" s="20" t="str">
        <f>IFERROR(INDEX('Cost_Components'!$R$2:$R$27,MATCH(E258,'Cost_Components'!$A$2:$A$27,0)),"")</f>
      </c>
      <c r="U258" s="75" t="str">
        <f>IFERROR(INDEX('Cost_Components'!$Q$2:$Q$27,MATCH(E258,'Cost_Components'!$A$2:$A$27,0)),"")</f>
      </c>
      <c r="V258" s="76" t="str">
        <f>1/(1+'Calculation_Assumptions'!$B$5)^(B258-'Calculation_Assumptions'!$B$2)</f>
      </c>
      <c r="W258" s="77" t="str">
        <f>Q258*V258</f>
      </c>
      <c r="X258" s="78" t="str">
        <f>R258*V258</f>
      </c>
      <c r="Y258" s="79" t="str">
        <f>S258*V258</f>
      </c>
      <c r="Z258" s="80" t="str">
        <f>IFERROR(INDEX('Cost_Components'!$T$2:$T$27,MATCH(E258,'Cost_Components'!$A$2:$A$27,0)),"")</f>
      </c>
      <c r="AA258" s="81" t="str">
        <f>IFERROR(INDEX('Cost_Components'!$U$2:$U$27,MATCH(E258,'Cost_Components'!$A$2:$A$27,0)),"")</f>
      </c>
      <c r="AB258" s="82" t="str">
        <f>IFERROR(INDEX('Cost_Components'!$V$2:$V$27,MATCH(E258,'Cost_Components'!$A$2:$A$27,0)),"")</f>
      </c>
      <c r="AC258" s="83" t="str">
        <f>IFERROR(INDEX('Cost_Components'!$M$2:$M$27,MATCH(E258,'Cost_Components'!$A$2:$A$27,0)),"")</f>
      </c>
      <c r="AD258" s="84" t="str">
        <f>IFERROR(INDEX('Cost_Components'!$N$2:$N$27,MATCH(E258,'Cost_Components'!$A$2:$A$27,0)),"")</f>
      </c>
      <c r="AE258" s="20" t="str">
        <f>IFERROR(INDEX('Cost_Components'!$O$2:$O$27,MATCH(E258,'Cost_Components'!$A$2:$A$27,0)),"")</f>
      </c>
      <c r="AF258" s="85" t="n">
        <v>787442.159557721</v>
      </c>
      <c r="AG258" s="86" t="n">
        <v>753233.18651991</v>
      </c>
      <c r="AH258" s="87" t="str">
        <f>IF(H258="shared-count-once",COUNTIFS($A$2:$A$1353,A258,$B$2:$B$1353,B258,$E$2:$E$1353,E258),1)</f>
      </c>
    </row>
    <row r="259">
      <c r="A259" t="s">
        <v>200</v>
      </c>
      <c r="B259" s="59" t="n">
        <v>2048</v>
      </c>
      <c r="C259" t="s">
        <v>200</v>
      </c>
      <c r="D259" t="s">
        <v>166</v>
      </c>
      <c r="E259" s="60" t="s">
        <v>283</v>
      </c>
      <c r="F259" s="61" t="s">
        <v>284</v>
      </c>
      <c r="G259" s="62" t="s">
        <v>203</v>
      </c>
      <c r="H259" s="63" t="s">
        <v>195</v>
      </c>
      <c r="I259" s="64" t="s">
        <v>267</v>
      </c>
      <c r="J259" s="65" t="str">
        <f>IFERROR(INDEX('Cost_Components'!$K$2:$K$27,MATCH(E259,'Cost_Components'!$A$2:$A$27,0)),"")</f>
      </c>
      <c r="K259" s="66" t="str">
        <f>IF(OR(L259="",Z259="",AA259="",AB259=""),"",IF(B259&lt;AA259,L259,IF(B259&gt;AB259,Z259,L259+(Z259-L259)*MIN(MAX((B259-AA259+1)/MAX(AB259-AA259+1,1),0),1))))</f>
      </c>
      <c r="L259" s="67" t="str">
        <f>IFERROR(INDEX('Cost_Components'!$S$2:$S$27,MATCH(E259,'Cost_Components'!$A$2:$A$27,0)),"")</f>
      </c>
      <c r="M259" s="68" t="str">
        <f>IFERROR(INDEX('Cost_Components'!$L$2:$L$27,MATCH(E259,'Cost_Components'!$A$2:$A$27,0)),"")</f>
      </c>
      <c r="N259" s="69" t="str">
        <f>IFERROR(INDEX('Cost_Components'!$P$2:$P$27,MATCH(E259,'Cost_Components'!$A$2:$A$27,0)),"")</f>
      </c>
      <c r="O259" s="70" t="str">
        <f>AF259*J259</f>
      </c>
      <c r="P259" s="71" t="str">
        <f>AG259*J259</f>
      </c>
      <c r="Q259" s="72" t="str">
        <f>P259*L259*M259*N259</f>
      </c>
      <c r="R259" s="73" t="str">
        <f>O259*K259*M259*N259</f>
      </c>
      <c r="S259" s="74" t="str">
        <f>R259-Q259</f>
      </c>
      <c r="T259" s="20" t="str">
        <f>IFERROR(INDEX('Cost_Components'!$R$2:$R$27,MATCH(E259,'Cost_Components'!$A$2:$A$27,0)),"")</f>
      </c>
      <c r="U259" s="75" t="str">
        <f>IFERROR(INDEX('Cost_Components'!$Q$2:$Q$27,MATCH(E259,'Cost_Components'!$A$2:$A$27,0)),"")</f>
      </c>
      <c r="V259" s="76" t="str">
        <f>1/(1+'Calculation_Assumptions'!$B$5)^(B259-'Calculation_Assumptions'!$B$2)</f>
      </c>
      <c r="W259" s="77" t="str">
        <f>Q259*V259</f>
      </c>
      <c r="X259" s="78" t="str">
        <f>R259*V259</f>
      </c>
      <c r="Y259" s="79" t="str">
        <f>S259*V259</f>
      </c>
      <c r="Z259" s="80" t="str">
        <f>IFERROR(INDEX('Cost_Components'!$T$2:$T$27,MATCH(E259,'Cost_Components'!$A$2:$A$27,0)),"")</f>
      </c>
      <c r="AA259" s="81" t="str">
        <f>IFERROR(INDEX('Cost_Components'!$U$2:$U$27,MATCH(E259,'Cost_Components'!$A$2:$A$27,0)),"")</f>
      </c>
      <c r="AB259" s="82" t="str">
        <f>IFERROR(INDEX('Cost_Components'!$V$2:$V$27,MATCH(E259,'Cost_Components'!$A$2:$A$27,0)),"")</f>
      </c>
      <c r="AC259" s="83" t="str">
        <f>IFERROR(INDEX('Cost_Components'!$M$2:$M$27,MATCH(E259,'Cost_Components'!$A$2:$A$27,0)),"")</f>
      </c>
      <c r="AD259" s="84" t="str">
        <f>IFERROR(INDEX('Cost_Components'!$N$2:$N$27,MATCH(E259,'Cost_Components'!$A$2:$A$27,0)),"")</f>
      </c>
      <c r="AE259" s="20" t="str">
        <f>IFERROR(INDEX('Cost_Components'!$O$2:$O$27,MATCH(E259,'Cost_Components'!$A$2:$A$27,0)),"")</f>
      </c>
      <c r="AF259" s="85" t="n">
        <v>805265.924430069</v>
      </c>
      <c r="AG259" s="86" t="n">
        <v>768783.336092168</v>
      </c>
      <c r="AH259" s="87" t="str">
        <f>IF(H259="shared-count-once",COUNTIFS($A$2:$A$1353,A259,$B$2:$B$1353,B259,$E$2:$E$1353,E259),1)</f>
      </c>
    </row>
    <row r="260">
      <c r="A260" t="s">
        <v>200</v>
      </c>
      <c r="B260" s="59" t="n">
        <v>2049</v>
      </c>
      <c r="C260" t="s">
        <v>200</v>
      </c>
      <c r="D260" t="s">
        <v>166</v>
      </c>
      <c r="E260" s="60" t="s">
        <v>283</v>
      </c>
      <c r="F260" s="61" t="s">
        <v>284</v>
      </c>
      <c r="G260" s="62" t="s">
        <v>203</v>
      </c>
      <c r="H260" s="63" t="s">
        <v>195</v>
      </c>
      <c r="I260" s="64" t="s">
        <v>267</v>
      </c>
      <c r="J260" s="65" t="str">
        <f>IFERROR(INDEX('Cost_Components'!$K$2:$K$27,MATCH(E260,'Cost_Components'!$A$2:$A$27,0)),"")</f>
      </c>
      <c r="K260" s="66" t="str">
        <f>IF(OR(L260="",Z260="",AA260="",AB260=""),"",IF(B260&lt;AA260,L260,IF(B260&gt;AB260,Z260,L260+(Z260-L260)*MIN(MAX((B260-AA260+1)/MAX(AB260-AA260+1,1),0),1))))</f>
      </c>
      <c r="L260" s="67" t="str">
        <f>IFERROR(INDEX('Cost_Components'!$S$2:$S$27,MATCH(E260,'Cost_Components'!$A$2:$A$27,0)),"")</f>
      </c>
      <c r="M260" s="68" t="str">
        <f>IFERROR(INDEX('Cost_Components'!$L$2:$L$27,MATCH(E260,'Cost_Components'!$A$2:$A$27,0)),"")</f>
      </c>
      <c r="N260" s="69" t="str">
        <f>IFERROR(INDEX('Cost_Components'!$P$2:$P$27,MATCH(E260,'Cost_Components'!$A$2:$A$27,0)),"")</f>
      </c>
      <c r="O260" s="70" t="str">
        <f>AF260*J260</f>
      </c>
      <c r="P260" s="71" t="str">
        <f>AG260*J260</f>
      </c>
      <c r="Q260" s="72" t="str">
        <f>P260*L260*M260*N260</f>
      </c>
      <c r="R260" s="73" t="str">
        <f>O260*K260*M260*N260</f>
      </c>
      <c r="S260" s="74" t="str">
        <f>R260-Q260</f>
      </c>
      <c r="T260" s="20" t="str">
        <f>IFERROR(INDEX('Cost_Components'!$R$2:$R$27,MATCH(E260,'Cost_Components'!$A$2:$A$27,0)),"")</f>
      </c>
      <c r="U260" s="75" t="str">
        <f>IFERROR(INDEX('Cost_Components'!$Q$2:$Q$27,MATCH(E260,'Cost_Components'!$A$2:$A$27,0)),"")</f>
      </c>
      <c r="V260" s="76" t="str">
        <f>1/(1+'Calculation_Assumptions'!$B$5)^(B260-'Calculation_Assumptions'!$B$2)</f>
      </c>
      <c r="W260" s="77" t="str">
        <f>Q260*V260</f>
      </c>
      <c r="X260" s="78" t="str">
        <f>R260*V260</f>
      </c>
      <c r="Y260" s="79" t="str">
        <f>S260*V260</f>
      </c>
      <c r="Z260" s="80" t="str">
        <f>IFERROR(INDEX('Cost_Components'!$T$2:$T$27,MATCH(E260,'Cost_Components'!$A$2:$A$27,0)),"")</f>
      </c>
      <c r="AA260" s="81" t="str">
        <f>IFERROR(INDEX('Cost_Components'!$U$2:$U$27,MATCH(E260,'Cost_Components'!$A$2:$A$27,0)),"")</f>
      </c>
      <c r="AB260" s="82" t="str">
        <f>IFERROR(INDEX('Cost_Components'!$V$2:$V$27,MATCH(E260,'Cost_Components'!$A$2:$A$27,0)),"")</f>
      </c>
      <c r="AC260" s="83" t="str">
        <f>IFERROR(INDEX('Cost_Components'!$M$2:$M$27,MATCH(E260,'Cost_Components'!$A$2:$A$27,0)),"")</f>
      </c>
      <c r="AD260" s="84" t="str">
        <f>IFERROR(INDEX('Cost_Components'!$N$2:$N$27,MATCH(E260,'Cost_Components'!$A$2:$A$27,0)),"")</f>
      </c>
      <c r="AE260" s="20" t="str">
        <f>IFERROR(INDEX('Cost_Components'!$O$2:$O$27,MATCH(E260,'Cost_Components'!$A$2:$A$27,0)),"")</f>
      </c>
      <c r="AF260" s="85" t="n">
        <v>822565.230007403</v>
      </c>
      <c r="AG260" s="86" t="n">
        <v>783775.538450204</v>
      </c>
      <c r="AH260" s="87" t="str">
        <f>IF(H260="shared-count-once",COUNTIFS($A$2:$A$1353,A260,$B$2:$B$1353,B260,$E$2:$E$1353,E260),1)</f>
      </c>
    </row>
    <row r="261">
      <c r="A261" t="s">
        <v>200</v>
      </c>
      <c r="B261" s="59" t="n">
        <v>2050</v>
      </c>
      <c r="C261" t="s">
        <v>200</v>
      </c>
      <c r="D261" t="s">
        <v>166</v>
      </c>
      <c r="E261" s="60" t="s">
        <v>283</v>
      </c>
      <c r="F261" s="61" t="s">
        <v>284</v>
      </c>
      <c r="G261" s="62" t="s">
        <v>203</v>
      </c>
      <c r="H261" s="63" t="s">
        <v>195</v>
      </c>
      <c r="I261" s="64" t="s">
        <v>267</v>
      </c>
      <c r="J261" s="65" t="str">
        <f>IFERROR(INDEX('Cost_Components'!$K$2:$K$27,MATCH(E261,'Cost_Components'!$A$2:$A$27,0)),"")</f>
      </c>
      <c r="K261" s="66" t="str">
        <f>IF(OR(L261="",Z261="",AA261="",AB261=""),"",IF(B261&lt;AA261,L261,IF(B261&gt;AB261,Z261,L261+(Z261-L261)*MIN(MAX((B261-AA261+1)/MAX(AB261-AA261+1,1),0),1))))</f>
      </c>
      <c r="L261" s="67" t="str">
        <f>IFERROR(INDEX('Cost_Components'!$S$2:$S$27,MATCH(E261,'Cost_Components'!$A$2:$A$27,0)),"")</f>
      </c>
      <c r="M261" s="68" t="str">
        <f>IFERROR(INDEX('Cost_Components'!$L$2:$L$27,MATCH(E261,'Cost_Components'!$A$2:$A$27,0)),"")</f>
      </c>
      <c r="N261" s="69" t="str">
        <f>IFERROR(INDEX('Cost_Components'!$P$2:$P$27,MATCH(E261,'Cost_Components'!$A$2:$A$27,0)),"")</f>
      </c>
      <c r="O261" s="70" t="str">
        <f>AF261*J261</f>
      </c>
      <c r="P261" s="71" t="str">
        <f>AG261*J261</f>
      </c>
      <c r="Q261" s="72" t="str">
        <f>P261*L261*M261*N261</f>
      </c>
      <c r="R261" s="73" t="str">
        <f>O261*K261*M261*N261</f>
      </c>
      <c r="S261" s="74" t="str">
        <f>R261-Q261</f>
      </c>
      <c r="T261" s="20" t="str">
        <f>IFERROR(INDEX('Cost_Components'!$R$2:$R$27,MATCH(E261,'Cost_Components'!$A$2:$A$27,0)),"")</f>
      </c>
      <c r="U261" s="75" t="str">
        <f>IFERROR(INDEX('Cost_Components'!$Q$2:$Q$27,MATCH(E261,'Cost_Components'!$A$2:$A$27,0)),"")</f>
      </c>
      <c r="V261" s="76" t="str">
        <f>1/(1+'Calculation_Assumptions'!$B$5)^(B261-'Calculation_Assumptions'!$B$2)</f>
      </c>
      <c r="W261" s="77" t="str">
        <f>Q261*V261</f>
      </c>
      <c r="X261" s="78" t="str">
        <f>R261*V261</f>
      </c>
      <c r="Y261" s="79" t="str">
        <f>S261*V261</f>
      </c>
      <c r="Z261" s="80" t="str">
        <f>IFERROR(INDEX('Cost_Components'!$T$2:$T$27,MATCH(E261,'Cost_Components'!$A$2:$A$27,0)),"")</f>
      </c>
      <c r="AA261" s="81" t="str">
        <f>IFERROR(INDEX('Cost_Components'!$U$2:$U$27,MATCH(E261,'Cost_Components'!$A$2:$A$27,0)),"")</f>
      </c>
      <c r="AB261" s="82" t="str">
        <f>IFERROR(INDEX('Cost_Components'!$V$2:$V$27,MATCH(E261,'Cost_Components'!$A$2:$A$27,0)),"")</f>
      </c>
      <c r="AC261" s="83" t="str">
        <f>IFERROR(INDEX('Cost_Components'!$M$2:$M$27,MATCH(E261,'Cost_Components'!$A$2:$A$27,0)),"")</f>
      </c>
      <c r="AD261" s="84" t="str">
        <f>IFERROR(INDEX('Cost_Components'!$N$2:$N$27,MATCH(E261,'Cost_Components'!$A$2:$A$27,0)),"")</f>
      </c>
      <c r="AE261" s="20" t="str">
        <f>IFERROR(INDEX('Cost_Components'!$O$2:$O$27,MATCH(E261,'Cost_Components'!$A$2:$A$27,0)),"")</f>
      </c>
      <c r="AF261" s="85" t="n">
        <v>839604.686238042</v>
      </c>
      <c r="AG261" s="86" t="n">
        <v>798478.813288951</v>
      </c>
      <c r="AH261" s="87" t="str">
        <f>IF(H261="shared-count-once",COUNTIFS($A$2:$A$1353,A261,$B$2:$B$1353,B261,$E$2:$E$1353,E261),1)</f>
      </c>
    </row>
    <row r="262">
      <c r="A262" t="s">
        <v>200</v>
      </c>
      <c r="B262" s="59" t="n">
        <v>2025</v>
      </c>
      <c r="C262" t="s">
        <v>200</v>
      </c>
      <c r="D262" t="s">
        <v>166</v>
      </c>
      <c r="E262" s="60" t="s">
        <v>285</v>
      </c>
      <c r="F262" s="61" t="s">
        <v>286</v>
      </c>
      <c r="G262" s="62" t="s">
        <v>203</v>
      </c>
      <c r="H262" s="63" t="s">
        <v>195</v>
      </c>
      <c r="I262" s="64" t="s">
        <v>267</v>
      </c>
      <c r="J262" s="65" t="str">
        <f>IFERROR(INDEX('Cost_Components'!$K$2:$K$27,MATCH(E262,'Cost_Components'!$A$2:$A$27,0)),"")</f>
      </c>
      <c r="K262" s="66" t="str">
        <f>IF(OR(L262="",Z262="",AA262="",AB262=""),"",IF(B262&lt;AA262,L262,IF(B262&gt;AB262,Z262,L262+(Z262-L262)*MIN(MAX((B262-AA262+1)/MAX(AB262-AA262+1,1),0),1))))</f>
      </c>
      <c r="L262" s="67" t="str">
        <f>IFERROR(INDEX('Cost_Components'!$S$2:$S$27,MATCH(E262,'Cost_Components'!$A$2:$A$27,0)),"")</f>
      </c>
      <c r="M262" s="68" t="str">
        <f>IFERROR(INDEX('Cost_Components'!$L$2:$L$27,MATCH(E262,'Cost_Components'!$A$2:$A$27,0)),"")</f>
      </c>
      <c r="N262" s="69" t="str">
        <f>IFERROR(INDEX('Cost_Components'!$P$2:$P$27,MATCH(E262,'Cost_Components'!$A$2:$A$27,0)),"")</f>
      </c>
      <c r="O262" s="70" t="str">
        <f>AF262*J262</f>
      </c>
      <c r="P262" s="71" t="str">
        <f>AG262*J262</f>
      </c>
      <c r="Q262" s="72" t="str">
        <f>P262*L262*M262*N262</f>
      </c>
      <c r="R262" s="73" t="str">
        <f>O262*K262*M262*N262</f>
      </c>
      <c r="S262" s="74" t="str">
        <f>R262-Q262</f>
      </c>
      <c r="T262" s="20" t="str">
        <f>IFERROR(INDEX('Cost_Components'!$R$2:$R$27,MATCH(E262,'Cost_Components'!$A$2:$A$27,0)),"")</f>
      </c>
      <c r="U262" s="75" t="str">
        <f>IFERROR(INDEX('Cost_Components'!$Q$2:$Q$27,MATCH(E262,'Cost_Components'!$A$2:$A$27,0)),"")</f>
      </c>
      <c r="V262" s="76" t="str">
        <f>1/(1+'Calculation_Assumptions'!$B$5)^(B262-'Calculation_Assumptions'!$B$2)</f>
      </c>
      <c r="W262" s="77" t="str">
        <f>Q262*V262</f>
      </c>
      <c r="X262" s="78" t="str">
        <f>R262*V262</f>
      </c>
      <c r="Y262" s="79" t="str">
        <f>S262*V262</f>
      </c>
      <c r="Z262" s="80" t="str">
        <f>IFERROR(INDEX('Cost_Components'!$T$2:$T$27,MATCH(E262,'Cost_Components'!$A$2:$A$27,0)),"")</f>
      </c>
      <c r="AA262" s="81" t="str">
        <f>IFERROR(INDEX('Cost_Components'!$U$2:$U$27,MATCH(E262,'Cost_Components'!$A$2:$A$27,0)),"")</f>
      </c>
      <c r="AB262" s="82" t="str">
        <f>IFERROR(INDEX('Cost_Components'!$V$2:$V$27,MATCH(E262,'Cost_Components'!$A$2:$A$27,0)),"")</f>
      </c>
      <c r="AC262" s="83" t="str">
        <f>IFERROR(INDEX('Cost_Components'!$M$2:$M$27,MATCH(E262,'Cost_Components'!$A$2:$A$27,0)),"")</f>
      </c>
      <c r="AD262" s="84" t="str">
        <f>IFERROR(INDEX('Cost_Components'!$N$2:$N$27,MATCH(E262,'Cost_Components'!$A$2:$A$27,0)),"")</f>
      </c>
      <c r="AE262" s="20" t="str">
        <f>IFERROR(INDEX('Cost_Components'!$O$2:$O$27,MATCH(E262,'Cost_Components'!$A$2:$A$27,0)),"")</f>
      </c>
      <c r="AF262" s="85" t="n">
        <v>453458.632457426</v>
      </c>
      <c r="AG262" s="86" t="n">
        <v>453221.0508491</v>
      </c>
      <c r="AH262" s="87" t="str">
        <f>IF(H262="shared-count-once",COUNTIFS($A$2:$A$1353,A262,$B$2:$B$1353,B262,$E$2:$E$1353,E262),1)</f>
      </c>
    </row>
    <row r="263">
      <c r="A263" t="s">
        <v>200</v>
      </c>
      <c r="B263" s="59" t="n">
        <v>2026</v>
      </c>
      <c r="C263" t="s">
        <v>200</v>
      </c>
      <c r="D263" t="s">
        <v>166</v>
      </c>
      <c r="E263" s="60" t="s">
        <v>285</v>
      </c>
      <c r="F263" s="61" t="s">
        <v>286</v>
      </c>
      <c r="G263" s="62" t="s">
        <v>203</v>
      </c>
      <c r="H263" s="63" t="s">
        <v>195</v>
      </c>
      <c r="I263" s="64" t="s">
        <v>267</v>
      </c>
      <c r="J263" s="65" t="str">
        <f>IFERROR(INDEX('Cost_Components'!$K$2:$K$27,MATCH(E263,'Cost_Components'!$A$2:$A$27,0)),"")</f>
      </c>
      <c r="K263" s="66" t="str">
        <f>IF(OR(L263="",Z263="",AA263="",AB263=""),"",IF(B263&lt;AA263,L263,IF(B263&gt;AB263,Z263,L263+(Z263-L263)*MIN(MAX((B263-AA263+1)/MAX(AB263-AA263+1,1),0),1))))</f>
      </c>
      <c r="L263" s="67" t="str">
        <f>IFERROR(INDEX('Cost_Components'!$S$2:$S$27,MATCH(E263,'Cost_Components'!$A$2:$A$27,0)),"")</f>
      </c>
      <c r="M263" s="68" t="str">
        <f>IFERROR(INDEX('Cost_Components'!$L$2:$L$27,MATCH(E263,'Cost_Components'!$A$2:$A$27,0)),"")</f>
      </c>
      <c r="N263" s="69" t="str">
        <f>IFERROR(INDEX('Cost_Components'!$P$2:$P$27,MATCH(E263,'Cost_Components'!$A$2:$A$27,0)),"")</f>
      </c>
      <c r="O263" s="70" t="str">
        <f>AF263*J263</f>
      </c>
      <c r="P263" s="71" t="str">
        <f>AG263*J263</f>
      </c>
      <c r="Q263" s="72" t="str">
        <f>P263*L263*M263*N263</f>
      </c>
      <c r="R263" s="73" t="str">
        <f>O263*K263*M263*N263</f>
      </c>
      <c r="S263" s="74" t="str">
        <f>R263-Q263</f>
      </c>
      <c r="T263" s="20" t="str">
        <f>IFERROR(INDEX('Cost_Components'!$R$2:$R$27,MATCH(E263,'Cost_Components'!$A$2:$A$27,0)),"")</f>
      </c>
      <c r="U263" s="75" t="str">
        <f>IFERROR(INDEX('Cost_Components'!$Q$2:$Q$27,MATCH(E263,'Cost_Components'!$A$2:$A$27,0)),"")</f>
      </c>
      <c r="V263" s="76" t="str">
        <f>1/(1+'Calculation_Assumptions'!$B$5)^(B263-'Calculation_Assumptions'!$B$2)</f>
      </c>
      <c r="W263" s="77" t="str">
        <f>Q263*V263</f>
      </c>
      <c r="X263" s="78" t="str">
        <f>R263*V263</f>
      </c>
      <c r="Y263" s="79" t="str">
        <f>S263*V263</f>
      </c>
      <c r="Z263" s="80" t="str">
        <f>IFERROR(INDEX('Cost_Components'!$T$2:$T$27,MATCH(E263,'Cost_Components'!$A$2:$A$27,0)),"")</f>
      </c>
      <c r="AA263" s="81" t="str">
        <f>IFERROR(INDEX('Cost_Components'!$U$2:$U$27,MATCH(E263,'Cost_Components'!$A$2:$A$27,0)),"")</f>
      </c>
      <c r="AB263" s="82" t="str">
        <f>IFERROR(INDEX('Cost_Components'!$V$2:$V$27,MATCH(E263,'Cost_Components'!$A$2:$A$27,0)),"")</f>
      </c>
      <c r="AC263" s="83" t="str">
        <f>IFERROR(INDEX('Cost_Components'!$M$2:$M$27,MATCH(E263,'Cost_Components'!$A$2:$A$27,0)),"")</f>
      </c>
      <c r="AD263" s="84" t="str">
        <f>IFERROR(INDEX('Cost_Components'!$N$2:$N$27,MATCH(E263,'Cost_Components'!$A$2:$A$27,0)),"")</f>
      </c>
      <c r="AE263" s="20" t="str">
        <f>IFERROR(INDEX('Cost_Components'!$O$2:$O$27,MATCH(E263,'Cost_Components'!$A$2:$A$27,0)),"")</f>
      </c>
      <c r="AF263" s="85" t="n">
        <v>472036.947676866</v>
      </c>
      <c r="AG263" s="86" t="n">
        <v>471359.834461258</v>
      </c>
      <c r="AH263" s="87" t="str">
        <f>IF(H263="shared-count-once",COUNTIFS($A$2:$A$1353,A263,$B$2:$B$1353,B263,$E$2:$E$1353,E263),1)</f>
      </c>
    </row>
    <row r="264">
      <c r="A264" t="s">
        <v>200</v>
      </c>
      <c r="B264" s="59" t="n">
        <v>2027</v>
      </c>
      <c r="C264" t="s">
        <v>200</v>
      </c>
      <c r="D264" t="s">
        <v>166</v>
      </c>
      <c r="E264" s="60" t="s">
        <v>285</v>
      </c>
      <c r="F264" s="61" t="s">
        <v>286</v>
      </c>
      <c r="G264" s="62" t="s">
        <v>203</v>
      </c>
      <c r="H264" s="63" t="s">
        <v>195</v>
      </c>
      <c r="I264" s="64" t="s">
        <v>267</v>
      </c>
      <c r="J264" s="65" t="str">
        <f>IFERROR(INDEX('Cost_Components'!$K$2:$K$27,MATCH(E264,'Cost_Components'!$A$2:$A$27,0)),"")</f>
      </c>
      <c r="K264" s="66" t="str">
        <f>IF(OR(L264="",Z264="",AA264="",AB264=""),"",IF(B264&lt;AA264,L264,IF(B264&gt;AB264,Z264,L264+(Z264-L264)*MIN(MAX((B264-AA264+1)/MAX(AB264-AA264+1,1),0),1))))</f>
      </c>
      <c r="L264" s="67" t="str">
        <f>IFERROR(INDEX('Cost_Components'!$S$2:$S$27,MATCH(E264,'Cost_Components'!$A$2:$A$27,0)),"")</f>
      </c>
      <c r="M264" s="68" t="str">
        <f>IFERROR(INDEX('Cost_Components'!$L$2:$L$27,MATCH(E264,'Cost_Components'!$A$2:$A$27,0)),"")</f>
      </c>
      <c r="N264" s="69" t="str">
        <f>IFERROR(INDEX('Cost_Components'!$P$2:$P$27,MATCH(E264,'Cost_Components'!$A$2:$A$27,0)),"")</f>
      </c>
      <c r="O264" s="70" t="str">
        <f>AF264*J264</f>
      </c>
      <c r="P264" s="71" t="str">
        <f>AG264*J264</f>
      </c>
      <c r="Q264" s="72" t="str">
        <f>P264*L264*M264*N264</f>
      </c>
      <c r="R264" s="73" t="str">
        <f>O264*K264*M264*N264</f>
      </c>
      <c r="S264" s="74" t="str">
        <f>R264-Q264</f>
      </c>
      <c r="T264" s="20" t="str">
        <f>IFERROR(INDEX('Cost_Components'!$R$2:$R$27,MATCH(E264,'Cost_Components'!$A$2:$A$27,0)),"")</f>
      </c>
      <c r="U264" s="75" t="str">
        <f>IFERROR(INDEX('Cost_Components'!$Q$2:$Q$27,MATCH(E264,'Cost_Components'!$A$2:$A$27,0)),"")</f>
      </c>
      <c r="V264" s="76" t="str">
        <f>1/(1+'Calculation_Assumptions'!$B$5)^(B264-'Calculation_Assumptions'!$B$2)</f>
      </c>
      <c r="W264" s="77" t="str">
        <f>Q264*V264</f>
      </c>
      <c r="X264" s="78" t="str">
        <f>R264*V264</f>
      </c>
      <c r="Y264" s="79" t="str">
        <f>S264*V264</f>
      </c>
      <c r="Z264" s="80" t="str">
        <f>IFERROR(INDEX('Cost_Components'!$T$2:$T$27,MATCH(E264,'Cost_Components'!$A$2:$A$27,0)),"")</f>
      </c>
      <c r="AA264" s="81" t="str">
        <f>IFERROR(INDEX('Cost_Components'!$U$2:$U$27,MATCH(E264,'Cost_Components'!$A$2:$A$27,0)),"")</f>
      </c>
      <c r="AB264" s="82" t="str">
        <f>IFERROR(INDEX('Cost_Components'!$V$2:$V$27,MATCH(E264,'Cost_Components'!$A$2:$A$27,0)),"")</f>
      </c>
      <c r="AC264" s="83" t="str">
        <f>IFERROR(INDEX('Cost_Components'!$M$2:$M$27,MATCH(E264,'Cost_Components'!$A$2:$A$27,0)),"")</f>
      </c>
      <c r="AD264" s="84" t="str">
        <f>IFERROR(INDEX('Cost_Components'!$N$2:$N$27,MATCH(E264,'Cost_Components'!$A$2:$A$27,0)),"")</f>
      </c>
      <c r="AE264" s="20" t="str">
        <f>IFERROR(INDEX('Cost_Components'!$O$2:$O$27,MATCH(E264,'Cost_Components'!$A$2:$A$27,0)),"")</f>
      </c>
      <c r="AF264" s="85" t="n">
        <v>487370.689425329</v>
      </c>
      <c r="AG264" s="86" t="n">
        <v>486077.362780153</v>
      </c>
      <c r="AH264" s="87" t="str">
        <f>IF(H264="shared-count-once",COUNTIFS($A$2:$A$1353,A264,$B$2:$B$1353,B264,$E$2:$E$1353,E264),1)</f>
      </c>
    </row>
    <row r="265">
      <c r="A265" t="s">
        <v>200</v>
      </c>
      <c r="B265" s="59" t="n">
        <v>2028</v>
      </c>
      <c r="C265" t="s">
        <v>200</v>
      </c>
      <c r="D265" t="s">
        <v>166</v>
      </c>
      <c r="E265" s="60" t="s">
        <v>285</v>
      </c>
      <c r="F265" s="61" t="s">
        <v>286</v>
      </c>
      <c r="G265" s="62" t="s">
        <v>203</v>
      </c>
      <c r="H265" s="63" t="s">
        <v>195</v>
      </c>
      <c r="I265" s="64" t="s">
        <v>267</v>
      </c>
      <c r="J265" s="65" t="str">
        <f>IFERROR(INDEX('Cost_Components'!$K$2:$K$27,MATCH(E265,'Cost_Components'!$A$2:$A$27,0)),"")</f>
      </c>
      <c r="K265" s="66" t="str">
        <f>IF(OR(L265="",Z265="",AA265="",AB265=""),"",IF(B265&lt;AA265,L265,IF(B265&gt;AB265,Z265,L265+(Z265-L265)*MIN(MAX((B265-AA265+1)/MAX(AB265-AA265+1,1),0),1))))</f>
      </c>
      <c r="L265" s="67" t="str">
        <f>IFERROR(INDEX('Cost_Components'!$S$2:$S$27,MATCH(E265,'Cost_Components'!$A$2:$A$27,0)),"")</f>
      </c>
      <c r="M265" s="68" t="str">
        <f>IFERROR(INDEX('Cost_Components'!$L$2:$L$27,MATCH(E265,'Cost_Components'!$A$2:$A$27,0)),"")</f>
      </c>
      <c r="N265" s="69" t="str">
        <f>IFERROR(INDEX('Cost_Components'!$P$2:$P$27,MATCH(E265,'Cost_Components'!$A$2:$A$27,0)),"")</f>
      </c>
      <c r="O265" s="70" t="str">
        <f>AF265*J265</f>
      </c>
      <c r="P265" s="71" t="str">
        <f>AG265*J265</f>
      </c>
      <c r="Q265" s="72" t="str">
        <f>P265*L265*M265*N265</f>
      </c>
      <c r="R265" s="73" t="str">
        <f>O265*K265*M265*N265</f>
      </c>
      <c r="S265" s="74" t="str">
        <f>R265-Q265</f>
      </c>
      <c r="T265" s="20" t="str">
        <f>IFERROR(INDEX('Cost_Components'!$R$2:$R$27,MATCH(E265,'Cost_Components'!$A$2:$A$27,0)),"")</f>
      </c>
      <c r="U265" s="75" t="str">
        <f>IFERROR(INDEX('Cost_Components'!$Q$2:$Q$27,MATCH(E265,'Cost_Components'!$A$2:$A$27,0)),"")</f>
      </c>
      <c r="V265" s="76" t="str">
        <f>1/(1+'Calculation_Assumptions'!$B$5)^(B265-'Calculation_Assumptions'!$B$2)</f>
      </c>
      <c r="W265" s="77" t="str">
        <f>Q265*V265</f>
      </c>
      <c r="X265" s="78" t="str">
        <f>R265*V265</f>
      </c>
      <c r="Y265" s="79" t="str">
        <f>S265*V265</f>
      </c>
      <c r="Z265" s="80" t="str">
        <f>IFERROR(INDEX('Cost_Components'!$T$2:$T$27,MATCH(E265,'Cost_Components'!$A$2:$A$27,0)),"")</f>
      </c>
      <c r="AA265" s="81" t="str">
        <f>IFERROR(INDEX('Cost_Components'!$U$2:$U$27,MATCH(E265,'Cost_Components'!$A$2:$A$27,0)),"")</f>
      </c>
      <c r="AB265" s="82" t="str">
        <f>IFERROR(INDEX('Cost_Components'!$V$2:$V$27,MATCH(E265,'Cost_Components'!$A$2:$A$27,0)),"")</f>
      </c>
      <c r="AC265" s="83" t="str">
        <f>IFERROR(INDEX('Cost_Components'!$M$2:$M$27,MATCH(E265,'Cost_Components'!$A$2:$A$27,0)),"")</f>
      </c>
      <c r="AD265" s="84" t="str">
        <f>IFERROR(INDEX('Cost_Components'!$N$2:$N$27,MATCH(E265,'Cost_Components'!$A$2:$A$27,0)),"")</f>
      </c>
      <c r="AE265" s="20" t="str">
        <f>IFERROR(INDEX('Cost_Components'!$O$2:$O$27,MATCH(E265,'Cost_Components'!$A$2:$A$27,0)),"")</f>
      </c>
      <c r="AF265" s="85" t="n">
        <v>500811.382256086</v>
      </c>
      <c r="AG265" s="86" t="n">
        <v>498744.951731358</v>
      </c>
      <c r="AH265" s="87" t="str">
        <f>IF(H265="shared-count-once",COUNTIFS($A$2:$A$1353,A265,$B$2:$B$1353,B265,$E$2:$E$1353,E265),1)</f>
      </c>
    </row>
    <row r="266">
      <c r="A266" t="s">
        <v>200</v>
      </c>
      <c r="B266" s="59" t="n">
        <v>2029</v>
      </c>
      <c r="C266" t="s">
        <v>200</v>
      </c>
      <c r="D266" t="s">
        <v>166</v>
      </c>
      <c r="E266" s="60" t="s">
        <v>285</v>
      </c>
      <c r="F266" s="61" t="s">
        <v>286</v>
      </c>
      <c r="G266" s="62" t="s">
        <v>203</v>
      </c>
      <c r="H266" s="63" t="s">
        <v>195</v>
      </c>
      <c r="I266" s="64" t="s">
        <v>267</v>
      </c>
      <c r="J266" s="65" t="str">
        <f>IFERROR(INDEX('Cost_Components'!$K$2:$K$27,MATCH(E266,'Cost_Components'!$A$2:$A$27,0)),"")</f>
      </c>
      <c r="K266" s="66" t="str">
        <f>IF(OR(L266="",Z266="",AA266="",AB266=""),"",IF(B266&lt;AA266,L266,IF(B266&gt;AB266,Z266,L266+(Z266-L266)*MIN(MAX((B266-AA266+1)/MAX(AB266-AA266+1,1),0),1))))</f>
      </c>
      <c r="L266" s="67" t="str">
        <f>IFERROR(INDEX('Cost_Components'!$S$2:$S$27,MATCH(E266,'Cost_Components'!$A$2:$A$27,0)),"")</f>
      </c>
      <c r="M266" s="68" t="str">
        <f>IFERROR(INDEX('Cost_Components'!$L$2:$L$27,MATCH(E266,'Cost_Components'!$A$2:$A$27,0)),"")</f>
      </c>
      <c r="N266" s="69" t="str">
        <f>IFERROR(INDEX('Cost_Components'!$P$2:$P$27,MATCH(E266,'Cost_Components'!$A$2:$A$27,0)),"")</f>
      </c>
      <c r="O266" s="70" t="str">
        <f>AF266*J266</f>
      </c>
      <c r="P266" s="71" t="str">
        <f>AG266*J266</f>
      </c>
      <c r="Q266" s="72" t="str">
        <f>P266*L266*M266*N266</f>
      </c>
      <c r="R266" s="73" t="str">
        <f>O266*K266*M266*N266</f>
      </c>
      <c r="S266" s="74" t="str">
        <f>R266-Q266</f>
      </c>
      <c r="T266" s="20" t="str">
        <f>IFERROR(INDEX('Cost_Components'!$R$2:$R$27,MATCH(E266,'Cost_Components'!$A$2:$A$27,0)),"")</f>
      </c>
      <c r="U266" s="75" t="str">
        <f>IFERROR(INDEX('Cost_Components'!$Q$2:$Q$27,MATCH(E266,'Cost_Components'!$A$2:$A$27,0)),"")</f>
      </c>
      <c r="V266" s="76" t="str">
        <f>1/(1+'Calculation_Assumptions'!$B$5)^(B266-'Calculation_Assumptions'!$B$2)</f>
      </c>
      <c r="W266" s="77" t="str">
        <f>Q266*V266</f>
      </c>
      <c r="X266" s="78" t="str">
        <f>R266*V266</f>
      </c>
      <c r="Y266" s="79" t="str">
        <f>S266*V266</f>
      </c>
      <c r="Z266" s="80" t="str">
        <f>IFERROR(INDEX('Cost_Components'!$T$2:$T$27,MATCH(E266,'Cost_Components'!$A$2:$A$27,0)),"")</f>
      </c>
      <c r="AA266" s="81" t="str">
        <f>IFERROR(INDEX('Cost_Components'!$U$2:$U$27,MATCH(E266,'Cost_Components'!$A$2:$A$27,0)),"")</f>
      </c>
      <c r="AB266" s="82" t="str">
        <f>IFERROR(INDEX('Cost_Components'!$V$2:$V$27,MATCH(E266,'Cost_Components'!$A$2:$A$27,0)),"")</f>
      </c>
      <c r="AC266" s="83" t="str">
        <f>IFERROR(INDEX('Cost_Components'!$M$2:$M$27,MATCH(E266,'Cost_Components'!$A$2:$A$27,0)),"")</f>
      </c>
      <c r="AD266" s="84" t="str">
        <f>IFERROR(INDEX('Cost_Components'!$N$2:$N$27,MATCH(E266,'Cost_Components'!$A$2:$A$27,0)),"")</f>
      </c>
      <c r="AE266" s="20" t="str">
        <f>IFERROR(INDEX('Cost_Components'!$O$2:$O$27,MATCH(E266,'Cost_Components'!$A$2:$A$27,0)),"")</f>
      </c>
      <c r="AF266" s="85" t="n">
        <v>512463.73817388</v>
      </c>
      <c r="AG266" s="86" t="n">
        <v>509478.473373462</v>
      </c>
      <c r="AH266" s="87" t="str">
        <f>IF(H266="shared-count-once",COUNTIFS($A$2:$A$1353,A266,$B$2:$B$1353,B266,$E$2:$E$1353,E266),1)</f>
      </c>
    </row>
    <row r="267">
      <c r="A267" t="s">
        <v>200</v>
      </c>
      <c r="B267" s="59" t="n">
        <v>2030</v>
      </c>
      <c r="C267" t="s">
        <v>200</v>
      </c>
      <c r="D267" t="s">
        <v>166</v>
      </c>
      <c r="E267" s="60" t="s">
        <v>285</v>
      </c>
      <c r="F267" s="61" t="s">
        <v>286</v>
      </c>
      <c r="G267" s="62" t="s">
        <v>203</v>
      </c>
      <c r="H267" s="63" t="s">
        <v>195</v>
      </c>
      <c r="I267" s="64" t="s">
        <v>267</v>
      </c>
      <c r="J267" s="65" t="str">
        <f>IFERROR(INDEX('Cost_Components'!$K$2:$K$27,MATCH(E267,'Cost_Components'!$A$2:$A$27,0)),"")</f>
      </c>
      <c r="K267" s="66" t="str">
        <f>IF(OR(L267="",Z267="",AA267="",AB267=""),"",IF(B267&lt;AA267,L267,IF(B267&gt;AB267,Z267,L267+(Z267-L267)*MIN(MAX((B267-AA267+1)/MAX(AB267-AA267+1,1),0),1))))</f>
      </c>
      <c r="L267" s="67" t="str">
        <f>IFERROR(INDEX('Cost_Components'!$S$2:$S$27,MATCH(E267,'Cost_Components'!$A$2:$A$27,0)),"")</f>
      </c>
      <c r="M267" s="68" t="str">
        <f>IFERROR(INDEX('Cost_Components'!$L$2:$L$27,MATCH(E267,'Cost_Components'!$A$2:$A$27,0)),"")</f>
      </c>
      <c r="N267" s="69" t="str">
        <f>IFERROR(INDEX('Cost_Components'!$P$2:$P$27,MATCH(E267,'Cost_Components'!$A$2:$A$27,0)),"")</f>
      </c>
      <c r="O267" s="70" t="str">
        <f>AF267*J267</f>
      </c>
      <c r="P267" s="71" t="str">
        <f>AG267*J267</f>
      </c>
      <c r="Q267" s="72" t="str">
        <f>P267*L267*M267*N267</f>
      </c>
      <c r="R267" s="73" t="str">
        <f>O267*K267*M267*N267</f>
      </c>
      <c r="S267" s="74" t="str">
        <f>R267-Q267</f>
      </c>
      <c r="T267" s="20" t="str">
        <f>IFERROR(INDEX('Cost_Components'!$R$2:$R$27,MATCH(E267,'Cost_Components'!$A$2:$A$27,0)),"")</f>
      </c>
      <c r="U267" s="75" t="str">
        <f>IFERROR(INDEX('Cost_Components'!$Q$2:$Q$27,MATCH(E267,'Cost_Components'!$A$2:$A$27,0)),"")</f>
      </c>
      <c r="V267" s="76" t="str">
        <f>1/(1+'Calculation_Assumptions'!$B$5)^(B267-'Calculation_Assumptions'!$B$2)</f>
      </c>
      <c r="W267" s="77" t="str">
        <f>Q267*V267</f>
      </c>
      <c r="X267" s="78" t="str">
        <f>R267*V267</f>
      </c>
      <c r="Y267" s="79" t="str">
        <f>S267*V267</f>
      </c>
      <c r="Z267" s="80" t="str">
        <f>IFERROR(INDEX('Cost_Components'!$T$2:$T$27,MATCH(E267,'Cost_Components'!$A$2:$A$27,0)),"")</f>
      </c>
      <c r="AA267" s="81" t="str">
        <f>IFERROR(INDEX('Cost_Components'!$U$2:$U$27,MATCH(E267,'Cost_Components'!$A$2:$A$27,0)),"")</f>
      </c>
      <c r="AB267" s="82" t="str">
        <f>IFERROR(INDEX('Cost_Components'!$V$2:$V$27,MATCH(E267,'Cost_Components'!$A$2:$A$27,0)),"")</f>
      </c>
      <c r="AC267" s="83" t="str">
        <f>IFERROR(INDEX('Cost_Components'!$M$2:$M$27,MATCH(E267,'Cost_Components'!$A$2:$A$27,0)),"")</f>
      </c>
      <c r="AD267" s="84" t="str">
        <f>IFERROR(INDEX('Cost_Components'!$N$2:$N$27,MATCH(E267,'Cost_Components'!$A$2:$A$27,0)),"")</f>
      </c>
      <c r="AE267" s="20" t="str">
        <f>IFERROR(INDEX('Cost_Components'!$O$2:$O$27,MATCH(E267,'Cost_Components'!$A$2:$A$27,0)),"")</f>
      </c>
      <c r="AF267" s="85" t="n">
        <v>524322.044959994</v>
      </c>
      <c r="AG267" s="86" t="n">
        <v>520297.732196401</v>
      </c>
      <c r="AH267" s="87" t="str">
        <f>IF(H267="shared-count-once",COUNTIFS($A$2:$A$1353,A267,$B$2:$B$1353,B267,$E$2:$E$1353,E267),1)</f>
      </c>
    </row>
    <row r="268">
      <c r="A268" t="s">
        <v>200</v>
      </c>
      <c r="B268" s="59" t="n">
        <v>2031</v>
      </c>
      <c r="C268" t="s">
        <v>200</v>
      </c>
      <c r="D268" t="s">
        <v>166</v>
      </c>
      <c r="E268" s="60" t="s">
        <v>285</v>
      </c>
      <c r="F268" s="61" t="s">
        <v>286</v>
      </c>
      <c r="G268" s="62" t="s">
        <v>203</v>
      </c>
      <c r="H268" s="63" t="s">
        <v>195</v>
      </c>
      <c r="I268" s="64" t="s">
        <v>267</v>
      </c>
      <c r="J268" s="65" t="str">
        <f>IFERROR(INDEX('Cost_Components'!$K$2:$K$27,MATCH(E268,'Cost_Components'!$A$2:$A$27,0)),"")</f>
      </c>
      <c r="K268" s="66" t="str">
        <f>IF(OR(L268="",Z268="",AA268="",AB268=""),"",IF(B268&lt;AA268,L268,IF(B268&gt;AB268,Z268,L268+(Z268-L268)*MIN(MAX((B268-AA268+1)/MAX(AB268-AA268+1,1),0),1))))</f>
      </c>
      <c r="L268" s="67" t="str">
        <f>IFERROR(INDEX('Cost_Components'!$S$2:$S$27,MATCH(E268,'Cost_Components'!$A$2:$A$27,0)),"")</f>
      </c>
      <c r="M268" s="68" t="str">
        <f>IFERROR(INDEX('Cost_Components'!$L$2:$L$27,MATCH(E268,'Cost_Components'!$A$2:$A$27,0)),"")</f>
      </c>
      <c r="N268" s="69" t="str">
        <f>IFERROR(INDEX('Cost_Components'!$P$2:$P$27,MATCH(E268,'Cost_Components'!$A$2:$A$27,0)),"")</f>
      </c>
      <c r="O268" s="70" t="str">
        <f>AF268*J268</f>
      </c>
      <c r="P268" s="71" t="str">
        <f>AG268*J268</f>
      </c>
      <c r="Q268" s="72" t="str">
        <f>P268*L268*M268*N268</f>
      </c>
      <c r="R268" s="73" t="str">
        <f>O268*K268*M268*N268</f>
      </c>
      <c r="S268" s="74" t="str">
        <f>R268-Q268</f>
      </c>
      <c r="T268" s="20" t="str">
        <f>IFERROR(INDEX('Cost_Components'!$R$2:$R$27,MATCH(E268,'Cost_Components'!$A$2:$A$27,0)),"")</f>
      </c>
      <c r="U268" s="75" t="str">
        <f>IFERROR(INDEX('Cost_Components'!$Q$2:$Q$27,MATCH(E268,'Cost_Components'!$A$2:$A$27,0)),"")</f>
      </c>
      <c r="V268" s="76" t="str">
        <f>1/(1+'Calculation_Assumptions'!$B$5)^(B268-'Calculation_Assumptions'!$B$2)</f>
      </c>
      <c r="W268" s="77" t="str">
        <f>Q268*V268</f>
      </c>
      <c r="X268" s="78" t="str">
        <f>R268*V268</f>
      </c>
      <c r="Y268" s="79" t="str">
        <f>S268*V268</f>
      </c>
      <c r="Z268" s="80" t="str">
        <f>IFERROR(INDEX('Cost_Components'!$T$2:$T$27,MATCH(E268,'Cost_Components'!$A$2:$A$27,0)),"")</f>
      </c>
      <c r="AA268" s="81" t="str">
        <f>IFERROR(INDEX('Cost_Components'!$U$2:$U$27,MATCH(E268,'Cost_Components'!$A$2:$A$27,0)),"")</f>
      </c>
      <c r="AB268" s="82" t="str">
        <f>IFERROR(INDEX('Cost_Components'!$V$2:$V$27,MATCH(E268,'Cost_Components'!$A$2:$A$27,0)),"")</f>
      </c>
      <c r="AC268" s="83" t="str">
        <f>IFERROR(INDEX('Cost_Components'!$M$2:$M$27,MATCH(E268,'Cost_Components'!$A$2:$A$27,0)),"")</f>
      </c>
      <c r="AD268" s="84" t="str">
        <f>IFERROR(INDEX('Cost_Components'!$N$2:$N$27,MATCH(E268,'Cost_Components'!$A$2:$A$27,0)),"")</f>
      </c>
      <c r="AE268" s="20" t="str">
        <f>IFERROR(INDEX('Cost_Components'!$O$2:$O$27,MATCH(E268,'Cost_Components'!$A$2:$A$27,0)),"")</f>
      </c>
      <c r="AF268" s="85" t="n">
        <v>536678.203875355</v>
      </c>
      <c r="AG268" s="86" t="n">
        <v>531504.090557954</v>
      </c>
      <c r="AH268" s="87" t="str">
        <f>IF(H268="shared-count-once",COUNTIFS($A$2:$A$1353,A268,$B$2:$B$1353,B268,$E$2:$E$1353,E268),1)</f>
      </c>
    </row>
    <row r="269">
      <c r="A269" t="s">
        <v>200</v>
      </c>
      <c r="B269" s="59" t="n">
        <v>2032</v>
      </c>
      <c r="C269" t="s">
        <v>200</v>
      </c>
      <c r="D269" t="s">
        <v>166</v>
      </c>
      <c r="E269" s="60" t="s">
        <v>285</v>
      </c>
      <c r="F269" s="61" t="s">
        <v>286</v>
      </c>
      <c r="G269" s="62" t="s">
        <v>203</v>
      </c>
      <c r="H269" s="63" t="s">
        <v>195</v>
      </c>
      <c r="I269" s="64" t="s">
        <v>267</v>
      </c>
      <c r="J269" s="65" t="str">
        <f>IFERROR(INDEX('Cost_Components'!$K$2:$K$27,MATCH(E269,'Cost_Components'!$A$2:$A$27,0)),"")</f>
      </c>
      <c r="K269" s="66" t="str">
        <f>IF(OR(L269="",Z269="",AA269="",AB269=""),"",IF(B269&lt;AA269,L269,IF(B269&gt;AB269,Z269,L269+(Z269-L269)*MIN(MAX((B269-AA269+1)/MAX(AB269-AA269+1,1),0),1))))</f>
      </c>
      <c r="L269" s="67" t="str">
        <f>IFERROR(INDEX('Cost_Components'!$S$2:$S$27,MATCH(E269,'Cost_Components'!$A$2:$A$27,0)),"")</f>
      </c>
      <c r="M269" s="68" t="str">
        <f>IFERROR(INDEX('Cost_Components'!$L$2:$L$27,MATCH(E269,'Cost_Components'!$A$2:$A$27,0)),"")</f>
      </c>
      <c r="N269" s="69" t="str">
        <f>IFERROR(INDEX('Cost_Components'!$P$2:$P$27,MATCH(E269,'Cost_Components'!$A$2:$A$27,0)),"")</f>
      </c>
      <c r="O269" s="70" t="str">
        <f>AF269*J269</f>
      </c>
      <c r="P269" s="71" t="str">
        <f>AG269*J269</f>
      </c>
      <c r="Q269" s="72" t="str">
        <f>P269*L269*M269*N269</f>
      </c>
      <c r="R269" s="73" t="str">
        <f>O269*K269*M269*N269</f>
      </c>
      <c r="S269" s="74" t="str">
        <f>R269-Q269</f>
      </c>
      <c r="T269" s="20" t="str">
        <f>IFERROR(INDEX('Cost_Components'!$R$2:$R$27,MATCH(E269,'Cost_Components'!$A$2:$A$27,0)),"")</f>
      </c>
      <c r="U269" s="75" t="str">
        <f>IFERROR(INDEX('Cost_Components'!$Q$2:$Q$27,MATCH(E269,'Cost_Components'!$A$2:$A$27,0)),"")</f>
      </c>
      <c r="V269" s="76" t="str">
        <f>1/(1+'Calculation_Assumptions'!$B$5)^(B269-'Calculation_Assumptions'!$B$2)</f>
      </c>
      <c r="W269" s="77" t="str">
        <f>Q269*V269</f>
      </c>
      <c r="X269" s="78" t="str">
        <f>R269*V269</f>
      </c>
      <c r="Y269" s="79" t="str">
        <f>S269*V269</f>
      </c>
      <c r="Z269" s="80" t="str">
        <f>IFERROR(INDEX('Cost_Components'!$T$2:$T$27,MATCH(E269,'Cost_Components'!$A$2:$A$27,0)),"")</f>
      </c>
      <c r="AA269" s="81" t="str">
        <f>IFERROR(INDEX('Cost_Components'!$U$2:$U$27,MATCH(E269,'Cost_Components'!$A$2:$A$27,0)),"")</f>
      </c>
      <c r="AB269" s="82" t="str">
        <f>IFERROR(INDEX('Cost_Components'!$V$2:$V$27,MATCH(E269,'Cost_Components'!$A$2:$A$27,0)),"")</f>
      </c>
      <c r="AC269" s="83" t="str">
        <f>IFERROR(INDEX('Cost_Components'!$M$2:$M$27,MATCH(E269,'Cost_Components'!$A$2:$A$27,0)),"")</f>
      </c>
      <c r="AD269" s="84" t="str">
        <f>IFERROR(INDEX('Cost_Components'!$N$2:$N$27,MATCH(E269,'Cost_Components'!$A$2:$A$27,0)),"")</f>
      </c>
      <c r="AE269" s="20" t="str">
        <f>IFERROR(INDEX('Cost_Components'!$O$2:$O$27,MATCH(E269,'Cost_Components'!$A$2:$A$27,0)),"")</f>
      </c>
      <c r="AF269" s="85" t="n">
        <v>549554.462808417</v>
      </c>
      <c r="AG269" s="86" t="n">
        <v>543124.101720714</v>
      </c>
      <c r="AH269" s="87" t="str">
        <f>IF(H269="shared-count-once",COUNTIFS($A$2:$A$1353,A269,$B$2:$B$1353,B269,$E$2:$E$1353,E269),1)</f>
      </c>
    </row>
    <row r="270">
      <c r="A270" t="s">
        <v>200</v>
      </c>
      <c r="B270" s="59" t="n">
        <v>2033</v>
      </c>
      <c r="C270" t="s">
        <v>200</v>
      </c>
      <c r="D270" t="s">
        <v>166</v>
      </c>
      <c r="E270" s="60" t="s">
        <v>285</v>
      </c>
      <c r="F270" s="61" t="s">
        <v>286</v>
      </c>
      <c r="G270" s="62" t="s">
        <v>203</v>
      </c>
      <c r="H270" s="63" t="s">
        <v>195</v>
      </c>
      <c r="I270" s="64" t="s">
        <v>267</v>
      </c>
      <c r="J270" s="65" t="str">
        <f>IFERROR(INDEX('Cost_Components'!$K$2:$K$27,MATCH(E270,'Cost_Components'!$A$2:$A$27,0)),"")</f>
      </c>
      <c r="K270" s="66" t="str">
        <f>IF(OR(L270="",Z270="",AA270="",AB270=""),"",IF(B270&lt;AA270,L270,IF(B270&gt;AB270,Z270,L270+(Z270-L270)*MIN(MAX((B270-AA270+1)/MAX(AB270-AA270+1,1),0),1))))</f>
      </c>
      <c r="L270" s="67" t="str">
        <f>IFERROR(INDEX('Cost_Components'!$S$2:$S$27,MATCH(E270,'Cost_Components'!$A$2:$A$27,0)),"")</f>
      </c>
      <c r="M270" s="68" t="str">
        <f>IFERROR(INDEX('Cost_Components'!$L$2:$L$27,MATCH(E270,'Cost_Components'!$A$2:$A$27,0)),"")</f>
      </c>
      <c r="N270" s="69" t="str">
        <f>IFERROR(INDEX('Cost_Components'!$P$2:$P$27,MATCH(E270,'Cost_Components'!$A$2:$A$27,0)),"")</f>
      </c>
      <c r="O270" s="70" t="str">
        <f>AF270*J270</f>
      </c>
      <c r="P270" s="71" t="str">
        <f>AG270*J270</f>
      </c>
      <c r="Q270" s="72" t="str">
        <f>P270*L270*M270*N270</f>
      </c>
      <c r="R270" s="73" t="str">
        <f>O270*K270*M270*N270</f>
      </c>
      <c r="S270" s="74" t="str">
        <f>R270-Q270</f>
      </c>
      <c r="T270" s="20" t="str">
        <f>IFERROR(INDEX('Cost_Components'!$R$2:$R$27,MATCH(E270,'Cost_Components'!$A$2:$A$27,0)),"")</f>
      </c>
      <c r="U270" s="75" t="str">
        <f>IFERROR(INDEX('Cost_Components'!$Q$2:$Q$27,MATCH(E270,'Cost_Components'!$A$2:$A$27,0)),"")</f>
      </c>
      <c r="V270" s="76" t="str">
        <f>1/(1+'Calculation_Assumptions'!$B$5)^(B270-'Calculation_Assumptions'!$B$2)</f>
      </c>
      <c r="W270" s="77" t="str">
        <f>Q270*V270</f>
      </c>
      <c r="X270" s="78" t="str">
        <f>R270*V270</f>
      </c>
      <c r="Y270" s="79" t="str">
        <f>S270*V270</f>
      </c>
      <c r="Z270" s="80" t="str">
        <f>IFERROR(INDEX('Cost_Components'!$T$2:$T$27,MATCH(E270,'Cost_Components'!$A$2:$A$27,0)),"")</f>
      </c>
      <c r="AA270" s="81" t="str">
        <f>IFERROR(INDEX('Cost_Components'!$U$2:$U$27,MATCH(E270,'Cost_Components'!$A$2:$A$27,0)),"")</f>
      </c>
      <c r="AB270" s="82" t="str">
        <f>IFERROR(INDEX('Cost_Components'!$V$2:$V$27,MATCH(E270,'Cost_Components'!$A$2:$A$27,0)),"")</f>
      </c>
      <c r="AC270" s="83" t="str">
        <f>IFERROR(INDEX('Cost_Components'!$M$2:$M$27,MATCH(E270,'Cost_Components'!$A$2:$A$27,0)),"")</f>
      </c>
      <c r="AD270" s="84" t="str">
        <f>IFERROR(INDEX('Cost_Components'!$N$2:$N$27,MATCH(E270,'Cost_Components'!$A$2:$A$27,0)),"")</f>
      </c>
      <c r="AE270" s="20" t="str">
        <f>IFERROR(INDEX('Cost_Components'!$O$2:$O$27,MATCH(E270,'Cost_Components'!$A$2:$A$27,0)),"")</f>
      </c>
      <c r="AF270" s="85" t="n">
        <v>563063.391350555</v>
      </c>
      <c r="AG270" s="86" t="n">
        <v>555277.35915893</v>
      </c>
      <c r="AH270" s="87" t="str">
        <f>IF(H270="shared-count-once",COUNTIFS($A$2:$A$1353,A270,$B$2:$B$1353,B270,$E$2:$E$1353,E270),1)</f>
      </c>
    </row>
    <row r="271">
      <c r="A271" t="s">
        <v>200</v>
      </c>
      <c r="B271" s="59" t="n">
        <v>2034</v>
      </c>
      <c r="C271" t="s">
        <v>200</v>
      </c>
      <c r="D271" t="s">
        <v>166</v>
      </c>
      <c r="E271" s="60" t="s">
        <v>285</v>
      </c>
      <c r="F271" s="61" t="s">
        <v>286</v>
      </c>
      <c r="G271" s="62" t="s">
        <v>203</v>
      </c>
      <c r="H271" s="63" t="s">
        <v>195</v>
      </c>
      <c r="I271" s="64" t="s">
        <v>267</v>
      </c>
      <c r="J271" s="65" t="str">
        <f>IFERROR(INDEX('Cost_Components'!$K$2:$K$27,MATCH(E271,'Cost_Components'!$A$2:$A$27,0)),"")</f>
      </c>
      <c r="K271" s="66" t="str">
        <f>IF(OR(L271="",Z271="",AA271="",AB271=""),"",IF(B271&lt;AA271,L271,IF(B271&gt;AB271,Z271,L271+(Z271-L271)*MIN(MAX((B271-AA271+1)/MAX(AB271-AA271+1,1),0),1))))</f>
      </c>
      <c r="L271" s="67" t="str">
        <f>IFERROR(INDEX('Cost_Components'!$S$2:$S$27,MATCH(E271,'Cost_Components'!$A$2:$A$27,0)),"")</f>
      </c>
      <c r="M271" s="68" t="str">
        <f>IFERROR(INDEX('Cost_Components'!$L$2:$L$27,MATCH(E271,'Cost_Components'!$A$2:$A$27,0)),"")</f>
      </c>
      <c r="N271" s="69" t="str">
        <f>IFERROR(INDEX('Cost_Components'!$P$2:$P$27,MATCH(E271,'Cost_Components'!$A$2:$A$27,0)),"")</f>
      </c>
      <c r="O271" s="70" t="str">
        <f>AF271*J271</f>
      </c>
      <c r="P271" s="71" t="str">
        <f>AG271*J271</f>
      </c>
      <c r="Q271" s="72" t="str">
        <f>P271*L271*M271*N271</f>
      </c>
      <c r="R271" s="73" t="str">
        <f>O271*K271*M271*N271</f>
      </c>
      <c r="S271" s="74" t="str">
        <f>R271-Q271</f>
      </c>
      <c r="T271" s="20" t="str">
        <f>IFERROR(INDEX('Cost_Components'!$R$2:$R$27,MATCH(E271,'Cost_Components'!$A$2:$A$27,0)),"")</f>
      </c>
      <c r="U271" s="75" t="str">
        <f>IFERROR(INDEX('Cost_Components'!$Q$2:$Q$27,MATCH(E271,'Cost_Components'!$A$2:$A$27,0)),"")</f>
      </c>
      <c r="V271" s="76" t="str">
        <f>1/(1+'Calculation_Assumptions'!$B$5)^(B271-'Calculation_Assumptions'!$B$2)</f>
      </c>
      <c r="W271" s="77" t="str">
        <f>Q271*V271</f>
      </c>
      <c r="X271" s="78" t="str">
        <f>R271*V271</f>
      </c>
      <c r="Y271" s="79" t="str">
        <f>S271*V271</f>
      </c>
      <c r="Z271" s="80" t="str">
        <f>IFERROR(INDEX('Cost_Components'!$T$2:$T$27,MATCH(E271,'Cost_Components'!$A$2:$A$27,0)),"")</f>
      </c>
      <c r="AA271" s="81" t="str">
        <f>IFERROR(INDEX('Cost_Components'!$U$2:$U$27,MATCH(E271,'Cost_Components'!$A$2:$A$27,0)),"")</f>
      </c>
      <c r="AB271" s="82" t="str">
        <f>IFERROR(INDEX('Cost_Components'!$V$2:$V$27,MATCH(E271,'Cost_Components'!$A$2:$A$27,0)),"")</f>
      </c>
      <c r="AC271" s="83" t="str">
        <f>IFERROR(INDEX('Cost_Components'!$M$2:$M$27,MATCH(E271,'Cost_Components'!$A$2:$A$27,0)),"")</f>
      </c>
      <c r="AD271" s="84" t="str">
        <f>IFERROR(INDEX('Cost_Components'!$N$2:$N$27,MATCH(E271,'Cost_Components'!$A$2:$A$27,0)),"")</f>
      </c>
      <c r="AE271" s="20" t="str">
        <f>IFERROR(INDEX('Cost_Components'!$O$2:$O$27,MATCH(E271,'Cost_Components'!$A$2:$A$27,0)),"")</f>
      </c>
      <c r="AF271" s="85" t="n">
        <v>576510.36857609</v>
      </c>
      <c r="AG271" s="86" t="n">
        <v>567273.642436391</v>
      </c>
      <c r="AH271" s="87" t="str">
        <f>IF(H271="shared-count-once",COUNTIFS($A$2:$A$1353,A271,$B$2:$B$1353,B271,$E$2:$E$1353,E271),1)</f>
      </c>
    </row>
    <row r="272">
      <c r="A272" t="s">
        <v>200</v>
      </c>
      <c r="B272" s="59" t="n">
        <v>2035</v>
      </c>
      <c r="C272" t="s">
        <v>200</v>
      </c>
      <c r="D272" t="s">
        <v>166</v>
      </c>
      <c r="E272" s="60" t="s">
        <v>285</v>
      </c>
      <c r="F272" s="61" t="s">
        <v>286</v>
      </c>
      <c r="G272" s="62" t="s">
        <v>203</v>
      </c>
      <c r="H272" s="63" t="s">
        <v>195</v>
      </c>
      <c r="I272" s="64" t="s">
        <v>267</v>
      </c>
      <c r="J272" s="65" t="str">
        <f>IFERROR(INDEX('Cost_Components'!$K$2:$K$27,MATCH(E272,'Cost_Components'!$A$2:$A$27,0)),"")</f>
      </c>
      <c r="K272" s="66" t="str">
        <f>IF(OR(L272="",Z272="",AA272="",AB272=""),"",IF(B272&lt;AA272,L272,IF(B272&gt;AB272,Z272,L272+(Z272-L272)*MIN(MAX((B272-AA272+1)/MAX(AB272-AA272+1,1),0),1))))</f>
      </c>
      <c r="L272" s="67" t="str">
        <f>IFERROR(INDEX('Cost_Components'!$S$2:$S$27,MATCH(E272,'Cost_Components'!$A$2:$A$27,0)),"")</f>
      </c>
      <c r="M272" s="68" t="str">
        <f>IFERROR(INDEX('Cost_Components'!$L$2:$L$27,MATCH(E272,'Cost_Components'!$A$2:$A$27,0)),"")</f>
      </c>
      <c r="N272" s="69" t="str">
        <f>IFERROR(INDEX('Cost_Components'!$P$2:$P$27,MATCH(E272,'Cost_Components'!$A$2:$A$27,0)),"")</f>
      </c>
      <c r="O272" s="70" t="str">
        <f>AF272*J272</f>
      </c>
      <c r="P272" s="71" t="str">
        <f>AG272*J272</f>
      </c>
      <c r="Q272" s="72" t="str">
        <f>P272*L272*M272*N272</f>
      </c>
      <c r="R272" s="73" t="str">
        <f>O272*K272*M272*N272</f>
      </c>
      <c r="S272" s="74" t="str">
        <f>R272-Q272</f>
      </c>
      <c r="T272" s="20" t="str">
        <f>IFERROR(INDEX('Cost_Components'!$R$2:$R$27,MATCH(E272,'Cost_Components'!$A$2:$A$27,0)),"")</f>
      </c>
      <c r="U272" s="75" t="str">
        <f>IFERROR(INDEX('Cost_Components'!$Q$2:$Q$27,MATCH(E272,'Cost_Components'!$A$2:$A$27,0)),"")</f>
      </c>
      <c r="V272" s="76" t="str">
        <f>1/(1+'Calculation_Assumptions'!$B$5)^(B272-'Calculation_Assumptions'!$B$2)</f>
      </c>
      <c r="W272" s="77" t="str">
        <f>Q272*V272</f>
      </c>
      <c r="X272" s="78" t="str">
        <f>R272*V272</f>
      </c>
      <c r="Y272" s="79" t="str">
        <f>S272*V272</f>
      </c>
      <c r="Z272" s="80" t="str">
        <f>IFERROR(INDEX('Cost_Components'!$T$2:$T$27,MATCH(E272,'Cost_Components'!$A$2:$A$27,0)),"")</f>
      </c>
      <c r="AA272" s="81" t="str">
        <f>IFERROR(INDEX('Cost_Components'!$U$2:$U$27,MATCH(E272,'Cost_Components'!$A$2:$A$27,0)),"")</f>
      </c>
      <c r="AB272" s="82" t="str">
        <f>IFERROR(INDEX('Cost_Components'!$V$2:$V$27,MATCH(E272,'Cost_Components'!$A$2:$A$27,0)),"")</f>
      </c>
      <c r="AC272" s="83" t="str">
        <f>IFERROR(INDEX('Cost_Components'!$M$2:$M$27,MATCH(E272,'Cost_Components'!$A$2:$A$27,0)),"")</f>
      </c>
      <c r="AD272" s="84" t="str">
        <f>IFERROR(INDEX('Cost_Components'!$N$2:$N$27,MATCH(E272,'Cost_Components'!$A$2:$A$27,0)),"")</f>
      </c>
      <c r="AE272" s="20" t="str">
        <f>IFERROR(INDEX('Cost_Components'!$O$2:$O$27,MATCH(E272,'Cost_Components'!$A$2:$A$27,0)),"")</f>
      </c>
      <c r="AF272" s="85" t="n">
        <v>590766.134846036</v>
      </c>
      <c r="AG272" s="86" t="n">
        <v>579995.172466871</v>
      </c>
      <c r="AH272" s="87" t="str">
        <f>IF(H272="shared-count-once",COUNTIFS($A$2:$A$1353,A272,$B$2:$B$1353,B272,$E$2:$E$1353,E272),1)</f>
      </c>
    </row>
    <row r="273">
      <c r="A273" t="s">
        <v>200</v>
      </c>
      <c r="B273" s="59" t="n">
        <v>2036</v>
      </c>
      <c r="C273" t="s">
        <v>200</v>
      </c>
      <c r="D273" t="s">
        <v>166</v>
      </c>
      <c r="E273" s="60" t="s">
        <v>285</v>
      </c>
      <c r="F273" s="61" t="s">
        <v>286</v>
      </c>
      <c r="G273" s="62" t="s">
        <v>203</v>
      </c>
      <c r="H273" s="63" t="s">
        <v>195</v>
      </c>
      <c r="I273" s="64" t="s">
        <v>267</v>
      </c>
      <c r="J273" s="65" t="str">
        <f>IFERROR(INDEX('Cost_Components'!$K$2:$K$27,MATCH(E273,'Cost_Components'!$A$2:$A$27,0)),"")</f>
      </c>
      <c r="K273" s="66" t="str">
        <f>IF(OR(L273="",Z273="",AA273="",AB273=""),"",IF(B273&lt;AA273,L273,IF(B273&gt;AB273,Z273,L273+(Z273-L273)*MIN(MAX((B273-AA273+1)/MAX(AB273-AA273+1,1),0),1))))</f>
      </c>
      <c r="L273" s="67" t="str">
        <f>IFERROR(INDEX('Cost_Components'!$S$2:$S$27,MATCH(E273,'Cost_Components'!$A$2:$A$27,0)),"")</f>
      </c>
      <c r="M273" s="68" t="str">
        <f>IFERROR(INDEX('Cost_Components'!$L$2:$L$27,MATCH(E273,'Cost_Components'!$A$2:$A$27,0)),"")</f>
      </c>
      <c r="N273" s="69" t="str">
        <f>IFERROR(INDEX('Cost_Components'!$P$2:$P$27,MATCH(E273,'Cost_Components'!$A$2:$A$27,0)),"")</f>
      </c>
      <c r="O273" s="70" t="str">
        <f>AF273*J273</f>
      </c>
      <c r="P273" s="71" t="str">
        <f>AG273*J273</f>
      </c>
      <c r="Q273" s="72" t="str">
        <f>P273*L273*M273*N273</f>
      </c>
      <c r="R273" s="73" t="str">
        <f>O273*K273*M273*N273</f>
      </c>
      <c r="S273" s="74" t="str">
        <f>R273-Q273</f>
      </c>
      <c r="T273" s="20" t="str">
        <f>IFERROR(INDEX('Cost_Components'!$R$2:$R$27,MATCH(E273,'Cost_Components'!$A$2:$A$27,0)),"")</f>
      </c>
      <c r="U273" s="75" t="str">
        <f>IFERROR(INDEX('Cost_Components'!$Q$2:$Q$27,MATCH(E273,'Cost_Components'!$A$2:$A$27,0)),"")</f>
      </c>
      <c r="V273" s="76" t="str">
        <f>1/(1+'Calculation_Assumptions'!$B$5)^(B273-'Calculation_Assumptions'!$B$2)</f>
      </c>
      <c r="W273" s="77" t="str">
        <f>Q273*V273</f>
      </c>
      <c r="X273" s="78" t="str">
        <f>R273*V273</f>
      </c>
      <c r="Y273" s="79" t="str">
        <f>S273*V273</f>
      </c>
      <c r="Z273" s="80" t="str">
        <f>IFERROR(INDEX('Cost_Components'!$T$2:$T$27,MATCH(E273,'Cost_Components'!$A$2:$A$27,0)),"")</f>
      </c>
      <c r="AA273" s="81" t="str">
        <f>IFERROR(INDEX('Cost_Components'!$U$2:$U$27,MATCH(E273,'Cost_Components'!$A$2:$A$27,0)),"")</f>
      </c>
      <c r="AB273" s="82" t="str">
        <f>IFERROR(INDEX('Cost_Components'!$V$2:$V$27,MATCH(E273,'Cost_Components'!$A$2:$A$27,0)),"")</f>
      </c>
      <c r="AC273" s="83" t="str">
        <f>IFERROR(INDEX('Cost_Components'!$M$2:$M$27,MATCH(E273,'Cost_Components'!$A$2:$A$27,0)),"")</f>
      </c>
      <c r="AD273" s="84" t="str">
        <f>IFERROR(INDEX('Cost_Components'!$N$2:$N$27,MATCH(E273,'Cost_Components'!$A$2:$A$27,0)),"")</f>
      </c>
      <c r="AE273" s="20" t="str">
        <f>IFERROR(INDEX('Cost_Components'!$O$2:$O$27,MATCH(E273,'Cost_Components'!$A$2:$A$27,0)),"")</f>
      </c>
      <c r="AF273" s="85" t="n">
        <v>605741.355202856</v>
      </c>
      <c r="AG273" s="86" t="n">
        <v>593359.731499589</v>
      </c>
      <c r="AH273" s="87" t="str">
        <f>IF(H273="shared-count-once",COUNTIFS($A$2:$A$1353,A273,$B$2:$B$1353,B273,$E$2:$E$1353,E273),1)</f>
      </c>
    </row>
    <row r="274">
      <c r="A274" t="s">
        <v>200</v>
      </c>
      <c r="B274" s="59" t="n">
        <v>2037</v>
      </c>
      <c r="C274" t="s">
        <v>200</v>
      </c>
      <c r="D274" t="s">
        <v>166</v>
      </c>
      <c r="E274" s="60" t="s">
        <v>285</v>
      </c>
      <c r="F274" s="61" t="s">
        <v>286</v>
      </c>
      <c r="G274" s="62" t="s">
        <v>203</v>
      </c>
      <c r="H274" s="63" t="s">
        <v>195</v>
      </c>
      <c r="I274" s="64" t="s">
        <v>267</v>
      </c>
      <c r="J274" s="65" t="str">
        <f>IFERROR(INDEX('Cost_Components'!$K$2:$K$27,MATCH(E274,'Cost_Components'!$A$2:$A$27,0)),"")</f>
      </c>
      <c r="K274" s="66" t="str">
        <f>IF(OR(L274="",Z274="",AA274="",AB274=""),"",IF(B274&lt;AA274,L274,IF(B274&gt;AB274,Z274,L274+(Z274-L274)*MIN(MAX((B274-AA274+1)/MAX(AB274-AA274+1,1),0),1))))</f>
      </c>
      <c r="L274" s="67" t="str">
        <f>IFERROR(INDEX('Cost_Components'!$S$2:$S$27,MATCH(E274,'Cost_Components'!$A$2:$A$27,0)),"")</f>
      </c>
      <c r="M274" s="68" t="str">
        <f>IFERROR(INDEX('Cost_Components'!$L$2:$L$27,MATCH(E274,'Cost_Components'!$A$2:$A$27,0)),"")</f>
      </c>
      <c r="N274" s="69" t="str">
        <f>IFERROR(INDEX('Cost_Components'!$P$2:$P$27,MATCH(E274,'Cost_Components'!$A$2:$A$27,0)),"")</f>
      </c>
      <c r="O274" s="70" t="str">
        <f>AF274*J274</f>
      </c>
      <c r="P274" s="71" t="str">
        <f>AG274*J274</f>
      </c>
      <c r="Q274" s="72" t="str">
        <f>P274*L274*M274*N274</f>
      </c>
      <c r="R274" s="73" t="str">
        <f>O274*K274*M274*N274</f>
      </c>
      <c r="S274" s="74" t="str">
        <f>R274-Q274</f>
      </c>
      <c r="T274" s="20" t="str">
        <f>IFERROR(INDEX('Cost_Components'!$R$2:$R$27,MATCH(E274,'Cost_Components'!$A$2:$A$27,0)),"")</f>
      </c>
      <c r="U274" s="75" t="str">
        <f>IFERROR(INDEX('Cost_Components'!$Q$2:$Q$27,MATCH(E274,'Cost_Components'!$A$2:$A$27,0)),"")</f>
      </c>
      <c r="V274" s="76" t="str">
        <f>1/(1+'Calculation_Assumptions'!$B$5)^(B274-'Calculation_Assumptions'!$B$2)</f>
      </c>
      <c r="W274" s="77" t="str">
        <f>Q274*V274</f>
      </c>
      <c r="X274" s="78" t="str">
        <f>R274*V274</f>
      </c>
      <c r="Y274" s="79" t="str">
        <f>S274*V274</f>
      </c>
      <c r="Z274" s="80" t="str">
        <f>IFERROR(INDEX('Cost_Components'!$T$2:$T$27,MATCH(E274,'Cost_Components'!$A$2:$A$27,0)),"")</f>
      </c>
      <c r="AA274" s="81" t="str">
        <f>IFERROR(INDEX('Cost_Components'!$U$2:$U$27,MATCH(E274,'Cost_Components'!$A$2:$A$27,0)),"")</f>
      </c>
      <c r="AB274" s="82" t="str">
        <f>IFERROR(INDEX('Cost_Components'!$V$2:$V$27,MATCH(E274,'Cost_Components'!$A$2:$A$27,0)),"")</f>
      </c>
      <c r="AC274" s="83" t="str">
        <f>IFERROR(INDEX('Cost_Components'!$M$2:$M$27,MATCH(E274,'Cost_Components'!$A$2:$A$27,0)),"")</f>
      </c>
      <c r="AD274" s="84" t="str">
        <f>IFERROR(INDEX('Cost_Components'!$N$2:$N$27,MATCH(E274,'Cost_Components'!$A$2:$A$27,0)),"")</f>
      </c>
      <c r="AE274" s="20" t="str">
        <f>IFERROR(INDEX('Cost_Components'!$O$2:$O$27,MATCH(E274,'Cost_Components'!$A$2:$A$27,0)),"")</f>
      </c>
      <c r="AF274" s="85" t="n">
        <v>621292.318526451</v>
      </c>
      <c r="AG274" s="86" t="n">
        <v>607226.65286798</v>
      </c>
      <c r="AH274" s="87" t="str">
        <f>IF(H274="shared-count-once",COUNTIFS($A$2:$A$1353,A274,$B$2:$B$1353,B274,$E$2:$E$1353,E274),1)</f>
      </c>
    </row>
    <row r="275">
      <c r="A275" t="s">
        <v>200</v>
      </c>
      <c r="B275" s="59" t="n">
        <v>2038</v>
      </c>
      <c r="C275" t="s">
        <v>200</v>
      </c>
      <c r="D275" t="s">
        <v>166</v>
      </c>
      <c r="E275" s="60" t="s">
        <v>285</v>
      </c>
      <c r="F275" s="61" t="s">
        <v>286</v>
      </c>
      <c r="G275" s="62" t="s">
        <v>203</v>
      </c>
      <c r="H275" s="63" t="s">
        <v>195</v>
      </c>
      <c r="I275" s="64" t="s">
        <v>267</v>
      </c>
      <c r="J275" s="65" t="str">
        <f>IFERROR(INDEX('Cost_Components'!$K$2:$K$27,MATCH(E275,'Cost_Components'!$A$2:$A$27,0)),"")</f>
      </c>
      <c r="K275" s="66" t="str">
        <f>IF(OR(L275="",Z275="",AA275="",AB275=""),"",IF(B275&lt;AA275,L275,IF(B275&gt;AB275,Z275,L275+(Z275-L275)*MIN(MAX((B275-AA275+1)/MAX(AB275-AA275+1,1),0),1))))</f>
      </c>
      <c r="L275" s="67" t="str">
        <f>IFERROR(INDEX('Cost_Components'!$S$2:$S$27,MATCH(E275,'Cost_Components'!$A$2:$A$27,0)),"")</f>
      </c>
      <c r="M275" s="68" t="str">
        <f>IFERROR(INDEX('Cost_Components'!$L$2:$L$27,MATCH(E275,'Cost_Components'!$A$2:$A$27,0)),"")</f>
      </c>
      <c r="N275" s="69" t="str">
        <f>IFERROR(INDEX('Cost_Components'!$P$2:$P$27,MATCH(E275,'Cost_Components'!$A$2:$A$27,0)),"")</f>
      </c>
      <c r="O275" s="70" t="str">
        <f>AF275*J275</f>
      </c>
      <c r="P275" s="71" t="str">
        <f>AG275*J275</f>
      </c>
      <c r="Q275" s="72" t="str">
        <f>P275*L275*M275*N275</f>
      </c>
      <c r="R275" s="73" t="str">
        <f>O275*K275*M275*N275</f>
      </c>
      <c r="S275" s="74" t="str">
        <f>R275-Q275</f>
      </c>
      <c r="T275" s="20" t="str">
        <f>IFERROR(INDEX('Cost_Components'!$R$2:$R$27,MATCH(E275,'Cost_Components'!$A$2:$A$27,0)),"")</f>
      </c>
      <c r="U275" s="75" t="str">
        <f>IFERROR(INDEX('Cost_Components'!$Q$2:$Q$27,MATCH(E275,'Cost_Components'!$A$2:$A$27,0)),"")</f>
      </c>
      <c r="V275" s="76" t="str">
        <f>1/(1+'Calculation_Assumptions'!$B$5)^(B275-'Calculation_Assumptions'!$B$2)</f>
      </c>
      <c r="W275" s="77" t="str">
        <f>Q275*V275</f>
      </c>
      <c r="X275" s="78" t="str">
        <f>R275*V275</f>
      </c>
      <c r="Y275" s="79" t="str">
        <f>S275*V275</f>
      </c>
      <c r="Z275" s="80" t="str">
        <f>IFERROR(INDEX('Cost_Components'!$T$2:$T$27,MATCH(E275,'Cost_Components'!$A$2:$A$27,0)),"")</f>
      </c>
      <c r="AA275" s="81" t="str">
        <f>IFERROR(INDEX('Cost_Components'!$U$2:$U$27,MATCH(E275,'Cost_Components'!$A$2:$A$27,0)),"")</f>
      </c>
      <c r="AB275" s="82" t="str">
        <f>IFERROR(INDEX('Cost_Components'!$V$2:$V$27,MATCH(E275,'Cost_Components'!$A$2:$A$27,0)),"")</f>
      </c>
      <c r="AC275" s="83" t="str">
        <f>IFERROR(INDEX('Cost_Components'!$M$2:$M$27,MATCH(E275,'Cost_Components'!$A$2:$A$27,0)),"")</f>
      </c>
      <c r="AD275" s="84" t="str">
        <f>IFERROR(INDEX('Cost_Components'!$N$2:$N$27,MATCH(E275,'Cost_Components'!$A$2:$A$27,0)),"")</f>
      </c>
      <c r="AE275" s="20" t="str">
        <f>IFERROR(INDEX('Cost_Components'!$O$2:$O$27,MATCH(E275,'Cost_Components'!$A$2:$A$27,0)),"")</f>
      </c>
      <c r="AF275" s="85" t="n">
        <v>637469.930627659</v>
      </c>
      <c r="AG275" s="86" t="n">
        <v>621650.16225564</v>
      </c>
      <c r="AH275" s="87" t="str">
        <f>IF(H275="shared-count-once",COUNTIFS($A$2:$A$1353,A275,$B$2:$B$1353,B275,$E$2:$E$1353,E275),1)</f>
      </c>
    </row>
    <row r="276">
      <c r="A276" t="s">
        <v>200</v>
      </c>
      <c r="B276" s="59" t="n">
        <v>2039</v>
      </c>
      <c r="C276" t="s">
        <v>200</v>
      </c>
      <c r="D276" t="s">
        <v>166</v>
      </c>
      <c r="E276" s="60" t="s">
        <v>285</v>
      </c>
      <c r="F276" s="61" t="s">
        <v>286</v>
      </c>
      <c r="G276" s="62" t="s">
        <v>203</v>
      </c>
      <c r="H276" s="63" t="s">
        <v>195</v>
      </c>
      <c r="I276" s="64" t="s">
        <v>267</v>
      </c>
      <c r="J276" s="65" t="str">
        <f>IFERROR(INDEX('Cost_Components'!$K$2:$K$27,MATCH(E276,'Cost_Components'!$A$2:$A$27,0)),"")</f>
      </c>
      <c r="K276" s="66" t="str">
        <f>IF(OR(L276="",Z276="",AA276="",AB276=""),"",IF(B276&lt;AA276,L276,IF(B276&gt;AB276,Z276,L276+(Z276-L276)*MIN(MAX((B276-AA276+1)/MAX(AB276-AA276+1,1),0),1))))</f>
      </c>
      <c r="L276" s="67" t="str">
        <f>IFERROR(INDEX('Cost_Components'!$S$2:$S$27,MATCH(E276,'Cost_Components'!$A$2:$A$27,0)),"")</f>
      </c>
      <c r="M276" s="68" t="str">
        <f>IFERROR(INDEX('Cost_Components'!$L$2:$L$27,MATCH(E276,'Cost_Components'!$A$2:$A$27,0)),"")</f>
      </c>
      <c r="N276" s="69" t="str">
        <f>IFERROR(INDEX('Cost_Components'!$P$2:$P$27,MATCH(E276,'Cost_Components'!$A$2:$A$27,0)),"")</f>
      </c>
      <c r="O276" s="70" t="str">
        <f>AF276*J276</f>
      </c>
      <c r="P276" s="71" t="str">
        <f>AG276*J276</f>
      </c>
      <c r="Q276" s="72" t="str">
        <f>P276*L276*M276*N276</f>
      </c>
      <c r="R276" s="73" t="str">
        <f>O276*K276*M276*N276</f>
      </c>
      <c r="S276" s="74" t="str">
        <f>R276-Q276</f>
      </c>
      <c r="T276" s="20" t="str">
        <f>IFERROR(INDEX('Cost_Components'!$R$2:$R$27,MATCH(E276,'Cost_Components'!$A$2:$A$27,0)),"")</f>
      </c>
      <c r="U276" s="75" t="str">
        <f>IFERROR(INDEX('Cost_Components'!$Q$2:$Q$27,MATCH(E276,'Cost_Components'!$A$2:$A$27,0)),"")</f>
      </c>
      <c r="V276" s="76" t="str">
        <f>1/(1+'Calculation_Assumptions'!$B$5)^(B276-'Calculation_Assumptions'!$B$2)</f>
      </c>
      <c r="W276" s="77" t="str">
        <f>Q276*V276</f>
      </c>
      <c r="X276" s="78" t="str">
        <f>R276*V276</f>
      </c>
      <c r="Y276" s="79" t="str">
        <f>S276*V276</f>
      </c>
      <c r="Z276" s="80" t="str">
        <f>IFERROR(INDEX('Cost_Components'!$T$2:$T$27,MATCH(E276,'Cost_Components'!$A$2:$A$27,0)),"")</f>
      </c>
      <c r="AA276" s="81" t="str">
        <f>IFERROR(INDEX('Cost_Components'!$U$2:$U$27,MATCH(E276,'Cost_Components'!$A$2:$A$27,0)),"")</f>
      </c>
      <c r="AB276" s="82" t="str">
        <f>IFERROR(INDEX('Cost_Components'!$V$2:$V$27,MATCH(E276,'Cost_Components'!$A$2:$A$27,0)),"")</f>
      </c>
      <c r="AC276" s="83" t="str">
        <f>IFERROR(INDEX('Cost_Components'!$M$2:$M$27,MATCH(E276,'Cost_Components'!$A$2:$A$27,0)),"")</f>
      </c>
      <c r="AD276" s="84" t="str">
        <f>IFERROR(INDEX('Cost_Components'!$N$2:$N$27,MATCH(E276,'Cost_Components'!$A$2:$A$27,0)),"")</f>
      </c>
      <c r="AE276" s="20" t="str">
        <f>IFERROR(INDEX('Cost_Components'!$O$2:$O$27,MATCH(E276,'Cost_Components'!$A$2:$A$27,0)),"")</f>
      </c>
      <c r="AF276" s="85" t="n">
        <v>653430.786215129</v>
      </c>
      <c r="AG276" s="86" t="n">
        <v>635787.971332228</v>
      </c>
      <c r="AH276" s="87" t="str">
        <f>IF(H276="shared-count-once",COUNTIFS($A$2:$A$1353,A276,$B$2:$B$1353,B276,$E$2:$E$1353,E276),1)</f>
      </c>
    </row>
    <row r="277">
      <c r="A277" t="s">
        <v>200</v>
      </c>
      <c r="B277" s="59" t="n">
        <v>2040</v>
      </c>
      <c r="C277" t="s">
        <v>200</v>
      </c>
      <c r="D277" t="s">
        <v>166</v>
      </c>
      <c r="E277" s="60" t="s">
        <v>285</v>
      </c>
      <c r="F277" s="61" t="s">
        <v>286</v>
      </c>
      <c r="G277" s="62" t="s">
        <v>203</v>
      </c>
      <c r="H277" s="63" t="s">
        <v>195</v>
      </c>
      <c r="I277" s="64" t="s">
        <v>267</v>
      </c>
      <c r="J277" s="65" t="str">
        <f>IFERROR(INDEX('Cost_Components'!$K$2:$K$27,MATCH(E277,'Cost_Components'!$A$2:$A$27,0)),"")</f>
      </c>
      <c r="K277" s="66" t="str">
        <f>IF(OR(L277="",Z277="",AA277="",AB277=""),"",IF(B277&lt;AA277,L277,IF(B277&gt;AB277,Z277,L277+(Z277-L277)*MIN(MAX((B277-AA277+1)/MAX(AB277-AA277+1,1),0),1))))</f>
      </c>
      <c r="L277" s="67" t="str">
        <f>IFERROR(INDEX('Cost_Components'!$S$2:$S$27,MATCH(E277,'Cost_Components'!$A$2:$A$27,0)),"")</f>
      </c>
      <c r="M277" s="68" t="str">
        <f>IFERROR(INDEX('Cost_Components'!$L$2:$L$27,MATCH(E277,'Cost_Components'!$A$2:$A$27,0)),"")</f>
      </c>
      <c r="N277" s="69" t="str">
        <f>IFERROR(INDEX('Cost_Components'!$P$2:$P$27,MATCH(E277,'Cost_Components'!$A$2:$A$27,0)),"")</f>
      </c>
      <c r="O277" s="70" t="str">
        <f>AF277*J277</f>
      </c>
      <c r="P277" s="71" t="str">
        <f>AG277*J277</f>
      </c>
      <c r="Q277" s="72" t="str">
        <f>P277*L277*M277*N277</f>
      </c>
      <c r="R277" s="73" t="str">
        <f>O277*K277*M277*N277</f>
      </c>
      <c r="S277" s="74" t="str">
        <f>R277-Q277</f>
      </c>
      <c r="T277" s="20" t="str">
        <f>IFERROR(INDEX('Cost_Components'!$R$2:$R$27,MATCH(E277,'Cost_Components'!$A$2:$A$27,0)),"")</f>
      </c>
      <c r="U277" s="75" t="str">
        <f>IFERROR(INDEX('Cost_Components'!$Q$2:$Q$27,MATCH(E277,'Cost_Components'!$A$2:$A$27,0)),"")</f>
      </c>
      <c r="V277" s="76" t="str">
        <f>1/(1+'Calculation_Assumptions'!$B$5)^(B277-'Calculation_Assumptions'!$B$2)</f>
      </c>
      <c r="W277" s="77" t="str">
        <f>Q277*V277</f>
      </c>
      <c r="X277" s="78" t="str">
        <f>R277*V277</f>
      </c>
      <c r="Y277" s="79" t="str">
        <f>S277*V277</f>
      </c>
      <c r="Z277" s="80" t="str">
        <f>IFERROR(INDEX('Cost_Components'!$T$2:$T$27,MATCH(E277,'Cost_Components'!$A$2:$A$27,0)),"")</f>
      </c>
      <c r="AA277" s="81" t="str">
        <f>IFERROR(INDEX('Cost_Components'!$U$2:$U$27,MATCH(E277,'Cost_Components'!$A$2:$A$27,0)),"")</f>
      </c>
      <c r="AB277" s="82" t="str">
        <f>IFERROR(INDEX('Cost_Components'!$V$2:$V$27,MATCH(E277,'Cost_Components'!$A$2:$A$27,0)),"")</f>
      </c>
      <c r="AC277" s="83" t="str">
        <f>IFERROR(INDEX('Cost_Components'!$M$2:$M$27,MATCH(E277,'Cost_Components'!$A$2:$A$27,0)),"")</f>
      </c>
      <c r="AD277" s="84" t="str">
        <f>IFERROR(INDEX('Cost_Components'!$N$2:$N$27,MATCH(E277,'Cost_Components'!$A$2:$A$27,0)),"")</f>
      </c>
      <c r="AE277" s="20" t="str">
        <f>IFERROR(INDEX('Cost_Components'!$O$2:$O$27,MATCH(E277,'Cost_Components'!$A$2:$A$27,0)),"")</f>
      </c>
      <c r="AF277" s="85" t="n">
        <v>669875.878833234</v>
      </c>
      <c r="AG277" s="86" t="n">
        <v>650347.171359419</v>
      </c>
      <c r="AH277" s="87" t="str">
        <f>IF(H277="shared-count-once",COUNTIFS($A$2:$A$1353,A277,$B$2:$B$1353,B277,$E$2:$E$1353,E277),1)</f>
      </c>
    </row>
    <row r="278">
      <c r="A278" t="s">
        <v>200</v>
      </c>
      <c r="B278" s="59" t="n">
        <v>2041</v>
      </c>
      <c r="C278" t="s">
        <v>200</v>
      </c>
      <c r="D278" t="s">
        <v>166</v>
      </c>
      <c r="E278" s="60" t="s">
        <v>285</v>
      </c>
      <c r="F278" s="61" t="s">
        <v>286</v>
      </c>
      <c r="G278" s="62" t="s">
        <v>203</v>
      </c>
      <c r="H278" s="63" t="s">
        <v>195</v>
      </c>
      <c r="I278" s="64" t="s">
        <v>267</v>
      </c>
      <c r="J278" s="65" t="str">
        <f>IFERROR(INDEX('Cost_Components'!$K$2:$K$27,MATCH(E278,'Cost_Components'!$A$2:$A$27,0)),"")</f>
      </c>
      <c r="K278" s="66" t="str">
        <f>IF(OR(L278="",Z278="",AA278="",AB278=""),"",IF(B278&lt;AA278,L278,IF(B278&gt;AB278,Z278,L278+(Z278-L278)*MIN(MAX((B278-AA278+1)/MAX(AB278-AA278+1,1),0),1))))</f>
      </c>
      <c r="L278" s="67" t="str">
        <f>IFERROR(INDEX('Cost_Components'!$S$2:$S$27,MATCH(E278,'Cost_Components'!$A$2:$A$27,0)),"")</f>
      </c>
      <c r="M278" s="68" t="str">
        <f>IFERROR(INDEX('Cost_Components'!$L$2:$L$27,MATCH(E278,'Cost_Components'!$A$2:$A$27,0)),"")</f>
      </c>
      <c r="N278" s="69" t="str">
        <f>IFERROR(INDEX('Cost_Components'!$P$2:$P$27,MATCH(E278,'Cost_Components'!$A$2:$A$27,0)),"")</f>
      </c>
      <c r="O278" s="70" t="str">
        <f>AF278*J278</f>
      </c>
      <c r="P278" s="71" t="str">
        <f>AG278*J278</f>
      </c>
      <c r="Q278" s="72" t="str">
        <f>P278*L278*M278*N278</f>
      </c>
      <c r="R278" s="73" t="str">
        <f>O278*K278*M278*N278</f>
      </c>
      <c r="S278" s="74" t="str">
        <f>R278-Q278</f>
      </c>
      <c r="T278" s="20" t="str">
        <f>IFERROR(INDEX('Cost_Components'!$R$2:$R$27,MATCH(E278,'Cost_Components'!$A$2:$A$27,0)),"")</f>
      </c>
      <c r="U278" s="75" t="str">
        <f>IFERROR(INDEX('Cost_Components'!$Q$2:$Q$27,MATCH(E278,'Cost_Components'!$A$2:$A$27,0)),"")</f>
      </c>
      <c r="V278" s="76" t="str">
        <f>1/(1+'Calculation_Assumptions'!$B$5)^(B278-'Calculation_Assumptions'!$B$2)</f>
      </c>
      <c r="W278" s="77" t="str">
        <f>Q278*V278</f>
      </c>
      <c r="X278" s="78" t="str">
        <f>R278*V278</f>
      </c>
      <c r="Y278" s="79" t="str">
        <f>S278*V278</f>
      </c>
      <c r="Z278" s="80" t="str">
        <f>IFERROR(INDEX('Cost_Components'!$T$2:$T$27,MATCH(E278,'Cost_Components'!$A$2:$A$27,0)),"")</f>
      </c>
      <c r="AA278" s="81" t="str">
        <f>IFERROR(INDEX('Cost_Components'!$U$2:$U$27,MATCH(E278,'Cost_Components'!$A$2:$A$27,0)),"")</f>
      </c>
      <c r="AB278" s="82" t="str">
        <f>IFERROR(INDEX('Cost_Components'!$V$2:$V$27,MATCH(E278,'Cost_Components'!$A$2:$A$27,0)),"")</f>
      </c>
      <c r="AC278" s="83" t="str">
        <f>IFERROR(INDEX('Cost_Components'!$M$2:$M$27,MATCH(E278,'Cost_Components'!$A$2:$A$27,0)),"")</f>
      </c>
      <c r="AD278" s="84" t="str">
        <f>IFERROR(INDEX('Cost_Components'!$N$2:$N$27,MATCH(E278,'Cost_Components'!$A$2:$A$27,0)),"")</f>
      </c>
      <c r="AE278" s="20" t="str">
        <f>IFERROR(INDEX('Cost_Components'!$O$2:$O$27,MATCH(E278,'Cost_Components'!$A$2:$A$27,0)),"")</f>
      </c>
      <c r="AF278" s="85" t="n">
        <v>686753.795336076</v>
      </c>
      <c r="AG278" s="86" t="n">
        <v>665281.394166627</v>
      </c>
      <c r="AH278" s="87" t="str">
        <f>IF(H278="shared-count-once",COUNTIFS($A$2:$A$1353,A278,$B$2:$B$1353,B278,$E$2:$E$1353,E278),1)</f>
      </c>
    </row>
    <row r="279">
      <c r="A279" t="s">
        <v>200</v>
      </c>
      <c r="B279" s="59" t="n">
        <v>2042</v>
      </c>
      <c r="C279" t="s">
        <v>200</v>
      </c>
      <c r="D279" t="s">
        <v>166</v>
      </c>
      <c r="E279" s="60" t="s">
        <v>285</v>
      </c>
      <c r="F279" s="61" t="s">
        <v>286</v>
      </c>
      <c r="G279" s="62" t="s">
        <v>203</v>
      </c>
      <c r="H279" s="63" t="s">
        <v>195</v>
      </c>
      <c r="I279" s="64" t="s">
        <v>267</v>
      </c>
      <c r="J279" s="65" t="str">
        <f>IFERROR(INDEX('Cost_Components'!$K$2:$K$27,MATCH(E279,'Cost_Components'!$A$2:$A$27,0)),"")</f>
      </c>
      <c r="K279" s="66" t="str">
        <f>IF(OR(L279="",Z279="",AA279="",AB279=""),"",IF(B279&lt;AA279,L279,IF(B279&gt;AB279,Z279,L279+(Z279-L279)*MIN(MAX((B279-AA279+1)/MAX(AB279-AA279+1,1),0),1))))</f>
      </c>
      <c r="L279" s="67" t="str">
        <f>IFERROR(INDEX('Cost_Components'!$S$2:$S$27,MATCH(E279,'Cost_Components'!$A$2:$A$27,0)),"")</f>
      </c>
      <c r="M279" s="68" t="str">
        <f>IFERROR(INDEX('Cost_Components'!$L$2:$L$27,MATCH(E279,'Cost_Components'!$A$2:$A$27,0)),"")</f>
      </c>
      <c r="N279" s="69" t="str">
        <f>IFERROR(INDEX('Cost_Components'!$P$2:$P$27,MATCH(E279,'Cost_Components'!$A$2:$A$27,0)),"")</f>
      </c>
      <c r="O279" s="70" t="str">
        <f>AF279*J279</f>
      </c>
      <c r="P279" s="71" t="str">
        <f>AG279*J279</f>
      </c>
      <c r="Q279" s="72" t="str">
        <f>P279*L279*M279*N279</f>
      </c>
      <c r="R279" s="73" t="str">
        <f>O279*K279*M279*N279</f>
      </c>
      <c r="S279" s="74" t="str">
        <f>R279-Q279</f>
      </c>
      <c r="T279" s="20" t="str">
        <f>IFERROR(INDEX('Cost_Components'!$R$2:$R$27,MATCH(E279,'Cost_Components'!$A$2:$A$27,0)),"")</f>
      </c>
      <c r="U279" s="75" t="str">
        <f>IFERROR(INDEX('Cost_Components'!$Q$2:$Q$27,MATCH(E279,'Cost_Components'!$A$2:$A$27,0)),"")</f>
      </c>
      <c r="V279" s="76" t="str">
        <f>1/(1+'Calculation_Assumptions'!$B$5)^(B279-'Calculation_Assumptions'!$B$2)</f>
      </c>
      <c r="W279" s="77" t="str">
        <f>Q279*V279</f>
      </c>
      <c r="X279" s="78" t="str">
        <f>R279*V279</f>
      </c>
      <c r="Y279" s="79" t="str">
        <f>S279*V279</f>
      </c>
      <c r="Z279" s="80" t="str">
        <f>IFERROR(INDEX('Cost_Components'!$T$2:$T$27,MATCH(E279,'Cost_Components'!$A$2:$A$27,0)),"")</f>
      </c>
      <c r="AA279" s="81" t="str">
        <f>IFERROR(INDEX('Cost_Components'!$U$2:$U$27,MATCH(E279,'Cost_Components'!$A$2:$A$27,0)),"")</f>
      </c>
      <c r="AB279" s="82" t="str">
        <f>IFERROR(INDEX('Cost_Components'!$V$2:$V$27,MATCH(E279,'Cost_Components'!$A$2:$A$27,0)),"")</f>
      </c>
      <c r="AC279" s="83" t="str">
        <f>IFERROR(INDEX('Cost_Components'!$M$2:$M$27,MATCH(E279,'Cost_Components'!$A$2:$A$27,0)),"")</f>
      </c>
      <c r="AD279" s="84" t="str">
        <f>IFERROR(INDEX('Cost_Components'!$N$2:$N$27,MATCH(E279,'Cost_Components'!$A$2:$A$27,0)),"")</f>
      </c>
      <c r="AE279" s="20" t="str">
        <f>IFERROR(INDEX('Cost_Components'!$O$2:$O$27,MATCH(E279,'Cost_Components'!$A$2:$A$27,0)),"")</f>
      </c>
      <c r="AF279" s="85" t="n">
        <v>703956.371739209</v>
      </c>
      <c r="AG279" s="86" t="n">
        <v>680485.192431276</v>
      </c>
      <c r="AH279" s="87" t="str">
        <f>IF(H279="shared-count-once",COUNTIFS($A$2:$A$1353,A279,$B$2:$B$1353,B279,$E$2:$E$1353,E279),1)</f>
      </c>
    </row>
    <row r="280">
      <c r="A280" t="s">
        <v>200</v>
      </c>
      <c r="B280" s="59" t="n">
        <v>2043</v>
      </c>
      <c r="C280" t="s">
        <v>200</v>
      </c>
      <c r="D280" t="s">
        <v>166</v>
      </c>
      <c r="E280" s="60" t="s">
        <v>285</v>
      </c>
      <c r="F280" s="61" t="s">
        <v>286</v>
      </c>
      <c r="G280" s="62" t="s">
        <v>203</v>
      </c>
      <c r="H280" s="63" t="s">
        <v>195</v>
      </c>
      <c r="I280" s="64" t="s">
        <v>267</v>
      </c>
      <c r="J280" s="65" t="str">
        <f>IFERROR(INDEX('Cost_Components'!$K$2:$K$27,MATCH(E280,'Cost_Components'!$A$2:$A$27,0)),"")</f>
      </c>
      <c r="K280" s="66" t="str">
        <f>IF(OR(L280="",Z280="",AA280="",AB280=""),"",IF(B280&lt;AA280,L280,IF(B280&gt;AB280,Z280,L280+(Z280-L280)*MIN(MAX((B280-AA280+1)/MAX(AB280-AA280+1,1),0),1))))</f>
      </c>
      <c r="L280" s="67" t="str">
        <f>IFERROR(INDEX('Cost_Components'!$S$2:$S$27,MATCH(E280,'Cost_Components'!$A$2:$A$27,0)),"")</f>
      </c>
      <c r="M280" s="68" t="str">
        <f>IFERROR(INDEX('Cost_Components'!$L$2:$L$27,MATCH(E280,'Cost_Components'!$A$2:$A$27,0)),"")</f>
      </c>
      <c r="N280" s="69" t="str">
        <f>IFERROR(INDEX('Cost_Components'!$P$2:$P$27,MATCH(E280,'Cost_Components'!$A$2:$A$27,0)),"")</f>
      </c>
      <c r="O280" s="70" t="str">
        <f>AF280*J280</f>
      </c>
      <c r="P280" s="71" t="str">
        <f>AG280*J280</f>
      </c>
      <c r="Q280" s="72" t="str">
        <f>P280*L280*M280*N280</f>
      </c>
      <c r="R280" s="73" t="str">
        <f>O280*K280*M280*N280</f>
      </c>
      <c r="S280" s="74" t="str">
        <f>R280-Q280</f>
      </c>
      <c r="T280" s="20" t="str">
        <f>IFERROR(INDEX('Cost_Components'!$R$2:$R$27,MATCH(E280,'Cost_Components'!$A$2:$A$27,0)),"")</f>
      </c>
      <c r="U280" s="75" t="str">
        <f>IFERROR(INDEX('Cost_Components'!$Q$2:$Q$27,MATCH(E280,'Cost_Components'!$A$2:$A$27,0)),"")</f>
      </c>
      <c r="V280" s="76" t="str">
        <f>1/(1+'Calculation_Assumptions'!$B$5)^(B280-'Calculation_Assumptions'!$B$2)</f>
      </c>
      <c r="W280" s="77" t="str">
        <f>Q280*V280</f>
      </c>
      <c r="X280" s="78" t="str">
        <f>R280*V280</f>
      </c>
      <c r="Y280" s="79" t="str">
        <f>S280*V280</f>
      </c>
      <c r="Z280" s="80" t="str">
        <f>IFERROR(INDEX('Cost_Components'!$T$2:$T$27,MATCH(E280,'Cost_Components'!$A$2:$A$27,0)),"")</f>
      </c>
      <c r="AA280" s="81" t="str">
        <f>IFERROR(INDEX('Cost_Components'!$U$2:$U$27,MATCH(E280,'Cost_Components'!$A$2:$A$27,0)),"")</f>
      </c>
      <c r="AB280" s="82" t="str">
        <f>IFERROR(INDEX('Cost_Components'!$V$2:$V$27,MATCH(E280,'Cost_Components'!$A$2:$A$27,0)),"")</f>
      </c>
      <c r="AC280" s="83" t="str">
        <f>IFERROR(INDEX('Cost_Components'!$M$2:$M$27,MATCH(E280,'Cost_Components'!$A$2:$A$27,0)),"")</f>
      </c>
      <c r="AD280" s="84" t="str">
        <f>IFERROR(INDEX('Cost_Components'!$N$2:$N$27,MATCH(E280,'Cost_Components'!$A$2:$A$27,0)),"")</f>
      </c>
      <c r="AE280" s="20" t="str">
        <f>IFERROR(INDEX('Cost_Components'!$O$2:$O$27,MATCH(E280,'Cost_Components'!$A$2:$A$27,0)),"")</f>
      </c>
      <c r="AF280" s="85" t="n">
        <v>721577.943910431</v>
      </c>
      <c r="AG280" s="86" t="n">
        <v>696055.839279261</v>
      </c>
      <c r="AH280" s="87" t="str">
        <f>IF(H280="shared-count-once",COUNTIFS($A$2:$A$1353,A280,$B$2:$B$1353,B280,$E$2:$E$1353,E280),1)</f>
      </c>
    </row>
    <row r="281">
      <c r="A281" t="s">
        <v>200</v>
      </c>
      <c r="B281" s="59" t="n">
        <v>2044</v>
      </c>
      <c r="C281" t="s">
        <v>200</v>
      </c>
      <c r="D281" t="s">
        <v>166</v>
      </c>
      <c r="E281" s="60" t="s">
        <v>285</v>
      </c>
      <c r="F281" s="61" t="s">
        <v>286</v>
      </c>
      <c r="G281" s="62" t="s">
        <v>203</v>
      </c>
      <c r="H281" s="63" t="s">
        <v>195</v>
      </c>
      <c r="I281" s="64" t="s">
        <v>267</v>
      </c>
      <c r="J281" s="65" t="str">
        <f>IFERROR(INDEX('Cost_Components'!$K$2:$K$27,MATCH(E281,'Cost_Components'!$A$2:$A$27,0)),"")</f>
      </c>
      <c r="K281" s="66" t="str">
        <f>IF(OR(L281="",Z281="",AA281="",AB281=""),"",IF(B281&lt;AA281,L281,IF(B281&gt;AB281,Z281,L281+(Z281-L281)*MIN(MAX((B281-AA281+1)/MAX(AB281-AA281+1,1),0),1))))</f>
      </c>
      <c r="L281" s="67" t="str">
        <f>IFERROR(INDEX('Cost_Components'!$S$2:$S$27,MATCH(E281,'Cost_Components'!$A$2:$A$27,0)),"")</f>
      </c>
      <c r="M281" s="68" t="str">
        <f>IFERROR(INDEX('Cost_Components'!$L$2:$L$27,MATCH(E281,'Cost_Components'!$A$2:$A$27,0)),"")</f>
      </c>
      <c r="N281" s="69" t="str">
        <f>IFERROR(INDEX('Cost_Components'!$P$2:$P$27,MATCH(E281,'Cost_Components'!$A$2:$A$27,0)),"")</f>
      </c>
      <c r="O281" s="70" t="str">
        <f>AF281*J281</f>
      </c>
      <c r="P281" s="71" t="str">
        <f>AG281*J281</f>
      </c>
      <c r="Q281" s="72" t="str">
        <f>P281*L281*M281*N281</f>
      </c>
      <c r="R281" s="73" t="str">
        <f>O281*K281*M281*N281</f>
      </c>
      <c r="S281" s="74" t="str">
        <f>R281-Q281</f>
      </c>
      <c r="T281" s="20" t="str">
        <f>IFERROR(INDEX('Cost_Components'!$R$2:$R$27,MATCH(E281,'Cost_Components'!$A$2:$A$27,0)),"")</f>
      </c>
      <c r="U281" s="75" t="str">
        <f>IFERROR(INDEX('Cost_Components'!$Q$2:$Q$27,MATCH(E281,'Cost_Components'!$A$2:$A$27,0)),"")</f>
      </c>
      <c r="V281" s="76" t="str">
        <f>1/(1+'Calculation_Assumptions'!$B$5)^(B281-'Calculation_Assumptions'!$B$2)</f>
      </c>
      <c r="W281" s="77" t="str">
        <f>Q281*V281</f>
      </c>
      <c r="X281" s="78" t="str">
        <f>R281*V281</f>
      </c>
      <c r="Y281" s="79" t="str">
        <f>S281*V281</f>
      </c>
      <c r="Z281" s="80" t="str">
        <f>IFERROR(INDEX('Cost_Components'!$T$2:$T$27,MATCH(E281,'Cost_Components'!$A$2:$A$27,0)),"")</f>
      </c>
      <c r="AA281" s="81" t="str">
        <f>IFERROR(INDEX('Cost_Components'!$U$2:$U$27,MATCH(E281,'Cost_Components'!$A$2:$A$27,0)),"")</f>
      </c>
      <c r="AB281" s="82" t="str">
        <f>IFERROR(INDEX('Cost_Components'!$V$2:$V$27,MATCH(E281,'Cost_Components'!$A$2:$A$27,0)),"")</f>
      </c>
      <c r="AC281" s="83" t="str">
        <f>IFERROR(INDEX('Cost_Components'!$M$2:$M$27,MATCH(E281,'Cost_Components'!$A$2:$A$27,0)),"")</f>
      </c>
      <c r="AD281" s="84" t="str">
        <f>IFERROR(INDEX('Cost_Components'!$N$2:$N$27,MATCH(E281,'Cost_Components'!$A$2:$A$27,0)),"")</f>
      </c>
      <c r="AE281" s="20" t="str">
        <f>IFERROR(INDEX('Cost_Components'!$O$2:$O$27,MATCH(E281,'Cost_Components'!$A$2:$A$27,0)),"")</f>
      </c>
      <c r="AF281" s="85" t="n">
        <v>738842.602371268</v>
      </c>
      <c r="AG281" s="86" t="n">
        <v>711218.32812521</v>
      </c>
      <c r="AH281" s="87" t="str">
        <f>IF(H281="shared-count-once",COUNTIFS($A$2:$A$1353,A281,$B$2:$B$1353,B281,$E$2:$E$1353,E281),1)</f>
      </c>
    </row>
    <row r="282">
      <c r="A282" t="s">
        <v>200</v>
      </c>
      <c r="B282" s="59" t="n">
        <v>2045</v>
      </c>
      <c r="C282" t="s">
        <v>200</v>
      </c>
      <c r="D282" t="s">
        <v>166</v>
      </c>
      <c r="E282" s="60" t="s">
        <v>285</v>
      </c>
      <c r="F282" s="61" t="s">
        <v>286</v>
      </c>
      <c r="G282" s="62" t="s">
        <v>203</v>
      </c>
      <c r="H282" s="63" t="s">
        <v>195</v>
      </c>
      <c r="I282" s="64" t="s">
        <v>267</v>
      </c>
      <c r="J282" s="65" t="str">
        <f>IFERROR(INDEX('Cost_Components'!$K$2:$K$27,MATCH(E282,'Cost_Components'!$A$2:$A$27,0)),"")</f>
      </c>
      <c r="K282" s="66" t="str">
        <f>IF(OR(L282="",Z282="",AA282="",AB282=""),"",IF(B282&lt;AA282,L282,IF(B282&gt;AB282,Z282,L282+(Z282-L282)*MIN(MAX((B282-AA282+1)/MAX(AB282-AA282+1,1),0),1))))</f>
      </c>
      <c r="L282" s="67" t="str">
        <f>IFERROR(INDEX('Cost_Components'!$S$2:$S$27,MATCH(E282,'Cost_Components'!$A$2:$A$27,0)),"")</f>
      </c>
      <c r="M282" s="68" t="str">
        <f>IFERROR(INDEX('Cost_Components'!$L$2:$L$27,MATCH(E282,'Cost_Components'!$A$2:$A$27,0)),"")</f>
      </c>
      <c r="N282" s="69" t="str">
        <f>IFERROR(INDEX('Cost_Components'!$P$2:$P$27,MATCH(E282,'Cost_Components'!$A$2:$A$27,0)),"")</f>
      </c>
      <c r="O282" s="70" t="str">
        <f>AF282*J282</f>
      </c>
      <c r="P282" s="71" t="str">
        <f>AG282*J282</f>
      </c>
      <c r="Q282" s="72" t="str">
        <f>P282*L282*M282*N282</f>
      </c>
      <c r="R282" s="73" t="str">
        <f>O282*K282*M282*N282</f>
      </c>
      <c r="S282" s="74" t="str">
        <f>R282-Q282</f>
      </c>
      <c r="T282" s="20" t="str">
        <f>IFERROR(INDEX('Cost_Components'!$R$2:$R$27,MATCH(E282,'Cost_Components'!$A$2:$A$27,0)),"")</f>
      </c>
      <c r="U282" s="75" t="str">
        <f>IFERROR(INDEX('Cost_Components'!$Q$2:$Q$27,MATCH(E282,'Cost_Components'!$A$2:$A$27,0)),"")</f>
      </c>
      <c r="V282" s="76" t="str">
        <f>1/(1+'Calculation_Assumptions'!$B$5)^(B282-'Calculation_Assumptions'!$B$2)</f>
      </c>
      <c r="W282" s="77" t="str">
        <f>Q282*V282</f>
      </c>
      <c r="X282" s="78" t="str">
        <f>R282*V282</f>
      </c>
      <c r="Y282" s="79" t="str">
        <f>S282*V282</f>
      </c>
      <c r="Z282" s="80" t="str">
        <f>IFERROR(INDEX('Cost_Components'!$T$2:$T$27,MATCH(E282,'Cost_Components'!$A$2:$A$27,0)),"")</f>
      </c>
      <c r="AA282" s="81" t="str">
        <f>IFERROR(INDEX('Cost_Components'!$U$2:$U$27,MATCH(E282,'Cost_Components'!$A$2:$A$27,0)),"")</f>
      </c>
      <c r="AB282" s="82" t="str">
        <f>IFERROR(INDEX('Cost_Components'!$V$2:$V$27,MATCH(E282,'Cost_Components'!$A$2:$A$27,0)),"")</f>
      </c>
      <c r="AC282" s="83" t="str">
        <f>IFERROR(INDEX('Cost_Components'!$M$2:$M$27,MATCH(E282,'Cost_Components'!$A$2:$A$27,0)),"")</f>
      </c>
      <c r="AD282" s="84" t="str">
        <f>IFERROR(INDEX('Cost_Components'!$N$2:$N$27,MATCH(E282,'Cost_Components'!$A$2:$A$27,0)),"")</f>
      </c>
      <c r="AE282" s="20" t="str">
        <f>IFERROR(INDEX('Cost_Components'!$O$2:$O$27,MATCH(E282,'Cost_Components'!$A$2:$A$27,0)),"")</f>
      </c>
      <c r="AF282" s="85" t="n">
        <v>756260.026441636</v>
      </c>
      <c r="AG282" s="86" t="n">
        <v>726486.456587552</v>
      </c>
      <c r="AH282" s="87" t="str">
        <f>IF(H282="shared-count-once",COUNTIFS($A$2:$A$1353,A282,$B$2:$B$1353,B282,$E$2:$E$1353,E282),1)</f>
      </c>
    </row>
    <row r="283">
      <c r="A283" t="s">
        <v>200</v>
      </c>
      <c r="B283" s="59" t="n">
        <v>2046</v>
      </c>
      <c r="C283" t="s">
        <v>200</v>
      </c>
      <c r="D283" t="s">
        <v>166</v>
      </c>
      <c r="E283" s="60" t="s">
        <v>285</v>
      </c>
      <c r="F283" s="61" t="s">
        <v>286</v>
      </c>
      <c r="G283" s="62" t="s">
        <v>203</v>
      </c>
      <c r="H283" s="63" t="s">
        <v>195</v>
      </c>
      <c r="I283" s="64" t="s">
        <v>267</v>
      </c>
      <c r="J283" s="65" t="str">
        <f>IFERROR(INDEX('Cost_Components'!$K$2:$K$27,MATCH(E283,'Cost_Components'!$A$2:$A$27,0)),"")</f>
      </c>
      <c r="K283" s="66" t="str">
        <f>IF(OR(L283="",Z283="",AA283="",AB283=""),"",IF(B283&lt;AA283,L283,IF(B283&gt;AB283,Z283,L283+(Z283-L283)*MIN(MAX((B283-AA283+1)/MAX(AB283-AA283+1,1),0),1))))</f>
      </c>
      <c r="L283" s="67" t="str">
        <f>IFERROR(INDEX('Cost_Components'!$S$2:$S$27,MATCH(E283,'Cost_Components'!$A$2:$A$27,0)),"")</f>
      </c>
      <c r="M283" s="68" t="str">
        <f>IFERROR(INDEX('Cost_Components'!$L$2:$L$27,MATCH(E283,'Cost_Components'!$A$2:$A$27,0)),"")</f>
      </c>
      <c r="N283" s="69" t="str">
        <f>IFERROR(INDEX('Cost_Components'!$P$2:$P$27,MATCH(E283,'Cost_Components'!$A$2:$A$27,0)),"")</f>
      </c>
      <c r="O283" s="70" t="str">
        <f>AF283*J283</f>
      </c>
      <c r="P283" s="71" t="str">
        <f>AG283*J283</f>
      </c>
      <c r="Q283" s="72" t="str">
        <f>P283*L283*M283*N283</f>
      </c>
      <c r="R283" s="73" t="str">
        <f>O283*K283*M283*N283</f>
      </c>
      <c r="S283" s="74" t="str">
        <f>R283-Q283</f>
      </c>
      <c r="T283" s="20" t="str">
        <f>IFERROR(INDEX('Cost_Components'!$R$2:$R$27,MATCH(E283,'Cost_Components'!$A$2:$A$27,0)),"")</f>
      </c>
      <c r="U283" s="75" t="str">
        <f>IFERROR(INDEX('Cost_Components'!$Q$2:$Q$27,MATCH(E283,'Cost_Components'!$A$2:$A$27,0)),"")</f>
      </c>
      <c r="V283" s="76" t="str">
        <f>1/(1+'Calculation_Assumptions'!$B$5)^(B283-'Calculation_Assumptions'!$B$2)</f>
      </c>
      <c r="W283" s="77" t="str">
        <f>Q283*V283</f>
      </c>
      <c r="X283" s="78" t="str">
        <f>R283*V283</f>
      </c>
      <c r="Y283" s="79" t="str">
        <f>S283*V283</f>
      </c>
      <c r="Z283" s="80" t="str">
        <f>IFERROR(INDEX('Cost_Components'!$T$2:$T$27,MATCH(E283,'Cost_Components'!$A$2:$A$27,0)),"")</f>
      </c>
      <c r="AA283" s="81" t="str">
        <f>IFERROR(INDEX('Cost_Components'!$U$2:$U$27,MATCH(E283,'Cost_Components'!$A$2:$A$27,0)),"")</f>
      </c>
      <c r="AB283" s="82" t="str">
        <f>IFERROR(INDEX('Cost_Components'!$V$2:$V$27,MATCH(E283,'Cost_Components'!$A$2:$A$27,0)),"")</f>
      </c>
      <c r="AC283" s="83" t="str">
        <f>IFERROR(INDEX('Cost_Components'!$M$2:$M$27,MATCH(E283,'Cost_Components'!$A$2:$A$27,0)),"")</f>
      </c>
      <c r="AD283" s="84" t="str">
        <f>IFERROR(INDEX('Cost_Components'!$N$2:$N$27,MATCH(E283,'Cost_Components'!$A$2:$A$27,0)),"")</f>
      </c>
      <c r="AE283" s="20" t="str">
        <f>IFERROR(INDEX('Cost_Components'!$O$2:$O$27,MATCH(E283,'Cost_Components'!$A$2:$A$27,0)),"")</f>
      </c>
      <c r="AF283" s="85" t="n">
        <v>773734.623778323</v>
      </c>
      <c r="AG283" s="86" t="n">
        <v>741764.268871816</v>
      </c>
      <c r="AH283" s="87" t="str">
        <f>IF(H283="shared-count-once",COUNTIFS($A$2:$A$1353,A283,$B$2:$B$1353,B283,$E$2:$E$1353,E283),1)</f>
      </c>
    </row>
    <row r="284">
      <c r="A284" t="s">
        <v>200</v>
      </c>
      <c r="B284" s="59" t="n">
        <v>2047</v>
      </c>
      <c r="C284" t="s">
        <v>200</v>
      </c>
      <c r="D284" t="s">
        <v>166</v>
      </c>
      <c r="E284" s="60" t="s">
        <v>285</v>
      </c>
      <c r="F284" s="61" t="s">
        <v>286</v>
      </c>
      <c r="G284" s="62" t="s">
        <v>203</v>
      </c>
      <c r="H284" s="63" t="s">
        <v>195</v>
      </c>
      <c r="I284" s="64" t="s">
        <v>267</v>
      </c>
      <c r="J284" s="65" t="str">
        <f>IFERROR(INDEX('Cost_Components'!$K$2:$K$27,MATCH(E284,'Cost_Components'!$A$2:$A$27,0)),"")</f>
      </c>
      <c r="K284" s="66" t="str">
        <f>IF(OR(L284="",Z284="",AA284="",AB284=""),"",IF(B284&lt;AA284,L284,IF(B284&gt;AB284,Z284,L284+(Z284-L284)*MIN(MAX((B284-AA284+1)/MAX(AB284-AA284+1,1),0),1))))</f>
      </c>
      <c r="L284" s="67" t="str">
        <f>IFERROR(INDEX('Cost_Components'!$S$2:$S$27,MATCH(E284,'Cost_Components'!$A$2:$A$27,0)),"")</f>
      </c>
      <c r="M284" s="68" t="str">
        <f>IFERROR(INDEX('Cost_Components'!$L$2:$L$27,MATCH(E284,'Cost_Components'!$A$2:$A$27,0)),"")</f>
      </c>
      <c r="N284" s="69" t="str">
        <f>IFERROR(INDEX('Cost_Components'!$P$2:$P$27,MATCH(E284,'Cost_Components'!$A$2:$A$27,0)),"")</f>
      </c>
      <c r="O284" s="70" t="str">
        <f>AF284*J284</f>
      </c>
      <c r="P284" s="71" t="str">
        <f>AG284*J284</f>
      </c>
      <c r="Q284" s="72" t="str">
        <f>P284*L284*M284*N284</f>
      </c>
      <c r="R284" s="73" t="str">
        <f>O284*K284*M284*N284</f>
      </c>
      <c r="S284" s="74" t="str">
        <f>R284-Q284</f>
      </c>
      <c r="T284" s="20" t="str">
        <f>IFERROR(INDEX('Cost_Components'!$R$2:$R$27,MATCH(E284,'Cost_Components'!$A$2:$A$27,0)),"")</f>
      </c>
      <c r="U284" s="75" t="str">
        <f>IFERROR(INDEX('Cost_Components'!$Q$2:$Q$27,MATCH(E284,'Cost_Components'!$A$2:$A$27,0)),"")</f>
      </c>
      <c r="V284" s="76" t="str">
        <f>1/(1+'Calculation_Assumptions'!$B$5)^(B284-'Calculation_Assumptions'!$B$2)</f>
      </c>
      <c r="W284" s="77" t="str">
        <f>Q284*V284</f>
      </c>
      <c r="X284" s="78" t="str">
        <f>R284*V284</f>
      </c>
      <c r="Y284" s="79" t="str">
        <f>S284*V284</f>
      </c>
      <c r="Z284" s="80" t="str">
        <f>IFERROR(INDEX('Cost_Components'!$T$2:$T$27,MATCH(E284,'Cost_Components'!$A$2:$A$27,0)),"")</f>
      </c>
      <c r="AA284" s="81" t="str">
        <f>IFERROR(INDEX('Cost_Components'!$U$2:$U$27,MATCH(E284,'Cost_Components'!$A$2:$A$27,0)),"")</f>
      </c>
      <c r="AB284" s="82" t="str">
        <f>IFERROR(INDEX('Cost_Components'!$V$2:$V$27,MATCH(E284,'Cost_Components'!$A$2:$A$27,0)),"")</f>
      </c>
      <c r="AC284" s="83" t="str">
        <f>IFERROR(INDEX('Cost_Components'!$M$2:$M$27,MATCH(E284,'Cost_Components'!$A$2:$A$27,0)),"")</f>
      </c>
      <c r="AD284" s="84" t="str">
        <f>IFERROR(INDEX('Cost_Components'!$N$2:$N$27,MATCH(E284,'Cost_Components'!$A$2:$A$27,0)),"")</f>
      </c>
      <c r="AE284" s="20" t="str">
        <f>IFERROR(INDEX('Cost_Components'!$O$2:$O$27,MATCH(E284,'Cost_Components'!$A$2:$A$27,0)),"")</f>
      </c>
      <c r="AF284" s="85" t="n">
        <v>791302.2214016</v>
      </c>
      <c r="AG284" s="86" t="n">
        <v>757093.248363789</v>
      </c>
      <c r="AH284" s="87" t="str">
        <f>IF(H284="shared-count-once",COUNTIFS($A$2:$A$1353,A284,$B$2:$B$1353,B284,$E$2:$E$1353,E284),1)</f>
      </c>
    </row>
    <row r="285">
      <c r="A285" t="s">
        <v>200</v>
      </c>
      <c r="B285" s="59" t="n">
        <v>2048</v>
      </c>
      <c r="C285" t="s">
        <v>200</v>
      </c>
      <c r="D285" t="s">
        <v>166</v>
      </c>
      <c r="E285" s="60" t="s">
        <v>285</v>
      </c>
      <c r="F285" s="61" t="s">
        <v>286</v>
      </c>
      <c r="G285" s="62" t="s">
        <v>203</v>
      </c>
      <c r="H285" s="63" t="s">
        <v>195</v>
      </c>
      <c r="I285" s="64" t="s">
        <v>267</v>
      </c>
      <c r="J285" s="65" t="str">
        <f>IFERROR(INDEX('Cost_Components'!$K$2:$K$27,MATCH(E285,'Cost_Components'!$A$2:$A$27,0)),"")</f>
      </c>
      <c r="K285" s="66" t="str">
        <f>IF(OR(L285="",Z285="",AA285="",AB285=""),"",IF(B285&lt;AA285,L285,IF(B285&gt;AB285,Z285,L285+(Z285-L285)*MIN(MAX((B285-AA285+1)/MAX(AB285-AA285+1,1),0),1))))</f>
      </c>
      <c r="L285" s="67" t="str">
        <f>IFERROR(INDEX('Cost_Components'!$S$2:$S$27,MATCH(E285,'Cost_Components'!$A$2:$A$27,0)),"")</f>
      </c>
      <c r="M285" s="68" t="str">
        <f>IFERROR(INDEX('Cost_Components'!$L$2:$L$27,MATCH(E285,'Cost_Components'!$A$2:$A$27,0)),"")</f>
      </c>
      <c r="N285" s="69" t="str">
        <f>IFERROR(INDEX('Cost_Components'!$P$2:$P$27,MATCH(E285,'Cost_Components'!$A$2:$A$27,0)),"")</f>
      </c>
      <c r="O285" s="70" t="str">
        <f>AF285*J285</f>
      </c>
      <c r="P285" s="71" t="str">
        <f>AG285*J285</f>
      </c>
      <c r="Q285" s="72" t="str">
        <f>P285*L285*M285*N285</f>
      </c>
      <c r="R285" s="73" t="str">
        <f>O285*K285*M285*N285</f>
      </c>
      <c r="S285" s="74" t="str">
        <f>R285-Q285</f>
      </c>
      <c r="T285" s="20" t="str">
        <f>IFERROR(INDEX('Cost_Components'!$R$2:$R$27,MATCH(E285,'Cost_Components'!$A$2:$A$27,0)),"")</f>
      </c>
      <c r="U285" s="75" t="str">
        <f>IFERROR(INDEX('Cost_Components'!$Q$2:$Q$27,MATCH(E285,'Cost_Components'!$A$2:$A$27,0)),"")</f>
      </c>
      <c r="V285" s="76" t="str">
        <f>1/(1+'Calculation_Assumptions'!$B$5)^(B285-'Calculation_Assumptions'!$B$2)</f>
      </c>
      <c r="W285" s="77" t="str">
        <f>Q285*V285</f>
      </c>
      <c r="X285" s="78" t="str">
        <f>R285*V285</f>
      </c>
      <c r="Y285" s="79" t="str">
        <f>S285*V285</f>
      </c>
      <c r="Z285" s="80" t="str">
        <f>IFERROR(INDEX('Cost_Components'!$T$2:$T$27,MATCH(E285,'Cost_Components'!$A$2:$A$27,0)),"")</f>
      </c>
      <c r="AA285" s="81" t="str">
        <f>IFERROR(INDEX('Cost_Components'!$U$2:$U$27,MATCH(E285,'Cost_Components'!$A$2:$A$27,0)),"")</f>
      </c>
      <c r="AB285" s="82" t="str">
        <f>IFERROR(INDEX('Cost_Components'!$V$2:$V$27,MATCH(E285,'Cost_Components'!$A$2:$A$27,0)),"")</f>
      </c>
      <c r="AC285" s="83" t="str">
        <f>IFERROR(INDEX('Cost_Components'!$M$2:$M$27,MATCH(E285,'Cost_Components'!$A$2:$A$27,0)),"")</f>
      </c>
      <c r="AD285" s="84" t="str">
        <f>IFERROR(INDEX('Cost_Components'!$N$2:$N$27,MATCH(E285,'Cost_Components'!$A$2:$A$27,0)),"")</f>
      </c>
      <c r="AE285" s="20" t="str">
        <f>IFERROR(INDEX('Cost_Components'!$O$2:$O$27,MATCH(E285,'Cost_Components'!$A$2:$A$27,0)),"")</f>
      </c>
      <c r="AF285" s="85" t="n">
        <v>809108.487289873</v>
      </c>
      <c r="AG285" s="86" t="n">
        <v>772625.898951972</v>
      </c>
      <c r="AH285" s="87" t="str">
        <f>IF(H285="shared-count-once",COUNTIFS($A$2:$A$1353,A285,$B$2:$B$1353,B285,$E$2:$E$1353,E285),1)</f>
      </c>
    </row>
    <row r="286">
      <c r="A286" t="s">
        <v>200</v>
      </c>
      <c r="B286" s="59" t="n">
        <v>2049</v>
      </c>
      <c r="C286" t="s">
        <v>200</v>
      </c>
      <c r="D286" t="s">
        <v>166</v>
      </c>
      <c r="E286" s="60" t="s">
        <v>285</v>
      </c>
      <c r="F286" s="61" t="s">
        <v>286</v>
      </c>
      <c r="G286" s="62" t="s">
        <v>203</v>
      </c>
      <c r="H286" s="63" t="s">
        <v>195</v>
      </c>
      <c r="I286" s="64" t="s">
        <v>267</v>
      </c>
      <c r="J286" s="65" t="str">
        <f>IFERROR(INDEX('Cost_Components'!$K$2:$K$27,MATCH(E286,'Cost_Components'!$A$2:$A$27,0)),"")</f>
      </c>
      <c r="K286" s="66" t="str">
        <f>IF(OR(L286="",Z286="",AA286="",AB286=""),"",IF(B286&lt;AA286,L286,IF(B286&gt;AB286,Z286,L286+(Z286-L286)*MIN(MAX((B286-AA286+1)/MAX(AB286-AA286+1,1),0),1))))</f>
      </c>
      <c r="L286" s="67" t="str">
        <f>IFERROR(INDEX('Cost_Components'!$S$2:$S$27,MATCH(E286,'Cost_Components'!$A$2:$A$27,0)),"")</f>
      </c>
      <c r="M286" s="68" t="str">
        <f>IFERROR(INDEX('Cost_Components'!$L$2:$L$27,MATCH(E286,'Cost_Components'!$A$2:$A$27,0)),"")</f>
      </c>
      <c r="N286" s="69" t="str">
        <f>IFERROR(INDEX('Cost_Components'!$P$2:$P$27,MATCH(E286,'Cost_Components'!$A$2:$A$27,0)),"")</f>
      </c>
      <c r="O286" s="70" t="str">
        <f>AF286*J286</f>
      </c>
      <c r="P286" s="71" t="str">
        <f>AG286*J286</f>
      </c>
      <c r="Q286" s="72" t="str">
        <f>P286*L286*M286*N286</f>
      </c>
      <c r="R286" s="73" t="str">
        <f>O286*K286*M286*N286</f>
      </c>
      <c r="S286" s="74" t="str">
        <f>R286-Q286</f>
      </c>
      <c r="T286" s="20" t="str">
        <f>IFERROR(INDEX('Cost_Components'!$R$2:$R$27,MATCH(E286,'Cost_Components'!$A$2:$A$27,0)),"")</f>
      </c>
      <c r="U286" s="75" t="str">
        <f>IFERROR(INDEX('Cost_Components'!$Q$2:$Q$27,MATCH(E286,'Cost_Components'!$A$2:$A$27,0)),"")</f>
      </c>
      <c r="V286" s="76" t="str">
        <f>1/(1+'Calculation_Assumptions'!$B$5)^(B286-'Calculation_Assumptions'!$B$2)</f>
      </c>
      <c r="W286" s="77" t="str">
        <f>Q286*V286</f>
      </c>
      <c r="X286" s="78" t="str">
        <f>R286*V286</f>
      </c>
      <c r="Y286" s="79" t="str">
        <f>S286*V286</f>
      </c>
      <c r="Z286" s="80" t="str">
        <f>IFERROR(INDEX('Cost_Components'!$T$2:$T$27,MATCH(E286,'Cost_Components'!$A$2:$A$27,0)),"")</f>
      </c>
      <c r="AA286" s="81" t="str">
        <f>IFERROR(INDEX('Cost_Components'!$U$2:$U$27,MATCH(E286,'Cost_Components'!$A$2:$A$27,0)),"")</f>
      </c>
      <c r="AB286" s="82" t="str">
        <f>IFERROR(INDEX('Cost_Components'!$V$2:$V$27,MATCH(E286,'Cost_Components'!$A$2:$A$27,0)),"")</f>
      </c>
      <c r="AC286" s="83" t="str">
        <f>IFERROR(INDEX('Cost_Components'!$M$2:$M$27,MATCH(E286,'Cost_Components'!$A$2:$A$27,0)),"")</f>
      </c>
      <c r="AD286" s="84" t="str">
        <f>IFERROR(INDEX('Cost_Components'!$N$2:$N$27,MATCH(E286,'Cost_Components'!$A$2:$A$27,0)),"")</f>
      </c>
      <c r="AE286" s="20" t="str">
        <f>IFERROR(INDEX('Cost_Components'!$O$2:$O$27,MATCH(E286,'Cost_Components'!$A$2:$A$27,0)),"")</f>
      </c>
      <c r="AF286" s="85" t="n">
        <v>826393.160412627</v>
      </c>
      <c r="AG286" s="86" t="n">
        <v>787603.468855428</v>
      </c>
      <c r="AH286" s="87" t="str">
        <f>IF(H286="shared-count-once",COUNTIFS($A$2:$A$1353,A286,$B$2:$B$1353,B286,$E$2:$E$1353,E286),1)</f>
      </c>
    </row>
    <row r="287">
      <c r="A287" t="s">
        <v>200</v>
      </c>
      <c r="B287" s="59" t="n">
        <v>2050</v>
      </c>
      <c r="C287" t="s">
        <v>200</v>
      </c>
      <c r="D287" t="s">
        <v>166</v>
      </c>
      <c r="E287" s="60" t="s">
        <v>285</v>
      </c>
      <c r="F287" s="61" t="s">
        <v>286</v>
      </c>
      <c r="G287" s="62" t="s">
        <v>203</v>
      </c>
      <c r="H287" s="63" t="s">
        <v>195</v>
      </c>
      <c r="I287" s="64" t="s">
        <v>267</v>
      </c>
      <c r="J287" s="65" t="str">
        <f>IFERROR(INDEX('Cost_Components'!$K$2:$K$27,MATCH(E287,'Cost_Components'!$A$2:$A$27,0)),"")</f>
      </c>
      <c r="K287" s="66" t="str">
        <f>IF(OR(L287="",Z287="",AA287="",AB287=""),"",IF(B287&lt;AA287,L287,IF(B287&gt;AB287,Z287,L287+(Z287-L287)*MIN(MAX((B287-AA287+1)/MAX(AB287-AA287+1,1),0),1))))</f>
      </c>
      <c r="L287" s="67" t="str">
        <f>IFERROR(INDEX('Cost_Components'!$S$2:$S$27,MATCH(E287,'Cost_Components'!$A$2:$A$27,0)),"")</f>
      </c>
      <c r="M287" s="68" t="str">
        <f>IFERROR(INDEX('Cost_Components'!$L$2:$L$27,MATCH(E287,'Cost_Components'!$A$2:$A$27,0)),"")</f>
      </c>
      <c r="N287" s="69" t="str">
        <f>IFERROR(INDEX('Cost_Components'!$P$2:$P$27,MATCH(E287,'Cost_Components'!$A$2:$A$27,0)),"")</f>
      </c>
      <c r="O287" s="70" t="str">
        <f>AF287*J287</f>
      </c>
      <c r="P287" s="71" t="str">
        <f>AG287*J287</f>
      </c>
      <c r="Q287" s="72" t="str">
        <f>P287*L287*M287*N287</f>
      </c>
      <c r="R287" s="73" t="str">
        <f>O287*K287*M287*N287</f>
      </c>
      <c r="S287" s="74" t="str">
        <f>R287-Q287</f>
      </c>
      <c r="T287" s="20" t="str">
        <f>IFERROR(INDEX('Cost_Components'!$R$2:$R$27,MATCH(E287,'Cost_Components'!$A$2:$A$27,0)),"")</f>
      </c>
      <c r="U287" s="75" t="str">
        <f>IFERROR(INDEX('Cost_Components'!$Q$2:$Q$27,MATCH(E287,'Cost_Components'!$A$2:$A$27,0)),"")</f>
      </c>
      <c r="V287" s="76" t="str">
        <f>1/(1+'Calculation_Assumptions'!$B$5)^(B287-'Calculation_Assumptions'!$B$2)</f>
      </c>
      <c r="W287" s="77" t="str">
        <f>Q287*V287</f>
      </c>
      <c r="X287" s="78" t="str">
        <f>R287*V287</f>
      </c>
      <c r="Y287" s="79" t="str">
        <f>S287*V287</f>
      </c>
      <c r="Z287" s="80" t="str">
        <f>IFERROR(INDEX('Cost_Components'!$T$2:$T$27,MATCH(E287,'Cost_Components'!$A$2:$A$27,0)),"")</f>
      </c>
      <c r="AA287" s="81" t="str">
        <f>IFERROR(INDEX('Cost_Components'!$U$2:$U$27,MATCH(E287,'Cost_Components'!$A$2:$A$27,0)),"")</f>
      </c>
      <c r="AB287" s="82" t="str">
        <f>IFERROR(INDEX('Cost_Components'!$V$2:$V$27,MATCH(E287,'Cost_Components'!$A$2:$A$27,0)),"")</f>
      </c>
      <c r="AC287" s="83" t="str">
        <f>IFERROR(INDEX('Cost_Components'!$M$2:$M$27,MATCH(E287,'Cost_Components'!$A$2:$A$27,0)),"")</f>
      </c>
      <c r="AD287" s="84" t="str">
        <f>IFERROR(INDEX('Cost_Components'!$N$2:$N$27,MATCH(E287,'Cost_Components'!$A$2:$A$27,0)),"")</f>
      </c>
      <c r="AE287" s="20" t="str">
        <f>IFERROR(INDEX('Cost_Components'!$O$2:$O$27,MATCH(E287,'Cost_Components'!$A$2:$A$27,0)),"")</f>
      </c>
      <c r="AF287" s="85" t="n">
        <v>843416.405707981</v>
      </c>
      <c r="AG287" s="86" t="n">
        <v>802290.53275889</v>
      </c>
      <c r="AH287" s="87" t="str">
        <f>IF(H287="shared-count-once",COUNTIFS($A$2:$A$1353,A287,$B$2:$B$1353,B287,$E$2:$E$1353,E287),1)</f>
      </c>
    </row>
    <row r="288">
      <c r="A288" t="s">
        <v>200</v>
      </c>
      <c r="B288" s="59" t="n">
        <v>2025</v>
      </c>
      <c r="C288" t="s">
        <v>200</v>
      </c>
      <c r="D288" t="s">
        <v>180</v>
      </c>
      <c r="E288" s="60" t="s">
        <v>287</v>
      </c>
      <c r="F288" s="61" t="s">
        <v>288</v>
      </c>
      <c r="G288" s="62" t="s">
        <v>204</v>
      </c>
      <c r="H288" s="63" t="s">
        <v>195</v>
      </c>
      <c r="I288" s="64" t="s">
        <v>267</v>
      </c>
      <c r="J288" s="65" t="str">
        <f>IFERROR(INDEX('Cost_Components'!$K$2:$K$27,MATCH(E288,'Cost_Components'!$A$2:$A$27,0)),"")</f>
      </c>
      <c r="K288" s="66" t="str">
        <f>IF(OR(L288="",Z288="",AA288="",AB288=""),"",IF(B288&lt;AA288,L288,IF(B288&gt;AB288,Z288,L288+(Z288-L288)*MIN(MAX((B288-AA288+1)/MAX(AB288-AA288+1,1),0),1))))</f>
      </c>
      <c r="L288" s="67" t="str">
        <f>IFERROR(INDEX('Cost_Components'!$S$2:$S$27,MATCH(E288,'Cost_Components'!$A$2:$A$27,0)),"")</f>
      </c>
      <c r="M288" s="68" t="str">
        <f>IFERROR(INDEX('Cost_Components'!$L$2:$L$27,MATCH(E288,'Cost_Components'!$A$2:$A$27,0)),"")</f>
      </c>
      <c r="N288" s="69" t="str">
        <f>IFERROR(INDEX('Cost_Components'!$P$2:$P$27,MATCH(E288,'Cost_Components'!$A$2:$A$27,0)),"")</f>
      </c>
      <c r="O288" s="70" t="str">
        <f>AF288*J288</f>
      </c>
      <c r="P288" s="71" t="str">
        <f>AG288*J288</f>
      </c>
      <c r="Q288" s="72" t="str">
        <f>P288*L288*M288*N288</f>
      </c>
      <c r="R288" s="73" t="str">
        <f>O288*K288*M288*N288</f>
      </c>
      <c r="S288" s="74" t="str">
        <f>R288-Q288</f>
      </c>
      <c r="T288" s="20" t="str">
        <f>IFERROR(INDEX('Cost_Components'!$R$2:$R$27,MATCH(E288,'Cost_Components'!$A$2:$A$27,0)),"")</f>
      </c>
      <c r="U288" s="75" t="str">
        <f>IFERROR(INDEX('Cost_Components'!$Q$2:$Q$27,MATCH(E288,'Cost_Components'!$A$2:$A$27,0)),"")</f>
      </c>
      <c r="V288" s="76" t="str">
        <f>1/(1+'Calculation_Assumptions'!$B$5)^(B288-'Calculation_Assumptions'!$B$2)</f>
      </c>
      <c r="W288" s="77" t="str">
        <f>Q288*V288</f>
      </c>
      <c r="X288" s="78" t="str">
        <f>R288*V288</f>
      </c>
      <c r="Y288" s="79" t="str">
        <f>S288*V288</f>
      </c>
      <c r="Z288" s="80" t="str">
        <f>IFERROR(INDEX('Cost_Components'!$T$2:$T$27,MATCH(E288,'Cost_Components'!$A$2:$A$27,0)),"")</f>
      </c>
      <c r="AA288" s="81" t="str">
        <f>IFERROR(INDEX('Cost_Components'!$U$2:$U$27,MATCH(E288,'Cost_Components'!$A$2:$A$27,0)),"")</f>
      </c>
      <c r="AB288" s="82" t="str">
        <f>IFERROR(INDEX('Cost_Components'!$V$2:$V$27,MATCH(E288,'Cost_Components'!$A$2:$A$27,0)),"")</f>
      </c>
      <c r="AC288" s="83" t="str">
        <f>IFERROR(INDEX('Cost_Components'!$M$2:$M$27,MATCH(E288,'Cost_Components'!$A$2:$A$27,0)),"")</f>
      </c>
      <c r="AD288" s="84" t="str">
        <f>IFERROR(INDEX('Cost_Components'!$N$2:$N$27,MATCH(E288,'Cost_Components'!$A$2:$A$27,0)),"")</f>
      </c>
      <c r="AE288" s="20" t="str">
        <f>IFERROR(INDEX('Cost_Components'!$O$2:$O$27,MATCH(E288,'Cost_Components'!$A$2:$A$27,0)),"")</f>
      </c>
      <c r="AF288" s="85" t="n">
        <v>4938680.56669456</v>
      </c>
      <c r="AG288" s="86" t="n">
        <v>4938586.08395776</v>
      </c>
      <c r="AH288" s="87" t="str">
        <f>IF(H288="shared-count-once",COUNTIFS($A$2:$A$1353,A288,$B$2:$B$1353,B288,$E$2:$E$1353,E288),1)</f>
      </c>
    </row>
    <row r="289">
      <c r="A289" t="s">
        <v>200</v>
      </c>
      <c r="B289" s="59" t="n">
        <v>2026</v>
      </c>
      <c r="C289" t="s">
        <v>200</v>
      </c>
      <c r="D289" t="s">
        <v>180</v>
      </c>
      <c r="E289" s="60" t="s">
        <v>287</v>
      </c>
      <c r="F289" s="61" t="s">
        <v>288</v>
      </c>
      <c r="G289" s="62" t="s">
        <v>204</v>
      </c>
      <c r="H289" s="63" t="s">
        <v>195</v>
      </c>
      <c r="I289" s="64" t="s">
        <v>267</v>
      </c>
      <c r="J289" s="65" t="str">
        <f>IFERROR(INDEX('Cost_Components'!$K$2:$K$27,MATCH(E289,'Cost_Components'!$A$2:$A$27,0)),"")</f>
      </c>
      <c r="K289" s="66" t="str">
        <f>IF(OR(L289="",Z289="",AA289="",AB289=""),"",IF(B289&lt;AA289,L289,IF(B289&gt;AB289,Z289,L289+(Z289-L289)*MIN(MAX((B289-AA289+1)/MAX(AB289-AA289+1,1),0),1))))</f>
      </c>
      <c r="L289" s="67" t="str">
        <f>IFERROR(INDEX('Cost_Components'!$S$2:$S$27,MATCH(E289,'Cost_Components'!$A$2:$A$27,0)),"")</f>
      </c>
      <c r="M289" s="68" t="str">
        <f>IFERROR(INDEX('Cost_Components'!$L$2:$L$27,MATCH(E289,'Cost_Components'!$A$2:$A$27,0)),"")</f>
      </c>
      <c r="N289" s="69" t="str">
        <f>IFERROR(INDEX('Cost_Components'!$P$2:$P$27,MATCH(E289,'Cost_Components'!$A$2:$A$27,0)),"")</f>
      </c>
      <c r="O289" s="70" t="str">
        <f>AF289*J289</f>
      </c>
      <c r="P289" s="71" t="str">
        <f>AG289*J289</f>
      </c>
      <c r="Q289" s="72" t="str">
        <f>P289*L289*M289*N289</f>
      </c>
      <c r="R289" s="73" t="str">
        <f>O289*K289*M289*N289</f>
      </c>
      <c r="S289" s="74" t="str">
        <f>R289-Q289</f>
      </c>
      <c r="T289" s="20" t="str">
        <f>IFERROR(INDEX('Cost_Components'!$R$2:$R$27,MATCH(E289,'Cost_Components'!$A$2:$A$27,0)),"")</f>
      </c>
      <c r="U289" s="75" t="str">
        <f>IFERROR(INDEX('Cost_Components'!$Q$2:$Q$27,MATCH(E289,'Cost_Components'!$A$2:$A$27,0)),"")</f>
      </c>
      <c r="V289" s="76" t="str">
        <f>1/(1+'Calculation_Assumptions'!$B$5)^(B289-'Calculation_Assumptions'!$B$2)</f>
      </c>
      <c r="W289" s="77" t="str">
        <f>Q289*V289</f>
      </c>
      <c r="X289" s="78" t="str">
        <f>R289*V289</f>
      </c>
      <c r="Y289" s="79" t="str">
        <f>S289*V289</f>
      </c>
      <c r="Z289" s="80" t="str">
        <f>IFERROR(INDEX('Cost_Components'!$T$2:$T$27,MATCH(E289,'Cost_Components'!$A$2:$A$27,0)),"")</f>
      </c>
      <c r="AA289" s="81" t="str">
        <f>IFERROR(INDEX('Cost_Components'!$U$2:$U$27,MATCH(E289,'Cost_Components'!$A$2:$A$27,0)),"")</f>
      </c>
      <c r="AB289" s="82" t="str">
        <f>IFERROR(INDEX('Cost_Components'!$V$2:$V$27,MATCH(E289,'Cost_Components'!$A$2:$A$27,0)),"")</f>
      </c>
      <c r="AC289" s="83" t="str">
        <f>IFERROR(INDEX('Cost_Components'!$M$2:$M$27,MATCH(E289,'Cost_Components'!$A$2:$A$27,0)),"")</f>
      </c>
      <c r="AD289" s="84" t="str">
        <f>IFERROR(INDEX('Cost_Components'!$N$2:$N$27,MATCH(E289,'Cost_Components'!$A$2:$A$27,0)),"")</f>
      </c>
      <c r="AE289" s="20" t="str">
        <f>IFERROR(INDEX('Cost_Components'!$O$2:$O$27,MATCH(E289,'Cost_Components'!$A$2:$A$27,0)),"")</f>
      </c>
      <c r="AF289" s="85" t="n">
        <v>5060157.36924225</v>
      </c>
      <c r="AG289" s="86" t="n">
        <v>5059876.23903272</v>
      </c>
      <c r="AH289" s="87" t="str">
        <f>IF(H289="shared-count-once",COUNTIFS($A$2:$A$1353,A289,$B$2:$B$1353,B289,$E$2:$E$1353,E289),1)</f>
      </c>
    </row>
    <row r="290">
      <c r="A290" t="s">
        <v>200</v>
      </c>
      <c r="B290" s="59" t="n">
        <v>2027</v>
      </c>
      <c r="C290" t="s">
        <v>200</v>
      </c>
      <c r="D290" t="s">
        <v>180</v>
      </c>
      <c r="E290" s="60" t="s">
        <v>287</v>
      </c>
      <c r="F290" s="61" t="s">
        <v>288</v>
      </c>
      <c r="G290" s="62" t="s">
        <v>204</v>
      </c>
      <c r="H290" s="63" t="s">
        <v>195</v>
      </c>
      <c r="I290" s="64" t="s">
        <v>267</v>
      </c>
      <c r="J290" s="65" t="str">
        <f>IFERROR(INDEX('Cost_Components'!$K$2:$K$27,MATCH(E290,'Cost_Components'!$A$2:$A$27,0)),"")</f>
      </c>
      <c r="K290" s="66" t="str">
        <f>IF(OR(L290="",Z290="",AA290="",AB290=""),"",IF(B290&lt;AA290,L290,IF(B290&gt;AB290,Z290,L290+(Z290-L290)*MIN(MAX((B290-AA290+1)/MAX(AB290-AA290+1,1),0),1))))</f>
      </c>
      <c r="L290" s="67" t="str">
        <f>IFERROR(INDEX('Cost_Components'!$S$2:$S$27,MATCH(E290,'Cost_Components'!$A$2:$A$27,0)),"")</f>
      </c>
      <c r="M290" s="68" t="str">
        <f>IFERROR(INDEX('Cost_Components'!$L$2:$L$27,MATCH(E290,'Cost_Components'!$A$2:$A$27,0)),"")</f>
      </c>
      <c r="N290" s="69" t="str">
        <f>IFERROR(INDEX('Cost_Components'!$P$2:$P$27,MATCH(E290,'Cost_Components'!$A$2:$A$27,0)),"")</f>
      </c>
      <c r="O290" s="70" t="str">
        <f>AF290*J290</f>
      </c>
      <c r="P290" s="71" t="str">
        <f>AG290*J290</f>
      </c>
      <c r="Q290" s="72" t="str">
        <f>P290*L290*M290*N290</f>
      </c>
      <c r="R290" s="73" t="str">
        <f>O290*K290*M290*N290</f>
      </c>
      <c r="S290" s="74" t="str">
        <f>R290-Q290</f>
      </c>
      <c r="T290" s="20" t="str">
        <f>IFERROR(INDEX('Cost_Components'!$R$2:$R$27,MATCH(E290,'Cost_Components'!$A$2:$A$27,0)),"")</f>
      </c>
      <c r="U290" s="75" t="str">
        <f>IFERROR(INDEX('Cost_Components'!$Q$2:$Q$27,MATCH(E290,'Cost_Components'!$A$2:$A$27,0)),"")</f>
      </c>
      <c r="V290" s="76" t="str">
        <f>1/(1+'Calculation_Assumptions'!$B$5)^(B290-'Calculation_Assumptions'!$B$2)</f>
      </c>
      <c r="W290" s="77" t="str">
        <f>Q290*V290</f>
      </c>
      <c r="X290" s="78" t="str">
        <f>R290*V290</f>
      </c>
      <c r="Y290" s="79" t="str">
        <f>S290*V290</f>
      </c>
      <c r="Z290" s="80" t="str">
        <f>IFERROR(INDEX('Cost_Components'!$T$2:$T$27,MATCH(E290,'Cost_Components'!$A$2:$A$27,0)),"")</f>
      </c>
      <c r="AA290" s="81" t="str">
        <f>IFERROR(INDEX('Cost_Components'!$U$2:$U$27,MATCH(E290,'Cost_Components'!$A$2:$A$27,0)),"")</f>
      </c>
      <c r="AB290" s="82" t="str">
        <f>IFERROR(INDEX('Cost_Components'!$V$2:$V$27,MATCH(E290,'Cost_Components'!$A$2:$A$27,0)),"")</f>
      </c>
      <c r="AC290" s="83" t="str">
        <f>IFERROR(INDEX('Cost_Components'!$M$2:$M$27,MATCH(E290,'Cost_Components'!$A$2:$A$27,0)),"")</f>
      </c>
      <c r="AD290" s="84" t="str">
        <f>IFERROR(INDEX('Cost_Components'!$N$2:$N$27,MATCH(E290,'Cost_Components'!$A$2:$A$27,0)),"")</f>
      </c>
      <c r="AE290" s="20" t="str">
        <f>IFERROR(INDEX('Cost_Components'!$O$2:$O$27,MATCH(E290,'Cost_Components'!$A$2:$A$27,0)),"")</f>
      </c>
      <c r="AF290" s="85" t="n">
        <v>5178466.1165456</v>
      </c>
      <c r="AG290" s="86" t="n">
        <v>5177908.34578341</v>
      </c>
      <c r="AH290" s="87" t="str">
        <f>IF(H290="shared-count-once",COUNTIFS($A$2:$A$1353,A290,$B$2:$B$1353,B290,$E$2:$E$1353,E290),1)</f>
      </c>
    </row>
    <row r="291">
      <c r="A291" t="s">
        <v>200</v>
      </c>
      <c r="B291" s="59" t="n">
        <v>2028</v>
      </c>
      <c r="C291" t="s">
        <v>200</v>
      </c>
      <c r="D291" t="s">
        <v>180</v>
      </c>
      <c r="E291" s="60" t="s">
        <v>287</v>
      </c>
      <c r="F291" s="61" t="s">
        <v>288</v>
      </c>
      <c r="G291" s="62" t="s">
        <v>204</v>
      </c>
      <c r="H291" s="63" t="s">
        <v>195</v>
      </c>
      <c r="I291" s="64" t="s">
        <v>267</v>
      </c>
      <c r="J291" s="65" t="str">
        <f>IFERROR(INDEX('Cost_Components'!$K$2:$K$27,MATCH(E291,'Cost_Components'!$A$2:$A$27,0)),"")</f>
      </c>
      <c r="K291" s="66" t="str">
        <f>IF(OR(L291="",Z291="",AA291="",AB291=""),"",IF(B291&lt;AA291,L291,IF(B291&gt;AB291,Z291,L291+(Z291-L291)*MIN(MAX((B291-AA291+1)/MAX(AB291-AA291+1,1),0),1))))</f>
      </c>
      <c r="L291" s="67" t="str">
        <f>IFERROR(INDEX('Cost_Components'!$S$2:$S$27,MATCH(E291,'Cost_Components'!$A$2:$A$27,0)),"")</f>
      </c>
      <c r="M291" s="68" t="str">
        <f>IFERROR(INDEX('Cost_Components'!$L$2:$L$27,MATCH(E291,'Cost_Components'!$A$2:$A$27,0)),"")</f>
      </c>
      <c r="N291" s="69" t="str">
        <f>IFERROR(INDEX('Cost_Components'!$P$2:$P$27,MATCH(E291,'Cost_Components'!$A$2:$A$27,0)),"")</f>
      </c>
      <c r="O291" s="70" t="str">
        <f>AF291*J291</f>
      </c>
      <c r="P291" s="71" t="str">
        <f>AG291*J291</f>
      </c>
      <c r="Q291" s="72" t="str">
        <f>P291*L291*M291*N291</f>
      </c>
      <c r="R291" s="73" t="str">
        <f>O291*K291*M291*N291</f>
      </c>
      <c r="S291" s="74" t="str">
        <f>R291-Q291</f>
      </c>
      <c r="T291" s="20" t="str">
        <f>IFERROR(INDEX('Cost_Components'!$R$2:$R$27,MATCH(E291,'Cost_Components'!$A$2:$A$27,0)),"")</f>
      </c>
      <c r="U291" s="75" t="str">
        <f>IFERROR(INDEX('Cost_Components'!$Q$2:$Q$27,MATCH(E291,'Cost_Components'!$A$2:$A$27,0)),"")</f>
      </c>
      <c r="V291" s="76" t="str">
        <f>1/(1+'Calculation_Assumptions'!$B$5)^(B291-'Calculation_Assumptions'!$B$2)</f>
      </c>
      <c r="W291" s="77" t="str">
        <f>Q291*V291</f>
      </c>
      <c r="X291" s="78" t="str">
        <f>R291*V291</f>
      </c>
      <c r="Y291" s="79" t="str">
        <f>S291*V291</f>
      </c>
      <c r="Z291" s="80" t="str">
        <f>IFERROR(INDEX('Cost_Components'!$T$2:$T$27,MATCH(E291,'Cost_Components'!$A$2:$A$27,0)),"")</f>
      </c>
      <c r="AA291" s="81" t="str">
        <f>IFERROR(INDEX('Cost_Components'!$U$2:$U$27,MATCH(E291,'Cost_Components'!$A$2:$A$27,0)),"")</f>
      </c>
      <c r="AB291" s="82" t="str">
        <f>IFERROR(INDEX('Cost_Components'!$V$2:$V$27,MATCH(E291,'Cost_Components'!$A$2:$A$27,0)),"")</f>
      </c>
      <c r="AC291" s="83" t="str">
        <f>IFERROR(INDEX('Cost_Components'!$M$2:$M$27,MATCH(E291,'Cost_Components'!$A$2:$A$27,0)),"")</f>
      </c>
      <c r="AD291" s="84" t="str">
        <f>IFERROR(INDEX('Cost_Components'!$N$2:$N$27,MATCH(E291,'Cost_Components'!$A$2:$A$27,0)),"")</f>
      </c>
      <c r="AE291" s="20" t="str">
        <f>IFERROR(INDEX('Cost_Components'!$O$2:$O$27,MATCH(E291,'Cost_Components'!$A$2:$A$27,0)),"")</f>
      </c>
      <c r="AF291" s="85" t="n">
        <v>5293284.80233918</v>
      </c>
      <c r="AG291" s="86" t="n">
        <v>5292362.05081189</v>
      </c>
      <c r="AH291" s="87" t="str">
        <f>IF(H291="shared-count-once",COUNTIFS($A$2:$A$1353,A291,$B$2:$B$1353,B291,$E$2:$E$1353,E291),1)</f>
      </c>
    </row>
    <row r="292">
      <c r="A292" t="s">
        <v>200</v>
      </c>
      <c r="B292" s="59" t="n">
        <v>2029</v>
      </c>
      <c r="C292" t="s">
        <v>200</v>
      </c>
      <c r="D292" t="s">
        <v>180</v>
      </c>
      <c r="E292" s="60" t="s">
        <v>287</v>
      </c>
      <c r="F292" s="61" t="s">
        <v>288</v>
      </c>
      <c r="G292" s="62" t="s">
        <v>204</v>
      </c>
      <c r="H292" s="63" t="s">
        <v>195</v>
      </c>
      <c r="I292" s="64" t="s">
        <v>267</v>
      </c>
      <c r="J292" s="65" t="str">
        <f>IFERROR(INDEX('Cost_Components'!$K$2:$K$27,MATCH(E292,'Cost_Components'!$A$2:$A$27,0)),"")</f>
      </c>
      <c r="K292" s="66" t="str">
        <f>IF(OR(L292="",Z292="",AA292="",AB292=""),"",IF(B292&lt;AA292,L292,IF(B292&gt;AB292,Z292,L292+(Z292-L292)*MIN(MAX((B292-AA292+1)/MAX(AB292-AA292+1,1),0),1))))</f>
      </c>
      <c r="L292" s="67" t="str">
        <f>IFERROR(INDEX('Cost_Components'!$S$2:$S$27,MATCH(E292,'Cost_Components'!$A$2:$A$27,0)),"")</f>
      </c>
      <c r="M292" s="68" t="str">
        <f>IFERROR(INDEX('Cost_Components'!$L$2:$L$27,MATCH(E292,'Cost_Components'!$A$2:$A$27,0)),"")</f>
      </c>
      <c r="N292" s="69" t="str">
        <f>IFERROR(INDEX('Cost_Components'!$P$2:$P$27,MATCH(E292,'Cost_Components'!$A$2:$A$27,0)),"")</f>
      </c>
      <c r="O292" s="70" t="str">
        <f>AF292*J292</f>
      </c>
      <c r="P292" s="71" t="str">
        <f>AG292*J292</f>
      </c>
      <c r="Q292" s="72" t="str">
        <f>P292*L292*M292*N292</f>
      </c>
      <c r="R292" s="73" t="str">
        <f>O292*K292*M292*N292</f>
      </c>
      <c r="S292" s="74" t="str">
        <f>R292-Q292</f>
      </c>
      <c r="T292" s="20" t="str">
        <f>IFERROR(INDEX('Cost_Components'!$R$2:$R$27,MATCH(E292,'Cost_Components'!$A$2:$A$27,0)),"")</f>
      </c>
      <c r="U292" s="75" t="str">
        <f>IFERROR(INDEX('Cost_Components'!$Q$2:$Q$27,MATCH(E292,'Cost_Components'!$A$2:$A$27,0)),"")</f>
      </c>
      <c r="V292" s="76" t="str">
        <f>1/(1+'Calculation_Assumptions'!$B$5)^(B292-'Calculation_Assumptions'!$B$2)</f>
      </c>
      <c r="W292" s="77" t="str">
        <f>Q292*V292</f>
      </c>
      <c r="X292" s="78" t="str">
        <f>R292*V292</f>
      </c>
      <c r="Y292" s="79" t="str">
        <f>S292*V292</f>
      </c>
      <c r="Z292" s="80" t="str">
        <f>IFERROR(INDEX('Cost_Components'!$T$2:$T$27,MATCH(E292,'Cost_Components'!$A$2:$A$27,0)),"")</f>
      </c>
      <c r="AA292" s="81" t="str">
        <f>IFERROR(INDEX('Cost_Components'!$U$2:$U$27,MATCH(E292,'Cost_Components'!$A$2:$A$27,0)),"")</f>
      </c>
      <c r="AB292" s="82" t="str">
        <f>IFERROR(INDEX('Cost_Components'!$V$2:$V$27,MATCH(E292,'Cost_Components'!$A$2:$A$27,0)),"")</f>
      </c>
      <c r="AC292" s="83" t="str">
        <f>IFERROR(INDEX('Cost_Components'!$M$2:$M$27,MATCH(E292,'Cost_Components'!$A$2:$A$27,0)),"")</f>
      </c>
      <c r="AD292" s="84" t="str">
        <f>IFERROR(INDEX('Cost_Components'!$N$2:$N$27,MATCH(E292,'Cost_Components'!$A$2:$A$27,0)),"")</f>
      </c>
      <c r="AE292" s="20" t="str">
        <f>IFERROR(INDEX('Cost_Components'!$O$2:$O$27,MATCH(E292,'Cost_Components'!$A$2:$A$27,0)),"")</f>
      </c>
      <c r="AF292" s="85" t="n">
        <v>5409001.14000391</v>
      </c>
      <c r="AG292" s="86" t="n">
        <v>5407624.20226317</v>
      </c>
      <c r="AH292" s="87" t="str">
        <f>IF(H292="shared-count-once",COUNTIFS($A$2:$A$1353,A292,$B$2:$B$1353,B292,$E$2:$E$1353,E292),1)</f>
      </c>
    </row>
    <row r="293">
      <c r="A293" t="s">
        <v>200</v>
      </c>
      <c r="B293" s="59" t="n">
        <v>2030</v>
      </c>
      <c r="C293" t="s">
        <v>200</v>
      </c>
      <c r="D293" t="s">
        <v>180</v>
      </c>
      <c r="E293" s="60" t="s">
        <v>287</v>
      </c>
      <c r="F293" s="61" t="s">
        <v>288</v>
      </c>
      <c r="G293" s="62" t="s">
        <v>204</v>
      </c>
      <c r="H293" s="63" t="s">
        <v>195</v>
      </c>
      <c r="I293" s="64" t="s">
        <v>267</v>
      </c>
      <c r="J293" s="65" t="str">
        <f>IFERROR(INDEX('Cost_Components'!$K$2:$K$27,MATCH(E293,'Cost_Components'!$A$2:$A$27,0)),"")</f>
      </c>
      <c r="K293" s="66" t="str">
        <f>IF(OR(L293="",Z293="",AA293="",AB293=""),"",IF(B293&lt;AA293,L293,IF(B293&gt;AB293,Z293,L293+(Z293-L293)*MIN(MAX((B293-AA293+1)/MAX(AB293-AA293+1,1),0),1))))</f>
      </c>
      <c r="L293" s="67" t="str">
        <f>IFERROR(INDEX('Cost_Components'!$S$2:$S$27,MATCH(E293,'Cost_Components'!$A$2:$A$27,0)),"")</f>
      </c>
      <c r="M293" s="68" t="str">
        <f>IFERROR(INDEX('Cost_Components'!$L$2:$L$27,MATCH(E293,'Cost_Components'!$A$2:$A$27,0)),"")</f>
      </c>
      <c r="N293" s="69" t="str">
        <f>IFERROR(INDEX('Cost_Components'!$P$2:$P$27,MATCH(E293,'Cost_Components'!$A$2:$A$27,0)),"")</f>
      </c>
      <c r="O293" s="70" t="str">
        <f>AF293*J293</f>
      </c>
      <c r="P293" s="71" t="str">
        <f>AG293*J293</f>
      </c>
      <c r="Q293" s="72" t="str">
        <f>P293*L293*M293*N293</f>
      </c>
      <c r="R293" s="73" t="str">
        <f>O293*K293*M293*N293</f>
      </c>
      <c r="S293" s="74" t="str">
        <f>R293-Q293</f>
      </c>
      <c r="T293" s="20" t="str">
        <f>IFERROR(INDEX('Cost_Components'!$R$2:$R$27,MATCH(E293,'Cost_Components'!$A$2:$A$27,0)),"")</f>
      </c>
      <c r="U293" s="75" t="str">
        <f>IFERROR(INDEX('Cost_Components'!$Q$2:$Q$27,MATCH(E293,'Cost_Components'!$A$2:$A$27,0)),"")</f>
      </c>
      <c r="V293" s="76" t="str">
        <f>1/(1+'Calculation_Assumptions'!$B$5)^(B293-'Calculation_Assumptions'!$B$2)</f>
      </c>
      <c r="W293" s="77" t="str">
        <f>Q293*V293</f>
      </c>
      <c r="X293" s="78" t="str">
        <f>R293*V293</f>
      </c>
      <c r="Y293" s="79" t="str">
        <f>S293*V293</f>
      </c>
      <c r="Z293" s="80" t="str">
        <f>IFERROR(INDEX('Cost_Components'!$T$2:$T$27,MATCH(E293,'Cost_Components'!$A$2:$A$27,0)),"")</f>
      </c>
      <c r="AA293" s="81" t="str">
        <f>IFERROR(INDEX('Cost_Components'!$U$2:$U$27,MATCH(E293,'Cost_Components'!$A$2:$A$27,0)),"")</f>
      </c>
      <c r="AB293" s="82" t="str">
        <f>IFERROR(INDEX('Cost_Components'!$V$2:$V$27,MATCH(E293,'Cost_Components'!$A$2:$A$27,0)),"")</f>
      </c>
      <c r="AC293" s="83" t="str">
        <f>IFERROR(INDEX('Cost_Components'!$M$2:$M$27,MATCH(E293,'Cost_Components'!$A$2:$A$27,0)),"")</f>
      </c>
      <c r="AD293" s="84" t="str">
        <f>IFERROR(INDEX('Cost_Components'!$N$2:$N$27,MATCH(E293,'Cost_Components'!$A$2:$A$27,0)),"")</f>
      </c>
      <c r="AE293" s="20" t="str">
        <f>IFERROR(INDEX('Cost_Components'!$O$2:$O$27,MATCH(E293,'Cost_Components'!$A$2:$A$27,0)),"")</f>
      </c>
      <c r="AF293" s="85" t="n">
        <v>5523759.76449367</v>
      </c>
      <c r="AG293" s="86" t="n">
        <v>5521846.50884352</v>
      </c>
      <c r="AH293" s="87" t="str">
        <f>IF(H293="shared-count-once",COUNTIFS($A$2:$A$1353,A293,$B$2:$B$1353,B293,$E$2:$E$1353,E293),1)</f>
      </c>
    </row>
    <row r="294">
      <c r="A294" t="s">
        <v>200</v>
      </c>
      <c r="B294" s="59" t="n">
        <v>2031</v>
      </c>
      <c r="C294" t="s">
        <v>200</v>
      </c>
      <c r="D294" t="s">
        <v>180</v>
      </c>
      <c r="E294" s="60" t="s">
        <v>287</v>
      </c>
      <c r="F294" s="61" t="s">
        <v>288</v>
      </c>
      <c r="G294" s="62" t="s">
        <v>204</v>
      </c>
      <c r="H294" s="63" t="s">
        <v>195</v>
      </c>
      <c r="I294" s="64" t="s">
        <v>267</v>
      </c>
      <c r="J294" s="65" t="str">
        <f>IFERROR(INDEX('Cost_Components'!$K$2:$K$27,MATCH(E294,'Cost_Components'!$A$2:$A$27,0)),"")</f>
      </c>
      <c r="K294" s="66" t="str">
        <f>IF(OR(L294="",Z294="",AA294="",AB294=""),"",IF(B294&lt;AA294,L294,IF(B294&gt;AB294,Z294,L294+(Z294-L294)*MIN(MAX((B294-AA294+1)/MAX(AB294-AA294+1,1),0),1))))</f>
      </c>
      <c r="L294" s="67" t="str">
        <f>IFERROR(INDEX('Cost_Components'!$S$2:$S$27,MATCH(E294,'Cost_Components'!$A$2:$A$27,0)),"")</f>
      </c>
      <c r="M294" s="68" t="str">
        <f>IFERROR(INDEX('Cost_Components'!$L$2:$L$27,MATCH(E294,'Cost_Components'!$A$2:$A$27,0)),"")</f>
      </c>
      <c r="N294" s="69" t="str">
        <f>IFERROR(INDEX('Cost_Components'!$P$2:$P$27,MATCH(E294,'Cost_Components'!$A$2:$A$27,0)),"")</f>
      </c>
      <c r="O294" s="70" t="str">
        <f>AF294*J294</f>
      </c>
      <c r="P294" s="71" t="str">
        <f>AG294*J294</f>
      </c>
      <c r="Q294" s="72" t="str">
        <f>P294*L294*M294*N294</f>
      </c>
      <c r="R294" s="73" t="str">
        <f>O294*K294*M294*N294</f>
      </c>
      <c r="S294" s="74" t="str">
        <f>R294-Q294</f>
      </c>
      <c r="T294" s="20" t="str">
        <f>IFERROR(INDEX('Cost_Components'!$R$2:$R$27,MATCH(E294,'Cost_Components'!$A$2:$A$27,0)),"")</f>
      </c>
      <c r="U294" s="75" t="str">
        <f>IFERROR(INDEX('Cost_Components'!$Q$2:$Q$27,MATCH(E294,'Cost_Components'!$A$2:$A$27,0)),"")</f>
      </c>
      <c r="V294" s="76" t="str">
        <f>1/(1+'Calculation_Assumptions'!$B$5)^(B294-'Calculation_Assumptions'!$B$2)</f>
      </c>
      <c r="W294" s="77" t="str">
        <f>Q294*V294</f>
      </c>
      <c r="X294" s="78" t="str">
        <f>R294*V294</f>
      </c>
      <c r="Y294" s="79" t="str">
        <f>S294*V294</f>
      </c>
      <c r="Z294" s="80" t="str">
        <f>IFERROR(INDEX('Cost_Components'!$T$2:$T$27,MATCH(E294,'Cost_Components'!$A$2:$A$27,0)),"")</f>
      </c>
      <c r="AA294" s="81" t="str">
        <f>IFERROR(INDEX('Cost_Components'!$U$2:$U$27,MATCH(E294,'Cost_Components'!$A$2:$A$27,0)),"")</f>
      </c>
      <c r="AB294" s="82" t="str">
        <f>IFERROR(INDEX('Cost_Components'!$V$2:$V$27,MATCH(E294,'Cost_Components'!$A$2:$A$27,0)),"")</f>
      </c>
      <c r="AC294" s="83" t="str">
        <f>IFERROR(INDEX('Cost_Components'!$M$2:$M$27,MATCH(E294,'Cost_Components'!$A$2:$A$27,0)),"")</f>
      </c>
      <c r="AD294" s="84" t="str">
        <f>IFERROR(INDEX('Cost_Components'!$N$2:$N$27,MATCH(E294,'Cost_Components'!$A$2:$A$27,0)),"")</f>
      </c>
      <c r="AE294" s="20" t="str">
        <f>IFERROR(INDEX('Cost_Components'!$O$2:$O$27,MATCH(E294,'Cost_Components'!$A$2:$A$27,0)),"")</f>
      </c>
      <c r="AF294" s="85" t="n">
        <v>5638422.43444246</v>
      </c>
      <c r="AG294" s="86" t="n">
        <v>5635894.28157856</v>
      </c>
      <c r="AH294" s="87" t="str">
        <f>IF(H294="shared-count-once",COUNTIFS($A$2:$A$1353,A294,$B$2:$B$1353,B294,$E$2:$E$1353,E294),1)</f>
      </c>
    </row>
    <row r="295">
      <c r="A295" t="s">
        <v>200</v>
      </c>
      <c r="B295" s="59" t="n">
        <v>2032</v>
      </c>
      <c r="C295" t="s">
        <v>200</v>
      </c>
      <c r="D295" t="s">
        <v>180</v>
      </c>
      <c r="E295" s="60" t="s">
        <v>287</v>
      </c>
      <c r="F295" s="61" t="s">
        <v>288</v>
      </c>
      <c r="G295" s="62" t="s">
        <v>204</v>
      </c>
      <c r="H295" s="63" t="s">
        <v>195</v>
      </c>
      <c r="I295" s="64" t="s">
        <v>267</v>
      </c>
      <c r="J295" s="65" t="str">
        <f>IFERROR(INDEX('Cost_Components'!$K$2:$K$27,MATCH(E295,'Cost_Components'!$A$2:$A$27,0)),"")</f>
      </c>
      <c r="K295" s="66" t="str">
        <f>IF(OR(L295="",Z295="",AA295="",AB295=""),"",IF(B295&lt;AA295,L295,IF(B295&gt;AB295,Z295,L295+(Z295-L295)*MIN(MAX((B295-AA295+1)/MAX(AB295-AA295+1,1),0),1))))</f>
      </c>
      <c r="L295" s="67" t="str">
        <f>IFERROR(INDEX('Cost_Components'!$S$2:$S$27,MATCH(E295,'Cost_Components'!$A$2:$A$27,0)),"")</f>
      </c>
      <c r="M295" s="68" t="str">
        <f>IFERROR(INDEX('Cost_Components'!$L$2:$L$27,MATCH(E295,'Cost_Components'!$A$2:$A$27,0)),"")</f>
      </c>
      <c r="N295" s="69" t="str">
        <f>IFERROR(INDEX('Cost_Components'!$P$2:$P$27,MATCH(E295,'Cost_Components'!$A$2:$A$27,0)),"")</f>
      </c>
      <c r="O295" s="70" t="str">
        <f>AF295*J295</f>
      </c>
      <c r="P295" s="71" t="str">
        <f>AG295*J295</f>
      </c>
      <c r="Q295" s="72" t="str">
        <f>P295*L295*M295*N295</f>
      </c>
      <c r="R295" s="73" t="str">
        <f>O295*K295*M295*N295</f>
      </c>
      <c r="S295" s="74" t="str">
        <f>R295-Q295</f>
      </c>
      <c r="T295" s="20" t="str">
        <f>IFERROR(INDEX('Cost_Components'!$R$2:$R$27,MATCH(E295,'Cost_Components'!$A$2:$A$27,0)),"")</f>
      </c>
      <c r="U295" s="75" t="str">
        <f>IFERROR(INDEX('Cost_Components'!$Q$2:$Q$27,MATCH(E295,'Cost_Components'!$A$2:$A$27,0)),"")</f>
      </c>
      <c r="V295" s="76" t="str">
        <f>1/(1+'Calculation_Assumptions'!$B$5)^(B295-'Calculation_Assumptions'!$B$2)</f>
      </c>
      <c r="W295" s="77" t="str">
        <f>Q295*V295</f>
      </c>
      <c r="X295" s="78" t="str">
        <f>R295*V295</f>
      </c>
      <c r="Y295" s="79" t="str">
        <f>S295*V295</f>
      </c>
      <c r="Z295" s="80" t="str">
        <f>IFERROR(INDEX('Cost_Components'!$T$2:$T$27,MATCH(E295,'Cost_Components'!$A$2:$A$27,0)),"")</f>
      </c>
      <c r="AA295" s="81" t="str">
        <f>IFERROR(INDEX('Cost_Components'!$U$2:$U$27,MATCH(E295,'Cost_Components'!$A$2:$A$27,0)),"")</f>
      </c>
      <c r="AB295" s="82" t="str">
        <f>IFERROR(INDEX('Cost_Components'!$V$2:$V$27,MATCH(E295,'Cost_Components'!$A$2:$A$27,0)),"")</f>
      </c>
      <c r="AC295" s="83" t="str">
        <f>IFERROR(INDEX('Cost_Components'!$M$2:$M$27,MATCH(E295,'Cost_Components'!$A$2:$A$27,0)),"")</f>
      </c>
      <c r="AD295" s="84" t="str">
        <f>IFERROR(INDEX('Cost_Components'!$N$2:$N$27,MATCH(E295,'Cost_Components'!$A$2:$A$27,0)),"")</f>
      </c>
      <c r="AE295" s="20" t="str">
        <f>IFERROR(INDEX('Cost_Components'!$O$2:$O$27,MATCH(E295,'Cost_Components'!$A$2:$A$27,0)),"")</f>
      </c>
      <c r="AF295" s="85" t="n">
        <v>5752980.43110527</v>
      </c>
      <c r="AG295" s="86" t="n">
        <v>5749760.92998007</v>
      </c>
      <c r="AH295" s="87" t="str">
        <f>IF(H295="shared-count-once",COUNTIFS($A$2:$A$1353,A295,$B$2:$B$1353,B295,$E$2:$E$1353,E295),1)</f>
      </c>
    </row>
    <row r="296">
      <c r="A296" t="s">
        <v>200</v>
      </c>
      <c r="B296" s="59" t="n">
        <v>2033</v>
      </c>
      <c r="C296" t="s">
        <v>200</v>
      </c>
      <c r="D296" t="s">
        <v>180</v>
      </c>
      <c r="E296" s="60" t="s">
        <v>287</v>
      </c>
      <c r="F296" s="61" t="s">
        <v>288</v>
      </c>
      <c r="G296" s="62" t="s">
        <v>204</v>
      </c>
      <c r="H296" s="63" t="s">
        <v>195</v>
      </c>
      <c r="I296" s="64" t="s">
        <v>267</v>
      </c>
      <c r="J296" s="65" t="str">
        <f>IFERROR(INDEX('Cost_Components'!$K$2:$K$27,MATCH(E296,'Cost_Components'!$A$2:$A$27,0)),"")</f>
      </c>
      <c r="K296" s="66" t="str">
        <f>IF(OR(L296="",Z296="",AA296="",AB296=""),"",IF(B296&lt;AA296,L296,IF(B296&gt;AB296,Z296,L296+(Z296-L296)*MIN(MAX((B296-AA296+1)/MAX(AB296-AA296+1,1),0),1))))</f>
      </c>
      <c r="L296" s="67" t="str">
        <f>IFERROR(INDEX('Cost_Components'!$S$2:$S$27,MATCH(E296,'Cost_Components'!$A$2:$A$27,0)),"")</f>
      </c>
      <c r="M296" s="68" t="str">
        <f>IFERROR(INDEX('Cost_Components'!$L$2:$L$27,MATCH(E296,'Cost_Components'!$A$2:$A$27,0)),"")</f>
      </c>
      <c r="N296" s="69" t="str">
        <f>IFERROR(INDEX('Cost_Components'!$P$2:$P$27,MATCH(E296,'Cost_Components'!$A$2:$A$27,0)),"")</f>
      </c>
      <c r="O296" s="70" t="str">
        <f>AF296*J296</f>
      </c>
      <c r="P296" s="71" t="str">
        <f>AG296*J296</f>
      </c>
      <c r="Q296" s="72" t="str">
        <f>P296*L296*M296*N296</f>
      </c>
      <c r="R296" s="73" t="str">
        <f>O296*K296*M296*N296</f>
      </c>
      <c r="S296" s="74" t="str">
        <f>R296-Q296</f>
      </c>
      <c r="T296" s="20" t="str">
        <f>IFERROR(INDEX('Cost_Components'!$R$2:$R$27,MATCH(E296,'Cost_Components'!$A$2:$A$27,0)),"")</f>
      </c>
      <c r="U296" s="75" t="str">
        <f>IFERROR(INDEX('Cost_Components'!$Q$2:$Q$27,MATCH(E296,'Cost_Components'!$A$2:$A$27,0)),"")</f>
      </c>
      <c r="V296" s="76" t="str">
        <f>1/(1+'Calculation_Assumptions'!$B$5)^(B296-'Calculation_Assumptions'!$B$2)</f>
      </c>
      <c r="W296" s="77" t="str">
        <f>Q296*V296</f>
      </c>
      <c r="X296" s="78" t="str">
        <f>R296*V296</f>
      </c>
      <c r="Y296" s="79" t="str">
        <f>S296*V296</f>
      </c>
      <c r="Z296" s="80" t="str">
        <f>IFERROR(INDEX('Cost_Components'!$T$2:$T$27,MATCH(E296,'Cost_Components'!$A$2:$A$27,0)),"")</f>
      </c>
      <c r="AA296" s="81" t="str">
        <f>IFERROR(INDEX('Cost_Components'!$U$2:$U$27,MATCH(E296,'Cost_Components'!$A$2:$A$27,0)),"")</f>
      </c>
      <c r="AB296" s="82" t="str">
        <f>IFERROR(INDEX('Cost_Components'!$V$2:$V$27,MATCH(E296,'Cost_Components'!$A$2:$A$27,0)),"")</f>
      </c>
      <c r="AC296" s="83" t="str">
        <f>IFERROR(INDEX('Cost_Components'!$M$2:$M$27,MATCH(E296,'Cost_Components'!$A$2:$A$27,0)),"")</f>
      </c>
      <c r="AD296" s="84" t="str">
        <f>IFERROR(INDEX('Cost_Components'!$N$2:$N$27,MATCH(E296,'Cost_Components'!$A$2:$A$27,0)),"")</f>
      </c>
      <c r="AE296" s="20" t="str">
        <f>IFERROR(INDEX('Cost_Components'!$O$2:$O$27,MATCH(E296,'Cost_Components'!$A$2:$A$27,0)),"")</f>
      </c>
      <c r="AF296" s="85" t="n">
        <v>5868130.71756892</v>
      </c>
      <c r="AG296" s="86" t="n">
        <v>5864146.54515379</v>
      </c>
      <c r="AH296" s="87" t="str">
        <f>IF(H296="shared-count-once",COUNTIFS($A$2:$A$1353,A296,$B$2:$B$1353,B296,$E$2:$E$1353,E296),1)</f>
      </c>
    </row>
    <row r="297">
      <c r="A297" t="s">
        <v>200</v>
      </c>
      <c r="B297" s="59" t="n">
        <v>2034</v>
      </c>
      <c r="C297" t="s">
        <v>200</v>
      </c>
      <c r="D297" t="s">
        <v>180</v>
      </c>
      <c r="E297" s="60" t="s">
        <v>287</v>
      </c>
      <c r="F297" s="61" t="s">
        <v>288</v>
      </c>
      <c r="G297" s="62" t="s">
        <v>204</v>
      </c>
      <c r="H297" s="63" t="s">
        <v>195</v>
      </c>
      <c r="I297" s="64" t="s">
        <v>267</v>
      </c>
      <c r="J297" s="65" t="str">
        <f>IFERROR(INDEX('Cost_Components'!$K$2:$K$27,MATCH(E297,'Cost_Components'!$A$2:$A$27,0)),"")</f>
      </c>
      <c r="K297" s="66" t="str">
        <f>IF(OR(L297="",Z297="",AA297="",AB297=""),"",IF(B297&lt;AA297,L297,IF(B297&gt;AB297,Z297,L297+(Z297-L297)*MIN(MAX((B297-AA297+1)/MAX(AB297-AA297+1,1),0),1))))</f>
      </c>
      <c r="L297" s="67" t="str">
        <f>IFERROR(INDEX('Cost_Components'!$S$2:$S$27,MATCH(E297,'Cost_Components'!$A$2:$A$27,0)),"")</f>
      </c>
      <c r="M297" s="68" t="str">
        <f>IFERROR(INDEX('Cost_Components'!$L$2:$L$27,MATCH(E297,'Cost_Components'!$A$2:$A$27,0)),"")</f>
      </c>
      <c r="N297" s="69" t="str">
        <f>IFERROR(INDEX('Cost_Components'!$P$2:$P$27,MATCH(E297,'Cost_Components'!$A$2:$A$27,0)),"")</f>
      </c>
      <c r="O297" s="70" t="str">
        <f>AF297*J297</f>
      </c>
      <c r="P297" s="71" t="str">
        <f>AG297*J297</f>
      </c>
      <c r="Q297" s="72" t="str">
        <f>P297*L297*M297*N297</f>
      </c>
      <c r="R297" s="73" t="str">
        <f>O297*K297*M297*N297</f>
      </c>
      <c r="S297" s="74" t="str">
        <f>R297-Q297</f>
      </c>
      <c r="T297" s="20" t="str">
        <f>IFERROR(INDEX('Cost_Components'!$R$2:$R$27,MATCH(E297,'Cost_Components'!$A$2:$A$27,0)),"")</f>
      </c>
      <c r="U297" s="75" t="str">
        <f>IFERROR(INDEX('Cost_Components'!$Q$2:$Q$27,MATCH(E297,'Cost_Components'!$A$2:$A$27,0)),"")</f>
      </c>
      <c r="V297" s="76" t="str">
        <f>1/(1+'Calculation_Assumptions'!$B$5)^(B297-'Calculation_Assumptions'!$B$2)</f>
      </c>
      <c r="W297" s="77" t="str">
        <f>Q297*V297</f>
      </c>
      <c r="X297" s="78" t="str">
        <f>R297*V297</f>
      </c>
      <c r="Y297" s="79" t="str">
        <f>S297*V297</f>
      </c>
      <c r="Z297" s="80" t="str">
        <f>IFERROR(INDEX('Cost_Components'!$T$2:$T$27,MATCH(E297,'Cost_Components'!$A$2:$A$27,0)),"")</f>
      </c>
      <c r="AA297" s="81" t="str">
        <f>IFERROR(INDEX('Cost_Components'!$U$2:$U$27,MATCH(E297,'Cost_Components'!$A$2:$A$27,0)),"")</f>
      </c>
      <c r="AB297" s="82" t="str">
        <f>IFERROR(INDEX('Cost_Components'!$V$2:$V$27,MATCH(E297,'Cost_Components'!$A$2:$A$27,0)),"")</f>
      </c>
      <c r="AC297" s="83" t="str">
        <f>IFERROR(INDEX('Cost_Components'!$M$2:$M$27,MATCH(E297,'Cost_Components'!$A$2:$A$27,0)),"")</f>
      </c>
      <c r="AD297" s="84" t="str">
        <f>IFERROR(INDEX('Cost_Components'!$N$2:$N$27,MATCH(E297,'Cost_Components'!$A$2:$A$27,0)),"")</f>
      </c>
      <c r="AE297" s="20" t="str">
        <f>IFERROR(INDEX('Cost_Components'!$O$2:$O$27,MATCH(E297,'Cost_Components'!$A$2:$A$27,0)),"")</f>
      </c>
      <c r="AF297" s="85" t="n">
        <v>5984655.34330555</v>
      </c>
      <c r="AG297" s="86" t="n">
        <v>5979832.51047759</v>
      </c>
      <c r="AH297" s="87" t="str">
        <f>IF(H297="shared-count-once",COUNTIFS($A$2:$A$1353,A297,$B$2:$B$1353,B297,$E$2:$E$1353,E297),1)</f>
      </c>
    </row>
    <row r="298">
      <c r="A298" t="s">
        <v>200</v>
      </c>
      <c r="B298" s="59" t="n">
        <v>2035</v>
      </c>
      <c r="C298" t="s">
        <v>200</v>
      </c>
      <c r="D298" t="s">
        <v>180</v>
      </c>
      <c r="E298" s="60" t="s">
        <v>287</v>
      </c>
      <c r="F298" s="61" t="s">
        <v>288</v>
      </c>
      <c r="G298" s="62" t="s">
        <v>204</v>
      </c>
      <c r="H298" s="63" t="s">
        <v>195</v>
      </c>
      <c r="I298" s="64" t="s">
        <v>267</v>
      </c>
      <c r="J298" s="65" t="str">
        <f>IFERROR(INDEX('Cost_Components'!$K$2:$K$27,MATCH(E298,'Cost_Components'!$A$2:$A$27,0)),"")</f>
      </c>
      <c r="K298" s="66" t="str">
        <f>IF(OR(L298="",Z298="",AA298="",AB298=""),"",IF(B298&lt;AA298,L298,IF(B298&gt;AB298,Z298,L298+(Z298-L298)*MIN(MAX((B298-AA298+1)/MAX(AB298-AA298+1,1),0),1))))</f>
      </c>
      <c r="L298" s="67" t="str">
        <f>IFERROR(INDEX('Cost_Components'!$S$2:$S$27,MATCH(E298,'Cost_Components'!$A$2:$A$27,0)),"")</f>
      </c>
      <c r="M298" s="68" t="str">
        <f>IFERROR(INDEX('Cost_Components'!$L$2:$L$27,MATCH(E298,'Cost_Components'!$A$2:$A$27,0)),"")</f>
      </c>
      <c r="N298" s="69" t="str">
        <f>IFERROR(INDEX('Cost_Components'!$P$2:$P$27,MATCH(E298,'Cost_Components'!$A$2:$A$27,0)),"")</f>
      </c>
      <c r="O298" s="70" t="str">
        <f>AF298*J298</f>
      </c>
      <c r="P298" s="71" t="str">
        <f>AG298*J298</f>
      </c>
      <c r="Q298" s="72" t="str">
        <f>P298*L298*M298*N298</f>
      </c>
      <c r="R298" s="73" t="str">
        <f>O298*K298*M298*N298</f>
      </c>
      <c r="S298" s="74" t="str">
        <f>R298-Q298</f>
      </c>
      <c r="T298" s="20" t="str">
        <f>IFERROR(INDEX('Cost_Components'!$R$2:$R$27,MATCH(E298,'Cost_Components'!$A$2:$A$27,0)),"")</f>
      </c>
      <c r="U298" s="75" t="str">
        <f>IFERROR(INDEX('Cost_Components'!$Q$2:$Q$27,MATCH(E298,'Cost_Components'!$A$2:$A$27,0)),"")</f>
      </c>
      <c r="V298" s="76" t="str">
        <f>1/(1+'Calculation_Assumptions'!$B$5)^(B298-'Calculation_Assumptions'!$B$2)</f>
      </c>
      <c r="W298" s="77" t="str">
        <f>Q298*V298</f>
      </c>
      <c r="X298" s="78" t="str">
        <f>R298*V298</f>
      </c>
      <c r="Y298" s="79" t="str">
        <f>S298*V298</f>
      </c>
      <c r="Z298" s="80" t="str">
        <f>IFERROR(INDEX('Cost_Components'!$T$2:$T$27,MATCH(E298,'Cost_Components'!$A$2:$A$27,0)),"")</f>
      </c>
      <c r="AA298" s="81" t="str">
        <f>IFERROR(INDEX('Cost_Components'!$U$2:$U$27,MATCH(E298,'Cost_Components'!$A$2:$A$27,0)),"")</f>
      </c>
      <c r="AB298" s="82" t="str">
        <f>IFERROR(INDEX('Cost_Components'!$V$2:$V$27,MATCH(E298,'Cost_Components'!$A$2:$A$27,0)),"")</f>
      </c>
      <c r="AC298" s="83" t="str">
        <f>IFERROR(INDEX('Cost_Components'!$M$2:$M$27,MATCH(E298,'Cost_Components'!$A$2:$A$27,0)),"")</f>
      </c>
      <c r="AD298" s="84" t="str">
        <f>IFERROR(INDEX('Cost_Components'!$N$2:$N$27,MATCH(E298,'Cost_Components'!$A$2:$A$27,0)),"")</f>
      </c>
      <c r="AE298" s="20" t="str">
        <f>IFERROR(INDEX('Cost_Components'!$O$2:$O$27,MATCH(E298,'Cost_Components'!$A$2:$A$27,0)),"")</f>
      </c>
      <c r="AF298" s="85" t="n">
        <v>6101888.5274542</v>
      </c>
      <c r="AG298" s="86" t="n">
        <v>6096161.90235007</v>
      </c>
      <c r="AH298" s="87" t="str">
        <f>IF(H298="shared-count-once",COUNTIFS($A$2:$A$1353,A298,$B$2:$B$1353,B298,$E$2:$E$1353,E298),1)</f>
      </c>
    </row>
    <row r="299">
      <c r="A299" t="s">
        <v>200</v>
      </c>
      <c r="B299" s="59" t="n">
        <v>2036</v>
      </c>
      <c r="C299" t="s">
        <v>200</v>
      </c>
      <c r="D299" t="s">
        <v>180</v>
      </c>
      <c r="E299" s="60" t="s">
        <v>287</v>
      </c>
      <c r="F299" s="61" t="s">
        <v>288</v>
      </c>
      <c r="G299" s="62" t="s">
        <v>204</v>
      </c>
      <c r="H299" s="63" t="s">
        <v>195</v>
      </c>
      <c r="I299" s="64" t="s">
        <v>267</v>
      </c>
      <c r="J299" s="65" t="str">
        <f>IFERROR(INDEX('Cost_Components'!$K$2:$K$27,MATCH(E299,'Cost_Components'!$A$2:$A$27,0)),"")</f>
      </c>
      <c r="K299" s="66" t="str">
        <f>IF(OR(L299="",Z299="",AA299="",AB299=""),"",IF(B299&lt;AA299,L299,IF(B299&gt;AB299,Z299,L299+(Z299-L299)*MIN(MAX((B299-AA299+1)/MAX(AB299-AA299+1,1),0),1))))</f>
      </c>
      <c r="L299" s="67" t="str">
        <f>IFERROR(INDEX('Cost_Components'!$S$2:$S$27,MATCH(E299,'Cost_Components'!$A$2:$A$27,0)),"")</f>
      </c>
      <c r="M299" s="68" t="str">
        <f>IFERROR(INDEX('Cost_Components'!$L$2:$L$27,MATCH(E299,'Cost_Components'!$A$2:$A$27,0)),"")</f>
      </c>
      <c r="N299" s="69" t="str">
        <f>IFERROR(INDEX('Cost_Components'!$P$2:$P$27,MATCH(E299,'Cost_Components'!$A$2:$A$27,0)),"")</f>
      </c>
      <c r="O299" s="70" t="str">
        <f>AF299*J299</f>
      </c>
      <c r="P299" s="71" t="str">
        <f>AG299*J299</f>
      </c>
      <c r="Q299" s="72" t="str">
        <f>P299*L299*M299*N299</f>
      </c>
      <c r="R299" s="73" t="str">
        <f>O299*K299*M299*N299</f>
      </c>
      <c r="S299" s="74" t="str">
        <f>R299-Q299</f>
      </c>
      <c r="T299" s="20" t="str">
        <f>IFERROR(INDEX('Cost_Components'!$R$2:$R$27,MATCH(E299,'Cost_Components'!$A$2:$A$27,0)),"")</f>
      </c>
      <c r="U299" s="75" t="str">
        <f>IFERROR(INDEX('Cost_Components'!$Q$2:$Q$27,MATCH(E299,'Cost_Components'!$A$2:$A$27,0)),"")</f>
      </c>
      <c r="V299" s="76" t="str">
        <f>1/(1+'Calculation_Assumptions'!$B$5)^(B299-'Calculation_Assumptions'!$B$2)</f>
      </c>
      <c r="W299" s="77" t="str">
        <f>Q299*V299</f>
      </c>
      <c r="X299" s="78" t="str">
        <f>R299*V299</f>
      </c>
      <c r="Y299" s="79" t="str">
        <f>S299*V299</f>
      </c>
      <c r="Z299" s="80" t="str">
        <f>IFERROR(INDEX('Cost_Components'!$T$2:$T$27,MATCH(E299,'Cost_Components'!$A$2:$A$27,0)),"")</f>
      </c>
      <c r="AA299" s="81" t="str">
        <f>IFERROR(INDEX('Cost_Components'!$U$2:$U$27,MATCH(E299,'Cost_Components'!$A$2:$A$27,0)),"")</f>
      </c>
      <c r="AB299" s="82" t="str">
        <f>IFERROR(INDEX('Cost_Components'!$V$2:$V$27,MATCH(E299,'Cost_Components'!$A$2:$A$27,0)),"")</f>
      </c>
      <c r="AC299" s="83" t="str">
        <f>IFERROR(INDEX('Cost_Components'!$M$2:$M$27,MATCH(E299,'Cost_Components'!$A$2:$A$27,0)),"")</f>
      </c>
      <c r="AD299" s="84" t="str">
        <f>IFERROR(INDEX('Cost_Components'!$N$2:$N$27,MATCH(E299,'Cost_Components'!$A$2:$A$27,0)),"")</f>
      </c>
      <c r="AE299" s="20" t="str">
        <f>IFERROR(INDEX('Cost_Components'!$O$2:$O$27,MATCH(E299,'Cost_Components'!$A$2:$A$27,0)),"")</f>
      </c>
      <c r="AF299" s="85" t="n">
        <v>6219624.90851083</v>
      </c>
      <c r="AG299" s="86" t="n">
        <v>6212931.28695398</v>
      </c>
      <c r="AH299" s="87" t="str">
        <f>IF(H299="shared-count-once",COUNTIFS($A$2:$A$1353,A299,$B$2:$B$1353,B299,$E$2:$E$1353,E299),1)</f>
      </c>
    </row>
    <row r="300">
      <c r="A300" t="s">
        <v>200</v>
      </c>
      <c r="B300" s="59" t="n">
        <v>2037</v>
      </c>
      <c r="C300" t="s">
        <v>200</v>
      </c>
      <c r="D300" t="s">
        <v>180</v>
      </c>
      <c r="E300" s="60" t="s">
        <v>287</v>
      </c>
      <c r="F300" s="61" t="s">
        <v>288</v>
      </c>
      <c r="G300" s="62" t="s">
        <v>204</v>
      </c>
      <c r="H300" s="63" t="s">
        <v>195</v>
      </c>
      <c r="I300" s="64" t="s">
        <v>267</v>
      </c>
      <c r="J300" s="65" t="str">
        <f>IFERROR(INDEX('Cost_Components'!$K$2:$K$27,MATCH(E300,'Cost_Components'!$A$2:$A$27,0)),"")</f>
      </c>
      <c r="K300" s="66" t="str">
        <f>IF(OR(L300="",Z300="",AA300="",AB300=""),"",IF(B300&lt;AA300,L300,IF(B300&gt;AB300,Z300,L300+(Z300-L300)*MIN(MAX((B300-AA300+1)/MAX(AB300-AA300+1,1),0),1))))</f>
      </c>
      <c r="L300" s="67" t="str">
        <f>IFERROR(INDEX('Cost_Components'!$S$2:$S$27,MATCH(E300,'Cost_Components'!$A$2:$A$27,0)),"")</f>
      </c>
      <c r="M300" s="68" t="str">
        <f>IFERROR(INDEX('Cost_Components'!$L$2:$L$27,MATCH(E300,'Cost_Components'!$A$2:$A$27,0)),"")</f>
      </c>
      <c r="N300" s="69" t="str">
        <f>IFERROR(INDEX('Cost_Components'!$P$2:$P$27,MATCH(E300,'Cost_Components'!$A$2:$A$27,0)),"")</f>
      </c>
      <c r="O300" s="70" t="str">
        <f>AF300*J300</f>
      </c>
      <c r="P300" s="71" t="str">
        <f>AG300*J300</f>
      </c>
      <c r="Q300" s="72" t="str">
        <f>P300*L300*M300*N300</f>
      </c>
      <c r="R300" s="73" t="str">
        <f>O300*K300*M300*N300</f>
      </c>
      <c r="S300" s="74" t="str">
        <f>R300-Q300</f>
      </c>
      <c r="T300" s="20" t="str">
        <f>IFERROR(INDEX('Cost_Components'!$R$2:$R$27,MATCH(E300,'Cost_Components'!$A$2:$A$27,0)),"")</f>
      </c>
      <c r="U300" s="75" t="str">
        <f>IFERROR(INDEX('Cost_Components'!$Q$2:$Q$27,MATCH(E300,'Cost_Components'!$A$2:$A$27,0)),"")</f>
      </c>
      <c r="V300" s="76" t="str">
        <f>1/(1+'Calculation_Assumptions'!$B$5)^(B300-'Calculation_Assumptions'!$B$2)</f>
      </c>
      <c r="W300" s="77" t="str">
        <f>Q300*V300</f>
      </c>
      <c r="X300" s="78" t="str">
        <f>R300*V300</f>
      </c>
      <c r="Y300" s="79" t="str">
        <f>S300*V300</f>
      </c>
      <c r="Z300" s="80" t="str">
        <f>IFERROR(INDEX('Cost_Components'!$T$2:$T$27,MATCH(E300,'Cost_Components'!$A$2:$A$27,0)),"")</f>
      </c>
      <c r="AA300" s="81" t="str">
        <f>IFERROR(INDEX('Cost_Components'!$U$2:$U$27,MATCH(E300,'Cost_Components'!$A$2:$A$27,0)),"")</f>
      </c>
      <c r="AB300" s="82" t="str">
        <f>IFERROR(INDEX('Cost_Components'!$V$2:$V$27,MATCH(E300,'Cost_Components'!$A$2:$A$27,0)),"")</f>
      </c>
      <c r="AC300" s="83" t="str">
        <f>IFERROR(INDEX('Cost_Components'!$M$2:$M$27,MATCH(E300,'Cost_Components'!$A$2:$A$27,0)),"")</f>
      </c>
      <c r="AD300" s="84" t="str">
        <f>IFERROR(INDEX('Cost_Components'!$N$2:$N$27,MATCH(E300,'Cost_Components'!$A$2:$A$27,0)),"")</f>
      </c>
      <c r="AE300" s="20" t="str">
        <f>IFERROR(INDEX('Cost_Components'!$O$2:$O$27,MATCH(E300,'Cost_Components'!$A$2:$A$27,0)),"")</f>
      </c>
      <c r="AF300" s="85" t="n">
        <v>6337738.29242093</v>
      </c>
      <c r="AG300" s="86" t="n">
        <v>6330015.78836299</v>
      </c>
      <c r="AH300" s="87" t="str">
        <f>IF(H300="shared-count-once",COUNTIFS($A$2:$A$1353,A300,$B$2:$B$1353,B300,$E$2:$E$1353,E300),1)</f>
      </c>
    </row>
    <row r="301">
      <c r="A301" t="s">
        <v>200</v>
      </c>
      <c r="B301" s="59" t="n">
        <v>2038</v>
      </c>
      <c r="C301" t="s">
        <v>200</v>
      </c>
      <c r="D301" t="s">
        <v>180</v>
      </c>
      <c r="E301" s="60" t="s">
        <v>287</v>
      </c>
      <c r="F301" s="61" t="s">
        <v>288</v>
      </c>
      <c r="G301" s="62" t="s">
        <v>204</v>
      </c>
      <c r="H301" s="63" t="s">
        <v>195</v>
      </c>
      <c r="I301" s="64" t="s">
        <v>267</v>
      </c>
      <c r="J301" s="65" t="str">
        <f>IFERROR(INDEX('Cost_Components'!$K$2:$K$27,MATCH(E301,'Cost_Components'!$A$2:$A$27,0)),"")</f>
      </c>
      <c r="K301" s="66" t="str">
        <f>IF(OR(L301="",Z301="",AA301="",AB301=""),"",IF(B301&lt;AA301,L301,IF(B301&gt;AB301,Z301,L301+(Z301-L301)*MIN(MAX((B301-AA301+1)/MAX(AB301-AA301+1,1),0),1))))</f>
      </c>
      <c r="L301" s="67" t="str">
        <f>IFERROR(INDEX('Cost_Components'!$S$2:$S$27,MATCH(E301,'Cost_Components'!$A$2:$A$27,0)),"")</f>
      </c>
      <c r="M301" s="68" t="str">
        <f>IFERROR(INDEX('Cost_Components'!$L$2:$L$27,MATCH(E301,'Cost_Components'!$A$2:$A$27,0)),"")</f>
      </c>
      <c r="N301" s="69" t="str">
        <f>IFERROR(INDEX('Cost_Components'!$P$2:$P$27,MATCH(E301,'Cost_Components'!$A$2:$A$27,0)),"")</f>
      </c>
      <c r="O301" s="70" t="str">
        <f>AF301*J301</f>
      </c>
      <c r="P301" s="71" t="str">
        <f>AG301*J301</f>
      </c>
      <c r="Q301" s="72" t="str">
        <f>P301*L301*M301*N301</f>
      </c>
      <c r="R301" s="73" t="str">
        <f>O301*K301*M301*N301</f>
      </c>
      <c r="S301" s="74" t="str">
        <f>R301-Q301</f>
      </c>
      <c r="T301" s="20" t="str">
        <f>IFERROR(INDEX('Cost_Components'!$R$2:$R$27,MATCH(E301,'Cost_Components'!$A$2:$A$27,0)),"")</f>
      </c>
      <c r="U301" s="75" t="str">
        <f>IFERROR(INDEX('Cost_Components'!$Q$2:$Q$27,MATCH(E301,'Cost_Components'!$A$2:$A$27,0)),"")</f>
      </c>
      <c r="V301" s="76" t="str">
        <f>1/(1+'Calculation_Assumptions'!$B$5)^(B301-'Calculation_Assumptions'!$B$2)</f>
      </c>
      <c r="W301" s="77" t="str">
        <f>Q301*V301</f>
      </c>
      <c r="X301" s="78" t="str">
        <f>R301*V301</f>
      </c>
      <c r="Y301" s="79" t="str">
        <f>S301*V301</f>
      </c>
      <c r="Z301" s="80" t="str">
        <f>IFERROR(INDEX('Cost_Components'!$T$2:$T$27,MATCH(E301,'Cost_Components'!$A$2:$A$27,0)),"")</f>
      </c>
      <c r="AA301" s="81" t="str">
        <f>IFERROR(INDEX('Cost_Components'!$U$2:$U$27,MATCH(E301,'Cost_Components'!$A$2:$A$27,0)),"")</f>
      </c>
      <c r="AB301" s="82" t="str">
        <f>IFERROR(INDEX('Cost_Components'!$V$2:$V$27,MATCH(E301,'Cost_Components'!$A$2:$A$27,0)),"")</f>
      </c>
      <c r="AC301" s="83" t="str">
        <f>IFERROR(INDEX('Cost_Components'!$M$2:$M$27,MATCH(E301,'Cost_Components'!$A$2:$A$27,0)),"")</f>
      </c>
      <c r="AD301" s="84" t="str">
        <f>IFERROR(INDEX('Cost_Components'!$N$2:$N$27,MATCH(E301,'Cost_Components'!$A$2:$A$27,0)),"")</f>
      </c>
      <c r="AE301" s="20" t="str">
        <f>IFERROR(INDEX('Cost_Components'!$O$2:$O$27,MATCH(E301,'Cost_Components'!$A$2:$A$27,0)),"")</f>
      </c>
      <c r="AF301" s="85" t="n">
        <v>6456324.68053459</v>
      </c>
      <c r="AG301" s="86" t="n">
        <v>6447512.9889023</v>
      </c>
      <c r="AH301" s="87" t="str">
        <f>IF(H301="shared-count-once",COUNTIFS($A$2:$A$1353,A301,$B$2:$B$1353,B301,$E$2:$E$1353,E301),1)</f>
      </c>
    </row>
    <row r="302">
      <c r="A302" t="s">
        <v>200</v>
      </c>
      <c r="B302" s="59" t="n">
        <v>2039</v>
      </c>
      <c r="C302" t="s">
        <v>200</v>
      </c>
      <c r="D302" t="s">
        <v>180</v>
      </c>
      <c r="E302" s="60" t="s">
        <v>287</v>
      </c>
      <c r="F302" s="61" t="s">
        <v>288</v>
      </c>
      <c r="G302" s="62" t="s">
        <v>204</v>
      </c>
      <c r="H302" s="63" t="s">
        <v>195</v>
      </c>
      <c r="I302" s="64" t="s">
        <v>267</v>
      </c>
      <c r="J302" s="65" t="str">
        <f>IFERROR(INDEX('Cost_Components'!$K$2:$K$27,MATCH(E302,'Cost_Components'!$A$2:$A$27,0)),"")</f>
      </c>
      <c r="K302" s="66" t="str">
        <f>IF(OR(L302="",Z302="",AA302="",AB302=""),"",IF(B302&lt;AA302,L302,IF(B302&gt;AB302,Z302,L302+(Z302-L302)*MIN(MAX((B302-AA302+1)/MAX(AB302-AA302+1,1),0),1))))</f>
      </c>
      <c r="L302" s="67" t="str">
        <f>IFERROR(INDEX('Cost_Components'!$S$2:$S$27,MATCH(E302,'Cost_Components'!$A$2:$A$27,0)),"")</f>
      </c>
      <c r="M302" s="68" t="str">
        <f>IFERROR(INDEX('Cost_Components'!$L$2:$L$27,MATCH(E302,'Cost_Components'!$A$2:$A$27,0)),"")</f>
      </c>
      <c r="N302" s="69" t="str">
        <f>IFERROR(INDEX('Cost_Components'!$P$2:$P$27,MATCH(E302,'Cost_Components'!$A$2:$A$27,0)),"")</f>
      </c>
      <c r="O302" s="70" t="str">
        <f>AF302*J302</f>
      </c>
      <c r="P302" s="71" t="str">
        <f>AG302*J302</f>
      </c>
      <c r="Q302" s="72" t="str">
        <f>P302*L302*M302*N302</f>
      </c>
      <c r="R302" s="73" t="str">
        <f>O302*K302*M302*N302</f>
      </c>
      <c r="S302" s="74" t="str">
        <f>R302-Q302</f>
      </c>
      <c r="T302" s="20" t="str">
        <f>IFERROR(INDEX('Cost_Components'!$R$2:$R$27,MATCH(E302,'Cost_Components'!$A$2:$A$27,0)),"")</f>
      </c>
      <c r="U302" s="75" t="str">
        <f>IFERROR(INDEX('Cost_Components'!$Q$2:$Q$27,MATCH(E302,'Cost_Components'!$A$2:$A$27,0)),"")</f>
      </c>
      <c r="V302" s="76" t="str">
        <f>1/(1+'Calculation_Assumptions'!$B$5)^(B302-'Calculation_Assumptions'!$B$2)</f>
      </c>
      <c r="W302" s="77" t="str">
        <f>Q302*V302</f>
      </c>
      <c r="X302" s="78" t="str">
        <f>R302*V302</f>
      </c>
      <c r="Y302" s="79" t="str">
        <f>S302*V302</f>
      </c>
      <c r="Z302" s="80" t="str">
        <f>IFERROR(INDEX('Cost_Components'!$T$2:$T$27,MATCH(E302,'Cost_Components'!$A$2:$A$27,0)),"")</f>
      </c>
      <c r="AA302" s="81" t="str">
        <f>IFERROR(INDEX('Cost_Components'!$U$2:$U$27,MATCH(E302,'Cost_Components'!$A$2:$A$27,0)),"")</f>
      </c>
      <c r="AB302" s="82" t="str">
        <f>IFERROR(INDEX('Cost_Components'!$V$2:$V$27,MATCH(E302,'Cost_Components'!$A$2:$A$27,0)),"")</f>
      </c>
      <c r="AC302" s="83" t="str">
        <f>IFERROR(INDEX('Cost_Components'!$M$2:$M$27,MATCH(E302,'Cost_Components'!$A$2:$A$27,0)),"")</f>
      </c>
      <c r="AD302" s="84" t="str">
        <f>IFERROR(INDEX('Cost_Components'!$N$2:$N$27,MATCH(E302,'Cost_Components'!$A$2:$A$27,0)),"")</f>
      </c>
      <c r="AE302" s="20" t="str">
        <f>IFERROR(INDEX('Cost_Components'!$O$2:$O$27,MATCH(E302,'Cost_Components'!$A$2:$A$27,0)),"")</f>
      </c>
      <c r="AF302" s="85" t="n">
        <v>6574035.42913736</v>
      </c>
      <c r="AG302" s="86" t="n">
        <v>6564073.62283021</v>
      </c>
      <c r="AH302" s="87" t="str">
        <f>IF(H302="shared-count-once",COUNTIFS($A$2:$A$1353,A302,$B$2:$B$1353,B302,$E$2:$E$1353,E302),1)</f>
      </c>
    </row>
    <row r="303">
      <c r="A303" t="s">
        <v>200</v>
      </c>
      <c r="B303" s="59" t="n">
        <v>2040</v>
      </c>
      <c r="C303" t="s">
        <v>200</v>
      </c>
      <c r="D303" t="s">
        <v>180</v>
      </c>
      <c r="E303" s="60" t="s">
        <v>287</v>
      </c>
      <c r="F303" s="61" t="s">
        <v>288</v>
      </c>
      <c r="G303" s="62" t="s">
        <v>204</v>
      </c>
      <c r="H303" s="63" t="s">
        <v>195</v>
      </c>
      <c r="I303" s="64" t="s">
        <v>267</v>
      </c>
      <c r="J303" s="65" t="str">
        <f>IFERROR(INDEX('Cost_Components'!$K$2:$K$27,MATCH(E303,'Cost_Components'!$A$2:$A$27,0)),"")</f>
      </c>
      <c r="K303" s="66" t="str">
        <f>IF(OR(L303="",Z303="",AA303="",AB303=""),"",IF(B303&lt;AA303,L303,IF(B303&gt;AB303,Z303,L303+(Z303-L303)*MIN(MAX((B303-AA303+1)/MAX(AB303-AA303+1,1),0),1))))</f>
      </c>
      <c r="L303" s="67" t="str">
        <f>IFERROR(INDEX('Cost_Components'!$S$2:$S$27,MATCH(E303,'Cost_Components'!$A$2:$A$27,0)),"")</f>
      </c>
      <c r="M303" s="68" t="str">
        <f>IFERROR(INDEX('Cost_Components'!$L$2:$L$27,MATCH(E303,'Cost_Components'!$A$2:$A$27,0)),"")</f>
      </c>
      <c r="N303" s="69" t="str">
        <f>IFERROR(INDEX('Cost_Components'!$P$2:$P$27,MATCH(E303,'Cost_Components'!$A$2:$A$27,0)),"")</f>
      </c>
      <c r="O303" s="70" t="str">
        <f>AF303*J303</f>
      </c>
      <c r="P303" s="71" t="str">
        <f>AG303*J303</f>
      </c>
      <c r="Q303" s="72" t="str">
        <f>P303*L303*M303*N303</f>
      </c>
      <c r="R303" s="73" t="str">
        <f>O303*K303*M303*N303</f>
      </c>
      <c r="S303" s="74" t="str">
        <f>R303-Q303</f>
      </c>
      <c r="T303" s="20" t="str">
        <f>IFERROR(INDEX('Cost_Components'!$R$2:$R$27,MATCH(E303,'Cost_Components'!$A$2:$A$27,0)),"")</f>
      </c>
      <c r="U303" s="75" t="str">
        <f>IFERROR(INDEX('Cost_Components'!$Q$2:$Q$27,MATCH(E303,'Cost_Components'!$A$2:$A$27,0)),"")</f>
      </c>
      <c r="V303" s="76" t="str">
        <f>1/(1+'Calculation_Assumptions'!$B$5)^(B303-'Calculation_Assumptions'!$B$2)</f>
      </c>
      <c r="W303" s="77" t="str">
        <f>Q303*V303</f>
      </c>
      <c r="X303" s="78" t="str">
        <f>R303*V303</f>
      </c>
      <c r="Y303" s="79" t="str">
        <f>S303*V303</f>
      </c>
      <c r="Z303" s="80" t="str">
        <f>IFERROR(INDEX('Cost_Components'!$T$2:$T$27,MATCH(E303,'Cost_Components'!$A$2:$A$27,0)),"")</f>
      </c>
      <c r="AA303" s="81" t="str">
        <f>IFERROR(INDEX('Cost_Components'!$U$2:$U$27,MATCH(E303,'Cost_Components'!$A$2:$A$27,0)),"")</f>
      </c>
      <c r="AB303" s="82" t="str">
        <f>IFERROR(INDEX('Cost_Components'!$V$2:$V$27,MATCH(E303,'Cost_Components'!$A$2:$A$27,0)),"")</f>
      </c>
      <c r="AC303" s="83" t="str">
        <f>IFERROR(INDEX('Cost_Components'!$M$2:$M$27,MATCH(E303,'Cost_Components'!$A$2:$A$27,0)),"")</f>
      </c>
      <c r="AD303" s="84" t="str">
        <f>IFERROR(INDEX('Cost_Components'!$N$2:$N$27,MATCH(E303,'Cost_Components'!$A$2:$A$27,0)),"")</f>
      </c>
      <c r="AE303" s="20" t="str">
        <f>IFERROR(INDEX('Cost_Components'!$O$2:$O$27,MATCH(E303,'Cost_Components'!$A$2:$A$27,0)),"")</f>
      </c>
      <c r="AF303" s="85" t="n">
        <v>6691804.9198289</v>
      </c>
      <c r="AG303" s="86" t="n">
        <v>6680640.99764336</v>
      </c>
      <c r="AH303" s="87" t="str">
        <f>IF(H303="shared-count-once",COUNTIFS($A$2:$A$1353,A303,$B$2:$B$1353,B303,$E$2:$E$1353,E303),1)</f>
      </c>
    </row>
    <row r="304">
      <c r="A304" t="s">
        <v>200</v>
      </c>
      <c r="B304" s="59" t="n">
        <v>2041</v>
      </c>
      <c r="C304" t="s">
        <v>200</v>
      </c>
      <c r="D304" t="s">
        <v>180</v>
      </c>
      <c r="E304" s="60" t="s">
        <v>287</v>
      </c>
      <c r="F304" s="61" t="s">
        <v>288</v>
      </c>
      <c r="G304" s="62" t="s">
        <v>204</v>
      </c>
      <c r="H304" s="63" t="s">
        <v>195</v>
      </c>
      <c r="I304" s="64" t="s">
        <v>267</v>
      </c>
      <c r="J304" s="65" t="str">
        <f>IFERROR(INDEX('Cost_Components'!$K$2:$K$27,MATCH(E304,'Cost_Components'!$A$2:$A$27,0)),"")</f>
      </c>
      <c r="K304" s="66" t="str">
        <f>IF(OR(L304="",Z304="",AA304="",AB304=""),"",IF(B304&lt;AA304,L304,IF(B304&gt;AB304,Z304,L304+(Z304-L304)*MIN(MAX((B304-AA304+1)/MAX(AB304-AA304+1,1),0),1))))</f>
      </c>
      <c r="L304" s="67" t="str">
        <f>IFERROR(INDEX('Cost_Components'!$S$2:$S$27,MATCH(E304,'Cost_Components'!$A$2:$A$27,0)),"")</f>
      </c>
      <c r="M304" s="68" t="str">
        <f>IFERROR(INDEX('Cost_Components'!$L$2:$L$27,MATCH(E304,'Cost_Components'!$A$2:$A$27,0)),"")</f>
      </c>
      <c r="N304" s="69" t="str">
        <f>IFERROR(INDEX('Cost_Components'!$P$2:$P$27,MATCH(E304,'Cost_Components'!$A$2:$A$27,0)),"")</f>
      </c>
      <c r="O304" s="70" t="str">
        <f>AF304*J304</f>
      </c>
      <c r="P304" s="71" t="str">
        <f>AG304*J304</f>
      </c>
      <c r="Q304" s="72" t="str">
        <f>P304*L304*M304*N304</f>
      </c>
      <c r="R304" s="73" t="str">
        <f>O304*K304*M304*N304</f>
      </c>
      <c r="S304" s="74" t="str">
        <f>R304-Q304</f>
      </c>
      <c r="T304" s="20" t="str">
        <f>IFERROR(INDEX('Cost_Components'!$R$2:$R$27,MATCH(E304,'Cost_Components'!$A$2:$A$27,0)),"")</f>
      </c>
      <c r="U304" s="75" t="str">
        <f>IFERROR(INDEX('Cost_Components'!$Q$2:$Q$27,MATCH(E304,'Cost_Components'!$A$2:$A$27,0)),"")</f>
      </c>
      <c r="V304" s="76" t="str">
        <f>1/(1+'Calculation_Assumptions'!$B$5)^(B304-'Calculation_Assumptions'!$B$2)</f>
      </c>
      <c r="W304" s="77" t="str">
        <f>Q304*V304</f>
      </c>
      <c r="X304" s="78" t="str">
        <f>R304*V304</f>
      </c>
      <c r="Y304" s="79" t="str">
        <f>S304*V304</f>
      </c>
      <c r="Z304" s="80" t="str">
        <f>IFERROR(INDEX('Cost_Components'!$T$2:$T$27,MATCH(E304,'Cost_Components'!$A$2:$A$27,0)),"")</f>
      </c>
      <c r="AA304" s="81" t="str">
        <f>IFERROR(INDEX('Cost_Components'!$U$2:$U$27,MATCH(E304,'Cost_Components'!$A$2:$A$27,0)),"")</f>
      </c>
      <c r="AB304" s="82" t="str">
        <f>IFERROR(INDEX('Cost_Components'!$V$2:$V$27,MATCH(E304,'Cost_Components'!$A$2:$A$27,0)),"")</f>
      </c>
      <c r="AC304" s="83" t="str">
        <f>IFERROR(INDEX('Cost_Components'!$M$2:$M$27,MATCH(E304,'Cost_Components'!$A$2:$A$27,0)),"")</f>
      </c>
      <c r="AD304" s="84" t="str">
        <f>IFERROR(INDEX('Cost_Components'!$N$2:$N$27,MATCH(E304,'Cost_Components'!$A$2:$A$27,0)),"")</f>
      </c>
      <c r="AE304" s="20" t="str">
        <f>IFERROR(INDEX('Cost_Components'!$O$2:$O$27,MATCH(E304,'Cost_Components'!$A$2:$A$27,0)),"")</f>
      </c>
      <c r="AF304" s="85" t="n">
        <v>6809374.6213155</v>
      </c>
      <c r="AG304" s="86" t="n">
        <v>6796959.57831694</v>
      </c>
      <c r="AH304" s="87" t="str">
        <f>IF(H304="shared-count-once",COUNTIFS($A$2:$A$1353,A304,$B$2:$B$1353,B304,$E$2:$E$1353,E304),1)</f>
      </c>
    </row>
    <row r="305">
      <c r="A305" t="s">
        <v>200</v>
      </c>
      <c r="B305" s="59" t="n">
        <v>2042</v>
      </c>
      <c r="C305" t="s">
        <v>200</v>
      </c>
      <c r="D305" t="s">
        <v>180</v>
      </c>
      <c r="E305" s="60" t="s">
        <v>287</v>
      </c>
      <c r="F305" s="61" t="s">
        <v>288</v>
      </c>
      <c r="G305" s="62" t="s">
        <v>204</v>
      </c>
      <c r="H305" s="63" t="s">
        <v>195</v>
      </c>
      <c r="I305" s="64" t="s">
        <v>267</v>
      </c>
      <c r="J305" s="65" t="str">
        <f>IFERROR(INDEX('Cost_Components'!$K$2:$K$27,MATCH(E305,'Cost_Components'!$A$2:$A$27,0)),"")</f>
      </c>
      <c r="K305" s="66" t="str">
        <f>IF(OR(L305="",Z305="",AA305="",AB305=""),"",IF(B305&lt;AA305,L305,IF(B305&gt;AB305,Z305,L305+(Z305-L305)*MIN(MAX((B305-AA305+1)/MAX(AB305-AA305+1,1),0),1))))</f>
      </c>
      <c r="L305" s="67" t="str">
        <f>IFERROR(INDEX('Cost_Components'!$S$2:$S$27,MATCH(E305,'Cost_Components'!$A$2:$A$27,0)),"")</f>
      </c>
      <c r="M305" s="68" t="str">
        <f>IFERROR(INDEX('Cost_Components'!$L$2:$L$27,MATCH(E305,'Cost_Components'!$A$2:$A$27,0)),"")</f>
      </c>
      <c r="N305" s="69" t="str">
        <f>IFERROR(INDEX('Cost_Components'!$P$2:$P$27,MATCH(E305,'Cost_Components'!$A$2:$A$27,0)),"")</f>
      </c>
      <c r="O305" s="70" t="str">
        <f>AF305*J305</f>
      </c>
      <c r="P305" s="71" t="str">
        <f>AG305*J305</f>
      </c>
      <c r="Q305" s="72" t="str">
        <f>P305*L305*M305*N305</f>
      </c>
      <c r="R305" s="73" t="str">
        <f>O305*K305*M305*N305</f>
      </c>
      <c r="S305" s="74" t="str">
        <f>R305-Q305</f>
      </c>
      <c r="T305" s="20" t="str">
        <f>IFERROR(INDEX('Cost_Components'!$R$2:$R$27,MATCH(E305,'Cost_Components'!$A$2:$A$27,0)),"")</f>
      </c>
      <c r="U305" s="75" t="str">
        <f>IFERROR(INDEX('Cost_Components'!$Q$2:$Q$27,MATCH(E305,'Cost_Components'!$A$2:$A$27,0)),"")</f>
      </c>
      <c r="V305" s="76" t="str">
        <f>1/(1+'Calculation_Assumptions'!$B$5)^(B305-'Calculation_Assumptions'!$B$2)</f>
      </c>
      <c r="W305" s="77" t="str">
        <f>Q305*V305</f>
      </c>
      <c r="X305" s="78" t="str">
        <f>R305*V305</f>
      </c>
      <c r="Y305" s="79" t="str">
        <f>S305*V305</f>
      </c>
      <c r="Z305" s="80" t="str">
        <f>IFERROR(INDEX('Cost_Components'!$T$2:$T$27,MATCH(E305,'Cost_Components'!$A$2:$A$27,0)),"")</f>
      </c>
      <c r="AA305" s="81" t="str">
        <f>IFERROR(INDEX('Cost_Components'!$U$2:$U$27,MATCH(E305,'Cost_Components'!$A$2:$A$27,0)),"")</f>
      </c>
      <c r="AB305" s="82" t="str">
        <f>IFERROR(INDEX('Cost_Components'!$V$2:$V$27,MATCH(E305,'Cost_Components'!$A$2:$A$27,0)),"")</f>
      </c>
      <c r="AC305" s="83" t="str">
        <f>IFERROR(INDEX('Cost_Components'!$M$2:$M$27,MATCH(E305,'Cost_Components'!$A$2:$A$27,0)),"")</f>
      </c>
      <c r="AD305" s="84" t="str">
        <f>IFERROR(INDEX('Cost_Components'!$N$2:$N$27,MATCH(E305,'Cost_Components'!$A$2:$A$27,0)),"")</f>
      </c>
      <c r="AE305" s="20" t="str">
        <f>IFERROR(INDEX('Cost_Components'!$O$2:$O$27,MATCH(E305,'Cost_Components'!$A$2:$A$27,0)),"")</f>
      </c>
      <c r="AF305" s="85" t="n">
        <v>6926812.72471743</v>
      </c>
      <c r="AG305" s="86" t="n">
        <v>6913099.8808547</v>
      </c>
      <c r="AH305" s="87" t="str">
        <f>IF(H305="shared-count-once",COUNTIFS($A$2:$A$1353,A305,$B$2:$B$1353,B305,$E$2:$E$1353,E305),1)</f>
      </c>
    </row>
    <row r="306">
      <c r="A306" t="s">
        <v>200</v>
      </c>
      <c r="B306" s="59" t="n">
        <v>2043</v>
      </c>
      <c r="C306" t="s">
        <v>200</v>
      </c>
      <c r="D306" t="s">
        <v>180</v>
      </c>
      <c r="E306" s="60" t="s">
        <v>287</v>
      </c>
      <c r="F306" s="61" t="s">
        <v>288</v>
      </c>
      <c r="G306" s="62" t="s">
        <v>204</v>
      </c>
      <c r="H306" s="63" t="s">
        <v>195</v>
      </c>
      <c r="I306" s="64" t="s">
        <v>267</v>
      </c>
      <c r="J306" s="65" t="str">
        <f>IFERROR(INDEX('Cost_Components'!$K$2:$K$27,MATCH(E306,'Cost_Components'!$A$2:$A$27,0)),"")</f>
      </c>
      <c r="K306" s="66" t="str">
        <f>IF(OR(L306="",Z306="",AA306="",AB306=""),"",IF(B306&lt;AA306,L306,IF(B306&gt;AB306,Z306,L306+(Z306-L306)*MIN(MAX((B306-AA306+1)/MAX(AB306-AA306+1,1),0),1))))</f>
      </c>
      <c r="L306" s="67" t="str">
        <f>IFERROR(INDEX('Cost_Components'!$S$2:$S$27,MATCH(E306,'Cost_Components'!$A$2:$A$27,0)),"")</f>
      </c>
      <c r="M306" s="68" t="str">
        <f>IFERROR(INDEX('Cost_Components'!$L$2:$L$27,MATCH(E306,'Cost_Components'!$A$2:$A$27,0)),"")</f>
      </c>
      <c r="N306" s="69" t="str">
        <f>IFERROR(INDEX('Cost_Components'!$P$2:$P$27,MATCH(E306,'Cost_Components'!$A$2:$A$27,0)),"")</f>
      </c>
      <c r="O306" s="70" t="str">
        <f>AF306*J306</f>
      </c>
      <c r="P306" s="71" t="str">
        <f>AG306*J306</f>
      </c>
      <c r="Q306" s="72" t="str">
        <f>P306*L306*M306*N306</f>
      </c>
      <c r="R306" s="73" t="str">
        <f>O306*K306*M306*N306</f>
      </c>
      <c r="S306" s="74" t="str">
        <f>R306-Q306</f>
      </c>
      <c r="T306" s="20" t="str">
        <f>IFERROR(INDEX('Cost_Components'!$R$2:$R$27,MATCH(E306,'Cost_Components'!$A$2:$A$27,0)),"")</f>
      </c>
      <c r="U306" s="75" t="str">
        <f>IFERROR(INDEX('Cost_Components'!$Q$2:$Q$27,MATCH(E306,'Cost_Components'!$A$2:$A$27,0)),"")</f>
      </c>
      <c r="V306" s="76" t="str">
        <f>1/(1+'Calculation_Assumptions'!$B$5)^(B306-'Calculation_Assumptions'!$B$2)</f>
      </c>
      <c r="W306" s="77" t="str">
        <f>Q306*V306</f>
      </c>
      <c r="X306" s="78" t="str">
        <f>R306*V306</f>
      </c>
      <c r="Y306" s="79" t="str">
        <f>S306*V306</f>
      </c>
      <c r="Z306" s="80" t="str">
        <f>IFERROR(INDEX('Cost_Components'!$T$2:$T$27,MATCH(E306,'Cost_Components'!$A$2:$A$27,0)),"")</f>
      </c>
      <c r="AA306" s="81" t="str">
        <f>IFERROR(INDEX('Cost_Components'!$U$2:$U$27,MATCH(E306,'Cost_Components'!$A$2:$A$27,0)),"")</f>
      </c>
      <c r="AB306" s="82" t="str">
        <f>IFERROR(INDEX('Cost_Components'!$V$2:$V$27,MATCH(E306,'Cost_Components'!$A$2:$A$27,0)),"")</f>
      </c>
      <c r="AC306" s="83" t="str">
        <f>IFERROR(INDEX('Cost_Components'!$M$2:$M$27,MATCH(E306,'Cost_Components'!$A$2:$A$27,0)),"")</f>
      </c>
      <c r="AD306" s="84" t="str">
        <f>IFERROR(INDEX('Cost_Components'!$N$2:$N$27,MATCH(E306,'Cost_Components'!$A$2:$A$27,0)),"")</f>
      </c>
      <c r="AE306" s="20" t="str">
        <f>IFERROR(INDEX('Cost_Components'!$O$2:$O$27,MATCH(E306,'Cost_Components'!$A$2:$A$27,0)),"")</f>
      </c>
      <c r="AF306" s="85" t="n">
        <v>7043375.41284027</v>
      </c>
      <c r="AG306" s="86" t="n">
        <v>7028320.53609466</v>
      </c>
      <c r="AH306" s="87" t="str">
        <f>IF(H306="shared-count-once",COUNTIFS($A$2:$A$1353,A306,$B$2:$B$1353,B306,$E$2:$E$1353,E306),1)</f>
      </c>
    </row>
    <row r="307">
      <c r="A307" t="s">
        <v>200</v>
      </c>
      <c r="B307" s="59" t="n">
        <v>2044</v>
      </c>
      <c r="C307" t="s">
        <v>200</v>
      </c>
      <c r="D307" t="s">
        <v>180</v>
      </c>
      <c r="E307" s="60" t="s">
        <v>287</v>
      </c>
      <c r="F307" s="61" t="s">
        <v>288</v>
      </c>
      <c r="G307" s="62" t="s">
        <v>204</v>
      </c>
      <c r="H307" s="63" t="s">
        <v>195</v>
      </c>
      <c r="I307" s="64" t="s">
        <v>267</v>
      </c>
      <c r="J307" s="65" t="str">
        <f>IFERROR(INDEX('Cost_Components'!$K$2:$K$27,MATCH(E307,'Cost_Components'!$A$2:$A$27,0)),"")</f>
      </c>
      <c r="K307" s="66" t="str">
        <f>IF(OR(L307="",Z307="",AA307="",AB307=""),"",IF(B307&lt;AA307,L307,IF(B307&gt;AB307,Z307,L307+(Z307-L307)*MIN(MAX((B307-AA307+1)/MAX(AB307-AA307+1,1),0),1))))</f>
      </c>
      <c r="L307" s="67" t="str">
        <f>IFERROR(INDEX('Cost_Components'!$S$2:$S$27,MATCH(E307,'Cost_Components'!$A$2:$A$27,0)),"")</f>
      </c>
      <c r="M307" s="68" t="str">
        <f>IFERROR(INDEX('Cost_Components'!$L$2:$L$27,MATCH(E307,'Cost_Components'!$A$2:$A$27,0)),"")</f>
      </c>
      <c r="N307" s="69" t="str">
        <f>IFERROR(INDEX('Cost_Components'!$P$2:$P$27,MATCH(E307,'Cost_Components'!$A$2:$A$27,0)),"")</f>
      </c>
      <c r="O307" s="70" t="str">
        <f>AF307*J307</f>
      </c>
      <c r="P307" s="71" t="str">
        <f>AG307*J307</f>
      </c>
      <c r="Q307" s="72" t="str">
        <f>P307*L307*M307*N307</f>
      </c>
      <c r="R307" s="73" t="str">
        <f>O307*K307*M307*N307</f>
      </c>
      <c r="S307" s="74" t="str">
        <f>R307-Q307</f>
      </c>
      <c r="T307" s="20" t="str">
        <f>IFERROR(INDEX('Cost_Components'!$R$2:$R$27,MATCH(E307,'Cost_Components'!$A$2:$A$27,0)),"")</f>
      </c>
      <c r="U307" s="75" t="str">
        <f>IFERROR(INDEX('Cost_Components'!$Q$2:$Q$27,MATCH(E307,'Cost_Components'!$A$2:$A$27,0)),"")</f>
      </c>
      <c r="V307" s="76" t="str">
        <f>1/(1+'Calculation_Assumptions'!$B$5)^(B307-'Calculation_Assumptions'!$B$2)</f>
      </c>
      <c r="W307" s="77" t="str">
        <f>Q307*V307</f>
      </c>
      <c r="X307" s="78" t="str">
        <f>R307*V307</f>
      </c>
      <c r="Y307" s="79" t="str">
        <f>S307*V307</f>
      </c>
      <c r="Z307" s="80" t="str">
        <f>IFERROR(INDEX('Cost_Components'!$T$2:$T$27,MATCH(E307,'Cost_Components'!$A$2:$A$27,0)),"")</f>
      </c>
      <c r="AA307" s="81" t="str">
        <f>IFERROR(INDEX('Cost_Components'!$U$2:$U$27,MATCH(E307,'Cost_Components'!$A$2:$A$27,0)),"")</f>
      </c>
      <c r="AB307" s="82" t="str">
        <f>IFERROR(INDEX('Cost_Components'!$V$2:$V$27,MATCH(E307,'Cost_Components'!$A$2:$A$27,0)),"")</f>
      </c>
      <c r="AC307" s="83" t="str">
        <f>IFERROR(INDEX('Cost_Components'!$M$2:$M$27,MATCH(E307,'Cost_Components'!$A$2:$A$27,0)),"")</f>
      </c>
      <c r="AD307" s="84" t="str">
        <f>IFERROR(INDEX('Cost_Components'!$N$2:$N$27,MATCH(E307,'Cost_Components'!$A$2:$A$27,0)),"")</f>
      </c>
      <c r="AE307" s="20" t="str">
        <f>IFERROR(INDEX('Cost_Components'!$O$2:$O$27,MATCH(E307,'Cost_Components'!$A$2:$A$27,0)),"")</f>
      </c>
      <c r="AF307" s="85" t="n">
        <v>7155063.41940418</v>
      </c>
      <c r="AG307" s="86" t="n">
        <v>7138623.97835749</v>
      </c>
      <c r="AH307" s="87" t="str">
        <f>IF(H307="shared-count-once",COUNTIFS($A$2:$A$1353,A307,$B$2:$B$1353,B307,$E$2:$E$1353,E307),1)</f>
      </c>
    </row>
    <row r="308">
      <c r="A308" t="s">
        <v>200</v>
      </c>
      <c r="B308" s="59" t="n">
        <v>2045</v>
      </c>
      <c r="C308" t="s">
        <v>200</v>
      </c>
      <c r="D308" t="s">
        <v>180</v>
      </c>
      <c r="E308" s="60" t="s">
        <v>287</v>
      </c>
      <c r="F308" s="61" t="s">
        <v>288</v>
      </c>
      <c r="G308" s="62" t="s">
        <v>204</v>
      </c>
      <c r="H308" s="63" t="s">
        <v>195</v>
      </c>
      <c r="I308" s="64" t="s">
        <v>267</v>
      </c>
      <c r="J308" s="65" t="str">
        <f>IFERROR(INDEX('Cost_Components'!$K$2:$K$27,MATCH(E308,'Cost_Components'!$A$2:$A$27,0)),"")</f>
      </c>
      <c r="K308" s="66" t="str">
        <f>IF(OR(L308="",Z308="",AA308="",AB308=""),"",IF(B308&lt;AA308,L308,IF(B308&gt;AB308,Z308,L308+(Z308-L308)*MIN(MAX((B308-AA308+1)/MAX(AB308-AA308+1,1),0),1))))</f>
      </c>
      <c r="L308" s="67" t="str">
        <f>IFERROR(INDEX('Cost_Components'!$S$2:$S$27,MATCH(E308,'Cost_Components'!$A$2:$A$27,0)),"")</f>
      </c>
      <c r="M308" s="68" t="str">
        <f>IFERROR(INDEX('Cost_Components'!$L$2:$L$27,MATCH(E308,'Cost_Components'!$A$2:$A$27,0)),"")</f>
      </c>
      <c r="N308" s="69" t="str">
        <f>IFERROR(INDEX('Cost_Components'!$P$2:$P$27,MATCH(E308,'Cost_Components'!$A$2:$A$27,0)),"")</f>
      </c>
      <c r="O308" s="70" t="str">
        <f>AF308*J308</f>
      </c>
      <c r="P308" s="71" t="str">
        <f>AG308*J308</f>
      </c>
      <c r="Q308" s="72" t="str">
        <f>P308*L308*M308*N308</f>
      </c>
      <c r="R308" s="73" t="str">
        <f>O308*K308*M308*N308</f>
      </c>
      <c r="S308" s="74" t="str">
        <f>R308-Q308</f>
      </c>
      <c r="T308" s="20" t="str">
        <f>IFERROR(INDEX('Cost_Components'!$R$2:$R$27,MATCH(E308,'Cost_Components'!$A$2:$A$27,0)),"")</f>
      </c>
      <c r="U308" s="75" t="str">
        <f>IFERROR(INDEX('Cost_Components'!$Q$2:$Q$27,MATCH(E308,'Cost_Components'!$A$2:$A$27,0)),"")</f>
      </c>
      <c r="V308" s="76" t="str">
        <f>1/(1+'Calculation_Assumptions'!$B$5)^(B308-'Calculation_Assumptions'!$B$2)</f>
      </c>
      <c r="W308" s="77" t="str">
        <f>Q308*V308</f>
      </c>
      <c r="X308" s="78" t="str">
        <f>R308*V308</f>
      </c>
      <c r="Y308" s="79" t="str">
        <f>S308*V308</f>
      </c>
      <c r="Z308" s="80" t="str">
        <f>IFERROR(INDEX('Cost_Components'!$T$2:$T$27,MATCH(E308,'Cost_Components'!$A$2:$A$27,0)),"")</f>
      </c>
      <c r="AA308" s="81" t="str">
        <f>IFERROR(INDEX('Cost_Components'!$U$2:$U$27,MATCH(E308,'Cost_Components'!$A$2:$A$27,0)),"")</f>
      </c>
      <c r="AB308" s="82" t="str">
        <f>IFERROR(INDEX('Cost_Components'!$V$2:$V$27,MATCH(E308,'Cost_Components'!$A$2:$A$27,0)),"")</f>
      </c>
      <c r="AC308" s="83" t="str">
        <f>IFERROR(INDEX('Cost_Components'!$M$2:$M$27,MATCH(E308,'Cost_Components'!$A$2:$A$27,0)),"")</f>
      </c>
      <c r="AD308" s="84" t="str">
        <f>IFERROR(INDEX('Cost_Components'!$N$2:$N$27,MATCH(E308,'Cost_Components'!$A$2:$A$27,0)),"")</f>
      </c>
      <c r="AE308" s="20" t="str">
        <f>IFERROR(INDEX('Cost_Components'!$O$2:$O$27,MATCH(E308,'Cost_Components'!$A$2:$A$27,0)),"")</f>
      </c>
      <c r="AF308" s="85" t="n">
        <v>7264641.04427174</v>
      </c>
      <c r="AG308" s="86" t="n">
        <v>7246779.83544231</v>
      </c>
      <c r="AH308" s="87" t="str">
        <f>IF(H308="shared-count-once",COUNTIFS($A$2:$A$1353,A308,$B$2:$B$1353,B308,$E$2:$E$1353,E308),1)</f>
      </c>
    </row>
    <row r="309">
      <c r="A309" t="s">
        <v>200</v>
      </c>
      <c r="B309" s="59" t="n">
        <v>2046</v>
      </c>
      <c r="C309" t="s">
        <v>200</v>
      </c>
      <c r="D309" t="s">
        <v>180</v>
      </c>
      <c r="E309" s="60" t="s">
        <v>287</v>
      </c>
      <c r="F309" s="61" t="s">
        <v>288</v>
      </c>
      <c r="G309" s="62" t="s">
        <v>204</v>
      </c>
      <c r="H309" s="63" t="s">
        <v>195</v>
      </c>
      <c r="I309" s="64" t="s">
        <v>267</v>
      </c>
      <c r="J309" s="65" t="str">
        <f>IFERROR(INDEX('Cost_Components'!$K$2:$K$27,MATCH(E309,'Cost_Components'!$A$2:$A$27,0)),"")</f>
      </c>
      <c r="K309" s="66" t="str">
        <f>IF(OR(L309="",Z309="",AA309="",AB309=""),"",IF(B309&lt;AA309,L309,IF(B309&gt;AB309,Z309,L309+(Z309-L309)*MIN(MAX((B309-AA309+1)/MAX(AB309-AA309+1,1),0),1))))</f>
      </c>
      <c r="L309" s="67" t="str">
        <f>IFERROR(INDEX('Cost_Components'!$S$2:$S$27,MATCH(E309,'Cost_Components'!$A$2:$A$27,0)),"")</f>
      </c>
      <c r="M309" s="68" t="str">
        <f>IFERROR(INDEX('Cost_Components'!$L$2:$L$27,MATCH(E309,'Cost_Components'!$A$2:$A$27,0)),"")</f>
      </c>
      <c r="N309" s="69" t="str">
        <f>IFERROR(INDEX('Cost_Components'!$P$2:$P$27,MATCH(E309,'Cost_Components'!$A$2:$A$27,0)),"")</f>
      </c>
      <c r="O309" s="70" t="str">
        <f>AF309*J309</f>
      </c>
      <c r="P309" s="71" t="str">
        <f>AG309*J309</f>
      </c>
      <c r="Q309" s="72" t="str">
        <f>P309*L309*M309*N309</f>
      </c>
      <c r="R309" s="73" t="str">
        <f>O309*K309*M309*N309</f>
      </c>
      <c r="S309" s="74" t="str">
        <f>R309-Q309</f>
      </c>
      <c r="T309" s="20" t="str">
        <f>IFERROR(INDEX('Cost_Components'!$R$2:$R$27,MATCH(E309,'Cost_Components'!$A$2:$A$27,0)),"")</f>
      </c>
      <c r="U309" s="75" t="str">
        <f>IFERROR(INDEX('Cost_Components'!$Q$2:$Q$27,MATCH(E309,'Cost_Components'!$A$2:$A$27,0)),"")</f>
      </c>
      <c r="V309" s="76" t="str">
        <f>1/(1+'Calculation_Assumptions'!$B$5)^(B309-'Calculation_Assumptions'!$B$2)</f>
      </c>
      <c r="W309" s="77" t="str">
        <f>Q309*V309</f>
      </c>
      <c r="X309" s="78" t="str">
        <f>R309*V309</f>
      </c>
      <c r="Y309" s="79" t="str">
        <f>S309*V309</f>
      </c>
      <c r="Z309" s="80" t="str">
        <f>IFERROR(INDEX('Cost_Components'!$T$2:$T$27,MATCH(E309,'Cost_Components'!$A$2:$A$27,0)),"")</f>
      </c>
      <c r="AA309" s="81" t="str">
        <f>IFERROR(INDEX('Cost_Components'!$U$2:$U$27,MATCH(E309,'Cost_Components'!$A$2:$A$27,0)),"")</f>
      </c>
      <c r="AB309" s="82" t="str">
        <f>IFERROR(INDEX('Cost_Components'!$V$2:$V$27,MATCH(E309,'Cost_Components'!$A$2:$A$27,0)),"")</f>
      </c>
      <c r="AC309" s="83" t="str">
        <f>IFERROR(INDEX('Cost_Components'!$M$2:$M$27,MATCH(E309,'Cost_Components'!$A$2:$A$27,0)),"")</f>
      </c>
      <c r="AD309" s="84" t="str">
        <f>IFERROR(INDEX('Cost_Components'!$N$2:$N$27,MATCH(E309,'Cost_Components'!$A$2:$A$27,0)),"")</f>
      </c>
      <c r="AE309" s="20" t="str">
        <f>IFERROR(INDEX('Cost_Components'!$O$2:$O$27,MATCH(E309,'Cost_Components'!$A$2:$A$27,0)),"")</f>
      </c>
      <c r="AF309" s="85" t="n">
        <v>7371988.88312106</v>
      </c>
      <c r="AG309" s="86" t="n">
        <v>7352671.00291986</v>
      </c>
      <c r="AH309" s="87" t="str">
        <f>IF(H309="shared-count-once",COUNTIFS($A$2:$A$1353,A309,$B$2:$B$1353,B309,$E$2:$E$1353,E309),1)</f>
      </c>
    </row>
    <row r="310">
      <c r="A310" t="s">
        <v>200</v>
      </c>
      <c r="B310" s="59" t="n">
        <v>2047</v>
      </c>
      <c r="C310" t="s">
        <v>200</v>
      </c>
      <c r="D310" t="s">
        <v>180</v>
      </c>
      <c r="E310" s="60" t="s">
        <v>287</v>
      </c>
      <c r="F310" s="61" t="s">
        <v>288</v>
      </c>
      <c r="G310" s="62" t="s">
        <v>204</v>
      </c>
      <c r="H310" s="63" t="s">
        <v>195</v>
      </c>
      <c r="I310" s="64" t="s">
        <v>267</v>
      </c>
      <c r="J310" s="65" t="str">
        <f>IFERROR(INDEX('Cost_Components'!$K$2:$K$27,MATCH(E310,'Cost_Components'!$A$2:$A$27,0)),"")</f>
      </c>
      <c r="K310" s="66" t="str">
        <f>IF(OR(L310="",Z310="",AA310="",AB310=""),"",IF(B310&lt;AA310,L310,IF(B310&gt;AB310,Z310,L310+(Z310-L310)*MIN(MAX((B310-AA310+1)/MAX(AB310-AA310+1,1),0),1))))</f>
      </c>
      <c r="L310" s="67" t="str">
        <f>IFERROR(INDEX('Cost_Components'!$S$2:$S$27,MATCH(E310,'Cost_Components'!$A$2:$A$27,0)),"")</f>
      </c>
      <c r="M310" s="68" t="str">
        <f>IFERROR(INDEX('Cost_Components'!$L$2:$L$27,MATCH(E310,'Cost_Components'!$A$2:$A$27,0)),"")</f>
      </c>
      <c r="N310" s="69" t="str">
        <f>IFERROR(INDEX('Cost_Components'!$P$2:$P$27,MATCH(E310,'Cost_Components'!$A$2:$A$27,0)),"")</f>
      </c>
      <c r="O310" s="70" t="str">
        <f>AF310*J310</f>
      </c>
      <c r="P310" s="71" t="str">
        <f>AG310*J310</f>
      </c>
      <c r="Q310" s="72" t="str">
        <f>P310*L310*M310*N310</f>
      </c>
      <c r="R310" s="73" t="str">
        <f>O310*K310*M310*N310</f>
      </c>
      <c r="S310" s="74" t="str">
        <f>R310-Q310</f>
      </c>
      <c r="T310" s="20" t="str">
        <f>IFERROR(INDEX('Cost_Components'!$R$2:$R$27,MATCH(E310,'Cost_Components'!$A$2:$A$27,0)),"")</f>
      </c>
      <c r="U310" s="75" t="str">
        <f>IFERROR(INDEX('Cost_Components'!$Q$2:$Q$27,MATCH(E310,'Cost_Components'!$A$2:$A$27,0)),"")</f>
      </c>
      <c r="V310" s="76" t="str">
        <f>1/(1+'Calculation_Assumptions'!$B$5)^(B310-'Calculation_Assumptions'!$B$2)</f>
      </c>
      <c r="W310" s="77" t="str">
        <f>Q310*V310</f>
      </c>
      <c r="X310" s="78" t="str">
        <f>R310*V310</f>
      </c>
      <c r="Y310" s="79" t="str">
        <f>S310*V310</f>
      </c>
      <c r="Z310" s="80" t="str">
        <f>IFERROR(INDEX('Cost_Components'!$T$2:$T$27,MATCH(E310,'Cost_Components'!$A$2:$A$27,0)),"")</f>
      </c>
      <c r="AA310" s="81" t="str">
        <f>IFERROR(INDEX('Cost_Components'!$U$2:$U$27,MATCH(E310,'Cost_Components'!$A$2:$A$27,0)),"")</f>
      </c>
      <c r="AB310" s="82" t="str">
        <f>IFERROR(INDEX('Cost_Components'!$V$2:$V$27,MATCH(E310,'Cost_Components'!$A$2:$A$27,0)),"")</f>
      </c>
      <c r="AC310" s="83" t="str">
        <f>IFERROR(INDEX('Cost_Components'!$M$2:$M$27,MATCH(E310,'Cost_Components'!$A$2:$A$27,0)),"")</f>
      </c>
      <c r="AD310" s="84" t="str">
        <f>IFERROR(INDEX('Cost_Components'!$N$2:$N$27,MATCH(E310,'Cost_Components'!$A$2:$A$27,0)),"")</f>
      </c>
      <c r="AE310" s="20" t="str">
        <f>IFERROR(INDEX('Cost_Components'!$O$2:$O$27,MATCH(E310,'Cost_Components'!$A$2:$A$27,0)),"")</f>
      </c>
      <c r="AF310" s="85" t="n">
        <v>7476301.85556299</v>
      </c>
      <c r="AG310" s="86" t="n">
        <v>7455494.40605094</v>
      </c>
      <c r="AH310" s="87" t="str">
        <f>IF(H310="shared-count-once",COUNTIFS($A$2:$A$1353,A310,$B$2:$B$1353,B310,$E$2:$E$1353,E310),1)</f>
      </c>
    </row>
    <row r="311">
      <c r="A311" t="s">
        <v>200</v>
      </c>
      <c r="B311" s="59" t="n">
        <v>2048</v>
      </c>
      <c r="C311" t="s">
        <v>200</v>
      </c>
      <c r="D311" t="s">
        <v>180</v>
      </c>
      <c r="E311" s="60" t="s">
        <v>287</v>
      </c>
      <c r="F311" s="61" t="s">
        <v>288</v>
      </c>
      <c r="G311" s="62" t="s">
        <v>204</v>
      </c>
      <c r="H311" s="63" t="s">
        <v>195</v>
      </c>
      <c r="I311" s="64" t="s">
        <v>267</v>
      </c>
      <c r="J311" s="65" t="str">
        <f>IFERROR(INDEX('Cost_Components'!$K$2:$K$27,MATCH(E311,'Cost_Components'!$A$2:$A$27,0)),"")</f>
      </c>
      <c r="K311" s="66" t="str">
        <f>IF(OR(L311="",Z311="",AA311="",AB311=""),"",IF(B311&lt;AA311,L311,IF(B311&gt;AB311,Z311,L311+(Z311-L311)*MIN(MAX((B311-AA311+1)/MAX(AB311-AA311+1,1),0),1))))</f>
      </c>
      <c r="L311" s="67" t="str">
        <f>IFERROR(INDEX('Cost_Components'!$S$2:$S$27,MATCH(E311,'Cost_Components'!$A$2:$A$27,0)),"")</f>
      </c>
      <c r="M311" s="68" t="str">
        <f>IFERROR(INDEX('Cost_Components'!$L$2:$L$27,MATCH(E311,'Cost_Components'!$A$2:$A$27,0)),"")</f>
      </c>
      <c r="N311" s="69" t="str">
        <f>IFERROR(INDEX('Cost_Components'!$P$2:$P$27,MATCH(E311,'Cost_Components'!$A$2:$A$27,0)),"")</f>
      </c>
      <c r="O311" s="70" t="str">
        <f>AF311*J311</f>
      </c>
      <c r="P311" s="71" t="str">
        <f>AG311*J311</f>
      </c>
      <c r="Q311" s="72" t="str">
        <f>P311*L311*M311*N311</f>
      </c>
      <c r="R311" s="73" t="str">
        <f>O311*K311*M311*N311</f>
      </c>
      <c r="S311" s="74" t="str">
        <f>R311-Q311</f>
      </c>
      <c r="T311" s="20" t="str">
        <f>IFERROR(INDEX('Cost_Components'!$R$2:$R$27,MATCH(E311,'Cost_Components'!$A$2:$A$27,0)),"")</f>
      </c>
      <c r="U311" s="75" t="str">
        <f>IFERROR(INDEX('Cost_Components'!$Q$2:$Q$27,MATCH(E311,'Cost_Components'!$A$2:$A$27,0)),"")</f>
      </c>
      <c r="V311" s="76" t="str">
        <f>1/(1+'Calculation_Assumptions'!$B$5)^(B311-'Calculation_Assumptions'!$B$2)</f>
      </c>
      <c r="W311" s="77" t="str">
        <f>Q311*V311</f>
      </c>
      <c r="X311" s="78" t="str">
        <f>R311*V311</f>
      </c>
      <c r="Y311" s="79" t="str">
        <f>S311*V311</f>
      </c>
      <c r="Z311" s="80" t="str">
        <f>IFERROR(INDEX('Cost_Components'!$T$2:$T$27,MATCH(E311,'Cost_Components'!$A$2:$A$27,0)),"")</f>
      </c>
      <c r="AA311" s="81" t="str">
        <f>IFERROR(INDEX('Cost_Components'!$U$2:$U$27,MATCH(E311,'Cost_Components'!$A$2:$A$27,0)),"")</f>
      </c>
      <c r="AB311" s="82" t="str">
        <f>IFERROR(INDEX('Cost_Components'!$V$2:$V$27,MATCH(E311,'Cost_Components'!$A$2:$A$27,0)),"")</f>
      </c>
      <c r="AC311" s="83" t="str">
        <f>IFERROR(INDEX('Cost_Components'!$M$2:$M$27,MATCH(E311,'Cost_Components'!$A$2:$A$27,0)),"")</f>
      </c>
      <c r="AD311" s="84" t="str">
        <f>IFERROR(INDEX('Cost_Components'!$N$2:$N$27,MATCH(E311,'Cost_Components'!$A$2:$A$27,0)),"")</f>
      </c>
      <c r="AE311" s="20" t="str">
        <f>IFERROR(INDEX('Cost_Components'!$O$2:$O$27,MATCH(E311,'Cost_Components'!$A$2:$A$27,0)),"")</f>
      </c>
      <c r="AF311" s="85" t="n">
        <v>7578785.76191955</v>
      </c>
      <c r="AG311" s="86" t="n">
        <v>7556459.2432584</v>
      </c>
      <c r="AH311" s="87" t="str">
        <f>IF(H311="shared-count-once",COUNTIFS($A$2:$A$1353,A311,$B$2:$B$1353,B311,$E$2:$E$1353,E311),1)</f>
      </c>
    </row>
    <row r="312">
      <c r="A312" t="s">
        <v>200</v>
      </c>
      <c r="B312" s="59" t="n">
        <v>2049</v>
      </c>
      <c r="C312" t="s">
        <v>200</v>
      </c>
      <c r="D312" t="s">
        <v>180</v>
      </c>
      <c r="E312" s="60" t="s">
        <v>287</v>
      </c>
      <c r="F312" s="61" t="s">
        <v>288</v>
      </c>
      <c r="G312" s="62" t="s">
        <v>204</v>
      </c>
      <c r="H312" s="63" t="s">
        <v>195</v>
      </c>
      <c r="I312" s="64" t="s">
        <v>267</v>
      </c>
      <c r="J312" s="65" t="str">
        <f>IFERROR(INDEX('Cost_Components'!$K$2:$K$27,MATCH(E312,'Cost_Components'!$A$2:$A$27,0)),"")</f>
      </c>
      <c r="K312" s="66" t="str">
        <f>IF(OR(L312="",Z312="",AA312="",AB312=""),"",IF(B312&lt;AA312,L312,IF(B312&gt;AB312,Z312,L312+(Z312-L312)*MIN(MAX((B312-AA312+1)/MAX(AB312-AA312+1,1),0),1))))</f>
      </c>
      <c r="L312" s="67" t="str">
        <f>IFERROR(INDEX('Cost_Components'!$S$2:$S$27,MATCH(E312,'Cost_Components'!$A$2:$A$27,0)),"")</f>
      </c>
      <c r="M312" s="68" t="str">
        <f>IFERROR(INDEX('Cost_Components'!$L$2:$L$27,MATCH(E312,'Cost_Components'!$A$2:$A$27,0)),"")</f>
      </c>
      <c r="N312" s="69" t="str">
        <f>IFERROR(INDEX('Cost_Components'!$P$2:$P$27,MATCH(E312,'Cost_Components'!$A$2:$A$27,0)),"")</f>
      </c>
      <c r="O312" s="70" t="str">
        <f>AF312*J312</f>
      </c>
      <c r="P312" s="71" t="str">
        <f>AG312*J312</f>
      </c>
      <c r="Q312" s="72" t="str">
        <f>P312*L312*M312*N312</f>
      </c>
      <c r="R312" s="73" t="str">
        <f>O312*K312*M312*N312</f>
      </c>
      <c r="S312" s="74" t="str">
        <f>R312-Q312</f>
      </c>
      <c r="T312" s="20" t="str">
        <f>IFERROR(INDEX('Cost_Components'!$R$2:$R$27,MATCH(E312,'Cost_Components'!$A$2:$A$27,0)),"")</f>
      </c>
      <c r="U312" s="75" t="str">
        <f>IFERROR(INDEX('Cost_Components'!$Q$2:$Q$27,MATCH(E312,'Cost_Components'!$A$2:$A$27,0)),"")</f>
      </c>
      <c r="V312" s="76" t="str">
        <f>1/(1+'Calculation_Assumptions'!$B$5)^(B312-'Calculation_Assumptions'!$B$2)</f>
      </c>
      <c r="W312" s="77" t="str">
        <f>Q312*V312</f>
      </c>
      <c r="X312" s="78" t="str">
        <f>R312*V312</f>
      </c>
      <c r="Y312" s="79" t="str">
        <f>S312*V312</f>
      </c>
      <c r="Z312" s="80" t="str">
        <f>IFERROR(INDEX('Cost_Components'!$T$2:$T$27,MATCH(E312,'Cost_Components'!$A$2:$A$27,0)),"")</f>
      </c>
      <c r="AA312" s="81" t="str">
        <f>IFERROR(INDEX('Cost_Components'!$U$2:$U$27,MATCH(E312,'Cost_Components'!$A$2:$A$27,0)),"")</f>
      </c>
      <c r="AB312" s="82" t="str">
        <f>IFERROR(INDEX('Cost_Components'!$V$2:$V$27,MATCH(E312,'Cost_Components'!$A$2:$A$27,0)),"")</f>
      </c>
      <c r="AC312" s="83" t="str">
        <f>IFERROR(INDEX('Cost_Components'!$M$2:$M$27,MATCH(E312,'Cost_Components'!$A$2:$A$27,0)),"")</f>
      </c>
      <c r="AD312" s="84" t="str">
        <f>IFERROR(INDEX('Cost_Components'!$N$2:$N$27,MATCH(E312,'Cost_Components'!$A$2:$A$27,0)),"")</f>
      </c>
      <c r="AE312" s="20" t="str">
        <f>IFERROR(INDEX('Cost_Components'!$O$2:$O$27,MATCH(E312,'Cost_Components'!$A$2:$A$27,0)),"")</f>
      </c>
      <c r="AF312" s="85" t="n">
        <v>7676417.63062444</v>
      </c>
      <c r="AG312" s="86" t="n">
        <v>7652544.64203908</v>
      </c>
      <c r="AH312" s="87" t="str">
        <f>IF(H312="shared-count-once",COUNTIFS($A$2:$A$1353,A312,$B$2:$B$1353,B312,$E$2:$E$1353,E312),1)</f>
      </c>
    </row>
    <row r="313">
      <c r="A313" t="s">
        <v>200</v>
      </c>
      <c r="B313" s="59" t="n">
        <v>2050</v>
      </c>
      <c r="C313" t="s">
        <v>200</v>
      </c>
      <c r="D313" t="s">
        <v>180</v>
      </c>
      <c r="E313" s="60" t="s">
        <v>287</v>
      </c>
      <c r="F313" s="61" t="s">
        <v>288</v>
      </c>
      <c r="G313" s="62" t="s">
        <v>204</v>
      </c>
      <c r="H313" s="63" t="s">
        <v>195</v>
      </c>
      <c r="I313" s="64" t="s">
        <v>267</v>
      </c>
      <c r="J313" s="65" t="str">
        <f>IFERROR(INDEX('Cost_Components'!$K$2:$K$27,MATCH(E313,'Cost_Components'!$A$2:$A$27,0)),"")</f>
      </c>
      <c r="K313" s="66" t="str">
        <f>IF(OR(L313="",Z313="",AA313="",AB313=""),"",IF(B313&lt;AA313,L313,IF(B313&gt;AB313,Z313,L313+(Z313-L313)*MIN(MAX((B313-AA313+1)/MAX(AB313-AA313+1,1),0),1))))</f>
      </c>
      <c r="L313" s="67" t="str">
        <f>IFERROR(INDEX('Cost_Components'!$S$2:$S$27,MATCH(E313,'Cost_Components'!$A$2:$A$27,0)),"")</f>
      </c>
      <c r="M313" s="68" t="str">
        <f>IFERROR(INDEX('Cost_Components'!$L$2:$L$27,MATCH(E313,'Cost_Components'!$A$2:$A$27,0)),"")</f>
      </c>
      <c r="N313" s="69" t="str">
        <f>IFERROR(INDEX('Cost_Components'!$P$2:$P$27,MATCH(E313,'Cost_Components'!$A$2:$A$27,0)),"")</f>
      </c>
      <c r="O313" s="70" t="str">
        <f>AF313*J313</f>
      </c>
      <c r="P313" s="71" t="str">
        <f>AG313*J313</f>
      </c>
      <c r="Q313" s="72" t="str">
        <f>P313*L313*M313*N313</f>
      </c>
      <c r="R313" s="73" t="str">
        <f>O313*K313*M313*N313</f>
      </c>
      <c r="S313" s="74" t="str">
        <f>R313-Q313</f>
      </c>
      <c r="T313" s="20" t="str">
        <f>IFERROR(INDEX('Cost_Components'!$R$2:$R$27,MATCH(E313,'Cost_Components'!$A$2:$A$27,0)),"")</f>
      </c>
      <c r="U313" s="75" t="str">
        <f>IFERROR(INDEX('Cost_Components'!$Q$2:$Q$27,MATCH(E313,'Cost_Components'!$A$2:$A$27,0)),"")</f>
      </c>
      <c r="V313" s="76" t="str">
        <f>1/(1+'Calculation_Assumptions'!$B$5)^(B313-'Calculation_Assumptions'!$B$2)</f>
      </c>
      <c r="W313" s="77" t="str">
        <f>Q313*V313</f>
      </c>
      <c r="X313" s="78" t="str">
        <f>R313*V313</f>
      </c>
      <c r="Y313" s="79" t="str">
        <f>S313*V313</f>
      </c>
      <c r="Z313" s="80" t="str">
        <f>IFERROR(INDEX('Cost_Components'!$T$2:$T$27,MATCH(E313,'Cost_Components'!$A$2:$A$27,0)),"")</f>
      </c>
      <c r="AA313" s="81" t="str">
        <f>IFERROR(INDEX('Cost_Components'!$U$2:$U$27,MATCH(E313,'Cost_Components'!$A$2:$A$27,0)),"")</f>
      </c>
      <c r="AB313" s="82" t="str">
        <f>IFERROR(INDEX('Cost_Components'!$V$2:$V$27,MATCH(E313,'Cost_Components'!$A$2:$A$27,0)),"")</f>
      </c>
      <c r="AC313" s="83" t="str">
        <f>IFERROR(INDEX('Cost_Components'!$M$2:$M$27,MATCH(E313,'Cost_Components'!$A$2:$A$27,0)),"")</f>
      </c>
      <c r="AD313" s="84" t="str">
        <f>IFERROR(INDEX('Cost_Components'!$N$2:$N$27,MATCH(E313,'Cost_Components'!$A$2:$A$27,0)),"")</f>
      </c>
      <c r="AE313" s="20" t="str">
        <f>IFERROR(INDEX('Cost_Components'!$O$2:$O$27,MATCH(E313,'Cost_Components'!$A$2:$A$27,0)),"")</f>
      </c>
      <c r="AF313" s="85" t="n">
        <v>7771775.22122806</v>
      </c>
      <c r="AG313" s="86" t="n">
        <v>7746332.78496876</v>
      </c>
      <c r="AH313" s="87" t="str">
        <f>IF(H313="shared-count-once",COUNTIFS($A$2:$A$1353,A313,$B$2:$B$1353,B313,$E$2:$E$1353,E313),1)</f>
      </c>
    </row>
    <row r="314">
      <c r="A314" t="s">
        <v>200</v>
      </c>
      <c r="B314" s="59" t="n">
        <v>2025</v>
      </c>
      <c r="C314" t="s">
        <v>200</v>
      </c>
      <c r="D314" t="s">
        <v>180</v>
      </c>
      <c r="E314" s="60" t="s">
        <v>289</v>
      </c>
      <c r="F314" s="61" t="s">
        <v>290</v>
      </c>
      <c r="G314" s="62" t="s">
        <v>204</v>
      </c>
      <c r="H314" s="63" t="s">
        <v>195</v>
      </c>
      <c r="I314" s="64" t="s">
        <v>267</v>
      </c>
      <c r="J314" s="65" t="str">
        <f>IFERROR(INDEX('Cost_Components'!$K$2:$K$27,MATCH(E314,'Cost_Components'!$A$2:$A$27,0)),"")</f>
      </c>
      <c r="K314" s="66" t="str">
        <f>IF(OR(L314="",Z314="",AA314="",AB314=""),"",IF(B314&lt;AA314,L314,IF(B314&gt;AB314,Z314,L314+(Z314-L314)*MIN(MAX((B314-AA314+1)/MAX(AB314-AA314+1,1),0),1))))</f>
      </c>
      <c r="L314" s="67" t="str">
        <f>IFERROR(INDEX('Cost_Components'!$S$2:$S$27,MATCH(E314,'Cost_Components'!$A$2:$A$27,0)),"")</f>
      </c>
      <c r="M314" s="68" t="str">
        <f>IFERROR(INDEX('Cost_Components'!$L$2:$L$27,MATCH(E314,'Cost_Components'!$A$2:$A$27,0)),"")</f>
      </c>
      <c r="N314" s="69" t="str">
        <f>IFERROR(INDEX('Cost_Components'!$P$2:$P$27,MATCH(E314,'Cost_Components'!$A$2:$A$27,0)),"")</f>
      </c>
      <c r="O314" s="70" t="str">
        <f>AF314*J314</f>
      </c>
      <c r="P314" s="71" t="str">
        <f>AG314*J314</f>
      </c>
      <c r="Q314" s="72" t="str">
        <f>P314*L314*M314*N314</f>
      </c>
      <c r="R314" s="73" t="str">
        <f>O314*K314*M314*N314</f>
      </c>
      <c r="S314" s="74" t="str">
        <f>R314-Q314</f>
      </c>
      <c r="T314" s="20" t="str">
        <f>IFERROR(INDEX('Cost_Components'!$R$2:$R$27,MATCH(E314,'Cost_Components'!$A$2:$A$27,0)),"")</f>
      </c>
      <c r="U314" s="75" t="str">
        <f>IFERROR(INDEX('Cost_Components'!$Q$2:$Q$27,MATCH(E314,'Cost_Components'!$A$2:$A$27,0)),"")</f>
      </c>
      <c r="V314" s="76" t="str">
        <f>1/(1+'Calculation_Assumptions'!$B$5)^(B314-'Calculation_Assumptions'!$B$2)</f>
      </c>
      <c r="W314" s="77" t="str">
        <f>Q314*V314</f>
      </c>
      <c r="X314" s="78" t="str">
        <f>R314*V314</f>
      </c>
      <c r="Y314" s="79" t="str">
        <f>S314*V314</f>
      </c>
      <c r="Z314" s="80" t="str">
        <f>IFERROR(INDEX('Cost_Components'!$T$2:$T$27,MATCH(E314,'Cost_Components'!$A$2:$A$27,0)),"")</f>
      </c>
      <c r="AA314" s="81" t="str">
        <f>IFERROR(INDEX('Cost_Components'!$U$2:$U$27,MATCH(E314,'Cost_Components'!$A$2:$A$27,0)),"")</f>
      </c>
      <c r="AB314" s="82" t="str">
        <f>IFERROR(INDEX('Cost_Components'!$V$2:$V$27,MATCH(E314,'Cost_Components'!$A$2:$A$27,0)),"")</f>
      </c>
      <c r="AC314" s="83" t="str">
        <f>IFERROR(INDEX('Cost_Components'!$M$2:$M$27,MATCH(E314,'Cost_Components'!$A$2:$A$27,0)),"")</f>
      </c>
      <c r="AD314" s="84" t="str">
        <f>IFERROR(INDEX('Cost_Components'!$N$2:$N$27,MATCH(E314,'Cost_Components'!$A$2:$A$27,0)),"")</f>
      </c>
      <c r="AE314" s="20" t="str">
        <f>IFERROR(INDEX('Cost_Components'!$O$2:$O$27,MATCH(E314,'Cost_Components'!$A$2:$A$27,0)),"")</f>
      </c>
      <c r="AF314" s="85" t="n">
        <v>4938680.56669456</v>
      </c>
      <c r="AG314" s="86" t="n">
        <v>4938586.08395776</v>
      </c>
      <c r="AH314" s="87" t="str">
        <f>IF(H314="shared-count-once",COUNTIFS($A$2:$A$1353,A314,$B$2:$B$1353,B314,$E$2:$E$1353,E314),1)</f>
      </c>
    </row>
    <row r="315">
      <c r="A315" t="s">
        <v>200</v>
      </c>
      <c r="B315" s="59" t="n">
        <v>2026</v>
      </c>
      <c r="C315" t="s">
        <v>200</v>
      </c>
      <c r="D315" t="s">
        <v>180</v>
      </c>
      <c r="E315" s="60" t="s">
        <v>289</v>
      </c>
      <c r="F315" s="61" t="s">
        <v>290</v>
      </c>
      <c r="G315" s="62" t="s">
        <v>204</v>
      </c>
      <c r="H315" s="63" t="s">
        <v>195</v>
      </c>
      <c r="I315" s="64" t="s">
        <v>267</v>
      </c>
      <c r="J315" s="65" t="str">
        <f>IFERROR(INDEX('Cost_Components'!$K$2:$K$27,MATCH(E315,'Cost_Components'!$A$2:$A$27,0)),"")</f>
      </c>
      <c r="K315" s="66" t="str">
        <f>IF(OR(L315="",Z315="",AA315="",AB315=""),"",IF(B315&lt;AA315,L315,IF(B315&gt;AB315,Z315,L315+(Z315-L315)*MIN(MAX((B315-AA315+1)/MAX(AB315-AA315+1,1),0),1))))</f>
      </c>
      <c r="L315" s="67" t="str">
        <f>IFERROR(INDEX('Cost_Components'!$S$2:$S$27,MATCH(E315,'Cost_Components'!$A$2:$A$27,0)),"")</f>
      </c>
      <c r="M315" s="68" t="str">
        <f>IFERROR(INDEX('Cost_Components'!$L$2:$L$27,MATCH(E315,'Cost_Components'!$A$2:$A$27,0)),"")</f>
      </c>
      <c r="N315" s="69" t="str">
        <f>IFERROR(INDEX('Cost_Components'!$P$2:$P$27,MATCH(E315,'Cost_Components'!$A$2:$A$27,0)),"")</f>
      </c>
      <c r="O315" s="70" t="str">
        <f>AF315*J315</f>
      </c>
      <c r="P315" s="71" t="str">
        <f>AG315*J315</f>
      </c>
      <c r="Q315" s="72" t="str">
        <f>P315*L315*M315*N315</f>
      </c>
      <c r="R315" s="73" t="str">
        <f>O315*K315*M315*N315</f>
      </c>
      <c r="S315" s="74" t="str">
        <f>R315-Q315</f>
      </c>
      <c r="T315" s="20" t="str">
        <f>IFERROR(INDEX('Cost_Components'!$R$2:$R$27,MATCH(E315,'Cost_Components'!$A$2:$A$27,0)),"")</f>
      </c>
      <c r="U315" s="75" t="str">
        <f>IFERROR(INDEX('Cost_Components'!$Q$2:$Q$27,MATCH(E315,'Cost_Components'!$A$2:$A$27,0)),"")</f>
      </c>
      <c r="V315" s="76" t="str">
        <f>1/(1+'Calculation_Assumptions'!$B$5)^(B315-'Calculation_Assumptions'!$B$2)</f>
      </c>
      <c r="W315" s="77" t="str">
        <f>Q315*V315</f>
      </c>
      <c r="X315" s="78" t="str">
        <f>R315*V315</f>
      </c>
      <c r="Y315" s="79" t="str">
        <f>S315*V315</f>
      </c>
      <c r="Z315" s="80" t="str">
        <f>IFERROR(INDEX('Cost_Components'!$T$2:$T$27,MATCH(E315,'Cost_Components'!$A$2:$A$27,0)),"")</f>
      </c>
      <c r="AA315" s="81" t="str">
        <f>IFERROR(INDEX('Cost_Components'!$U$2:$U$27,MATCH(E315,'Cost_Components'!$A$2:$A$27,0)),"")</f>
      </c>
      <c r="AB315" s="82" t="str">
        <f>IFERROR(INDEX('Cost_Components'!$V$2:$V$27,MATCH(E315,'Cost_Components'!$A$2:$A$27,0)),"")</f>
      </c>
      <c r="AC315" s="83" t="str">
        <f>IFERROR(INDEX('Cost_Components'!$M$2:$M$27,MATCH(E315,'Cost_Components'!$A$2:$A$27,0)),"")</f>
      </c>
      <c r="AD315" s="84" t="str">
        <f>IFERROR(INDEX('Cost_Components'!$N$2:$N$27,MATCH(E315,'Cost_Components'!$A$2:$A$27,0)),"")</f>
      </c>
      <c r="AE315" s="20" t="str">
        <f>IFERROR(INDEX('Cost_Components'!$O$2:$O$27,MATCH(E315,'Cost_Components'!$A$2:$A$27,0)),"")</f>
      </c>
      <c r="AF315" s="85" t="n">
        <v>5060157.36924225</v>
      </c>
      <c r="AG315" s="86" t="n">
        <v>5059876.23903272</v>
      </c>
      <c r="AH315" s="87" t="str">
        <f>IF(H315="shared-count-once",COUNTIFS($A$2:$A$1353,A315,$B$2:$B$1353,B315,$E$2:$E$1353,E315),1)</f>
      </c>
    </row>
    <row r="316">
      <c r="A316" t="s">
        <v>200</v>
      </c>
      <c r="B316" s="59" t="n">
        <v>2027</v>
      </c>
      <c r="C316" t="s">
        <v>200</v>
      </c>
      <c r="D316" t="s">
        <v>180</v>
      </c>
      <c r="E316" s="60" t="s">
        <v>289</v>
      </c>
      <c r="F316" s="61" t="s">
        <v>290</v>
      </c>
      <c r="G316" s="62" t="s">
        <v>204</v>
      </c>
      <c r="H316" s="63" t="s">
        <v>195</v>
      </c>
      <c r="I316" s="64" t="s">
        <v>267</v>
      </c>
      <c r="J316" s="65" t="str">
        <f>IFERROR(INDEX('Cost_Components'!$K$2:$K$27,MATCH(E316,'Cost_Components'!$A$2:$A$27,0)),"")</f>
      </c>
      <c r="K316" s="66" t="str">
        <f>IF(OR(L316="",Z316="",AA316="",AB316=""),"",IF(B316&lt;AA316,L316,IF(B316&gt;AB316,Z316,L316+(Z316-L316)*MIN(MAX((B316-AA316+1)/MAX(AB316-AA316+1,1),0),1))))</f>
      </c>
      <c r="L316" s="67" t="str">
        <f>IFERROR(INDEX('Cost_Components'!$S$2:$S$27,MATCH(E316,'Cost_Components'!$A$2:$A$27,0)),"")</f>
      </c>
      <c r="M316" s="68" t="str">
        <f>IFERROR(INDEX('Cost_Components'!$L$2:$L$27,MATCH(E316,'Cost_Components'!$A$2:$A$27,0)),"")</f>
      </c>
      <c r="N316" s="69" t="str">
        <f>IFERROR(INDEX('Cost_Components'!$P$2:$P$27,MATCH(E316,'Cost_Components'!$A$2:$A$27,0)),"")</f>
      </c>
      <c r="O316" s="70" t="str">
        <f>AF316*J316</f>
      </c>
      <c r="P316" s="71" t="str">
        <f>AG316*J316</f>
      </c>
      <c r="Q316" s="72" t="str">
        <f>P316*L316*M316*N316</f>
      </c>
      <c r="R316" s="73" t="str">
        <f>O316*K316*M316*N316</f>
      </c>
      <c r="S316" s="74" t="str">
        <f>R316-Q316</f>
      </c>
      <c r="T316" s="20" t="str">
        <f>IFERROR(INDEX('Cost_Components'!$R$2:$R$27,MATCH(E316,'Cost_Components'!$A$2:$A$27,0)),"")</f>
      </c>
      <c r="U316" s="75" t="str">
        <f>IFERROR(INDEX('Cost_Components'!$Q$2:$Q$27,MATCH(E316,'Cost_Components'!$A$2:$A$27,0)),"")</f>
      </c>
      <c r="V316" s="76" t="str">
        <f>1/(1+'Calculation_Assumptions'!$B$5)^(B316-'Calculation_Assumptions'!$B$2)</f>
      </c>
      <c r="W316" s="77" t="str">
        <f>Q316*V316</f>
      </c>
      <c r="X316" s="78" t="str">
        <f>R316*V316</f>
      </c>
      <c r="Y316" s="79" t="str">
        <f>S316*V316</f>
      </c>
      <c r="Z316" s="80" t="str">
        <f>IFERROR(INDEX('Cost_Components'!$T$2:$T$27,MATCH(E316,'Cost_Components'!$A$2:$A$27,0)),"")</f>
      </c>
      <c r="AA316" s="81" t="str">
        <f>IFERROR(INDEX('Cost_Components'!$U$2:$U$27,MATCH(E316,'Cost_Components'!$A$2:$A$27,0)),"")</f>
      </c>
      <c r="AB316" s="82" t="str">
        <f>IFERROR(INDEX('Cost_Components'!$V$2:$V$27,MATCH(E316,'Cost_Components'!$A$2:$A$27,0)),"")</f>
      </c>
      <c r="AC316" s="83" t="str">
        <f>IFERROR(INDEX('Cost_Components'!$M$2:$M$27,MATCH(E316,'Cost_Components'!$A$2:$A$27,0)),"")</f>
      </c>
      <c r="AD316" s="84" t="str">
        <f>IFERROR(INDEX('Cost_Components'!$N$2:$N$27,MATCH(E316,'Cost_Components'!$A$2:$A$27,0)),"")</f>
      </c>
      <c r="AE316" s="20" t="str">
        <f>IFERROR(INDEX('Cost_Components'!$O$2:$O$27,MATCH(E316,'Cost_Components'!$A$2:$A$27,0)),"")</f>
      </c>
      <c r="AF316" s="85" t="n">
        <v>5178466.1165456</v>
      </c>
      <c r="AG316" s="86" t="n">
        <v>5177908.34578341</v>
      </c>
      <c r="AH316" s="87" t="str">
        <f>IF(H316="shared-count-once",COUNTIFS($A$2:$A$1353,A316,$B$2:$B$1353,B316,$E$2:$E$1353,E316),1)</f>
      </c>
    </row>
    <row r="317">
      <c r="A317" t="s">
        <v>200</v>
      </c>
      <c r="B317" s="59" t="n">
        <v>2028</v>
      </c>
      <c r="C317" t="s">
        <v>200</v>
      </c>
      <c r="D317" t="s">
        <v>180</v>
      </c>
      <c r="E317" s="60" t="s">
        <v>289</v>
      </c>
      <c r="F317" s="61" t="s">
        <v>290</v>
      </c>
      <c r="G317" s="62" t="s">
        <v>204</v>
      </c>
      <c r="H317" s="63" t="s">
        <v>195</v>
      </c>
      <c r="I317" s="64" t="s">
        <v>267</v>
      </c>
      <c r="J317" s="65" t="str">
        <f>IFERROR(INDEX('Cost_Components'!$K$2:$K$27,MATCH(E317,'Cost_Components'!$A$2:$A$27,0)),"")</f>
      </c>
      <c r="K317" s="66" t="str">
        <f>IF(OR(L317="",Z317="",AA317="",AB317=""),"",IF(B317&lt;AA317,L317,IF(B317&gt;AB317,Z317,L317+(Z317-L317)*MIN(MAX((B317-AA317+1)/MAX(AB317-AA317+1,1),0),1))))</f>
      </c>
      <c r="L317" s="67" t="str">
        <f>IFERROR(INDEX('Cost_Components'!$S$2:$S$27,MATCH(E317,'Cost_Components'!$A$2:$A$27,0)),"")</f>
      </c>
      <c r="M317" s="68" t="str">
        <f>IFERROR(INDEX('Cost_Components'!$L$2:$L$27,MATCH(E317,'Cost_Components'!$A$2:$A$27,0)),"")</f>
      </c>
      <c r="N317" s="69" t="str">
        <f>IFERROR(INDEX('Cost_Components'!$P$2:$P$27,MATCH(E317,'Cost_Components'!$A$2:$A$27,0)),"")</f>
      </c>
      <c r="O317" s="70" t="str">
        <f>AF317*J317</f>
      </c>
      <c r="P317" s="71" t="str">
        <f>AG317*J317</f>
      </c>
      <c r="Q317" s="72" t="str">
        <f>P317*L317*M317*N317</f>
      </c>
      <c r="R317" s="73" t="str">
        <f>O317*K317*M317*N317</f>
      </c>
      <c r="S317" s="74" t="str">
        <f>R317-Q317</f>
      </c>
      <c r="T317" s="20" t="str">
        <f>IFERROR(INDEX('Cost_Components'!$R$2:$R$27,MATCH(E317,'Cost_Components'!$A$2:$A$27,0)),"")</f>
      </c>
      <c r="U317" s="75" t="str">
        <f>IFERROR(INDEX('Cost_Components'!$Q$2:$Q$27,MATCH(E317,'Cost_Components'!$A$2:$A$27,0)),"")</f>
      </c>
      <c r="V317" s="76" t="str">
        <f>1/(1+'Calculation_Assumptions'!$B$5)^(B317-'Calculation_Assumptions'!$B$2)</f>
      </c>
      <c r="W317" s="77" t="str">
        <f>Q317*V317</f>
      </c>
      <c r="X317" s="78" t="str">
        <f>R317*V317</f>
      </c>
      <c r="Y317" s="79" t="str">
        <f>S317*V317</f>
      </c>
      <c r="Z317" s="80" t="str">
        <f>IFERROR(INDEX('Cost_Components'!$T$2:$T$27,MATCH(E317,'Cost_Components'!$A$2:$A$27,0)),"")</f>
      </c>
      <c r="AA317" s="81" t="str">
        <f>IFERROR(INDEX('Cost_Components'!$U$2:$U$27,MATCH(E317,'Cost_Components'!$A$2:$A$27,0)),"")</f>
      </c>
      <c r="AB317" s="82" t="str">
        <f>IFERROR(INDEX('Cost_Components'!$V$2:$V$27,MATCH(E317,'Cost_Components'!$A$2:$A$27,0)),"")</f>
      </c>
      <c r="AC317" s="83" t="str">
        <f>IFERROR(INDEX('Cost_Components'!$M$2:$M$27,MATCH(E317,'Cost_Components'!$A$2:$A$27,0)),"")</f>
      </c>
      <c r="AD317" s="84" t="str">
        <f>IFERROR(INDEX('Cost_Components'!$N$2:$N$27,MATCH(E317,'Cost_Components'!$A$2:$A$27,0)),"")</f>
      </c>
      <c r="AE317" s="20" t="str">
        <f>IFERROR(INDEX('Cost_Components'!$O$2:$O$27,MATCH(E317,'Cost_Components'!$A$2:$A$27,0)),"")</f>
      </c>
      <c r="AF317" s="85" t="n">
        <v>5293284.80233918</v>
      </c>
      <c r="AG317" s="86" t="n">
        <v>5292362.05081189</v>
      </c>
      <c r="AH317" s="87" t="str">
        <f>IF(H317="shared-count-once",COUNTIFS($A$2:$A$1353,A317,$B$2:$B$1353,B317,$E$2:$E$1353,E317),1)</f>
      </c>
    </row>
    <row r="318">
      <c r="A318" t="s">
        <v>200</v>
      </c>
      <c r="B318" s="59" t="n">
        <v>2029</v>
      </c>
      <c r="C318" t="s">
        <v>200</v>
      </c>
      <c r="D318" t="s">
        <v>180</v>
      </c>
      <c r="E318" s="60" t="s">
        <v>289</v>
      </c>
      <c r="F318" s="61" t="s">
        <v>290</v>
      </c>
      <c r="G318" s="62" t="s">
        <v>204</v>
      </c>
      <c r="H318" s="63" t="s">
        <v>195</v>
      </c>
      <c r="I318" s="64" t="s">
        <v>267</v>
      </c>
      <c r="J318" s="65" t="str">
        <f>IFERROR(INDEX('Cost_Components'!$K$2:$K$27,MATCH(E318,'Cost_Components'!$A$2:$A$27,0)),"")</f>
      </c>
      <c r="K318" s="66" t="str">
        <f>IF(OR(L318="",Z318="",AA318="",AB318=""),"",IF(B318&lt;AA318,L318,IF(B318&gt;AB318,Z318,L318+(Z318-L318)*MIN(MAX((B318-AA318+1)/MAX(AB318-AA318+1,1),0),1))))</f>
      </c>
      <c r="L318" s="67" t="str">
        <f>IFERROR(INDEX('Cost_Components'!$S$2:$S$27,MATCH(E318,'Cost_Components'!$A$2:$A$27,0)),"")</f>
      </c>
      <c r="M318" s="68" t="str">
        <f>IFERROR(INDEX('Cost_Components'!$L$2:$L$27,MATCH(E318,'Cost_Components'!$A$2:$A$27,0)),"")</f>
      </c>
      <c r="N318" s="69" t="str">
        <f>IFERROR(INDEX('Cost_Components'!$P$2:$P$27,MATCH(E318,'Cost_Components'!$A$2:$A$27,0)),"")</f>
      </c>
      <c r="O318" s="70" t="str">
        <f>AF318*J318</f>
      </c>
      <c r="P318" s="71" t="str">
        <f>AG318*J318</f>
      </c>
      <c r="Q318" s="72" t="str">
        <f>P318*L318*M318*N318</f>
      </c>
      <c r="R318" s="73" t="str">
        <f>O318*K318*M318*N318</f>
      </c>
      <c r="S318" s="74" t="str">
        <f>R318-Q318</f>
      </c>
      <c r="T318" s="20" t="str">
        <f>IFERROR(INDEX('Cost_Components'!$R$2:$R$27,MATCH(E318,'Cost_Components'!$A$2:$A$27,0)),"")</f>
      </c>
      <c r="U318" s="75" t="str">
        <f>IFERROR(INDEX('Cost_Components'!$Q$2:$Q$27,MATCH(E318,'Cost_Components'!$A$2:$A$27,0)),"")</f>
      </c>
      <c r="V318" s="76" t="str">
        <f>1/(1+'Calculation_Assumptions'!$B$5)^(B318-'Calculation_Assumptions'!$B$2)</f>
      </c>
      <c r="W318" s="77" t="str">
        <f>Q318*V318</f>
      </c>
      <c r="X318" s="78" t="str">
        <f>R318*V318</f>
      </c>
      <c r="Y318" s="79" t="str">
        <f>S318*V318</f>
      </c>
      <c r="Z318" s="80" t="str">
        <f>IFERROR(INDEX('Cost_Components'!$T$2:$T$27,MATCH(E318,'Cost_Components'!$A$2:$A$27,0)),"")</f>
      </c>
      <c r="AA318" s="81" t="str">
        <f>IFERROR(INDEX('Cost_Components'!$U$2:$U$27,MATCH(E318,'Cost_Components'!$A$2:$A$27,0)),"")</f>
      </c>
      <c r="AB318" s="82" t="str">
        <f>IFERROR(INDEX('Cost_Components'!$V$2:$V$27,MATCH(E318,'Cost_Components'!$A$2:$A$27,0)),"")</f>
      </c>
      <c r="AC318" s="83" t="str">
        <f>IFERROR(INDEX('Cost_Components'!$M$2:$M$27,MATCH(E318,'Cost_Components'!$A$2:$A$27,0)),"")</f>
      </c>
      <c r="AD318" s="84" t="str">
        <f>IFERROR(INDEX('Cost_Components'!$N$2:$N$27,MATCH(E318,'Cost_Components'!$A$2:$A$27,0)),"")</f>
      </c>
      <c r="AE318" s="20" t="str">
        <f>IFERROR(INDEX('Cost_Components'!$O$2:$O$27,MATCH(E318,'Cost_Components'!$A$2:$A$27,0)),"")</f>
      </c>
      <c r="AF318" s="85" t="n">
        <v>5409001.14000391</v>
      </c>
      <c r="AG318" s="86" t="n">
        <v>5407624.20226317</v>
      </c>
      <c r="AH318" s="87" t="str">
        <f>IF(H318="shared-count-once",COUNTIFS($A$2:$A$1353,A318,$B$2:$B$1353,B318,$E$2:$E$1353,E318),1)</f>
      </c>
    </row>
    <row r="319">
      <c r="A319" t="s">
        <v>200</v>
      </c>
      <c r="B319" s="59" t="n">
        <v>2030</v>
      </c>
      <c r="C319" t="s">
        <v>200</v>
      </c>
      <c r="D319" t="s">
        <v>180</v>
      </c>
      <c r="E319" s="60" t="s">
        <v>289</v>
      </c>
      <c r="F319" s="61" t="s">
        <v>290</v>
      </c>
      <c r="G319" s="62" t="s">
        <v>204</v>
      </c>
      <c r="H319" s="63" t="s">
        <v>195</v>
      </c>
      <c r="I319" s="64" t="s">
        <v>267</v>
      </c>
      <c r="J319" s="65" t="str">
        <f>IFERROR(INDEX('Cost_Components'!$K$2:$K$27,MATCH(E319,'Cost_Components'!$A$2:$A$27,0)),"")</f>
      </c>
      <c r="K319" s="66" t="str">
        <f>IF(OR(L319="",Z319="",AA319="",AB319=""),"",IF(B319&lt;AA319,L319,IF(B319&gt;AB319,Z319,L319+(Z319-L319)*MIN(MAX((B319-AA319+1)/MAX(AB319-AA319+1,1),0),1))))</f>
      </c>
      <c r="L319" s="67" t="str">
        <f>IFERROR(INDEX('Cost_Components'!$S$2:$S$27,MATCH(E319,'Cost_Components'!$A$2:$A$27,0)),"")</f>
      </c>
      <c r="M319" s="68" t="str">
        <f>IFERROR(INDEX('Cost_Components'!$L$2:$L$27,MATCH(E319,'Cost_Components'!$A$2:$A$27,0)),"")</f>
      </c>
      <c r="N319" s="69" t="str">
        <f>IFERROR(INDEX('Cost_Components'!$P$2:$P$27,MATCH(E319,'Cost_Components'!$A$2:$A$27,0)),"")</f>
      </c>
      <c r="O319" s="70" t="str">
        <f>AF319*J319</f>
      </c>
      <c r="P319" s="71" t="str">
        <f>AG319*J319</f>
      </c>
      <c r="Q319" s="72" t="str">
        <f>P319*L319*M319*N319</f>
      </c>
      <c r="R319" s="73" t="str">
        <f>O319*K319*M319*N319</f>
      </c>
      <c r="S319" s="74" t="str">
        <f>R319-Q319</f>
      </c>
      <c r="T319" s="20" t="str">
        <f>IFERROR(INDEX('Cost_Components'!$R$2:$R$27,MATCH(E319,'Cost_Components'!$A$2:$A$27,0)),"")</f>
      </c>
      <c r="U319" s="75" t="str">
        <f>IFERROR(INDEX('Cost_Components'!$Q$2:$Q$27,MATCH(E319,'Cost_Components'!$A$2:$A$27,0)),"")</f>
      </c>
      <c r="V319" s="76" t="str">
        <f>1/(1+'Calculation_Assumptions'!$B$5)^(B319-'Calculation_Assumptions'!$B$2)</f>
      </c>
      <c r="W319" s="77" t="str">
        <f>Q319*V319</f>
      </c>
      <c r="X319" s="78" t="str">
        <f>R319*V319</f>
      </c>
      <c r="Y319" s="79" t="str">
        <f>S319*V319</f>
      </c>
      <c r="Z319" s="80" t="str">
        <f>IFERROR(INDEX('Cost_Components'!$T$2:$T$27,MATCH(E319,'Cost_Components'!$A$2:$A$27,0)),"")</f>
      </c>
      <c r="AA319" s="81" t="str">
        <f>IFERROR(INDEX('Cost_Components'!$U$2:$U$27,MATCH(E319,'Cost_Components'!$A$2:$A$27,0)),"")</f>
      </c>
      <c r="AB319" s="82" t="str">
        <f>IFERROR(INDEX('Cost_Components'!$V$2:$V$27,MATCH(E319,'Cost_Components'!$A$2:$A$27,0)),"")</f>
      </c>
      <c r="AC319" s="83" t="str">
        <f>IFERROR(INDEX('Cost_Components'!$M$2:$M$27,MATCH(E319,'Cost_Components'!$A$2:$A$27,0)),"")</f>
      </c>
      <c r="AD319" s="84" t="str">
        <f>IFERROR(INDEX('Cost_Components'!$N$2:$N$27,MATCH(E319,'Cost_Components'!$A$2:$A$27,0)),"")</f>
      </c>
      <c r="AE319" s="20" t="str">
        <f>IFERROR(INDEX('Cost_Components'!$O$2:$O$27,MATCH(E319,'Cost_Components'!$A$2:$A$27,0)),"")</f>
      </c>
      <c r="AF319" s="85" t="n">
        <v>5523759.76449367</v>
      </c>
      <c r="AG319" s="86" t="n">
        <v>5521846.50884352</v>
      </c>
      <c r="AH319" s="87" t="str">
        <f>IF(H319="shared-count-once",COUNTIFS($A$2:$A$1353,A319,$B$2:$B$1353,B319,$E$2:$E$1353,E319),1)</f>
      </c>
    </row>
    <row r="320">
      <c r="A320" t="s">
        <v>200</v>
      </c>
      <c r="B320" s="59" t="n">
        <v>2031</v>
      </c>
      <c r="C320" t="s">
        <v>200</v>
      </c>
      <c r="D320" t="s">
        <v>180</v>
      </c>
      <c r="E320" s="60" t="s">
        <v>289</v>
      </c>
      <c r="F320" s="61" t="s">
        <v>290</v>
      </c>
      <c r="G320" s="62" t="s">
        <v>204</v>
      </c>
      <c r="H320" s="63" t="s">
        <v>195</v>
      </c>
      <c r="I320" s="64" t="s">
        <v>267</v>
      </c>
      <c r="J320" s="65" t="str">
        <f>IFERROR(INDEX('Cost_Components'!$K$2:$K$27,MATCH(E320,'Cost_Components'!$A$2:$A$27,0)),"")</f>
      </c>
      <c r="K320" s="66" t="str">
        <f>IF(OR(L320="",Z320="",AA320="",AB320=""),"",IF(B320&lt;AA320,L320,IF(B320&gt;AB320,Z320,L320+(Z320-L320)*MIN(MAX((B320-AA320+1)/MAX(AB320-AA320+1,1),0),1))))</f>
      </c>
      <c r="L320" s="67" t="str">
        <f>IFERROR(INDEX('Cost_Components'!$S$2:$S$27,MATCH(E320,'Cost_Components'!$A$2:$A$27,0)),"")</f>
      </c>
      <c r="M320" s="68" t="str">
        <f>IFERROR(INDEX('Cost_Components'!$L$2:$L$27,MATCH(E320,'Cost_Components'!$A$2:$A$27,0)),"")</f>
      </c>
      <c r="N320" s="69" t="str">
        <f>IFERROR(INDEX('Cost_Components'!$P$2:$P$27,MATCH(E320,'Cost_Components'!$A$2:$A$27,0)),"")</f>
      </c>
      <c r="O320" s="70" t="str">
        <f>AF320*J320</f>
      </c>
      <c r="P320" s="71" t="str">
        <f>AG320*J320</f>
      </c>
      <c r="Q320" s="72" t="str">
        <f>P320*L320*M320*N320</f>
      </c>
      <c r="R320" s="73" t="str">
        <f>O320*K320*M320*N320</f>
      </c>
      <c r="S320" s="74" t="str">
        <f>R320-Q320</f>
      </c>
      <c r="T320" s="20" t="str">
        <f>IFERROR(INDEX('Cost_Components'!$R$2:$R$27,MATCH(E320,'Cost_Components'!$A$2:$A$27,0)),"")</f>
      </c>
      <c r="U320" s="75" t="str">
        <f>IFERROR(INDEX('Cost_Components'!$Q$2:$Q$27,MATCH(E320,'Cost_Components'!$A$2:$A$27,0)),"")</f>
      </c>
      <c r="V320" s="76" t="str">
        <f>1/(1+'Calculation_Assumptions'!$B$5)^(B320-'Calculation_Assumptions'!$B$2)</f>
      </c>
      <c r="W320" s="77" t="str">
        <f>Q320*V320</f>
      </c>
      <c r="X320" s="78" t="str">
        <f>R320*V320</f>
      </c>
      <c r="Y320" s="79" t="str">
        <f>S320*V320</f>
      </c>
      <c r="Z320" s="80" t="str">
        <f>IFERROR(INDEX('Cost_Components'!$T$2:$T$27,MATCH(E320,'Cost_Components'!$A$2:$A$27,0)),"")</f>
      </c>
      <c r="AA320" s="81" t="str">
        <f>IFERROR(INDEX('Cost_Components'!$U$2:$U$27,MATCH(E320,'Cost_Components'!$A$2:$A$27,0)),"")</f>
      </c>
      <c r="AB320" s="82" t="str">
        <f>IFERROR(INDEX('Cost_Components'!$V$2:$V$27,MATCH(E320,'Cost_Components'!$A$2:$A$27,0)),"")</f>
      </c>
      <c r="AC320" s="83" t="str">
        <f>IFERROR(INDEX('Cost_Components'!$M$2:$M$27,MATCH(E320,'Cost_Components'!$A$2:$A$27,0)),"")</f>
      </c>
      <c r="AD320" s="84" t="str">
        <f>IFERROR(INDEX('Cost_Components'!$N$2:$N$27,MATCH(E320,'Cost_Components'!$A$2:$A$27,0)),"")</f>
      </c>
      <c r="AE320" s="20" t="str">
        <f>IFERROR(INDEX('Cost_Components'!$O$2:$O$27,MATCH(E320,'Cost_Components'!$A$2:$A$27,0)),"")</f>
      </c>
      <c r="AF320" s="85" t="n">
        <v>5638422.43444246</v>
      </c>
      <c r="AG320" s="86" t="n">
        <v>5635894.28157856</v>
      </c>
      <c r="AH320" s="87" t="str">
        <f>IF(H320="shared-count-once",COUNTIFS($A$2:$A$1353,A320,$B$2:$B$1353,B320,$E$2:$E$1353,E320),1)</f>
      </c>
    </row>
    <row r="321">
      <c r="A321" t="s">
        <v>200</v>
      </c>
      <c r="B321" s="59" t="n">
        <v>2032</v>
      </c>
      <c r="C321" t="s">
        <v>200</v>
      </c>
      <c r="D321" t="s">
        <v>180</v>
      </c>
      <c r="E321" s="60" t="s">
        <v>289</v>
      </c>
      <c r="F321" s="61" t="s">
        <v>290</v>
      </c>
      <c r="G321" s="62" t="s">
        <v>204</v>
      </c>
      <c r="H321" s="63" t="s">
        <v>195</v>
      </c>
      <c r="I321" s="64" t="s">
        <v>267</v>
      </c>
      <c r="J321" s="65" t="str">
        <f>IFERROR(INDEX('Cost_Components'!$K$2:$K$27,MATCH(E321,'Cost_Components'!$A$2:$A$27,0)),"")</f>
      </c>
      <c r="K321" s="66" t="str">
        <f>IF(OR(L321="",Z321="",AA321="",AB321=""),"",IF(B321&lt;AA321,L321,IF(B321&gt;AB321,Z321,L321+(Z321-L321)*MIN(MAX((B321-AA321+1)/MAX(AB321-AA321+1,1),0),1))))</f>
      </c>
      <c r="L321" s="67" t="str">
        <f>IFERROR(INDEX('Cost_Components'!$S$2:$S$27,MATCH(E321,'Cost_Components'!$A$2:$A$27,0)),"")</f>
      </c>
      <c r="M321" s="68" t="str">
        <f>IFERROR(INDEX('Cost_Components'!$L$2:$L$27,MATCH(E321,'Cost_Components'!$A$2:$A$27,0)),"")</f>
      </c>
      <c r="N321" s="69" t="str">
        <f>IFERROR(INDEX('Cost_Components'!$P$2:$P$27,MATCH(E321,'Cost_Components'!$A$2:$A$27,0)),"")</f>
      </c>
      <c r="O321" s="70" t="str">
        <f>AF321*J321</f>
      </c>
      <c r="P321" s="71" t="str">
        <f>AG321*J321</f>
      </c>
      <c r="Q321" s="72" t="str">
        <f>P321*L321*M321*N321</f>
      </c>
      <c r="R321" s="73" t="str">
        <f>O321*K321*M321*N321</f>
      </c>
      <c r="S321" s="74" t="str">
        <f>R321-Q321</f>
      </c>
      <c r="T321" s="20" t="str">
        <f>IFERROR(INDEX('Cost_Components'!$R$2:$R$27,MATCH(E321,'Cost_Components'!$A$2:$A$27,0)),"")</f>
      </c>
      <c r="U321" s="75" t="str">
        <f>IFERROR(INDEX('Cost_Components'!$Q$2:$Q$27,MATCH(E321,'Cost_Components'!$A$2:$A$27,0)),"")</f>
      </c>
      <c r="V321" s="76" t="str">
        <f>1/(1+'Calculation_Assumptions'!$B$5)^(B321-'Calculation_Assumptions'!$B$2)</f>
      </c>
      <c r="W321" s="77" t="str">
        <f>Q321*V321</f>
      </c>
      <c r="X321" s="78" t="str">
        <f>R321*V321</f>
      </c>
      <c r="Y321" s="79" t="str">
        <f>S321*V321</f>
      </c>
      <c r="Z321" s="80" t="str">
        <f>IFERROR(INDEX('Cost_Components'!$T$2:$T$27,MATCH(E321,'Cost_Components'!$A$2:$A$27,0)),"")</f>
      </c>
      <c r="AA321" s="81" t="str">
        <f>IFERROR(INDEX('Cost_Components'!$U$2:$U$27,MATCH(E321,'Cost_Components'!$A$2:$A$27,0)),"")</f>
      </c>
      <c r="AB321" s="82" t="str">
        <f>IFERROR(INDEX('Cost_Components'!$V$2:$V$27,MATCH(E321,'Cost_Components'!$A$2:$A$27,0)),"")</f>
      </c>
      <c r="AC321" s="83" t="str">
        <f>IFERROR(INDEX('Cost_Components'!$M$2:$M$27,MATCH(E321,'Cost_Components'!$A$2:$A$27,0)),"")</f>
      </c>
      <c r="AD321" s="84" t="str">
        <f>IFERROR(INDEX('Cost_Components'!$N$2:$N$27,MATCH(E321,'Cost_Components'!$A$2:$A$27,0)),"")</f>
      </c>
      <c r="AE321" s="20" t="str">
        <f>IFERROR(INDEX('Cost_Components'!$O$2:$O$27,MATCH(E321,'Cost_Components'!$A$2:$A$27,0)),"")</f>
      </c>
      <c r="AF321" s="85" t="n">
        <v>5752980.43110527</v>
      </c>
      <c r="AG321" s="86" t="n">
        <v>5749760.92998007</v>
      </c>
      <c r="AH321" s="87" t="str">
        <f>IF(H321="shared-count-once",COUNTIFS($A$2:$A$1353,A321,$B$2:$B$1353,B321,$E$2:$E$1353,E321),1)</f>
      </c>
    </row>
    <row r="322">
      <c r="A322" t="s">
        <v>200</v>
      </c>
      <c r="B322" s="59" t="n">
        <v>2033</v>
      </c>
      <c r="C322" t="s">
        <v>200</v>
      </c>
      <c r="D322" t="s">
        <v>180</v>
      </c>
      <c r="E322" s="60" t="s">
        <v>289</v>
      </c>
      <c r="F322" s="61" t="s">
        <v>290</v>
      </c>
      <c r="G322" s="62" t="s">
        <v>204</v>
      </c>
      <c r="H322" s="63" t="s">
        <v>195</v>
      </c>
      <c r="I322" s="64" t="s">
        <v>267</v>
      </c>
      <c r="J322" s="65" t="str">
        <f>IFERROR(INDEX('Cost_Components'!$K$2:$K$27,MATCH(E322,'Cost_Components'!$A$2:$A$27,0)),"")</f>
      </c>
      <c r="K322" s="66" t="str">
        <f>IF(OR(L322="",Z322="",AA322="",AB322=""),"",IF(B322&lt;AA322,L322,IF(B322&gt;AB322,Z322,L322+(Z322-L322)*MIN(MAX((B322-AA322+1)/MAX(AB322-AA322+1,1),0),1))))</f>
      </c>
      <c r="L322" s="67" t="str">
        <f>IFERROR(INDEX('Cost_Components'!$S$2:$S$27,MATCH(E322,'Cost_Components'!$A$2:$A$27,0)),"")</f>
      </c>
      <c r="M322" s="68" t="str">
        <f>IFERROR(INDEX('Cost_Components'!$L$2:$L$27,MATCH(E322,'Cost_Components'!$A$2:$A$27,0)),"")</f>
      </c>
      <c r="N322" s="69" t="str">
        <f>IFERROR(INDEX('Cost_Components'!$P$2:$P$27,MATCH(E322,'Cost_Components'!$A$2:$A$27,0)),"")</f>
      </c>
      <c r="O322" s="70" t="str">
        <f>AF322*J322</f>
      </c>
      <c r="P322" s="71" t="str">
        <f>AG322*J322</f>
      </c>
      <c r="Q322" s="72" t="str">
        <f>P322*L322*M322*N322</f>
      </c>
      <c r="R322" s="73" t="str">
        <f>O322*K322*M322*N322</f>
      </c>
      <c r="S322" s="74" t="str">
        <f>R322-Q322</f>
      </c>
      <c r="T322" s="20" t="str">
        <f>IFERROR(INDEX('Cost_Components'!$R$2:$R$27,MATCH(E322,'Cost_Components'!$A$2:$A$27,0)),"")</f>
      </c>
      <c r="U322" s="75" t="str">
        <f>IFERROR(INDEX('Cost_Components'!$Q$2:$Q$27,MATCH(E322,'Cost_Components'!$A$2:$A$27,0)),"")</f>
      </c>
      <c r="V322" s="76" t="str">
        <f>1/(1+'Calculation_Assumptions'!$B$5)^(B322-'Calculation_Assumptions'!$B$2)</f>
      </c>
      <c r="W322" s="77" t="str">
        <f>Q322*V322</f>
      </c>
      <c r="X322" s="78" t="str">
        <f>R322*V322</f>
      </c>
      <c r="Y322" s="79" t="str">
        <f>S322*V322</f>
      </c>
      <c r="Z322" s="80" t="str">
        <f>IFERROR(INDEX('Cost_Components'!$T$2:$T$27,MATCH(E322,'Cost_Components'!$A$2:$A$27,0)),"")</f>
      </c>
      <c r="AA322" s="81" t="str">
        <f>IFERROR(INDEX('Cost_Components'!$U$2:$U$27,MATCH(E322,'Cost_Components'!$A$2:$A$27,0)),"")</f>
      </c>
      <c r="AB322" s="82" t="str">
        <f>IFERROR(INDEX('Cost_Components'!$V$2:$V$27,MATCH(E322,'Cost_Components'!$A$2:$A$27,0)),"")</f>
      </c>
      <c r="AC322" s="83" t="str">
        <f>IFERROR(INDEX('Cost_Components'!$M$2:$M$27,MATCH(E322,'Cost_Components'!$A$2:$A$27,0)),"")</f>
      </c>
      <c r="AD322" s="84" t="str">
        <f>IFERROR(INDEX('Cost_Components'!$N$2:$N$27,MATCH(E322,'Cost_Components'!$A$2:$A$27,0)),"")</f>
      </c>
      <c r="AE322" s="20" t="str">
        <f>IFERROR(INDEX('Cost_Components'!$O$2:$O$27,MATCH(E322,'Cost_Components'!$A$2:$A$27,0)),"")</f>
      </c>
      <c r="AF322" s="85" t="n">
        <v>5868130.71756892</v>
      </c>
      <c r="AG322" s="86" t="n">
        <v>5864146.54515379</v>
      </c>
      <c r="AH322" s="87" t="str">
        <f>IF(H322="shared-count-once",COUNTIFS($A$2:$A$1353,A322,$B$2:$B$1353,B322,$E$2:$E$1353,E322),1)</f>
      </c>
    </row>
    <row r="323">
      <c r="A323" t="s">
        <v>200</v>
      </c>
      <c r="B323" s="59" t="n">
        <v>2034</v>
      </c>
      <c r="C323" t="s">
        <v>200</v>
      </c>
      <c r="D323" t="s">
        <v>180</v>
      </c>
      <c r="E323" s="60" t="s">
        <v>289</v>
      </c>
      <c r="F323" s="61" t="s">
        <v>290</v>
      </c>
      <c r="G323" s="62" t="s">
        <v>204</v>
      </c>
      <c r="H323" s="63" t="s">
        <v>195</v>
      </c>
      <c r="I323" s="64" t="s">
        <v>267</v>
      </c>
      <c r="J323" s="65" t="str">
        <f>IFERROR(INDEX('Cost_Components'!$K$2:$K$27,MATCH(E323,'Cost_Components'!$A$2:$A$27,0)),"")</f>
      </c>
      <c r="K323" s="66" t="str">
        <f>IF(OR(L323="",Z323="",AA323="",AB323=""),"",IF(B323&lt;AA323,L323,IF(B323&gt;AB323,Z323,L323+(Z323-L323)*MIN(MAX((B323-AA323+1)/MAX(AB323-AA323+1,1),0),1))))</f>
      </c>
      <c r="L323" s="67" t="str">
        <f>IFERROR(INDEX('Cost_Components'!$S$2:$S$27,MATCH(E323,'Cost_Components'!$A$2:$A$27,0)),"")</f>
      </c>
      <c r="M323" s="68" t="str">
        <f>IFERROR(INDEX('Cost_Components'!$L$2:$L$27,MATCH(E323,'Cost_Components'!$A$2:$A$27,0)),"")</f>
      </c>
      <c r="N323" s="69" t="str">
        <f>IFERROR(INDEX('Cost_Components'!$P$2:$P$27,MATCH(E323,'Cost_Components'!$A$2:$A$27,0)),"")</f>
      </c>
      <c r="O323" s="70" t="str">
        <f>AF323*J323</f>
      </c>
      <c r="P323" s="71" t="str">
        <f>AG323*J323</f>
      </c>
      <c r="Q323" s="72" t="str">
        <f>P323*L323*M323*N323</f>
      </c>
      <c r="R323" s="73" t="str">
        <f>O323*K323*M323*N323</f>
      </c>
      <c r="S323" s="74" t="str">
        <f>R323-Q323</f>
      </c>
      <c r="T323" s="20" t="str">
        <f>IFERROR(INDEX('Cost_Components'!$R$2:$R$27,MATCH(E323,'Cost_Components'!$A$2:$A$27,0)),"")</f>
      </c>
      <c r="U323" s="75" t="str">
        <f>IFERROR(INDEX('Cost_Components'!$Q$2:$Q$27,MATCH(E323,'Cost_Components'!$A$2:$A$27,0)),"")</f>
      </c>
      <c r="V323" s="76" t="str">
        <f>1/(1+'Calculation_Assumptions'!$B$5)^(B323-'Calculation_Assumptions'!$B$2)</f>
      </c>
      <c r="W323" s="77" t="str">
        <f>Q323*V323</f>
      </c>
      <c r="X323" s="78" t="str">
        <f>R323*V323</f>
      </c>
      <c r="Y323" s="79" t="str">
        <f>S323*V323</f>
      </c>
      <c r="Z323" s="80" t="str">
        <f>IFERROR(INDEX('Cost_Components'!$T$2:$T$27,MATCH(E323,'Cost_Components'!$A$2:$A$27,0)),"")</f>
      </c>
      <c r="AA323" s="81" t="str">
        <f>IFERROR(INDEX('Cost_Components'!$U$2:$U$27,MATCH(E323,'Cost_Components'!$A$2:$A$27,0)),"")</f>
      </c>
      <c r="AB323" s="82" t="str">
        <f>IFERROR(INDEX('Cost_Components'!$V$2:$V$27,MATCH(E323,'Cost_Components'!$A$2:$A$27,0)),"")</f>
      </c>
      <c r="AC323" s="83" t="str">
        <f>IFERROR(INDEX('Cost_Components'!$M$2:$M$27,MATCH(E323,'Cost_Components'!$A$2:$A$27,0)),"")</f>
      </c>
      <c r="AD323" s="84" t="str">
        <f>IFERROR(INDEX('Cost_Components'!$N$2:$N$27,MATCH(E323,'Cost_Components'!$A$2:$A$27,0)),"")</f>
      </c>
      <c r="AE323" s="20" t="str">
        <f>IFERROR(INDEX('Cost_Components'!$O$2:$O$27,MATCH(E323,'Cost_Components'!$A$2:$A$27,0)),"")</f>
      </c>
      <c r="AF323" s="85" t="n">
        <v>5984655.34330555</v>
      </c>
      <c r="AG323" s="86" t="n">
        <v>5979832.51047759</v>
      </c>
      <c r="AH323" s="87" t="str">
        <f>IF(H323="shared-count-once",COUNTIFS($A$2:$A$1353,A323,$B$2:$B$1353,B323,$E$2:$E$1353,E323),1)</f>
      </c>
    </row>
    <row r="324">
      <c r="A324" t="s">
        <v>200</v>
      </c>
      <c r="B324" s="59" t="n">
        <v>2035</v>
      </c>
      <c r="C324" t="s">
        <v>200</v>
      </c>
      <c r="D324" t="s">
        <v>180</v>
      </c>
      <c r="E324" s="60" t="s">
        <v>289</v>
      </c>
      <c r="F324" s="61" t="s">
        <v>290</v>
      </c>
      <c r="G324" s="62" t="s">
        <v>204</v>
      </c>
      <c r="H324" s="63" t="s">
        <v>195</v>
      </c>
      <c r="I324" s="64" t="s">
        <v>267</v>
      </c>
      <c r="J324" s="65" t="str">
        <f>IFERROR(INDEX('Cost_Components'!$K$2:$K$27,MATCH(E324,'Cost_Components'!$A$2:$A$27,0)),"")</f>
      </c>
      <c r="K324" s="66" t="str">
        <f>IF(OR(L324="",Z324="",AA324="",AB324=""),"",IF(B324&lt;AA324,L324,IF(B324&gt;AB324,Z324,L324+(Z324-L324)*MIN(MAX((B324-AA324+1)/MAX(AB324-AA324+1,1),0),1))))</f>
      </c>
      <c r="L324" s="67" t="str">
        <f>IFERROR(INDEX('Cost_Components'!$S$2:$S$27,MATCH(E324,'Cost_Components'!$A$2:$A$27,0)),"")</f>
      </c>
      <c r="M324" s="68" t="str">
        <f>IFERROR(INDEX('Cost_Components'!$L$2:$L$27,MATCH(E324,'Cost_Components'!$A$2:$A$27,0)),"")</f>
      </c>
      <c r="N324" s="69" t="str">
        <f>IFERROR(INDEX('Cost_Components'!$P$2:$P$27,MATCH(E324,'Cost_Components'!$A$2:$A$27,0)),"")</f>
      </c>
      <c r="O324" s="70" t="str">
        <f>AF324*J324</f>
      </c>
      <c r="P324" s="71" t="str">
        <f>AG324*J324</f>
      </c>
      <c r="Q324" s="72" t="str">
        <f>P324*L324*M324*N324</f>
      </c>
      <c r="R324" s="73" t="str">
        <f>O324*K324*M324*N324</f>
      </c>
      <c r="S324" s="74" t="str">
        <f>R324-Q324</f>
      </c>
      <c r="T324" s="20" t="str">
        <f>IFERROR(INDEX('Cost_Components'!$R$2:$R$27,MATCH(E324,'Cost_Components'!$A$2:$A$27,0)),"")</f>
      </c>
      <c r="U324" s="75" t="str">
        <f>IFERROR(INDEX('Cost_Components'!$Q$2:$Q$27,MATCH(E324,'Cost_Components'!$A$2:$A$27,0)),"")</f>
      </c>
      <c r="V324" s="76" t="str">
        <f>1/(1+'Calculation_Assumptions'!$B$5)^(B324-'Calculation_Assumptions'!$B$2)</f>
      </c>
      <c r="W324" s="77" t="str">
        <f>Q324*V324</f>
      </c>
      <c r="X324" s="78" t="str">
        <f>R324*V324</f>
      </c>
      <c r="Y324" s="79" t="str">
        <f>S324*V324</f>
      </c>
      <c r="Z324" s="80" t="str">
        <f>IFERROR(INDEX('Cost_Components'!$T$2:$T$27,MATCH(E324,'Cost_Components'!$A$2:$A$27,0)),"")</f>
      </c>
      <c r="AA324" s="81" t="str">
        <f>IFERROR(INDEX('Cost_Components'!$U$2:$U$27,MATCH(E324,'Cost_Components'!$A$2:$A$27,0)),"")</f>
      </c>
      <c r="AB324" s="82" t="str">
        <f>IFERROR(INDEX('Cost_Components'!$V$2:$V$27,MATCH(E324,'Cost_Components'!$A$2:$A$27,0)),"")</f>
      </c>
      <c r="AC324" s="83" t="str">
        <f>IFERROR(INDEX('Cost_Components'!$M$2:$M$27,MATCH(E324,'Cost_Components'!$A$2:$A$27,0)),"")</f>
      </c>
      <c r="AD324" s="84" t="str">
        <f>IFERROR(INDEX('Cost_Components'!$N$2:$N$27,MATCH(E324,'Cost_Components'!$A$2:$A$27,0)),"")</f>
      </c>
      <c r="AE324" s="20" t="str">
        <f>IFERROR(INDEX('Cost_Components'!$O$2:$O$27,MATCH(E324,'Cost_Components'!$A$2:$A$27,0)),"")</f>
      </c>
      <c r="AF324" s="85" t="n">
        <v>6101888.5274542</v>
      </c>
      <c r="AG324" s="86" t="n">
        <v>6096161.90235007</v>
      </c>
      <c r="AH324" s="87" t="str">
        <f>IF(H324="shared-count-once",COUNTIFS($A$2:$A$1353,A324,$B$2:$B$1353,B324,$E$2:$E$1353,E324),1)</f>
      </c>
    </row>
    <row r="325">
      <c r="A325" t="s">
        <v>200</v>
      </c>
      <c r="B325" s="59" t="n">
        <v>2036</v>
      </c>
      <c r="C325" t="s">
        <v>200</v>
      </c>
      <c r="D325" t="s">
        <v>180</v>
      </c>
      <c r="E325" s="60" t="s">
        <v>289</v>
      </c>
      <c r="F325" s="61" t="s">
        <v>290</v>
      </c>
      <c r="G325" s="62" t="s">
        <v>204</v>
      </c>
      <c r="H325" s="63" t="s">
        <v>195</v>
      </c>
      <c r="I325" s="64" t="s">
        <v>267</v>
      </c>
      <c r="J325" s="65" t="str">
        <f>IFERROR(INDEX('Cost_Components'!$K$2:$K$27,MATCH(E325,'Cost_Components'!$A$2:$A$27,0)),"")</f>
      </c>
      <c r="K325" s="66" t="str">
        <f>IF(OR(L325="",Z325="",AA325="",AB325=""),"",IF(B325&lt;AA325,L325,IF(B325&gt;AB325,Z325,L325+(Z325-L325)*MIN(MAX((B325-AA325+1)/MAX(AB325-AA325+1,1),0),1))))</f>
      </c>
      <c r="L325" s="67" t="str">
        <f>IFERROR(INDEX('Cost_Components'!$S$2:$S$27,MATCH(E325,'Cost_Components'!$A$2:$A$27,0)),"")</f>
      </c>
      <c r="M325" s="68" t="str">
        <f>IFERROR(INDEX('Cost_Components'!$L$2:$L$27,MATCH(E325,'Cost_Components'!$A$2:$A$27,0)),"")</f>
      </c>
      <c r="N325" s="69" t="str">
        <f>IFERROR(INDEX('Cost_Components'!$P$2:$P$27,MATCH(E325,'Cost_Components'!$A$2:$A$27,0)),"")</f>
      </c>
      <c r="O325" s="70" t="str">
        <f>AF325*J325</f>
      </c>
      <c r="P325" s="71" t="str">
        <f>AG325*J325</f>
      </c>
      <c r="Q325" s="72" t="str">
        <f>P325*L325*M325*N325</f>
      </c>
      <c r="R325" s="73" t="str">
        <f>O325*K325*M325*N325</f>
      </c>
      <c r="S325" s="74" t="str">
        <f>R325-Q325</f>
      </c>
      <c r="T325" s="20" t="str">
        <f>IFERROR(INDEX('Cost_Components'!$R$2:$R$27,MATCH(E325,'Cost_Components'!$A$2:$A$27,0)),"")</f>
      </c>
      <c r="U325" s="75" t="str">
        <f>IFERROR(INDEX('Cost_Components'!$Q$2:$Q$27,MATCH(E325,'Cost_Components'!$A$2:$A$27,0)),"")</f>
      </c>
      <c r="V325" s="76" t="str">
        <f>1/(1+'Calculation_Assumptions'!$B$5)^(B325-'Calculation_Assumptions'!$B$2)</f>
      </c>
      <c r="W325" s="77" t="str">
        <f>Q325*V325</f>
      </c>
      <c r="X325" s="78" t="str">
        <f>R325*V325</f>
      </c>
      <c r="Y325" s="79" t="str">
        <f>S325*V325</f>
      </c>
      <c r="Z325" s="80" t="str">
        <f>IFERROR(INDEX('Cost_Components'!$T$2:$T$27,MATCH(E325,'Cost_Components'!$A$2:$A$27,0)),"")</f>
      </c>
      <c r="AA325" s="81" t="str">
        <f>IFERROR(INDEX('Cost_Components'!$U$2:$U$27,MATCH(E325,'Cost_Components'!$A$2:$A$27,0)),"")</f>
      </c>
      <c r="AB325" s="82" t="str">
        <f>IFERROR(INDEX('Cost_Components'!$V$2:$V$27,MATCH(E325,'Cost_Components'!$A$2:$A$27,0)),"")</f>
      </c>
      <c r="AC325" s="83" t="str">
        <f>IFERROR(INDEX('Cost_Components'!$M$2:$M$27,MATCH(E325,'Cost_Components'!$A$2:$A$27,0)),"")</f>
      </c>
      <c r="AD325" s="84" t="str">
        <f>IFERROR(INDEX('Cost_Components'!$N$2:$N$27,MATCH(E325,'Cost_Components'!$A$2:$A$27,0)),"")</f>
      </c>
      <c r="AE325" s="20" t="str">
        <f>IFERROR(INDEX('Cost_Components'!$O$2:$O$27,MATCH(E325,'Cost_Components'!$A$2:$A$27,0)),"")</f>
      </c>
      <c r="AF325" s="85" t="n">
        <v>6219624.90851083</v>
      </c>
      <c r="AG325" s="86" t="n">
        <v>6212931.28695398</v>
      </c>
      <c r="AH325" s="87" t="str">
        <f>IF(H325="shared-count-once",COUNTIFS($A$2:$A$1353,A325,$B$2:$B$1353,B325,$E$2:$E$1353,E325),1)</f>
      </c>
    </row>
    <row r="326">
      <c r="A326" t="s">
        <v>200</v>
      </c>
      <c r="B326" s="59" t="n">
        <v>2037</v>
      </c>
      <c r="C326" t="s">
        <v>200</v>
      </c>
      <c r="D326" t="s">
        <v>180</v>
      </c>
      <c r="E326" s="60" t="s">
        <v>289</v>
      </c>
      <c r="F326" s="61" t="s">
        <v>290</v>
      </c>
      <c r="G326" s="62" t="s">
        <v>204</v>
      </c>
      <c r="H326" s="63" t="s">
        <v>195</v>
      </c>
      <c r="I326" s="64" t="s">
        <v>267</v>
      </c>
      <c r="J326" s="65" t="str">
        <f>IFERROR(INDEX('Cost_Components'!$K$2:$K$27,MATCH(E326,'Cost_Components'!$A$2:$A$27,0)),"")</f>
      </c>
      <c r="K326" s="66" t="str">
        <f>IF(OR(L326="",Z326="",AA326="",AB326=""),"",IF(B326&lt;AA326,L326,IF(B326&gt;AB326,Z326,L326+(Z326-L326)*MIN(MAX((B326-AA326+1)/MAX(AB326-AA326+1,1),0),1))))</f>
      </c>
      <c r="L326" s="67" t="str">
        <f>IFERROR(INDEX('Cost_Components'!$S$2:$S$27,MATCH(E326,'Cost_Components'!$A$2:$A$27,0)),"")</f>
      </c>
      <c r="M326" s="68" t="str">
        <f>IFERROR(INDEX('Cost_Components'!$L$2:$L$27,MATCH(E326,'Cost_Components'!$A$2:$A$27,0)),"")</f>
      </c>
      <c r="N326" s="69" t="str">
        <f>IFERROR(INDEX('Cost_Components'!$P$2:$P$27,MATCH(E326,'Cost_Components'!$A$2:$A$27,0)),"")</f>
      </c>
      <c r="O326" s="70" t="str">
        <f>AF326*J326</f>
      </c>
      <c r="P326" s="71" t="str">
        <f>AG326*J326</f>
      </c>
      <c r="Q326" s="72" t="str">
        <f>P326*L326*M326*N326</f>
      </c>
      <c r="R326" s="73" t="str">
        <f>O326*K326*M326*N326</f>
      </c>
      <c r="S326" s="74" t="str">
        <f>R326-Q326</f>
      </c>
      <c r="T326" s="20" t="str">
        <f>IFERROR(INDEX('Cost_Components'!$R$2:$R$27,MATCH(E326,'Cost_Components'!$A$2:$A$27,0)),"")</f>
      </c>
      <c r="U326" s="75" t="str">
        <f>IFERROR(INDEX('Cost_Components'!$Q$2:$Q$27,MATCH(E326,'Cost_Components'!$A$2:$A$27,0)),"")</f>
      </c>
      <c r="V326" s="76" t="str">
        <f>1/(1+'Calculation_Assumptions'!$B$5)^(B326-'Calculation_Assumptions'!$B$2)</f>
      </c>
      <c r="W326" s="77" t="str">
        <f>Q326*V326</f>
      </c>
      <c r="X326" s="78" t="str">
        <f>R326*V326</f>
      </c>
      <c r="Y326" s="79" t="str">
        <f>S326*V326</f>
      </c>
      <c r="Z326" s="80" t="str">
        <f>IFERROR(INDEX('Cost_Components'!$T$2:$T$27,MATCH(E326,'Cost_Components'!$A$2:$A$27,0)),"")</f>
      </c>
      <c r="AA326" s="81" t="str">
        <f>IFERROR(INDEX('Cost_Components'!$U$2:$U$27,MATCH(E326,'Cost_Components'!$A$2:$A$27,0)),"")</f>
      </c>
      <c r="AB326" s="82" t="str">
        <f>IFERROR(INDEX('Cost_Components'!$V$2:$V$27,MATCH(E326,'Cost_Components'!$A$2:$A$27,0)),"")</f>
      </c>
      <c r="AC326" s="83" t="str">
        <f>IFERROR(INDEX('Cost_Components'!$M$2:$M$27,MATCH(E326,'Cost_Components'!$A$2:$A$27,0)),"")</f>
      </c>
      <c r="AD326" s="84" t="str">
        <f>IFERROR(INDEX('Cost_Components'!$N$2:$N$27,MATCH(E326,'Cost_Components'!$A$2:$A$27,0)),"")</f>
      </c>
      <c r="AE326" s="20" t="str">
        <f>IFERROR(INDEX('Cost_Components'!$O$2:$O$27,MATCH(E326,'Cost_Components'!$A$2:$A$27,0)),"")</f>
      </c>
      <c r="AF326" s="85" t="n">
        <v>6337738.29242093</v>
      </c>
      <c r="AG326" s="86" t="n">
        <v>6330015.78836299</v>
      </c>
      <c r="AH326" s="87" t="str">
        <f>IF(H326="shared-count-once",COUNTIFS($A$2:$A$1353,A326,$B$2:$B$1353,B326,$E$2:$E$1353,E326),1)</f>
      </c>
    </row>
    <row r="327">
      <c r="A327" t="s">
        <v>200</v>
      </c>
      <c r="B327" s="59" t="n">
        <v>2038</v>
      </c>
      <c r="C327" t="s">
        <v>200</v>
      </c>
      <c r="D327" t="s">
        <v>180</v>
      </c>
      <c r="E327" s="60" t="s">
        <v>289</v>
      </c>
      <c r="F327" s="61" t="s">
        <v>290</v>
      </c>
      <c r="G327" s="62" t="s">
        <v>204</v>
      </c>
      <c r="H327" s="63" t="s">
        <v>195</v>
      </c>
      <c r="I327" s="64" t="s">
        <v>267</v>
      </c>
      <c r="J327" s="65" t="str">
        <f>IFERROR(INDEX('Cost_Components'!$K$2:$K$27,MATCH(E327,'Cost_Components'!$A$2:$A$27,0)),"")</f>
      </c>
      <c r="K327" s="66" t="str">
        <f>IF(OR(L327="",Z327="",AA327="",AB327=""),"",IF(B327&lt;AA327,L327,IF(B327&gt;AB327,Z327,L327+(Z327-L327)*MIN(MAX((B327-AA327+1)/MAX(AB327-AA327+1,1),0),1))))</f>
      </c>
      <c r="L327" s="67" t="str">
        <f>IFERROR(INDEX('Cost_Components'!$S$2:$S$27,MATCH(E327,'Cost_Components'!$A$2:$A$27,0)),"")</f>
      </c>
      <c r="M327" s="68" t="str">
        <f>IFERROR(INDEX('Cost_Components'!$L$2:$L$27,MATCH(E327,'Cost_Components'!$A$2:$A$27,0)),"")</f>
      </c>
      <c r="N327" s="69" t="str">
        <f>IFERROR(INDEX('Cost_Components'!$P$2:$P$27,MATCH(E327,'Cost_Components'!$A$2:$A$27,0)),"")</f>
      </c>
      <c r="O327" s="70" t="str">
        <f>AF327*J327</f>
      </c>
      <c r="P327" s="71" t="str">
        <f>AG327*J327</f>
      </c>
      <c r="Q327" s="72" t="str">
        <f>P327*L327*M327*N327</f>
      </c>
      <c r="R327" s="73" t="str">
        <f>O327*K327*M327*N327</f>
      </c>
      <c r="S327" s="74" t="str">
        <f>R327-Q327</f>
      </c>
      <c r="T327" s="20" t="str">
        <f>IFERROR(INDEX('Cost_Components'!$R$2:$R$27,MATCH(E327,'Cost_Components'!$A$2:$A$27,0)),"")</f>
      </c>
      <c r="U327" s="75" t="str">
        <f>IFERROR(INDEX('Cost_Components'!$Q$2:$Q$27,MATCH(E327,'Cost_Components'!$A$2:$A$27,0)),"")</f>
      </c>
      <c r="V327" s="76" t="str">
        <f>1/(1+'Calculation_Assumptions'!$B$5)^(B327-'Calculation_Assumptions'!$B$2)</f>
      </c>
      <c r="W327" s="77" t="str">
        <f>Q327*V327</f>
      </c>
      <c r="X327" s="78" t="str">
        <f>R327*V327</f>
      </c>
      <c r="Y327" s="79" t="str">
        <f>S327*V327</f>
      </c>
      <c r="Z327" s="80" t="str">
        <f>IFERROR(INDEX('Cost_Components'!$T$2:$T$27,MATCH(E327,'Cost_Components'!$A$2:$A$27,0)),"")</f>
      </c>
      <c r="AA327" s="81" t="str">
        <f>IFERROR(INDEX('Cost_Components'!$U$2:$U$27,MATCH(E327,'Cost_Components'!$A$2:$A$27,0)),"")</f>
      </c>
      <c r="AB327" s="82" t="str">
        <f>IFERROR(INDEX('Cost_Components'!$V$2:$V$27,MATCH(E327,'Cost_Components'!$A$2:$A$27,0)),"")</f>
      </c>
      <c r="AC327" s="83" t="str">
        <f>IFERROR(INDEX('Cost_Components'!$M$2:$M$27,MATCH(E327,'Cost_Components'!$A$2:$A$27,0)),"")</f>
      </c>
      <c r="AD327" s="84" t="str">
        <f>IFERROR(INDEX('Cost_Components'!$N$2:$N$27,MATCH(E327,'Cost_Components'!$A$2:$A$27,0)),"")</f>
      </c>
      <c r="AE327" s="20" t="str">
        <f>IFERROR(INDEX('Cost_Components'!$O$2:$O$27,MATCH(E327,'Cost_Components'!$A$2:$A$27,0)),"")</f>
      </c>
      <c r="AF327" s="85" t="n">
        <v>6456324.68053459</v>
      </c>
      <c r="AG327" s="86" t="n">
        <v>6447512.9889023</v>
      </c>
      <c r="AH327" s="87" t="str">
        <f>IF(H327="shared-count-once",COUNTIFS($A$2:$A$1353,A327,$B$2:$B$1353,B327,$E$2:$E$1353,E327),1)</f>
      </c>
    </row>
    <row r="328">
      <c r="A328" t="s">
        <v>200</v>
      </c>
      <c r="B328" s="59" t="n">
        <v>2039</v>
      </c>
      <c r="C328" t="s">
        <v>200</v>
      </c>
      <c r="D328" t="s">
        <v>180</v>
      </c>
      <c r="E328" s="60" t="s">
        <v>289</v>
      </c>
      <c r="F328" s="61" t="s">
        <v>290</v>
      </c>
      <c r="G328" s="62" t="s">
        <v>204</v>
      </c>
      <c r="H328" s="63" t="s">
        <v>195</v>
      </c>
      <c r="I328" s="64" t="s">
        <v>267</v>
      </c>
      <c r="J328" s="65" t="str">
        <f>IFERROR(INDEX('Cost_Components'!$K$2:$K$27,MATCH(E328,'Cost_Components'!$A$2:$A$27,0)),"")</f>
      </c>
      <c r="K328" s="66" t="str">
        <f>IF(OR(L328="",Z328="",AA328="",AB328=""),"",IF(B328&lt;AA328,L328,IF(B328&gt;AB328,Z328,L328+(Z328-L328)*MIN(MAX((B328-AA328+1)/MAX(AB328-AA328+1,1),0),1))))</f>
      </c>
      <c r="L328" s="67" t="str">
        <f>IFERROR(INDEX('Cost_Components'!$S$2:$S$27,MATCH(E328,'Cost_Components'!$A$2:$A$27,0)),"")</f>
      </c>
      <c r="M328" s="68" t="str">
        <f>IFERROR(INDEX('Cost_Components'!$L$2:$L$27,MATCH(E328,'Cost_Components'!$A$2:$A$27,0)),"")</f>
      </c>
      <c r="N328" s="69" t="str">
        <f>IFERROR(INDEX('Cost_Components'!$P$2:$P$27,MATCH(E328,'Cost_Components'!$A$2:$A$27,0)),"")</f>
      </c>
      <c r="O328" s="70" t="str">
        <f>AF328*J328</f>
      </c>
      <c r="P328" s="71" t="str">
        <f>AG328*J328</f>
      </c>
      <c r="Q328" s="72" t="str">
        <f>P328*L328*M328*N328</f>
      </c>
      <c r="R328" s="73" t="str">
        <f>O328*K328*M328*N328</f>
      </c>
      <c r="S328" s="74" t="str">
        <f>R328-Q328</f>
      </c>
      <c r="T328" s="20" t="str">
        <f>IFERROR(INDEX('Cost_Components'!$R$2:$R$27,MATCH(E328,'Cost_Components'!$A$2:$A$27,0)),"")</f>
      </c>
      <c r="U328" s="75" t="str">
        <f>IFERROR(INDEX('Cost_Components'!$Q$2:$Q$27,MATCH(E328,'Cost_Components'!$A$2:$A$27,0)),"")</f>
      </c>
      <c r="V328" s="76" t="str">
        <f>1/(1+'Calculation_Assumptions'!$B$5)^(B328-'Calculation_Assumptions'!$B$2)</f>
      </c>
      <c r="W328" s="77" t="str">
        <f>Q328*V328</f>
      </c>
      <c r="X328" s="78" t="str">
        <f>R328*V328</f>
      </c>
      <c r="Y328" s="79" t="str">
        <f>S328*V328</f>
      </c>
      <c r="Z328" s="80" t="str">
        <f>IFERROR(INDEX('Cost_Components'!$T$2:$T$27,MATCH(E328,'Cost_Components'!$A$2:$A$27,0)),"")</f>
      </c>
      <c r="AA328" s="81" t="str">
        <f>IFERROR(INDEX('Cost_Components'!$U$2:$U$27,MATCH(E328,'Cost_Components'!$A$2:$A$27,0)),"")</f>
      </c>
      <c r="AB328" s="82" t="str">
        <f>IFERROR(INDEX('Cost_Components'!$V$2:$V$27,MATCH(E328,'Cost_Components'!$A$2:$A$27,0)),"")</f>
      </c>
      <c r="AC328" s="83" t="str">
        <f>IFERROR(INDEX('Cost_Components'!$M$2:$M$27,MATCH(E328,'Cost_Components'!$A$2:$A$27,0)),"")</f>
      </c>
      <c r="AD328" s="84" t="str">
        <f>IFERROR(INDEX('Cost_Components'!$N$2:$N$27,MATCH(E328,'Cost_Components'!$A$2:$A$27,0)),"")</f>
      </c>
      <c r="AE328" s="20" t="str">
        <f>IFERROR(INDEX('Cost_Components'!$O$2:$O$27,MATCH(E328,'Cost_Components'!$A$2:$A$27,0)),"")</f>
      </c>
      <c r="AF328" s="85" t="n">
        <v>6574035.42913736</v>
      </c>
      <c r="AG328" s="86" t="n">
        <v>6564073.62283021</v>
      </c>
      <c r="AH328" s="87" t="str">
        <f>IF(H328="shared-count-once",COUNTIFS($A$2:$A$1353,A328,$B$2:$B$1353,B328,$E$2:$E$1353,E328),1)</f>
      </c>
    </row>
    <row r="329">
      <c r="A329" t="s">
        <v>200</v>
      </c>
      <c r="B329" s="59" t="n">
        <v>2040</v>
      </c>
      <c r="C329" t="s">
        <v>200</v>
      </c>
      <c r="D329" t="s">
        <v>180</v>
      </c>
      <c r="E329" s="60" t="s">
        <v>289</v>
      </c>
      <c r="F329" s="61" t="s">
        <v>290</v>
      </c>
      <c r="G329" s="62" t="s">
        <v>204</v>
      </c>
      <c r="H329" s="63" t="s">
        <v>195</v>
      </c>
      <c r="I329" s="64" t="s">
        <v>267</v>
      </c>
      <c r="J329" s="65" t="str">
        <f>IFERROR(INDEX('Cost_Components'!$K$2:$K$27,MATCH(E329,'Cost_Components'!$A$2:$A$27,0)),"")</f>
      </c>
      <c r="K329" s="66" t="str">
        <f>IF(OR(L329="",Z329="",AA329="",AB329=""),"",IF(B329&lt;AA329,L329,IF(B329&gt;AB329,Z329,L329+(Z329-L329)*MIN(MAX((B329-AA329+1)/MAX(AB329-AA329+1,1),0),1))))</f>
      </c>
      <c r="L329" s="67" t="str">
        <f>IFERROR(INDEX('Cost_Components'!$S$2:$S$27,MATCH(E329,'Cost_Components'!$A$2:$A$27,0)),"")</f>
      </c>
      <c r="M329" s="68" t="str">
        <f>IFERROR(INDEX('Cost_Components'!$L$2:$L$27,MATCH(E329,'Cost_Components'!$A$2:$A$27,0)),"")</f>
      </c>
      <c r="N329" s="69" t="str">
        <f>IFERROR(INDEX('Cost_Components'!$P$2:$P$27,MATCH(E329,'Cost_Components'!$A$2:$A$27,0)),"")</f>
      </c>
      <c r="O329" s="70" t="str">
        <f>AF329*J329</f>
      </c>
      <c r="P329" s="71" t="str">
        <f>AG329*J329</f>
      </c>
      <c r="Q329" s="72" t="str">
        <f>P329*L329*M329*N329</f>
      </c>
      <c r="R329" s="73" t="str">
        <f>O329*K329*M329*N329</f>
      </c>
      <c r="S329" s="74" t="str">
        <f>R329-Q329</f>
      </c>
      <c r="T329" s="20" t="str">
        <f>IFERROR(INDEX('Cost_Components'!$R$2:$R$27,MATCH(E329,'Cost_Components'!$A$2:$A$27,0)),"")</f>
      </c>
      <c r="U329" s="75" t="str">
        <f>IFERROR(INDEX('Cost_Components'!$Q$2:$Q$27,MATCH(E329,'Cost_Components'!$A$2:$A$27,0)),"")</f>
      </c>
      <c r="V329" s="76" t="str">
        <f>1/(1+'Calculation_Assumptions'!$B$5)^(B329-'Calculation_Assumptions'!$B$2)</f>
      </c>
      <c r="W329" s="77" t="str">
        <f>Q329*V329</f>
      </c>
      <c r="X329" s="78" t="str">
        <f>R329*V329</f>
      </c>
      <c r="Y329" s="79" t="str">
        <f>S329*V329</f>
      </c>
      <c r="Z329" s="80" t="str">
        <f>IFERROR(INDEX('Cost_Components'!$T$2:$T$27,MATCH(E329,'Cost_Components'!$A$2:$A$27,0)),"")</f>
      </c>
      <c r="AA329" s="81" t="str">
        <f>IFERROR(INDEX('Cost_Components'!$U$2:$U$27,MATCH(E329,'Cost_Components'!$A$2:$A$27,0)),"")</f>
      </c>
      <c r="AB329" s="82" t="str">
        <f>IFERROR(INDEX('Cost_Components'!$V$2:$V$27,MATCH(E329,'Cost_Components'!$A$2:$A$27,0)),"")</f>
      </c>
      <c r="AC329" s="83" t="str">
        <f>IFERROR(INDEX('Cost_Components'!$M$2:$M$27,MATCH(E329,'Cost_Components'!$A$2:$A$27,0)),"")</f>
      </c>
      <c r="AD329" s="84" t="str">
        <f>IFERROR(INDEX('Cost_Components'!$N$2:$N$27,MATCH(E329,'Cost_Components'!$A$2:$A$27,0)),"")</f>
      </c>
      <c r="AE329" s="20" t="str">
        <f>IFERROR(INDEX('Cost_Components'!$O$2:$O$27,MATCH(E329,'Cost_Components'!$A$2:$A$27,0)),"")</f>
      </c>
      <c r="AF329" s="85" t="n">
        <v>6691804.9198289</v>
      </c>
      <c r="AG329" s="86" t="n">
        <v>6680640.99764336</v>
      </c>
      <c r="AH329" s="87" t="str">
        <f>IF(H329="shared-count-once",COUNTIFS($A$2:$A$1353,A329,$B$2:$B$1353,B329,$E$2:$E$1353,E329),1)</f>
      </c>
    </row>
    <row r="330">
      <c r="A330" t="s">
        <v>200</v>
      </c>
      <c r="B330" s="59" t="n">
        <v>2041</v>
      </c>
      <c r="C330" t="s">
        <v>200</v>
      </c>
      <c r="D330" t="s">
        <v>180</v>
      </c>
      <c r="E330" s="60" t="s">
        <v>289</v>
      </c>
      <c r="F330" s="61" t="s">
        <v>290</v>
      </c>
      <c r="G330" s="62" t="s">
        <v>204</v>
      </c>
      <c r="H330" s="63" t="s">
        <v>195</v>
      </c>
      <c r="I330" s="64" t="s">
        <v>267</v>
      </c>
      <c r="J330" s="65" t="str">
        <f>IFERROR(INDEX('Cost_Components'!$K$2:$K$27,MATCH(E330,'Cost_Components'!$A$2:$A$27,0)),"")</f>
      </c>
      <c r="K330" s="66" t="str">
        <f>IF(OR(L330="",Z330="",AA330="",AB330=""),"",IF(B330&lt;AA330,L330,IF(B330&gt;AB330,Z330,L330+(Z330-L330)*MIN(MAX((B330-AA330+1)/MAX(AB330-AA330+1,1),0),1))))</f>
      </c>
      <c r="L330" s="67" t="str">
        <f>IFERROR(INDEX('Cost_Components'!$S$2:$S$27,MATCH(E330,'Cost_Components'!$A$2:$A$27,0)),"")</f>
      </c>
      <c r="M330" s="68" t="str">
        <f>IFERROR(INDEX('Cost_Components'!$L$2:$L$27,MATCH(E330,'Cost_Components'!$A$2:$A$27,0)),"")</f>
      </c>
      <c r="N330" s="69" t="str">
        <f>IFERROR(INDEX('Cost_Components'!$P$2:$P$27,MATCH(E330,'Cost_Components'!$A$2:$A$27,0)),"")</f>
      </c>
      <c r="O330" s="70" t="str">
        <f>AF330*J330</f>
      </c>
      <c r="P330" s="71" t="str">
        <f>AG330*J330</f>
      </c>
      <c r="Q330" s="72" t="str">
        <f>P330*L330*M330*N330</f>
      </c>
      <c r="R330" s="73" t="str">
        <f>O330*K330*M330*N330</f>
      </c>
      <c r="S330" s="74" t="str">
        <f>R330-Q330</f>
      </c>
      <c r="T330" s="20" t="str">
        <f>IFERROR(INDEX('Cost_Components'!$R$2:$R$27,MATCH(E330,'Cost_Components'!$A$2:$A$27,0)),"")</f>
      </c>
      <c r="U330" s="75" t="str">
        <f>IFERROR(INDEX('Cost_Components'!$Q$2:$Q$27,MATCH(E330,'Cost_Components'!$A$2:$A$27,0)),"")</f>
      </c>
      <c r="V330" s="76" t="str">
        <f>1/(1+'Calculation_Assumptions'!$B$5)^(B330-'Calculation_Assumptions'!$B$2)</f>
      </c>
      <c r="W330" s="77" t="str">
        <f>Q330*V330</f>
      </c>
      <c r="X330" s="78" t="str">
        <f>R330*V330</f>
      </c>
      <c r="Y330" s="79" t="str">
        <f>S330*V330</f>
      </c>
      <c r="Z330" s="80" t="str">
        <f>IFERROR(INDEX('Cost_Components'!$T$2:$T$27,MATCH(E330,'Cost_Components'!$A$2:$A$27,0)),"")</f>
      </c>
      <c r="AA330" s="81" t="str">
        <f>IFERROR(INDEX('Cost_Components'!$U$2:$U$27,MATCH(E330,'Cost_Components'!$A$2:$A$27,0)),"")</f>
      </c>
      <c r="AB330" s="82" t="str">
        <f>IFERROR(INDEX('Cost_Components'!$V$2:$V$27,MATCH(E330,'Cost_Components'!$A$2:$A$27,0)),"")</f>
      </c>
      <c r="AC330" s="83" t="str">
        <f>IFERROR(INDEX('Cost_Components'!$M$2:$M$27,MATCH(E330,'Cost_Components'!$A$2:$A$27,0)),"")</f>
      </c>
      <c r="AD330" s="84" t="str">
        <f>IFERROR(INDEX('Cost_Components'!$N$2:$N$27,MATCH(E330,'Cost_Components'!$A$2:$A$27,0)),"")</f>
      </c>
      <c r="AE330" s="20" t="str">
        <f>IFERROR(INDEX('Cost_Components'!$O$2:$O$27,MATCH(E330,'Cost_Components'!$A$2:$A$27,0)),"")</f>
      </c>
      <c r="AF330" s="85" t="n">
        <v>6809374.6213155</v>
      </c>
      <c r="AG330" s="86" t="n">
        <v>6796959.57831694</v>
      </c>
      <c r="AH330" s="87" t="str">
        <f>IF(H330="shared-count-once",COUNTIFS($A$2:$A$1353,A330,$B$2:$B$1353,B330,$E$2:$E$1353,E330),1)</f>
      </c>
    </row>
    <row r="331">
      <c r="A331" t="s">
        <v>200</v>
      </c>
      <c r="B331" s="59" t="n">
        <v>2042</v>
      </c>
      <c r="C331" t="s">
        <v>200</v>
      </c>
      <c r="D331" t="s">
        <v>180</v>
      </c>
      <c r="E331" s="60" t="s">
        <v>289</v>
      </c>
      <c r="F331" s="61" t="s">
        <v>290</v>
      </c>
      <c r="G331" s="62" t="s">
        <v>204</v>
      </c>
      <c r="H331" s="63" t="s">
        <v>195</v>
      </c>
      <c r="I331" s="64" t="s">
        <v>267</v>
      </c>
      <c r="J331" s="65" t="str">
        <f>IFERROR(INDEX('Cost_Components'!$K$2:$K$27,MATCH(E331,'Cost_Components'!$A$2:$A$27,0)),"")</f>
      </c>
      <c r="K331" s="66" t="str">
        <f>IF(OR(L331="",Z331="",AA331="",AB331=""),"",IF(B331&lt;AA331,L331,IF(B331&gt;AB331,Z331,L331+(Z331-L331)*MIN(MAX((B331-AA331+1)/MAX(AB331-AA331+1,1),0),1))))</f>
      </c>
      <c r="L331" s="67" t="str">
        <f>IFERROR(INDEX('Cost_Components'!$S$2:$S$27,MATCH(E331,'Cost_Components'!$A$2:$A$27,0)),"")</f>
      </c>
      <c r="M331" s="68" t="str">
        <f>IFERROR(INDEX('Cost_Components'!$L$2:$L$27,MATCH(E331,'Cost_Components'!$A$2:$A$27,0)),"")</f>
      </c>
      <c r="N331" s="69" t="str">
        <f>IFERROR(INDEX('Cost_Components'!$P$2:$P$27,MATCH(E331,'Cost_Components'!$A$2:$A$27,0)),"")</f>
      </c>
      <c r="O331" s="70" t="str">
        <f>AF331*J331</f>
      </c>
      <c r="P331" s="71" t="str">
        <f>AG331*J331</f>
      </c>
      <c r="Q331" s="72" t="str">
        <f>P331*L331*M331*N331</f>
      </c>
      <c r="R331" s="73" t="str">
        <f>O331*K331*M331*N331</f>
      </c>
      <c r="S331" s="74" t="str">
        <f>R331-Q331</f>
      </c>
      <c r="T331" s="20" t="str">
        <f>IFERROR(INDEX('Cost_Components'!$R$2:$R$27,MATCH(E331,'Cost_Components'!$A$2:$A$27,0)),"")</f>
      </c>
      <c r="U331" s="75" t="str">
        <f>IFERROR(INDEX('Cost_Components'!$Q$2:$Q$27,MATCH(E331,'Cost_Components'!$A$2:$A$27,0)),"")</f>
      </c>
      <c r="V331" s="76" t="str">
        <f>1/(1+'Calculation_Assumptions'!$B$5)^(B331-'Calculation_Assumptions'!$B$2)</f>
      </c>
      <c r="W331" s="77" t="str">
        <f>Q331*V331</f>
      </c>
      <c r="X331" s="78" t="str">
        <f>R331*V331</f>
      </c>
      <c r="Y331" s="79" t="str">
        <f>S331*V331</f>
      </c>
      <c r="Z331" s="80" t="str">
        <f>IFERROR(INDEX('Cost_Components'!$T$2:$T$27,MATCH(E331,'Cost_Components'!$A$2:$A$27,0)),"")</f>
      </c>
      <c r="AA331" s="81" t="str">
        <f>IFERROR(INDEX('Cost_Components'!$U$2:$U$27,MATCH(E331,'Cost_Components'!$A$2:$A$27,0)),"")</f>
      </c>
      <c r="AB331" s="82" t="str">
        <f>IFERROR(INDEX('Cost_Components'!$V$2:$V$27,MATCH(E331,'Cost_Components'!$A$2:$A$27,0)),"")</f>
      </c>
      <c r="AC331" s="83" t="str">
        <f>IFERROR(INDEX('Cost_Components'!$M$2:$M$27,MATCH(E331,'Cost_Components'!$A$2:$A$27,0)),"")</f>
      </c>
      <c r="AD331" s="84" t="str">
        <f>IFERROR(INDEX('Cost_Components'!$N$2:$N$27,MATCH(E331,'Cost_Components'!$A$2:$A$27,0)),"")</f>
      </c>
      <c r="AE331" s="20" t="str">
        <f>IFERROR(INDEX('Cost_Components'!$O$2:$O$27,MATCH(E331,'Cost_Components'!$A$2:$A$27,0)),"")</f>
      </c>
      <c r="AF331" s="85" t="n">
        <v>6926812.72471743</v>
      </c>
      <c r="AG331" s="86" t="n">
        <v>6913099.8808547</v>
      </c>
      <c r="AH331" s="87" t="str">
        <f>IF(H331="shared-count-once",COUNTIFS($A$2:$A$1353,A331,$B$2:$B$1353,B331,$E$2:$E$1353,E331),1)</f>
      </c>
    </row>
    <row r="332">
      <c r="A332" t="s">
        <v>200</v>
      </c>
      <c r="B332" s="59" t="n">
        <v>2043</v>
      </c>
      <c r="C332" t="s">
        <v>200</v>
      </c>
      <c r="D332" t="s">
        <v>180</v>
      </c>
      <c r="E332" s="60" t="s">
        <v>289</v>
      </c>
      <c r="F332" s="61" t="s">
        <v>290</v>
      </c>
      <c r="G332" s="62" t="s">
        <v>204</v>
      </c>
      <c r="H332" s="63" t="s">
        <v>195</v>
      </c>
      <c r="I332" s="64" t="s">
        <v>267</v>
      </c>
      <c r="J332" s="65" t="str">
        <f>IFERROR(INDEX('Cost_Components'!$K$2:$K$27,MATCH(E332,'Cost_Components'!$A$2:$A$27,0)),"")</f>
      </c>
      <c r="K332" s="66" t="str">
        <f>IF(OR(L332="",Z332="",AA332="",AB332=""),"",IF(B332&lt;AA332,L332,IF(B332&gt;AB332,Z332,L332+(Z332-L332)*MIN(MAX((B332-AA332+1)/MAX(AB332-AA332+1,1),0),1))))</f>
      </c>
      <c r="L332" s="67" t="str">
        <f>IFERROR(INDEX('Cost_Components'!$S$2:$S$27,MATCH(E332,'Cost_Components'!$A$2:$A$27,0)),"")</f>
      </c>
      <c r="M332" s="68" t="str">
        <f>IFERROR(INDEX('Cost_Components'!$L$2:$L$27,MATCH(E332,'Cost_Components'!$A$2:$A$27,0)),"")</f>
      </c>
      <c r="N332" s="69" t="str">
        <f>IFERROR(INDEX('Cost_Components'!$P$2:$P$27,MATCH(E332,'Cost_Components'!$A$2:$A$27,0)),"")</f>
      </c>
      <c r="O332" s="70" t="str">
        <f>AF332*J332</f>
      </c>
      <c r="P332" s="71" t="str">
        <f>AG332*J332</f>
      </c>
      <c r="Q332" s="72" t="str">
        <f>P332*L332*M332*N332</f>
      </c>
      <c r="R332" s="73" t="str">
        <f>O332*K332*M332*N332</f>
      </c>
      <c r="S332" s="74" t="str">
        <f>R332-Q332</f>
      </c>
      <c r="T332" s="20" t="str">
        <f>IFERROR(INDEX('Cost_Components'!$R$2:$R$27,MATCH(E332,'Cost_Components'!$A$2:$A$27,0)),"")</f>
      </c>
      <c r="U332" s="75" t="str">
        <f>IFERROR(INDEX('Cost_Components'!$Q$2:$Q$27,MATCH(E332,'Cost_Components'!$A$2:$A$27,0)),"")</f>
      </c>
      <c r="V332" s="76" t="str">
        <f>1/(1+'Calculation_Assumptions'!$B$5)^(B332-'Calculation_Assumptions'!$B$2)</f>
      </c>
      <c r="W332" s="77" t="str">
        <f>Q332*V332</f>
      </c>
      <c r="X332" s="78" t="str">
        <f>R332*V332</f>
      </c>
      <c r="Y332" s="79" t="str">
        <f>S332*V332</f>
      </c>
      <c r="Z332" s="80" t="str">
        <f>IFERROR(INDEX('Cost_Components'!$T$2:$T$27,MATCH(E332,'Cost_Components'!$A$2:$A$27,0)),"")</f>
      </c>
      <c r="AA332" s="81" t="str">
        <f>IFERROR(INDEX('Cost_Components'!$U$2:$U$27,MATCH(E332,'Cost_Components'!$A$2:$A$27,0)),"")</f>
      </c>
      <c r="AB332" s="82" t="str">
        <f>IFERROR(INDEX('Cost_Components'!$V$2:$V$27,MATCH(E332,'Cost_Components'!$A$2:$A$27,0)),"")</f>
      </c>
      <c r="AC332" s="83" t="str">
        <f>IFERROR(INDEX('Cost_Components'!$M$2:$M$27,MATCH(E332,'Cost_Components'!$A$2:$A$27,0)),"")</f>
      </c>
      <c r="AD332" s="84" t="str">
        <f>IFERROR(INDEX('Cost_Components'!$N$2:$N$27,MATCH(E332,'Cost_Components'!$A$2:$A$27,0)),"")</f>
      </c>
      <c r="AE332" s="20" t="str">
        <f>IFERROR(INDEX('Cost_Components'!$O$2:$O$27,MATCH(E332,'Cost_Components'!$A$2:$A$27,0)),"")</f>
      </c>
      <c r="AF332" s="85" t="n">
        <v>7043375.41284027</v>
      </c>
      <c r="AG332" s="86" t="n">
        <v>7028320.53609466</v>
      </c>
      <c r="AH332" s="87" t="str">
        <f>IF(H332="shared-count-once",COUNTIFS($A$2:$A$1353,A332,$B$2:$B$1353,B332,$E$2:$E$1353,E332),1)</f>
      </c>
    </row>
    <row r="333">
      <c r="A333" t="s">
        <v>200</v>
      </c>
      <c r="B333" s="59" t="n">
        <v>2044</v>
      </c>
      <c r="C333" t="s">
        <v>200</v>
      </c>
      <c r="D333" t="s">
        <v>180</v>
      </c>
      <c r="E333" s="60" t="s">
        <v>289</v>
      </c>
      <c r="F333" s="61" t="s">
        <v>290</v>
      </c>
      <c r="G333" s="62" t="s">
        <v>204</v>
      </c>
      <c r="H333" s="63" t="s">
        <v>195</v>
      </c>
      <c r="I333" s="64" t="s">
        <v>267</v>
      </c>
      <c r="J333" s="65" t="str">
        <f>IFERROR(INDEX('Cost_Components'!$K$2:$K$27,MATCH(E333,'Cost_Components'!$A$2:$A$27,0)),"")</f>
      </c>
      <c r="K333" s="66" t="str">
        <f>IF(OR(L333="",Z333="",AA333="",AB333=""),"",IF(B333&lt;AA333,L333,IF(B333&gt;AB333,Z333,L333+(Z333-L333)*MIN(MAX((B333-AA333+1)/MAX(AB333-AA333+1,1),0),1))))</f>
      </c>
      <c r="L333" s="67" t="str">
        <f>IFERROR(INDEX('Cost_Components'!$S$2:$S$27,MATCH(E333,'Cost_Components'!$A$2:$A$27,0)),"")</f>
      </c>
      <c r="M333" s="68" t="str">
        <f>IFERROR(INDEX('Cost_Components'!$L$2:$L$27,MATCH(E333,'Cost_Components'!$A$2:$A$27,0)),"")</f>
      </c>
      <c r="N333" s="69" t="str">
        <f>IFERROR(INDEX('Cost_Components'!$P$2:$P$27,MATCH(E333,'Cost_Components'!$A$2:$A$27,0)),"")</f>
      </c>
      <c r="O333" s="70" t="str">
        <f>AF333*J333</f>
      </c>
      <c r="P333" s="71" t="str">
        <f>AG333*J333</f>
      </c>
      <c r="Q333" s="72" t="str">
        <f>P333*L333*M333*N333</f>
      </c>
      <c r="R333" s="73" t="str">
        <f>O333*K333*M333*N333</f>
      </c>
      <c r="S333" s="74" t="str">
        <f>R333-Q333</f>
      </c>
      <c r="T333" s="20" t="str">
        <f>IFERROR(INDEX('Cost_Components'!$R$2:$R$27,MATCH(E333,'Cost_Components'!$A$2:$A$27,0)),"")</f>
      </c>
      <c r="U333" s="75" t="str">
        <f>IFERROR(INDEX('Cost_Components'!$Q$2:$Q$27,MATCH(E333,'Cost_Components'!$A$2:$A$27,0)),"")</f>
      </c>
      <c r="V333" s="76" t="str">
        <f>1/(1+'Calculation_Assumptions'!$B$5)^(B333-'Calculation_Assumptions'!$B$2)</f>
      </c>
      <c r="W333" s="77" t="str">
        <f>Q333*V333</f>
      </c>
      <c r="X333" s="78" t="str">
        <f>R333*V333</f>
      </c>
      <c r="Y333" s="79" t="str">
        <f>S333*V333</f>
      </c>
      <c r="Z333" s="80" t="str">
        <f>IFERROR(INDEX('Cost_Components'!$T$2:$T$27,MATCH(E333,'Cost_Components'!$A$2:$A$27,0)),"")</f>
      </c>
      <c r="AA333" s="81" t="str">
        <f>IFERROR(INDEX('Cost_Components'!$U$2:$U$27,MATCH(E333,'Cost_Components'!$A$2:$A$27,0)),"")</f>
      </c>
      <c r="AB333" s="82" t="str">
        <f>IFERROR(INDEX('Cost_Components'!$V$2:$V$27,MATCH(E333,'Cost_Components'!$A$2:$A$27,0)),"")</f>
      </c>
      <c r="AC333" s="83" t="str">
        <f>IFERROR(INDEX('Cost_Components'!$M$2:$M$27,MATCH(E333,'Cost_Components'!$A$2:$A$27,0)),"")</f>
      </c>
      <c r="AD333" s="84" t="str">
        <f>IFERROR(INDEX('Cost_Components'!$N$2:$N$27,MATCH(E333,'Cost_Components'!$A$2:$A$27,0)),"")</f>
      </c>
      <c r="AE333" s="20" t="str">
        <f>IFERROR(INDEX('Cost_Components'!$O$2:$O$27,MATCH(E333,'Cost_Components'!$A$2:$A$27,0)),"")</f>
      </c>
      <c r="AF333" s="85" t="n">
        <v>7155063.41940418</v>
      </c>
      <c r="AG333" s="86" t="n">
        <v>7138623.97835749</v>
      </c>
      <c r="AH333" s="87" t="str">
        <f>IF(H333="shared-count-once",COUNTIFS($A$2:$A$1353,A333,$B$2:$B$1353,B333,$E$2:$E$1353,E333),1)</f>
      </c>
    </row>
    <row r="334">
      <c r="A334" t="s">
        <v>200</v>
      </c>
      <c r="B334" s="59" t="n">
        <v>2045</v>
      </c>
      <c r="C334" t="s">
        <v>200</v>
      </c>
      <c r="D334" t="s">
        <v>180</v>
      </c>
      <c r="E334" s="60" t="s">
        <v>289</v>
      </c>
      <c r="F334" s="61" t="s">
        <v>290</v>
      </c>
      <c r="G334" s="62" t="s">
        <v>204</v>
      </c>
      <c r="H334" s="63" t="s">
        <v>195</v>
      </c>
      <c r="I334" s="64" t="s">
        <v>267</v>
      </c>
      <c r="J334" s="65" t="str">
        <f>IFERROR(INDEX('Cost_Components'!$K$2:$K$27,MATCH(E334,'Cost_Components'!$A$2:$A$27,0)),"")</f>
      </c>
      <c r="K334" s="66" t="str">
        <f>IF(OR(L334="",Z334="",AA334="",AB334=""),"",IF(B334&lt;AA334,L334,IF(B334&gt;AB334,Z334,L334+(Z334-L334)*MIN(MAX((B334-AA334+1)/MAX(AB334-AA334+1,1),0),1))))</f>
      </c>
      <c r="L334" s="67" t="str">
        <f>IFERROR(INDEX('Cost_Components'!$S$2:$S$27,MATCH(E334,'Cost_Components'!$A$2:$A$27,0)),"")</f>
      </c>
      <c r="M334" s="68" t="str">
        <f>IFERROR(INDEX('Cost_Components'!$L$2:$L$27,MATCH(E334,'Cost_Components'!$A$2:$A$27,0)),"")</f>
      </c>
      <c r="N334" s="69" t="str">
        <f>IFERROR(INDEX('Cost_Components'!$P$2:$P$27,MATCH(E334,'Cost_Components'!$A$2:$A$27,0)),"")</f>
      </c>
      <c r="O334" s="70" t="str">
        <f>AF334*J334</f>
      </c>
      <c r="P334" s="71" t="str">
        <f>AG334*J334</f>
      </c>
      <c r="Q334" s="72" t="str">
        <f>P334*L334*M334*N334</f>
      </c>
      <c r="R334" s="73" t="str">
        <f>O334*K334*M334*N334</f>
      </c>
      <c r="S334" s="74" t="str">
        <f>R334-Q334</f>
      </c>
      <c r="T334" s="20" t="str">
        <f>IFERROR(INDEX('Cost_Components'!$R$2:$R$27,MATCH(E334,'Cost_Components'!$A$2:$A$27,0)),"")</f>
      </c>
      <c r="U334" s="75" t="str">
        <f>IFERROR(INDEX('Cost_Components'!$Q$2:$Q$27,MATCH(E334,'Cost_Components'!$A$2:$A$27,0)),"")</f>
      </c>
      <c r="V334" s="76" t="str">
        <f>1/(1+'Calculation_Assumptions'!$B$5)^(B334-'Calculation_Assumptions'!$B$2)</f>
      </c>
      <c r="W334" s="77" t="str">
        <f>Q334*V334</f>
      </c>
      <c r="X334" s="78" t="str">
        <f>R334*V334</f>
      </c>
      <c r="Y334" s="79" t="str">
        <f>S334*V334</f>
      </c>
      <c r="Z334" s="80" t="str">
        <f>IFERROR(INDEX('Cost_Components'!$T$2:$T$27,MATCH(E334,'Cost_Components'!$A$2:$A$27,0)),"")</f>
      </c>
      <c r="AA334" s="81" t="str">
        <f>IFERROR(INDEX('Cost_Components'!$U$2:$U$27,MATCH(E334,'Cost_Components'!$A$2:$A$27,0)),"")</f>
      </c>
      <c r="AB334" s="82" t="str">
        <f>IFERROR(INDEX('Cost_Components'!$V$2:$V$27,MATCH(E334,'Cost_Components'!$A$2:$A$27,0)),"")</f>
      </c>
      <c r="AC334" s="83" t="str">
        <f>IFERROR(INDEX('Cost_Components'!$M$2:$M$27,MATCH(E334,'Cost_Components'!$A$2:$A$27,0)),"")</f>
      </c>
      <c r="AD334" s="84" t="str">
        <f>IFERROR(INDEX('Cost_Components'!$N$2:$N$27,MATCH(E334,'Cost_Components'!$A$2:$A$27,0)),"")</f>
      </c>
      <c r="AE334" s="20" t="str">
        <f>IFERROR(INDEX('Cost_Components'!$O$2:$O$27,MATCH(E334,'Cost_Components'!$A$2:$A$27,0)),"")</f>
      </c>
      <c r="AF334" s="85" t="n">
        <v>7264641.04427174</v>
      </c>
      <c r="AG334" s="86" t="n">
        <v>7246779.83544231</v>
      </c>
      <c r="AH334" s="87" t="str">
        <f>IF(H334="shared-count-once",COUNTIFS($A$2:$A$1353,A334,$B$2:$B$1353,B334,$E$2:$E$1353,E334),1)</f>
      </c>
    </row>
    <row r="335">
      <c r="A335" t="s">
        <v>200</v>
      </c>
      <c r="B335" s="59" t="n">
        <v>2046</v>
      </c>
      <c r="C335" t="s">
        <v>200</v>
      </c>
      <c r="D335" t="s">
        <v>180</v>
      </c>
      <c r="E335" s="60" t="s">
        <v>289</v>
      </c>
      <c r="F335" s="61" t="s">
        <v>290</v>
      </c>
      <c r="G335" s="62" t="s">
        <v>204</v>
      </c>
      <c r="H335" s="63" t="s">
        <v>195</v>
      </c>
      <c r="I335" s="64" t="s">
        <v>267</v>
      </c>
      <c r="J335" s="65" t="str">
        <f>IFERROR(INDEX('Cost_Components'!$K$2:$K$27,MATCH(E335,'Cost_Components'!$A$2:$A$27,0)),"")</f>
      </c>
      <c r="K335" s="66" t="str">
        <f>IF(OR(L335="",Z335="",AA335="",AB335=""),"",IF(B335&lt;AA335,L335,IF(B335&gt;AB335,Z335,L335+(Z335-L335)*MIN(MAX((B335-AA335+1)/MAX(AB335-AA335+1,1),0),1))))</f>
      </c>
      <c r="L335" s="67" t="str">
        <f>IFERROR(INDEX('Cost_Components'!$S$2:$S$27,MATCH(E335,'Cost_Components'!$A$2:$A$27,0)),"")</f>
      </c>
      <c r="M335" s="68" t="str">
        <f>IFERROR(INDEX('Cost_Components'!$L$2:$L$27,MATCH(E335,'Cost_Components'!$A$2:$A$27,0)),"")</f>
      </c>
      <c r="N335" s="69" t="str">
        <f>IFERROR(INDEX('Cost_Components'!$P$2:$P$27,MATCH(E335,'Cost_Components'!$A$2:$A$27,0)),"")</f>
      </c>
      <c r="O335" s="70" t="str">
        <f>AF335*J335</f>
      </c>
      <c r="P335" s="71" t="str">
        <f>AG335*J335</f>
      </c>
      <c r="Q335" s="72" t="str">
        <f>P335*L335*M335*N335</f>
      </c>
      <c r="R335" s="73" t="str">
        <f>O335*K335*M335*N335</f>
      </c>
      <c r="S335" s="74" t="str">
        <f>R335-Q335</f>
      </c>
      <c r="T335" s="20" t="str">
        <f>IFERROR(INDEX('Cost_Components'!$R$2:$R$27,MATCH(E335,'Cost_Components'!$A$2:$A$27,0)),"")</f>
      </c>
      <c r="U335" s="75" t="str">
        <f>IFERROR(INDEX('Cost_Components'!$Q$2:$Q$27,MATCH(E335,'Cost_Components'!$A$2:$A$27,0)),"")</f>
      </c>
      <c r="V335" s="76" t="str">
        <f>1/(1+'Calculation_Assumptions'!$B$5)^(B335-'Calculation_Assumptions'!$B$2)</f>
      </c>
      <c r="W335" s="77" t="str">
        <f>Q335*V335</f>
      </c>
      <c r="X335" s="78" t="str">
        <f>R335*V335</f>
      </c>
      <c r="Y335" s="79" t="str">
        <f>S335*V335</f>
      </c>
      <c r="Z335" s="80" t="str">
        <f>IFERROR(INDEX('Cost_Components'!$T$2:$T$27,MATCH(E335,'Cost_Components'!$A$2:$A$27,0)),"")</f>
      </c>
      <c r="AA335" s="81" t="str">
        <f>IFERROR(INDEX('Cost_Components'!$U$2:$U$27,MATCH(E335,'Cost_Components'!$A$2:$A$27,0)),"")</f>
      </c>
      <c r="AB335" s="82" t="str">
        <f>IFERROR(INDEX('Cost_Components'!$V$2:$V$27,MATCH(E335,'Cost_Components'!$A$2:$A$27,0)),"")</f>
      </c>
      <c r="AC335" s="83" t="str">
        <f>IFERROR(INDEX('Cost_Components'!$M$2:$M$27,MATCH(E335,'Cost_Components'!$A$2:$A$27,0)),"")</f>
      </c>
      <c r="AD335" s="84" t="str">
        <f>IFERROR(INDEX('Cost_Components'!$N$2:$N$27,MATCH(E335,'Cost_Components'!$A$2:$A$27,0)),"")</f>
      </c>
      <c r="AE335" s="20" t="str">
        <f>IFERROR(INDEX('Cost_Components'!$O$2:$O$27,MATCH(E335,'Cost_Components'!$A$2:$A$27,0)),"")</f>
      </c>
      <c r="AF335" s="85" t="n">
        <v>7371988.88312106</v>
      </c>
      <c r="AG335" s="86" t="n">
        <v>7352671.00291986</v>
      </c>
      <c r="AH335" s="87" t="str">
        <f>IF(H335="shared-count-once",COUNTIFS($A$2:$A$1353,A335,$B$2:$B$1353,B335,$E$2:$E$1353,E335),1)</f>
      </c>
    </row>
    <row r="336">
      <c r="A336" t="s">
        <v>200</v>
      </c>
      <c r="B336" s="59" t="n">
        <v>2047</v>
      </c>
      <c r="C336" t="s">
        <v>200</v>
      </c>
      <c r="D336" t="s">
        <v>180</v>
      </c>
      <c r="E336" s="60" t="s">
        <v>289</v>
      </c>
      <c r="F336" s="61" t="s">
        <v>290</v>
      </c>
      <c r="G336" s="62" t="s">
        <v>204</v>
      </c>
      <c r="H336" s="63" t="s">
        <v>195</v>
      </c>
      <c r="I336" s="64" t="s">
        <v>267</v>
      </c>
      <c r="J336" s="65" t="str">
        <f>IFERROR(INDEX('Cost_Components'!$K$2:$K$27,MATCH(E336,'Cost_Components'!$A$2:$A$27,0)),"")</f>
      </c>
      <c r="K336" s="66" t="str">
        <f>IF(OR(L336="",Z336="",AA336="",AB336=""),"",IF(B336&lt;AA336,L336,IF(B336&gt;AB336,Z336,L336+(Z336-L336)*MIN(MAX((B336-AA336+1)/MAX(AB336-AA336+1,1),0),1))))</f>
      </c>
      <c r="L336" s="67" t="str">
        <f>IFERROR(INDEX('Cost_Components'!$S$2:$S$27,MATCH(E336,'Cost_Components'!$A$2:$A$27,0)),"")</f>
      </c>
      <c r="M336" s="68" t="str">
        <f>IFERROR(INDEX('Cost_Components'!$L$2:$L$27,MATCH(E336,'Cost_Components'!$A$2:$A$27,0)),"")</f>
      </c>
      <c r="N336" s="69" t="str">
        <f>IFERROR(INDEX('Cost_Components'!$P$2:$P$27,MATCH(E336,'Cost_Components'!$A$2:$A$27,0)),"")</f>
      </c>
      <c r="O336" s="70" t="str">
        <f>AF336*J336</f>
      </c>
      <c r="P336" s="71" t="str">
        <f>AG336*J336</f>
      </c>
      <c r="Q336" s="72" t="str">
        <f>P336*L336*M336*N336</f>
      </c>
      <c r="R336" s="73" t="str">
        <f>O336*K336*M336*N336</f>
      </c>
      <c r="S336" s="74" t="str">
        <f>R336-Q336</f>
      </c>
      <c r="T336" s="20" t="str">
        <f>IFERROR(INDEX('Cost_Components'!$R$2:$R$27,MATCH(E336,'Cost_Components'!$A$2:$A$27,0)),"")</f>
      </c>
      <c r="U336" s="75" t="str">
        <f>IFERROR(INDEX('Cost_Components'!$Q$2:$Q$27,MATCH(E336,'Cost_Components'!$A$2:$A$27,0)),"")</f>
      </c>
      <c r="V336" s="76" t="str">
        <f>1/(1+'Calculation_Assumptions'!$B$5)^(B336-'Calculation_Assumptions'!$B$2)</f>
      </c>
      <c r="W336" s="77" t="str">
        <f>Q336*V336</f>
      </c>
      <c r="X336" s="78" t="str">
        <f>R336*V336</f>
      </c>
      <c r="Y336" s="79" t="str">
        <f>S336*V336</f>
      </c>
      <c r="Z336" s="80" t="str">
        <f>IFERROR(INDEX('Cost_Components'!$T$2:$T$27,MATCH(E336,'Cost_Components'!$A$2:$A$27,0)),"")</f>
      </c>
      <c r="AA336" s="81" t="str">
        <f>IFERROR(INDEX('Cost_Components'!$U$2:$U$27,MATCH(E336,'Cost_Components'!$A$2:$A$27,0)),"")</f>
      </c>
      <c r="AB336" s="82" t="str">
        <f>IFERROR(INDEX('Cost_Components'!$V$2:$V$27,MATCH(E336,'Cost_Components'!$A$2:$A$27,0)),"")</f>
      </c>
      <c r="AC336" s="83" t="str">
        <f>IFERROR(INDEX('Cost_Components'!$M$2:$M$27,MATCH(E336,'Cost_Components'!$A$2:$A$27,0)),"")</f>
      </c>
      <c r="AD336" s="84" t="str">
        <f>IFERROR(INDEX('Cost_Components'!$N$2:$N$27,MATCH(E336,'Cost_Components'!$A$2:$A$27,0)),"")</f>
      </c>
      <c r="AE336" s="20" t="str">
        <f>IFERROR(INDEX('Cost_Components'!$O$2:$O$27,MATCH(E336,'Cost_Components'!$A$2:$A$27,0)),"")</f>
      </c>
      <c r="AF336" s="85" t="n">
        <v>7476301.85556299</v>
      </c>
      <c r="AG336" s="86" t="n">
        <v>7455494.40605094</v>
      </c>
      <c r="AH336" s="87" t="str">
        <f>IF(H336="shared-count-once",COUNTIFS($A$2:$A$1353,A336,$B$2:$B$1353,B336,$E$2:$E$1353,E336),1)</f>
      </c>
    </row>
    <row r="337">
      <c r="A337" t="s">
        <v>200</v>
      </c>
      <c r="B337" s="59" t="n">
        <v>2048</v>
      </c>
      <c r="C337" t="s">
        <v>200</v>
      </c>
      <c r="D337" t="s">
        <v>180</v>
      </c>
      <c r="E337" s="60" t="s">
        <v>289</v>
      </c>
      <c r="F337" s="61" t="s">
        <v>290</v>
      </c>
      <c r="G337" s="62" t="s">
        <v>204</v>
      </c>
      <c r="H337" s="63" t="s">
        <v>195</v>
      </c>
      <c r="I337" s="64" t="s">
        <v>267</v>
      </c>
      <c r="J337" s="65" t="str">
        <f>IFERROR(INDEX('Cost_Components'!$K$2:$K$27,MATCH(E337,'Cost_Components'!$A$2:$A$27,0)),"")</f>
      </c>
      <c r="K337" s="66" t="str">
        <f>IF(OR(L337="",Z337="",AA337="",AB337=""),"",IF(B337&lt;AA337,L337,IF(B337&gt;AB337,Z337,L337+(Z337-L337)*MIN(MAX((B337-AA337+1)/MAX(AB337-AA337+1,1),0),1))))</f>
      </c>
      <c r="L337" s="67" t="str">
        <f>IFERROR(INDEX('Cost_Components'!$S$2:$S$27,MATCH(E337,'Cost_Components'!$A$2:$A$27,0)),"")</f>
      </c>
      <c r="M337" s="68" t="str">
        <f>IFERROR(INDEX('Cost_Components'!$L$2:$L$27,MATCH(E337,'Cost_Components'!$A$2:$A$27,0)),"")</f>
      </c>
      <c r="N337" s="69" t="str">
        <f>IFERROR(INDEX('Cost_Components'!$P$2:$P$27,MATCH(E337,'Cost_Components'!$A$2:$A$27,0)),"")</f>
      </c>
      <c r="O337" s="70" t="str">
        <f>AF337*J337</f>
      </c>
      <c r="P337" s="71" t="str">
        <f>AG337*J337</f>
      </c>
      <c r="Q337" s="72" t="str">
        <f>P337*L337*M337*N337</f>
      </c>
      <c r="R337" s="73" t="str">
        <f>O337*K337*M337*N337</f>
      </c>
      <c r="S337" s="74" t="str">
        <f>R337-Q337</f>
      </c>
      <c r="T337" s="20" t="str">
        <f>IFERROR(INDEX('Cost_Components'!$R$2:$R$27,MATCH(E337,'Cost_Components'!$A$2:$A$27,0)),"")</f>
      </c>
      <c r="U337" s="75" t="str">
        <f>IFERROR(INDEX('Cost_Components'!$Q$2:$Q$27,MATCH(E337,'Cost_Components'!$A$2:$A$27,0)),"")</f>
      </c>
      <c r="V337" s="76" t="str">
        <f>1/(1+'Calculation_Assumptions'!$B$5)^(B337-'Calculation_Assumptions'!$B$2)</f>
      </c>
      <c r="W337" s="77" t="str">
        <f>Q337*V337</f>
      </c>
      <c r="X337" s="78" t="str">
        <f>R337*V337</f>
      </c>
      <c r="Y337" s="79" t="str">
        <f>S337*V337</f>
      </c>
      <c r="Z337" s="80" t="str">
        <f>IFERROR(INDEX('Cost_Components'!$T$2:$T$27,MATCH(E337,'Cost_Components'!$A$2:$A$27,0)),"")</f>
      </c>
      <c r="AA337" s="81" t="str">
        <f>IFERROR(INDEX('Cost_Components'!$U$2:$U$27,MATCH(E337,'Cost_Components'!$A$2:$A$27,0)),"")</f>
      </c>
      <c r="AB337" s="82" t="str">
        <f>IFERROR(INDEX('Cost_Components'!$V$2:$V$27,MATCH(E337,'Cost_Components'!$A$2:$A$27,0)),"")</f>
      </c>
      <c r="AC337" s="83" t="str">
        <f>IFERROR(INDEX('Cost_Components'!$M$2:$M$27,MATCH(E337,'Cost_Components'!$A$2:$A$27,0)),"")</f>
      </c>
      <c r="AD337" s="84" t="str">
        <f>IFERROR(INDEX('Cost_Components'!$N$2:$N$27,MATCH(E337,'Cost_Components'!$A$2:$A$27,0)),"")</f>
      </c>
      <c r="AE337" s="20" t="str">
        <f>IFERROR(INDEX('Cost_Components'!$O$2:$O$27,MATCH(E337,'Cost_Components'!$A$2:$A$27,0)),"")</f>
      </c>
      <c r="AF337" s="85" t="n">
        <v>7578785.76191955</v>
      </c>
      <c r="AG337" s="86" t="n">
        <v>7556459.2432584</v>
      </c>
      <c r="AH337" s="87" t="str">
        <f>IF(H337="shared-count-once",COUNTIFS($A$2:$A$1353,A337,$B$2:$B$1353,B337,$E$2:$E$1353,E337),1)</f>
      </c>
    </row>
    <row r="338">
      <c r="A338" t="s">
        <v>200</v>
      </c>
      <c r="B338" s="59" t="n">
        <v>2049</v>
      </c>
      <c r="C338" t="s">
        <v>200</v>
      </c>
      <c r="D338" t="s">
        <v>180</v>
      </c>
      <c r="E338" s="60" t="s">
        <v>289</v>
      </c>
      <c r="F338" s="61" t="s">
        <v>290</v>
      </c>
      <c r="G338" s="62" t="s">
        <v>204</v>
      </c>
      <c r="H338" s="63" t="s">
        <v>195</v>
      </c>
      <c r="I338" s="64" t="s">
        <v>267</v>
      </c>
      <c r="J338" s="65" t="str">
        <f>IFERROR(INDEX('Cost_Components'!$K$2:$K$27,MATCH(E338,'Cost_Components'!$A$2:$A$27,0)),"")</f>
      </c>
      <c r="K338" s="66" t="str">
        <f>IF(OR(L338="",Z338="",AA338="",AB338=""),"",IF(B338&lt;AA338,L338,IF(B338&gt;AB338,Z338,L338+(Z338-L338)*MIN(MAX((B338-AA338+1)/MAX(AB338-AA338+1,1),0),1))))</f>
      </c>
      <c r="L338" s="67" t="str">
        <f>IFERROR(INDEX('Cost_Components'!$S$2:$S$27,MATCH(E338,'Cost_Components'!$A$2:$A$27,0)),"")</f>
      </c>
      <c r="M338" s="68" t="str">
        <f>IFERROR(INDEX('Cost_Components'!$L$2:$L$27,MATCH(E338,'Cost_Components'!$A$2:$A$27,0)),"")</f>
      </c>
      <c r="N338" s="69" t="str">
        <f>IFERROR(INDEX('Cost_Components'!$P$2:$P$27,MATCH(E338,'Cost_Components'!$A$2:$A$27,0)),"")</f>
      </c>
      <c r="O338" s="70" t="str">
        <f>AF338*J338</f>
      </c>
      <c r="P338" s="71" t="str">
        <f>AG338*J338</f>
      </c>
      <c r="Q338" s="72" t="str">
        <f>P338*L338*M338*N338</f>
      </c>
      <c r="R338" s="73" t="str">
        <f>O338*K338*M338*N338</f>
      </c>
      <c r="S338" s="74" t="str">
        <f>R338-Q338</f>
      </c>
      <c r="T338" s="20" t="str">
        <f>IFERROR(INDEX('Cost_Components'!$R$2:$R$27,MATCH(E338,'Cost_Components'!$A$2:$A$27,0)),"")</f>
      </c>
      <c r="U338" s="75" t="str">
        <f>IFERROR(INDEX('Cost_Components'!$Q$2:$Q$27,MATCH(E338,'Cost_Components'!$A$2:$A$27,0)),"")</f>
      </c>
      <c r="V338" s="76" t="str">
        <f>1/(1+'Calculation_Assumptions'!$B$5)^(B338-'Calculation_Assumptions'!$B$2)</f>
      </c>
      <c r="W338" s="77" t="str">
        <f>Q338*V338</f>
      </c>
      <c r="X338" s="78" t="str">
        <f>R338*V338</f>
      </c>
      <c r="Y338" s="79" t="str">
        <f>S338*V338</f>
      </c>
      <c r="Z338" s="80" t="str">
        <f>IFERROR(INDEX('Cost_Components'!$T$2:$T$27,MATCH(E338,'Cost_Components'!$A$2:$A$27,0)),"")</f>
      </c>
      <c r="AA338" s="81" t="str">
        <f>IFERROR(INDEX('Cost_Components'!$U$2:$U$27,MATCH(E338,'Cost_Components'!$A$2:$A$27,0)),"")</f>
      </c>
      <c r="AB338" s="82" t="str">
        <f>IFERROR(INDEX('Cost_Components'!$V$2:$V$27,MATCH(E338,'Cost_Components'!$A$2:$A$27,0)),"")</f>
      </c>
      <c r="AC338" s="83" t="str">
        <f>IFERROR(INDEX('Cost_Components'!$M$2:$M$27,MATCH(E338,'Cost_Components'!$A$2:$A$27,0)),"")</f>
      </c>
      <c r="AD338" s="84" t="str">
        <f>IFERROR(INDEX('Cost_Components'!$N$2:$N$27,MATCH(E338,'Cost_Components'!$A$2:$A$27,0)),"")</f>
      </c>
      <c r="AE338" s="20" t="str">
        <f>IFERROR(INDEX('Cost_Components'!$O$2:$O$27,MATCH(E338,'Cost_Components'!$A$2:$A$27,0)),"")</f>
      </c>
      <c r="AF338" s="85" t="n">
        <v>7676417.63062444</v>
      </c>
      <c r="AG338" s="86" t="n">
        <v>7652544.64203908</v>
      </c>
      <c r="AH338" s="87" t="str">
        <f>IF(H338="shared-count-once",COUNTIFS($A$2:$A$1353,A338,$B$2:$B$1353,B338,$E$2:$E$1353,E338),1)</f>
      </c>
    </row>
    <row r="339">
      <c r="A339" t="s">
        <v>200</v>
      </c>
      <c r="B339" s="59" t="n">
        <v>2050</v>
      </c>
      <c r="C339" t="s">
        <v>200</v>
      </c>
      <c r="D339" t="s">
        <v>180</v>
      </c>
      <c r="E339" s="60" t="s">
        <v>289</v>
      </c>
      <c r="F339" s="61" t="s">
        <v>290</v>
      </c>
      <c r="G339" s="62" t="s">
        <v>204</v>
      </c>
      <c r="H339" s="63" t="s">
        <v>195</v>
      </c>
      <c r="I339" s="64" t="s">
        <v>267</v>
      </c>
      <c r="J339" s="65" t="str">
        <f>IFERROR(INDEX('Cost_Components'!$K$2:$K$27,MATCH(E339,'Cost_Components'!$A$2:$A$27,0)),"")</f>
      </c>
      <c r="K339" s="66" t="str">
        <f>IF(OR(L339="",Z339="",AA339="",AB339=""),"",IF(B339&lt;AA339,L339,IF(B339&gt;AB339,Z339,L339+(Z339-L339)*MIN(MAX((B339-AA339+1)/MAX(AB339-AA339+1,1),0),1))))</f>
      </c>
      <c r="L339" s="67" t="str">
        <f>IFERROR(INDEX('Cost_Components'!$S$2:$S$27,MATCH(E339,'Cost_Components'!$A$2:$A$27,0)),"")</f>
      </c>
      <c r="M339" s="68" t="str">
        <f>IFERROR(INDEX('Cost_Components'!$L$2:$L$27,MATCH(E339,'Cost_Components'!$A$2:$A$27,0)),"")</f>
      </c>
      <c r="N339" s="69" t="str">
        <f>IFERROR(INDEX('Cost_Components'!$P$2:$P$27,MATCH(E339,'Cost_Components'!$A$2:$A$27,0)),"")</f>
      </c>
      <c r="O339" s="70" t="str">
        <f>AF339*J339</f>
      </c>
      <c r="P339" s="71" t="str">
        <f>AG339*J339</f>
      </c>
      <c r="Q339" s="72" t="str">
        <f>P339*L339*M339*N339</f>
      </c>
      <c r="R339" s="73" t="str">
        <f>O339*K339*M339*N339</f>
      </c>
      <c r="S339" s="74" t="str">
        <f>R339-Q339</f>
      </c>
      <c r="T339" s="20" t="str">
        <f>IFERROR(INDEX('Cost_Components'!$R$2:$R$27,MATCH(E339,'Cost_Components'!$A$2:$A$27,0)),"")</f>
      </c>
      <c r="U339" s="75" t="str">
        <f>IFERROR(INDEX('Cost_Components'!$Q$2:$Q$27,MATCH(E339,'Cost_Components'!$A$2:$A$27,0)),"")</f>
      </c>
      <c r="V339" s="76" t="str">
        <f>1/(1+'Calculation_Assumptions'!$B$5)^(B339-'Calculation_Assumptions'!$B$2)</f>
      </c>
      <c r="W339" s="77" t="str">
        <f>Q339*V339</f>
      </c>
      <c r="X339" s="78" t="str">
        <f>R339*V339</f>
      </c>
      <c r="Y339" s="79" t="str">
        <f>S339*V339</f>
      </c>
      <c r="Z339" s="80" t="str">
        <f>IFERROR(INDEX('Cost_Components'!$T$2:$T$27,MATCH(E339,'Cost_Components'!$A$2:$A$27,0)),"")</f>
      </c>
      <c r="AA339" s="81" t="str">
        <f>IFERROR(INDEX('Cost_Components'!$U$2:$U$27,MATCH(E339,'Cost_Components'!$A$2:$A$27,0)),"")</f>
      </c>
      <c r="AB339" s="82" t="str">
        <f>IFERROR(INDEX('Cost_Components'!$V$2:$V$27,MATCH(E339,'Cost_Components'!$A$2:$A$27,0)),"")</f>
      </c>
      <c r="AC339" s="83" t="str">
        <f>IFERROR(INDEX('Cost_Components'!$M$2:$M$27,MATCH(E339,'Cost_Components'!$A$2:$A$27,0)),"")</f>
      </c>
      <c r="AD339" s="84" t="str">
        <f>IFERROR(INDEX('Cost_Components'!$N$2:$N$27,MATCH(E339,'Cost_Components'!$A$2:$A$27,0)),"")</f>
      </c>
      <c r="AE339" s="20" t="str">
        <f>IFERROR(INDEX('Cost_Components'!$O$2:$O$27,MATCH(E339,'Cost_Components'!$A$2:$A$27,0)),"")</f>
      </c>
      <c r="AF339" s="85" t="n">
        <v>7771775.22122806</v>
      </c>
      <c r="AG339" s="86" t="n">
        <v>7746332.78496876</v>
      </c>
      <c r="AH339" s="87" t="str">
        <f>IF(H339="shared-count-once",COUNTIFS($A$2:$A$1353,A339,$B$2:$B$1353,B339,$E$2:$E$1353,E339),1)</f>
      </c>
    </row>
    <row r="340">
      <c r="A340" t="s">
        <v>200</v>
      </c>
      <c r="B340" s="59" t="n">
        <v>2025</v>
      </c>
      <c r="C340" t="s">
        <v>200</v>
      </c>
      <c r="D340" t="s">
        <v>180</v>
      </c>
      <c r="E340" s="60" t="s">
        <v>292</v>
      </c>
      <c r="F340" s="61" t="s">
        <v>293</v>
      </c>
      <c r="G340" s="62" t="s">
        <v>204</v>
      </c>
      <c r="H340" s="63" t="s">
        <v>195</v>
      </c>
      <c r="I340" s="64" t="s">
        <v>267</v>
      </c>
      <c r="J340" s="65" t="str">
        <f>IFERROR(INDEX('Cost_Components'!$K$2:$K$27,MATCH(E340,'Cost_Components'!$A$2:$A$27,0)),"")</f>
      </c>
      <c r="K340" s="66" t="str">
        <f>IF(OR(L340="",Z340="",AA340="",AB340=""),"",IF(B340&lt;AA340,L340,IF(B340&gt;AB340,Z340,L340+(Z340-L340)*MIN(MAX((B340-AA340+1)/MAX(AB340-AA340+1,1),0),1))))</f>
      </c>
      <c r="L340" s="67" t="str">
        <f>IFERROR(INDEX('Cost_Components'!$S$2:$S$27,MATCH(E340,'Cost_Components'!$A$2:$A$27,0)),"")</f>
      </c>
      <c r="M340" s="68" t="str">
        <f>IFERROR(INDEX('Cost_Components'!$L$2:$L$27,MATCH(E340,'Cost_Components'!$A$2:$A$27,0)),"")</f>
      </c>
      <c r="N340" s="69" t="str">
        <f>IFERROR(INDEX('Cost_Components'!$P$2:$P$27,MATCH(E340,'Cost_Components'!$A$2:$A$27,0)),"")</f>
      </c>
      <c r="O340" s="70" t="str">
        <f>AF340*J340</f>
      </c>
      <c r="P340" s="71" t="str">
        <f>AG340*J340</f>
      </c>
      <c r="Q340" s="72" t="str">
        <f>P340*L340*M340*N340</f>
      </c>
      <c r="R340" s="73" t="str">
        <f>O340*K340*M340*N340</f>
      </c>
      <c r="S340" s="74" t="str">
        <f>R340-Q340</f>
      </c>
      <c r="T340" s="20" t="str">
        <f>IFERROR(INDEX('Cost_Components'!$R$2:$R$27,MATCH(E340,'Cost_Components'!$A$2:$A$27,0)),"")</f>
      </c>
      <c r="U340" s="75" t="str">
        <f>IFERROR(INDEX('Cost_Components'!$Q$2:$Q$27,MATCH(E340,'Cost_Components'!$A$2:$A$27,0)),"")</f>
      </c>
      <c r="V340" s="76" t="str">
        <f>1/(1+'Calculation_Assumptions'!$B$5)^(B340-'Calculation_Assumptions'!$B$2)</f>
      </c>
      <c r="W340" s="77" t="str">
        <f>Q340*V340</f>
      </c>
      <c r="X340" s="78" t="str">
        <f>R340*V340</f>
      </c>
      <c r="Y340" s="79" t="str">
        <f>S340*V340</f>
      </c>
      <c r="Z340" s="80" t="str">
        <f>IFERROR(INDEX('Cost_Components'!$T$2:$T$27,MATCH(E340,'Cost_Components'!$A$2:$A$27,0)),"")</f>
      </c>
      <c r="AA340" s="81" t="str">
        <f>IFERROR(INDEX('Cost_Components'!$U$2:$U$27,MATCH(E340,'Cost_Components'!$A$2:$A$27,0)),"")</f>
      </c>
      <c r="AB340" s="82" t="str">
        <f>IFERROR(INDEX('Cost_Components'!$V$2:$V$27,MATCH(E340,'Cost_Components'!$A$2:$A$27,0)),"")</f>
      </c>
      <c r="AC340" s="83" t="str">
        <f>IFERROR(INDEX('Cost_Components'!$M$2:$M$27,MATCH(E340,'Cost_Components'!$A$2:$A$27,0)),"")</f>
      </c>
      <c r="AD340" s="84" t="str">
        <f>IFERROR(INDEX('Cost_Components'!$N$2:$N$27,MATCH(E340,'Cost_Components'!$A$2:$A$27,0)),"")</f>
      </c>
      <c r="AE340" s="20" t="str">
        <f>IFERROR(INDEX('Cost_Components'!$O$2:$O$27,MATCH(E340,'Cost_Components'!$A$2:$A$27,0)),"")</f>
      </c>
      <c r="AF340" s="85" t="n">
        <v>4938680.56669456</v>
      </c>
      <c r="AG340" s="86" t="n">
        <v>4938586.08395776</v>
      </c>
      <c r="AH340" s="87" t="str">
        <f>IF(H340="shared-count-once",COUNTIFS($A$2:$A$1353,A340,$B$2:$B$1353,B340,$E$2:$E$1353,E340),1)</f>
      </c>
    </row>
    <row r="341">
      <c r="A341" t="s">
        <v>200</v>
      </c>
      <c r="B341" s="59" t="n">
        <v>2026</v>
      </c>
      <c r="C341" t="s">
        <v>200</v>
      </c>
      <c r="D341" t="s">
        <v>180</v>
      </c>
      <c r="E341" s="60" t="s">
        <v>292</v>
      </c>
      <c r="F341" s="61" t="s">
        <v>293</v>
      </c>
      <c r="G341" s="62" t="s">
        <v>204</v>
      </c>
      <c r="H341" s="63" t="s">
        <v>195</v>
      </c>
      <c r="I341" s="64" t="s">
        <v>267</v>
      </c>
      <c r="J341" s="65" t="str">
        <f>IFERROR(INDEX('Cost_Components'!$K$2:$K$27,MATCH(E341,'Cost_Components'!$A$2:$A$27,0)),"")</f>
      </c>
      <c r="K341" s="66" t="str">
        <f>IF(OR(L341="",Z341="",AA341="",AB341=""),"",IF(B341&lt;AA341,L341,IF(B341&gt;AB341,Z341,L341+(Z341-L341)*MIN(MAX((B341-AA341+1)/MAX(AB341-AA341+1,1),0),1))))</f>
      </c>
      <c r="L341" s="67" t="str">
        <f>IFERROR(INDEX('Cost_Components'!$S$2:$S$27,MATCH(E341,'Cost_Components'!$A$2:$A$27,0)),"")</f>
      </c>
      <c r="M341" s="68" t="str">
        <f>IFERROR(INDEX('Cost_Components'!$L$2:$L$27,MATCH(E341,'Cost_Components'!$A$2:$A$27,0)),"")</f>
      </c>
      <c r="N341" s="69" t="str">
        <f>IFERROR(INDEX('Cost_Components'!$P$2:$P$27,MATCH(E341,'Cost_Components'!$A$2:$A$27,0)),"")</f>
      </c>
      <c r="O341" s="70" t="str">
        <f>AF341*J341</f>
      </c>
      <c r="P341" s="71" t="str">
        <f>AG341*J341</f>
      </c>
      <c r="Q341" s="72" t="str">
        <f>P341*L341*M341*N341</f>
      </c>
      <c r="R341" s="73" t="str">
        <f>O341*K341*M341*N341</f>
      </c>
      <c r="S341" s="74" t="str">
        <f>R341-Q341</f>
      </c>
      <c r="T341" s="20" t="str">
        <f>IFERROR(INDEX('Cost_Components'!$R$2:$R$27,MATCH(E341,'Cost_Components'!$A$2:$A$27,0)),"")</f>
      </c>
      <c r="U341" s="75" t="str">
        <f>IFERROR(INDEX('Cost_Components'!$Q$2:$Q$27,MATCH(E341,'Cost_Components'!$A$2:$A$27,0)),"")</f>
      </c>
      <c r="V341" s="76" t="str">
        <f>1/(1+'Calculation_Assumptions'!$B$5)^(B341-'Calculation_Assumptions'!$B$2)</f>
      </c>
      <c r="W341" s="77" t="str">
        <f>Q341*V341</f>
      </c>
      <c r="X341" s="78" t="str">
        <f>R341*V341</f>
      </c>
      <c r="Y341" s="79" t="str">
        <f>S341*V341</f>
      </c>
      <c r="Z341" s="80" t="str">
        <f>IFERROR(INDEX('Cost_Components'!$T$2:$T$27,MATCH(E341,'Cost_Components'!$A$2:$A$27,0)),"")</f>
      </c>
      <c r="AA341" s="81" t="str">
        <f>IFERROR(INDEX('Cost_Components'!$U$2:$U$27,MATCH(E341,'Cost_Components'!$A$2:$A$27,0)),"")</f>
      </c>
      <c r="AB341" s="82" t="str">
        <f>IFERROR(INDEX('Cost_Components'!$V$2:$V$27,MATCH(E341,'Cost_Components'!$A$2:$A$27,0)),"")</f>
      </c>
      <c r="AC341" s="83" t="str">
        <f>IFERROR(INDEX('Cost_Components'!$M$2:$M$27,MATCH(E341,'Cost_Components'!$A$2:$A$27,0)),"")</f>
      </c>
      <c r="AD341" s="84" t="str">
        <f>IFERROR(INDEX('Cost_Components'!$N$2:$N$27,MATCH(E341,'Cost_Components'!$A$2:$A$27,0)),"")</f>
      </c>
      <c r="AE341" s="20" t="str">
        <f>IFERROR(INDEX('Cost_Components'!$O$2:$O$27,MATCH(E341,'Cost_Components'!$A$2:$A$27,0)),"")</f>
      </c>
      <c r="AF341" s="85" t="n">
        <v>5060157.36924225</v>
      </c>
      <c r="AG341" s="86" t="n">
        <v>5059876.23903272</v>
      </c>
      <c r="AH341" s="87" t="str">
        <f>IF(H341="shared-count-once",COUNTIFS($A$2:$A$1353,A341,$B$2:$B$1353,B341,$E$2:$E$1353,E341),1)</f>
      </c>
    </row>
    <row r="342">
      <c r="A342" t="s">
        <v>200</v>
      </c>
      <c r="B342" s="59" t="n">
        <v>2027</v>
      </c>
      <c r="C342" t="s">
        <v>200</v>
      </c>
      <c r="D342" t="s">
        <v>180</v>
      </c>
      <c r="E342" s="60" t="s">
        <v>292</v>
      </c>
      <c r="F342" s="61" t="s">
        <v>293</v>
      </c>
      <c r="G342" s="62" t="s">
        <v>204</v>
      </c>
      <c r="H342" s="63" t="s">
        <v>195</v>
      </c>
      <c r="I342" s="64" t="s">
        <v>267</v>
      </c>
      <c r="J342" s="65" t="str">
        <f>IFERROR(INDEX('Cost_Components'!$K$2:$K$27,MATCH(E342,'Cost_Components'!$A$2:$A$27,0)),"")</f>
      </c>
      <c r="K342" s="66" t="str">
        <f>IF(OR(L342="",Z342="",AA342="",AB342=""),"",IF(B342&lt;AA342,L342,IF(B342&gt;AB342,Z342,L342+(Z342-L342)*MIN(MAX((B342-AA342+1)/MAX(AB342-AA342+1,1),0),1))))</f>
      </c>
      <c r="L342" s="67" t="str">
        <f>IFERROR(INDEX('Cost_Components'!$S$2:$S$27,MATCH(E342,'Cost_Components'!$A$2:$A$27,0)),"")</f>
      </c>
      <c r="M342" s="68" t="str">
        <f>IFERROR(INDEX('Cost_Components'!$L$2:$L$27,MATCH(E342,'Cost_Components'!$A$2:$A$27,0)),"")</f>
      </c>
      <c r="N342" s="69" t="str">
        <f>IFERROR(INDEX('Cost_Components'!$P$2:$P$27,MATCH(E342,'Cost_Components'!$A$2:$A$27,0)),"")</f>
      </c>
      <c r="O342" s="70" t="str">
        <f>AF342*J342</f>
      </c>
      <c r="P342" s="71" t="str">
        <f>AG342*J342</f>
      </c>
      <c r="Q342" s="72" t="str">
        <f>P342*L342*M342*N342</f>
      </c>
      <c r="R342" s="73" t="str">
        <f>O342*K342*M342*N342</f>
      </c>
      <c r="S342" s="74" t="str">
        <f>R342-Q342</f>
      </c>
      <c r="T342" s="20" t="str">
        <f>IFERROR(INDEX('Cost_Components'!$R$2:$R$27,MATCH(E342,'Cost_Components'!$A$2:$A$27,0)),"")</f>
      </c>
      <c r="U342" s="75" t="str">
        <f>IFERROR(INDEX('Cost_Components'!$Q$2:$Q$27,MATCH(E342,'Cost_Components'!$A$2:$A$27,0)),"")</f>
      </c>
      <c r="V342" s="76" t="str">
        <f>1/(1+'Calculation_Assumptions'!$B$5)^(B342-'Calculation_Assumptions'!$B$2)</f>
      </c>
      <c r="W342" s="77" t="str">
        <f>Q342*V342</f>
      </c>
      <c r="X342" s="78" t="str">
        <f>R342*V342</f>
      </c>
      <c r="Y342" s="79" t="str">
        <f>S342*V342</f>
      </c>
      <c r="Z342" s="80" t="str">
        <f>IFERROR(INDEX('Cost_Components'!$T$2:$T$27,MATCH(E342,'Cost_Components'!$A$2:$A$27,0)),"")</f>
      </c>
      <c r="AA342" s="81" t="str">
        <f>IFERROR(INDEX('Cost_Components'!$U$2:$U$27,MATCH(E342,'Cost_Components'!$A$2:$A$27,0)),"")</f>
      </c>
      <c r="AB342" s="82" t="str">
        <f>IFERROR(INDEX('Cost_Components'!$V$2:$V$27,MATCH(E342,'Cost_Components'!$A$2:$A$27,0)),"")</f>
      </c>
      <c r="AC342" s="83" t="str">
        <f>IFERROR(INDEX('Cost_Components'!$M$2:$M$27,MATCH(E342,'Cost_Components'!$A$2:$A$27,0)),"")</f>
      </c>
      <c r="AD342" s="84" t="str">
        <f>IFERROR(INDEX('Cost_Components'!$N$2:$N$27,MATCH(E342,'Cost_Components'!$A$2:$A$27,0)),"")</f>
      </c>
      <c r="AE342" s="20" t="str">
        <f>IFERROR(INDEX('Cost_Components'!$O$2:$O$27,MATCH(E342,'Cost_Components'!$A$2:$A$27,0)),"")</f>
      </c>
      <c r="AF342" s="85" t="n">
        <v>5178466.1165456</v>
      </c>
      <c r="AG342" s="86" t="n">
        <v>5177908.34578341</v>
      </c>
      <c r="AH342" s="87" t="str">
        <f>IF(H342="shared-count-once",COUNTIFS($A$2:$A$1353,A342,$B$2:$B$1353,B342,$E$2:$E$1353,E342),1)</f>
      </c>
    </row>
    <row r="343">
      <c r="A343" t="s">
        <v>200</v>
      </c>
      <c r="B343" s="59" t="n">
        <v>2028</v>
      </c>
      <c r="C343" t="s">
        <v>200</v>
      </c>
      <c r="D343" t="s">
        <v>180</v>
      </c>
      <c r="E343" s="60" t="s">
        <v>292</v>
      </c>
      <c r="F343" s="61" t="s">
        <v>293</v>
      </c>
      <c r="G343" s="62" t="s">
        <v>204</v>
      </c>
      <c r="H343" s="63" t="s">
        <v>195</v>
      </c>
      <c r="I343" s="64" t="s">
        <v>267</v>
      </c>
      <c r="J343" s="65" t="str">
        <f>IFERROR(INDEX('Cost_Components'!$K$2:$K$27,MATCH(E343,'Cost_Components'!$A$2:$A$27,0)),"")</f>
      </c>
      <c r="K343" s="66" t="str">
        <f>IF(OR(L343="",Z343="",AA343="",AB343=""),"",IF(B343&lt;AA343,L343,IF(B343&gt;AB343,Z343,L343+(Z343-L343)*MIN(MAX((B343-AA343+1)/MAX(AB343-AA343+1,1),0),1))))</f>
      </c>
      <c r="L343" s="67" t="str">
        <f>IFERROR(INDEX('Cost_Components'!$S$2:$S$27,MATCH(E343,'Cost_Components'!$A$2:$A$27,0)),"")</f>
      </c>
      <c r="M343" s="68" t="str">
        <f>IFERROR(INDEX('Cost_Components'!$L$2:$L$27,MATCH(E343,'Cost_Components'!$A$2:$A$27,0)),"")</f>
      </c>
      <c r="N343" s="69" t="str">
        <f>IFERROR(INDEX('Cost_Components'!$P$2:$P$27,MATCH(E343,'Cost_Components'!$A$2:$A$27,0)),"")</f>
      </c>
      <c r="O343" s="70" t="str">
        <f>AF343*J343</f>
      </c>
      <c r="P343" s="71" t="str">
        <f>AG343*J343</f>
      </c>
      <c r="Q343" s="72" t="str">
        <f>P343*L343*M343*N343</f>
      </c>
      <c r="R343" s="73" t="str">
        <f>O343*K343*M343*N343</f>
      </c>
      <c r="S343" s="74" t="str">
        <f>R343-Q343</f>
      </c>
      <c r="T343" s="20" t="str">
        <f>IFERROR(INDEX('Cost_Components'!$R$2:$R$27,MATCH(E343,'Cost_Components'!$A$2:$A$27,0)),"")</f>
      </c>
      <c r="U343" s="75" t="str">
        <f>IFERROR(INDEX('Cost_Components'!$Q$2:$Q$27,MATCH(E343,'Cost_Components'!$A$2:$A$27,0)),"")</f>
      </c>
      <c r="V343" s="76" t="str">
        <f>1/(1+'Calculation_Assumptions'!$B$5)^(B343-'Calculation_Assumptions'!$B$2)</f>
      </c>
      <c r="W343" s="77" t="str">
        <f>Q343*V343</f>
      </c>
      <c r="X343" s="78" t="str">
        <f>R343*V343</f>
      </c>
      <c r="Y343" s="79" t="str">
        <f>S343*V343</f>
      </c>
      <c r="Z343" s="80" t="str">
        <f>IFERROR(INDEX('Cost_Components'!$T$2:$T$27,MATCH(E343,'Cost_Components'!$A$2:$A$27,0)),"")</f>
      </c>
      <c r="AA343" s="81" t="str">
        <f>IFERROR(INDEX('Cost_Components'!$U$2:$U$27,MATCH(E343,'Cost_Components'!$A$2:$A$27,0)),"")</f>
      </c>
      <c r="AB343" s="82" t="str">
        <f>IFERROR(INDEX('Cost_Components'!$V$2:$V$27,MATCH(E343,'Cost_Components'!$A$2:$A$27,0)),"")</f>
      </c>
      <c r="AC343" s="83" t="str">
        <f>IFERROR(INDEX('Cost_Components'!$M$2:$M$27,MATCH(E343,'Cost_Components'!$A$2:$A$27,0)),"")</f>
      </c>
      <c r="AD343" s="84" t="str">
        <f>IFERROR(INDEX('Cost_Components'!$N$2:$N$27,MATCH(E343,'Cost_Components'!$A$2:$A$27,0)),"")</f>
      </c>
      <c r="AE343" s="20" t="str">
        <f>IFERROR(INDEX('Cost_Components'!$O$2:$O$27,MATCH(E343,'Cost_Components'!$A$2:$A$27,0)),"")</f>
      </c>
      <c r="AF343" s="85" t="n">
        <v>5293284.80233918</v>
      </c>
      <c r="AG343" s="86" t="n">
        <v>5292362.05081189</v>
      </c>
      <c r="AH343" s="87" t="str">
        <f>IF(H343="shared-count-once",COUNTIFS($A$2:$A$1353,A343,$B$2:$B$1353,B343,$E$2:$E$1353,E343),1)</f>
      </c>
    </row>
    <row r="344">
      <c r="A344" t="s">
        <v>200</v>
      </c>
      <c r="B344" s="59" t="n">
        <v>2029</v>
      </c>
      <c r="C344" t="s">
        <v>200</v>
      </c>
      <c r="D344" t="s">
        <v>180</v>
      </c>
      <c r="E344" s="60" t="s">
        <v>292</v>
      </c>
      <c r="F344" s="61" t="s">
        <v>293</v>
      </c>
      <c r="G344" s="62" t="s">
        <v>204</v>
      </c>
      <c r="H344" s="63" t="s">
        <v>195</v>
      </c>
      <c r="I344" s="64" t="s">
        <v>267</v>
      </c>
      <c r="J344" s="65" t="str">
        <f>IFERROR(INDEX('Cost_Components'!$K$2:$K$27,MATCH(E344,'Cost_Components'!$A$2:$A$27,0)),"")</f>
      </c>
      <c r="K344" s="66" t="str">
        <f>IF(OR(L344="",Z344="",AA344="",AB344=""),"",IF(B344&lt;AA344,L344,IF(B344&gt;AB344,Z344,L344+(Z344-L344)*MIN(MAX((B344-AA344+1)/MAX(AB344-AA344+1,1),0),1))))</f>
      </c>
      <c r="L344" s="67" t="str">
        <f>IFERROR(INDEX('Cost_Components'!$S$2:$S$27,MATCH(E344,'Cost_Components'!$A$2:$A$27,0)),"")</f>
      </c>
      <c r="M344" s="68" t="str">
        <f>IFERROR(INDEX('Cost_Components'!$L$2:$L$27,MATCH(E344,'Cost_Components'!$A$2:$A$27,0)),"")</f>
      </c>
      <c r="N344" s="69" t="str">
        <f>IFERROR(INDEX('Cost_Components'!$P$2:$P$27,MATCH(E344,'Cost_Components'!$A$2:$A$27,0)),"")</f>
      </c>
      <c r="O344" s="70" t="str">
        <f>AF344*J344</f>
      </c>
      <c r="P344" s="71" t="str">
        <f>AG344*J344</f>
      </c>
      <c r="Q344" s="72" t="str">
        <f>P344*L344*M344*N344</f>
      </c>
      <c r="R344" s="73" t="str">
        <f>O344*K344*M344*N344</f>
      </c>
      <c r="S344" s="74" t="str">
        <f>R344-Q344</f>
      </c>
      <c r="T344" s="20" t="str">
        <f>IFERROR(INDEX('Cost_Components'!$R$2:$R$27,MATCH(E344,'Cost_Components'!$A$2:$A$27,0)),"")</f>
      </c>
      <c r="U344" s="75" t="str">
        <f>IFERROR(INDEX('Cost_Components'!$Q$2:$Q$27,MATCH(E344,'Cost_Components'!$A$2:$A$27,0)),"")</f>
      </c>
      <c r="V344" s="76" t="str">
        <f>1/(1+'Calculation_Assumptions'!$B$5)^(B344-'Calculation_Assumptions'!$B$2)</f>
      </c>
      <c r="W344" s="77" t="str">
        <f>Q344*V344</f>
      </c>
      <c r="X344" s="78" t="str">
        <f>R344*V344</f>
      </c>
      <c r="Y344" s="79" t="str">
        <f>S344*V344</f>
      </c>
      <c r="Z344" s="80" t="str">
        <f>IFERROR(INDEX('Cost_Components'!$T$2:$T$27,MATCH(E344,'Cost_Components'!$A$2:$A$27,0)),"")</f>
      </c>
      <c r="AA344" s="81" t="str">
        <f>IFERROR(INDEX('Cost_Components'!$U$2:$U$27,MATCH(E344,'Cost_Components'!$A$2:$A$27,0)),"")</f>
      </c>
      <c r="AB344" s="82" t="str">
        <f>IFERROR(INDEX('Cost_Components'!$V$2:$V$27,MATCH(E344,'Cost_Components'!$A$2:$A$27,0)),"")</f>
      </c>
      <c r="AC344" s="83" t="str">
        <f>IFERROR(INDEX('Cost_Components'!$M$2:$M$27,MATCH(E344,'Cost_Components'!$A$2:$A$27,0)),"")</f>
      </c>
      <c r="AD344" s="84" t="str">
        <f>IFERROR(INDEX('Cost_Components'!$N$2:$N$27,MATCH(E344,'Cost_Components'!$A$2:$A$27,0)),"")</f>
      </c>
      <c r="AE344" s="20" t="str">
        <f>IFERROR(INDEX('Cost_Components'!$O$2:$O$27,MATCH(E344,'Cost_Components'!$A$2:$A$27,0)),"")</f>
      </c>
      <c r="AF344" s="85" t="n">
        <v>5409001.14000391</v>
      </c>
      <c r="AG344" s="86" t="n">
        <v>5407624.20226317</v>
      </c>
      <c r="AH344" s="87" t="str">
        <f>IF(H344="shared-count-once",COUNTIFS($A$2:$A$1353,A344,$B$2:$B$1353,B344,$E$2:$E$1353,E344),1)</f>
      </c>
    </row>
    <row r="345">
      <c r="A345" t="s">
        <v>200</v>
      </c>
      <c r="B345" s="59" t="n">
        <v>2030</v>
      </c>
      <c r="C345" t="s">
        <v>200</v>
      </c>
      <c r="D345" t="s">
        <v>180</v>
      </c>
      <c r="E345" s="60" t="s">
        <v>292</v>
      </c>
      <c r="F345" s="61" t="s">
        <v>293</v>
      </c>
      <c r="G345" s="62" t="s">
        <v>204</v>
      </c>
      <c r="H345" s="63" t="s">
        <v>195</v>
      </c>
      <c r="I345" s="64" t="s">
        <v>267</v>
      </c>
      <c r="J345" s="65" t="str">
        <f>IFERROR(INDEX('Cost_Components'!$K$2:$K$27,MATCH(E345,'Cost_Components'!$A$2:$A$27,0)),"")</f>
      </c>
      <c r="K345" s="66" t="str">
        <f>IF(OR(L345="",Z345="",AA345="",AB345=""),"",IF(B345&lt;AA345,L345,IF(B345&gt;AB345,Z345,L345+(Z345-L345)*MIN(MAX((B345-AA345+1)/MAX(AB345-AA345+1,1),0),1))))</f>
      </c>
      <c r="L345" s="67" t="str">
        <f>IFERROR(INDEX('Cost_Components'!$S$2:$S$27,MATCH(E345,'Cost_Components'!$A$2:$A$27,0)),"")</f>
      </c>
      <c r="M345" s="68" t="str">
        <f>IFERROR(INDEX('Cost_Components'!$L$2:$L$27,MATCH(E345,'Cost_Components'!$A$2:$A$27,0)),"")</f>
      </c>
      <c r="N345" s="69" t="str">
        <f>IFERROR(INDEX('Cost_Components'!$P$2:$P$27,MATCH(E345,'Cost_Components'!$A$2:$A$27,0)),"")</f>
      </c>
      <c r="O345" s="70" t="str">
        <f>AF345*J345</f>
      </c>
      <c r="P345" s="71" t="str">
        <f>AG345*J345</f>
      </c>
      <c r="Q345" s="72" t="str">
        <f>P345*L345*M345*N345</f>
      </c>
      <c r="R345" s="73" t="str">
        <f>O345*K345*M345*N345</f>
      </c>
      <c r="S345" s="74" t="str">
        <f>R345-Q345</f>
      </c>
      <c r="T345" s="20" t="str">
        <f>IFERROR(INDEX('Cost_Components'!$R$2:$R$27,MATCH(E345,'Cost_Components'!$A$2:$A$27,0)),"")</f>
      </c>
      <c r="U345" s="75" t="str">
        <f>IFERROR(INDEX('Cost_Components'!$Q$2:$Q$27,MATCH(E345,'Cost_Components'!$A$2:$A$27,0)),"")</f>
      </c>
      <c r="V345" s="76" t="str">
        <f>1/(1+'Calculation_Assumptions'!$B$5)^(B345-'Calculation_Assumptions'!$B$2)</f>
      </c>
      <c r="W345" s="77" t="str">
        <f>Q345*V345</f>
      </c>
      <c r="X345" s="78" t="str">
        <f>R345*V345</f>
      </c>
      <c r="Y345" s="79" t="str">
        <f>S345*V345</f>
      </c>
      <c r="Z345" s="80" t="str">
        <f>IFERROR(INDEX('Cost_Components'!$T$2:$T$27,MATCH(E345,'Cost_Components'!$A$2:$A$27,0)),"")</f>
      </c>
      <c r="AA345" s="81" t="str">
        <f>IFERROR(INDEX('Cost_Components'!$U$2:$U$27,MATCH(E345,'Cost_Components'!$A$2:$A$27,0)),"")</f>
      </c>
      <c r="AB345" s="82" t="str">
        <f>IFERROR(INDEX('Cost_Components'!$V$2:$V$27,MATCH(E345,'Cost_Components'!$A$2:$A$27,0)),"")</f>
      </c>
      <c r="AC345" s="83" t="str">
        <f>IFERROR(INDEX('Cost_Components'!$M$2:$M$27,MATCH(E345,'Cost_Components'!$A$2:$A$27,0)),"")</f>
      </c>
      <c r="AD345" s="84" t="str">
        <f>IFERROR(INDEX('Cost_Components'!$N$2:$N$27,MATCH(E345,'Cost_Components'!$A$2:$A$27,0)),"")</f>
      </c>
      <c r="AE345" s="20" t="str">
        <f>IFERROR(INDEX('Cost_Components'!$O$2:$O$27,MATCH(E345,'Cost_Components'!$A$2:$A$27,0)),"")</f>
      </c>
      <c r="AF345" s="85" t="n">
        <v>5523759.76449367</v>
      </c>
      <c r="AG345" s="86" t="n">
        <v>5521846.50884352</v>
      </c>
      <c r="AH345" s="87" t="str">
        <f>IF(H345="shared-count-once",COUNTIFS($A$2:$A$1353,A345,$B$2:$B$1353,B345,$E$2:$E$1353,E345),1)</f>
      </c>
    </row>
    <row r="346">
      <c r="A346" t="s">
        <v>200</v>
      </c>
      <c r="B346" s="59" t="n">
        <v>2031</v>
      </c>
      <c r="C346" t="s">
        <v>200</v>
      </c>
      <c r="D346" t="s">
        <v>180</v>
      </c>
      <c r="E346" s="60" t="s">
        <v>292</v>
      </c>
      <c r="F346" s="61" t="s">
        <v>293</v>
      </c>
      <c r="G346" s="62" t="s">
        <v>204</v>
      </c>
      <c r="H346" s="63" t="s">
        <v>195</v>
      </c>
      <c r="I346" s="64" t="s">
        <v>267</v>
      </c>
      <c r="J346" s="65" t="str">
        <f>IFERROR(INDEX('Cost_Components'!$K$2:$K$27,MATCH(E346,'Cost_Components'!$A$2:$A$27,0)),"")</f>
      </c>
      <c r="K346" s="66" t="str">
        <f>IF(OR(L346="",Z346="",AA346="",AB346=""),"",IF(B346&lt;AA346,L346,IF(B346&gt;AB346,Z346,L346+(Z346-L346)*MIN(MAX((B346-AA346+1)/MAX(AB346-AA346+1,1),0),1))))</f>
      </c>
      <c r="L346" s="67" t="str">
        <f>IFERROR(INDEX('Cost_Components'!$S$2:$S$27,MATCH(E346,'Cost_Components'!$A$2:$A$27,0)),"")</f>
      </c>
      <c r="M346" s="68" t="str">
        <f>IFERROR(INDEX('Cost_Components'!$L$2:$L$27,MATCH(E346,'Cost_Components'!$A$2:$A$27,0)),"")</f>
      </c>
      <c r="N346" s="69" t="str">
        <f>IFERROR(INDEX('Cost_Components'!$P$2:$P$27,MATCH(E346,'Cost_Components'!$A$2:$A$27,0)),"")</f>
      </c>
      <c r="O346" s="70" t="str">
        <f>AF346*J346</f>
      </c>
      <c r="P346" s="71" t="str">
        <f>AG346*J346</f>
      </c>
      <c r="Q346" s="72" t="str">
        <f>P346*L346*M346*N346</f>
      </c>
      <c r="R346" s="73" t="str">
        <f>O346*K346*M346*N346</f>
      </c>
      <c r="S346" s="74" t="str">
        <f>R346-Q346</f>
      </c>
      <c r="T346" s="20" t="str">
        <f>IFERROR(INDEX('Cost_Components'!$R$2:$R$27,MATCH(E346,'Cost_Components'!$A$2:$A$27,0)),"")</f>
      </c>
      <c r="U346" s="75" t="str">
        <f>IFERROR(INDEX('Cost_Components'!$Q$2:$Q$27,MATCH(E346,'Cost_Components'!$A$2:$A$27,0)),"")</f>
      </c>
      <c r="V346" s="76" t="str">
        <f>1/(1+'Calculation_Assumptions'!$B$5)^(B346-'Calculation_Assumptions'!$B$2)</f>
      </c>
      <c r="W346" s="77" t="str">
        <f>Q346*V346</f>
      </c>
      <c r="X346" s="78" t="str">
        <f>R346*V346</f>
      </c>
      <c r="Y346" s="79" t="str">
        <f>S346*V346</f>
      </c>
      <c r="Z346" s="80" t="str">
        <f>IFERROR(INDEX('Cost_Components'!$T$2:$T$27,MATCH(E346,'Cost_Components'!$A$2:$A$27,0)),"")</f>
      </c>
      <c r="AA346" s="81" t="str">
        <f>IFERROR(INDEX('Cost_Components'!$U$2:$U$27,MATCH(E346,'Cost_Components'!$A$2:$A$27,0)),"")</f>
      </c>
      <c r="AB346" s="82" t="str">
        <f>IFERROR(INDEX('Cost_Components'!$V$2:$V$27,MATCH(E346,'Cost_Components'!$A$2:$A$27,0)),"")</f>
      </c>
      <c r="AC346" s="83" t="str">
        <f>IFERROR(INDEX('Cost_Components'!$M$2:$M$27,MATCH(E346,'Cost_Components'!$A$2:$A$27,0)),"")</f>
      </c>
      <c r="AD346" s="84" t="str">
        <f>IFERROR(INDEX('Cost_Components'!$N$2:$N$27,MATCH(E346,'Cost_Components'!$A$2:$A$27,0)),"")</f>
      </c>
      <c r="AE346" s="20" t="str">
        <f>IFERROR(INDEX('Cost_Components'!$O$2:$O$27,MATCH(E346,'Cost_Components'!$A$2:$A$27,0)),"")</f>
      </c>
      <c r="AF346" s="85" t="n">
        <v>5638422.43444246</v>
      </c>
      <c r="AG346" s="86" t="n">
        <v>5635894.28157856</v>
      </c>
      <c r="AH346" s="87" t="str">
        <f>IF(H346="shared-count-once",COUNTIFS($A$2:$A$1353,A346,$B$2:$B$1353,B346,$E$2:$E$1353,E346),1)</f>
      </c>
    </row>
    <row r="347">
      <c r="A347" t="s">
        <v>200</v>
      </c>
      <c r="B347" s="59" t="n">
        <v>2032</v>
      </c>
      <c r="C347" t="s">
        <v>200</v>
      </c>
      <c r="D347" t="s">
        <v>180</v>
      </c>
      <c r="E347" s="60" t="s">
        <v>292</v>
      </c>
      <c r="F347" s="61" t="s">
        <v>293</v>
      </c>
      <c r="G347" s="62" t="s">
        <v>204</v>
      </c>
      <c r="H347" s="63" t="s">
        <v>195</v>
      </c>
      <c r="I347" s="64" t="s">
        <v>267</v>
      </c>
      <c r="J347" s="65" t="str">
        <f>IFERROR(INDEX('Cost_Components'!$K$2:$K$27,MATCH(E347,'Cost_Components'!$A$2:$A$27,0)),"")</f>
      </c>
      <c r="K347" s="66" t="str">
        <f>IF(OR(L347="",Z347="",AA347="",AB347=""),"",IF(B347&lt;AA347,L347,IF(B347&gt;AB347,Z347,L347+(Z347-L347)*MIN(MAX((B347-AA347+1)/MAX(AB347-AA347+1,1),0),1))))</f>
      </c>
      <c r="L347" s="67" t="str">
        <f>IFERROR(INDEX('Cost_Components'!$S$2:$S$27,MATCH(E347,'Cost_Components'!$A$2:$A$27,0)),"")</f>
      </c>
      <c r="M347" s="68" t="str">
        <f>IFERROR(INDEX('Cost_Components'!$L$2:$L$27,MATCH(E347,'Cost_Components'!$A$2:$A$27,0)),"")</f>
      </c>
      <c r="N347" s="69" t="str">
        <f>IFERROR(INDEX('Cost_Components'!$P$2:$P$27,MATCH(E347,'Cost_Components'!$A$2:$A$27,0)),"")</f>
      </c>
      <c r="O347" s="70" t="str">
        <f>AF347*J347</f>
      </c>
      <c r="P347" s="71" t="str">
        <f>AG347*J347</f>
      </c>
      <c r="Q347" s="72" t="str">
        <f>P347*L347*M347*N347</f>
      </c>
      <c r="R347" s="73" t="str">
        <f>O347*K347*M347*N347</f>
      </c>
      <c r="S347" s="74" t="str">
        <f>R347-Q347</f>
      </c>
      <c r="T347" s="20" t="str">
        <f>IFERROR(INDEX('Cost_Components'!$R$2:$R$27,MATCH(E347,'Cost_Components'!$A$2:$A$27,0)),"")</f>
      </c>
      <c r="U347" s="75" t="str">
        <f>IFERROR(INDEX('Cost_Components'!$Q$2:$Q$27,MATCH(E347,'Cost_Components'!$A$2:$A$27,0)),"")</f>
      </c>
      <c r="V347" s="76" t="str">
        <f>1/(1+'Calculation_Assumptions'!$B$5)^(B347-'Calculation_Assumptions'!$B$2)</f>
      </c>
      <c r="W347" s="77" t="str">
        <f>Q347*V347</f>
      </c>
      <c r="X347" s="78" t="str">
        <f>R347*V347</f>
      </c>
      <c r="Y347" s="79" t="str">
        <f>S347*V347</f>
      </c>
      <c r="Z347" s="80" t="str">
        <f>IFERROR(INDEX('Cost_Components'!$T$2:$T$27,MATCH(E347,'Cost_Components'!$A$2:$A$27,0)),"")</f>
      </c>
      <c r="AA347" s="81" t="str">
        <f>IFERROR(INDEX('Cost_Components'!$U$2:$U$27,MATCH(E347,'Cost_Components'!$A$2:$A$27,0)),"")</f>
      </c>
      <c r="AB347" s="82" t="str">
        <f>IFERROR(INDEX('Cost_Components'!$V$2:$V$27,MATCH(E347,'Cost_Components'!$A$2:$A$27,0)),"")</f>
      </c>
      <c r="AC347" s="83" t="str">
        <f>IFERROR(INDEX('Cost_Components'!$M$2:$M$27,MATCH(E347,'Cost_Components'!$A$2:$A$27,0)),"")</f>
      </c>
      <c r="AD347" s="84" t="str">
        <f>IFERROR(INDEX('Cost_Components'!$N$2:$N$27,MATCH(E347,'Cost_Components'!$A$2:$A$27,0)),"")</f>
      </c>
      <c r="AE347" s="20" t="str">
        <f>IFERROR(INDEX('Cost_Components'!$O$2:$O$27,MATCH(E347,'Cost_Components'!$A$2:$A$27,0)),"")</f>
      </c>
      <c r="AF347" s="85" t="n">
        <v>5752980.43110527</v>
      </c>
      <c r="AG347" s="86" t="n">
        <v>5749760.92998007</v>
      </c>
      <c r="AH347" s="87" t="str">
        <f>IF(H347="shared-count-once",COUNTIFS($A$2:$A$1353,A347,$B$2:$B$1353,B347,$E$2:$E$1353,E347),1)</f>
      </c>
    </row>
    <row r="348">
      <c r="A348" t="s">
        <v>200</v>
      </c>
      <c r="B348" s="59" t="n">
        <v>2033</v>
      </c>
      <c r="C348" t="s">
        <v>200</v>
      </c>
      <c r="D348" t="s">
        <v>180</v>
      </c>
      <c r="E348" s="60" t="s">
        <v>292</v>
      </c>
      <c r="F348" s="61" t="s">
        <v>293</v>
      </c>
      <c r="G348" s="62" t="s">
        <v>204</v>
      </c>
      <c r="H348" s="63" t="s">
        <v>195</v>
      </c>
      <c r="I348" s="64" t="s">
        <v>267</v>
      </c>
      <c r="J348" s="65" t="str">
        <f>IFERROR(INDEX('Cost_Components'!$K$2:$K$27,MATCH(E348,'Cost_Components'!$A$2:$A$27,0)),"")</f>
      </c>
      <c r="K348" s="66" t="str">
        <f>IF(OR(L348="",Z348="",AA348="",AB348=""),"",IF(B348&lt;AA348,L348,IF(B348&gt;AB348,Z348,L348+(Z348-L348)*MIN(MAX((B348-AA348+1)/MAX(AB348-AA348+1,1),0),1))))</f>
      </c>
      <c r="L348" s="67" t="str">
        <f>IFERROR(INDEX('Cost_Components'!$S$2:$S$27,MATCH(E348,'Cost_Components'!$A$2:$A$27,0)),"")</f>
      </c>
      <c r="M348" s="68" t="str">
        <f>IFERROR(INDEX('Cost_Components'!$L$2:$L$27,MATCH(E348,'Cost_Components'!$A$2:$A$27,0)),"")</f>
      </c>
      <c r="N348" s="69" t="str">
        <f>IFERROR(INDEX('Cost_Components'!$P$2:$P$27,MATCH(E348,'Cost_Components'!$A$2:$A$27,0)),"")</f>
      </c>
      <c r="O348" s="70" t="str">
        <f>AF348*J348</f>
      </c>
      <c r="P348" s="71" t="str">
        <f>AG348*J348</f>
      </c>
      <c r="Q348" s="72" t="str">
        <f>P348*L348*M348*N348</f>
      </c>
      <c r="R348" s="73" t="str">
        <f>O348*K348*M348*N348</f>
      </c>
      <c r="S348" s="74" t="str">
        <f>R348-Q348</f>
      </c>
      <c r="T348" s="20" t="str">
        <f>IFERROR(INDEX('Cost_Components'!$R$2:$R$27,MATCH(E348,'Cost_Components'!$A$2:$A$27,0)),"")</f>
      </c>
      <c r="U348" s="75" t="str">
        <f>IFERROR(INDEX('Cost_Components'!$Q$2:$Q$27,MATCH(E348,'Cost_Components'!$A$2:$A$27,0)),"")</f>
      </c>
      <c r="V348" s="76" t="str">
        <f>1/(1+'Calculation_Assumptions'!$B$5)^(B348-'Calculation_Assumptions'!$B$2)</f>
      </c>
      <c r="W348" s="77" t="str">
        <f>Q348*V348</f>
      </c>
      <c r="X348" s="78" t="str">
        <f>R348*V348</f>
      </c>
      <c r="Y348" s="79" t="str">
        <f>S348*V348</f>
      </c>
      <c r="Z348" s="80" t="str">
        <f>IFERROR(INDEX('Cost_Components'!$T$2:$T$27,MATCH(E348,'Cost_Components'!$A$2:$A$27,0)),"")</f>
      </c>
      <c r="AA348" s="81" t="str">
        <f>IFERROR(INDEX('Cost_Components'!$U$2:$U$27,MATCH(E348,'Cost_Components'!$A$2:$A$27,0)),"")</f>
      </c>
      <c r="AB348" s="82" t="str">
        <f>IFERROR(INDEX('Cost_Components'!$V$2:$V$27,MATCH(E348,'Cost_Components'!$A$2:$A$27,0)),"")</f>
      </c>
      <c r="AC348" s="83" t="str">
        <f>IFERROR(INDEX('Cost_Components'!$M$2:$M$27,MATCH(E348,'Cost_Components'!$A$2:$A$27,0)),"")</f>
      </c>
      <c r="AD348" s="84" t="str">
        <f>IFERROR(INDEX('Cost_Components'!$N$2:$N$27,MATCH(E348,'Cost_Components'!$A$2:$A$27,0)),"")</f>
      </c>
      <c r="AE348" s="20" t="str">
        <f>IFERROR(INDEX('Cost_Components'!$O$2:$O$27,MATCH(E348,'Cost_Components'!$A$2:$A$27,0)),"")</f>
      </c>
      <c r="AF348" s="85" t="n">
        <v>5868130.71756892</v>
      </c>
      <c r="AG348" s="86" t="n">
        <v>5864146.54515379</v>
      </c>
      <c r="AH348" s="87" t="str">
        <f>IF(H348="shared-count-once",COUNTIFS($A$2:$A$1353,A348,$B$2:$B$1353,B348,$E$2:$E$1353,E348),1)</f>
      </c>
    </row>
    <row r="349">
      <c r="A349" t="s">
        <v>200</v>
      </c>
      <c r="B349" s="59" t="n">
        <v>2034</v>
      </c>
      <c r="C349" t="s">
        <v>200</v>
      </c>
      <c r="D349" t="s">
        <v>180</v>
      </c>
      <c r="E349" s="60" t="s">
        <v>292</v>
      </c>
      <c r="F349" s="61" t="s">
        <v>293</v>
      </c>
      <c r="G349" s="62" t="s">
        <v>204</v>
      </c>
      <c r="H349" s="63" t="s">
        <v>195</v>
      </c>
      <c r="I349" s="64" t="s">
        <v>267</v>
      </c>
      <c r="J349" s="65" t="str">
        <f>IFERROR(INDEX('Cost_Components'!$K$2:$K$27,MATCH(E349,'Cost_Components'!$A$2:$A$27,0)),"")</f>
      </c>
      <c r="K349" s="66" t="str">
        <f>IF(OR(L349="",Z349="",AA349="",AB349=""),"",IF(B349&lt;AA349,L349,IF(B349&gt;AB349,Z349,L349+(Z349-L349)*MIN(MAX((B349-AA349+1)/MAX(AB349-AA349+1,1),0),1))))</f>
      </c>
      <c r="L349" s="67" t="str">
        <f>IFERROR(INDEX('Cost_Components'!$S$2:$S$27,MATCH(E349,'Cost_Components'!$A$2:$A$27,0)),"")</f>
      </c>
      <c r="M349" s="68" t="str">
        <f>IFERROR(INDEX('Cost_Components'!$L$2:$L$27,MATCH(E349,'Cost_Components'!$A$2:$A$27,0)),"")</f>
      </c>
      <c r="N349" s="69" t="str">
        <f>IFERROR(INDEX('Cost_Components'!$P$2:$P$27,MATCH(E349,'Cost_Components'!$A$2:$A$27,0)),"")</f>
      </c>
      <c r="O349" s="70" t="str">
        <f>AF349*J349</f>
      </c>
      <c r="P349" s="71" t="str">
        <f>AG349*J349</f>
      </c>
      <c r="Q349" s="72" t="str">
        <f>P349*L349*M349*N349</f>
      </c>
      <c r="R349" s="73" t="str">
        <f>O349*K349*M349*N349</f>
      </c>
      <c r="S349" s="74" t="str">
        <f>R349-Q349</f>
      </c>
      <c r="T349" s="20" t="str">
        <f>IFERROR(INDEX('Cost_Components'!$R$2:$R$27,MATCH(E349,'Cost_Components'!$A$2:$A$27,0)),"")</f>
      </c>
      <c r="U349" s="75" t="str">
        <f>IFERROR(INDEX('Cost_Components'!$Q$2:$Q$27,MATCH(E349,'Cost_Components'!$A$2:$A$27,0)),"")</f>
      </c>
      <c r="V349" s="76" t="str">
        <f>1/(1+'Calculation_Assumptions'!$B$5)^(B349-'Calculation_Assumptions'!$B$2)</f>
      </c>
      <c r="W349" s="77" t="str">
        <f>Q349*V349</f>
      </c>
      <c r="X349" s="78" t="str">
        <f>R349*V349</f>
      </c>
      <c r="Y349" s="79" t="str">
        <f>S349*V349</f>
      </c>
      <c r="Z349" s="80" t="str">
        <f>IFERROR(INDEX('Cost_Components'!$T$2:$T$27,MATCH(E349,'Cost_Components'!$A$2:$A$27,0)),"")</f>
      </c>
      <c r="AA349" s="81" t="str">
        <f>IFERROR(INDEX('Cost_Components'!$U$2:$U$27,MATCH(E349,'Cost_Components'!$A$2:$A$27,0)),"")</f>
      </c>
      <c r="AB349" s="82" t="str">
        <f>IFERROR(INDEX('Cost_Components'!$V$2:$V$27,MATCH(E349,'Cost_Components'!$A$2:$A$27,0)),"")</f>
      </c>
      <c r="AC349" s="83" t="str">
        <f>IFERROR(INDEX('Cost_Components'!$M$2:$M$27,MATCH(E349,'Cost_Components'!$A$2:$A$27,0)),"")</f>
      </c>
      <c r="AD349" s="84" t="str">
        <f>IFERROR(INDEX('Cost_Components'!$N$2:$N$27,MATCH(E349,'Cost_Components'!$A$2:$A$27,0)),"")</f>
      </c>
      <c r="AE349" s="20" t="str">
        <f>IFERROR(INDEX('Cost_Components'!$O$2:$O$27,MATCH(E349,'Cost_Components'!$A$2:$A$27,0)),"")</f>
      </c>
      <c r="AF349" s="85" t="n">
        <v>5984655.34330555</v>
      </c>
      <c r="AG349" s="86" t="n">
        <v>5979832.51047759</v>
      </c>
      <c r="AH349" s="87" t="str">
        <f>IF(H349="shared-count-once",COUNTIFS($A$2:$A$1353,A349,$B$2:$B$1353,B349,$E$2:$E$1353,E349),1)</f>
      </c>
    </row>
    <row r="350">
      <c r="A350" t="s">
        <v>200</v>
      </c>
      <c r="B350" s="59" t="n">
        <v>2035</v>
      </c>
      <c r="C350" t="s">
        <v>200</v>
      </c>
      <c r="D350" t="s">
        <v>180</v>
      </c>
      <c r="E350" s="60" t="s">
        <v>292</v>
      </c>
      <c r="F350" s="61" t="s">
        <v>293</v>
      </c>
      <c r="G350" s="62" t="s">
        <v>204</v>
      </c>
      <c r="H350" s="63" t="s">
        <v>195</v>
      </c>
      <c r="I350" s="64" t="s">
        <v>267</v>
      </c>
      <c r="J350" s="65" t="str">
        <f>IFERROR(INDEX('Cost_Components'!$K$2:$K$27,MATCH(E350,'Cost_Components'!$A$2:$A$27,0)),"")</f>
      </c>
      <c r="K350" s="66" t="str">
        <f>IF(OR(L350="",Z350="",AA350="",AB350=""),"",IF(B350&lt;AA350,L350,IF(B350&gt;AB350,Z350,L350+(Z350-L350)*MIN(MAX((B350-AA350+1)/MAX(AB350-AA350+1,1),0),1))))</f>
      </c>
      <c r="L350" s="67" t="str">
        <f>IFERROR(INDEX('Cost_Components'!$S$2:$S$27,MATCH(E350,'Cost_Components'!$A$2:$A$27,0)),"")</f>
      </c>
      <c r="M350" s="68" t="str">
        <f>IFERROR(INDEX('Cost_Components'!$L$2:$L$27,MATCH(E350,'Cost_Components'!$A$2:$A$27,0)),"")</f>
      </c>
      <c r="N350" s="69" t="str">
        <f>IFERROR(INDEX('Cost_Components'!$P$2:$P$27,MATCH(E350,'Cost_Components'!$A$2:$A$27,0)),"")</f>
      </c>
      <c r="O350" s="70" t="str">
        <f>AF350*J350</f>
      </c>
      <c r="P350" s="71" t="str">
        <f>AG350*J350</f>
      </c>
      <c r="Q350" s="72" t="str">
        <f>P350*L350*M350*N350</f>
      </c>
      <c r="R350" s="73" t="str">
        <f>O350*K350*M350*N350</f>
      </c>
      <c r="S350" s="74" t="str">
        <f>R350-Q350</f>
      </c>
      <c r="T350" s="20" t="str">
        <f>IFERROR(INDEX('Cost_Components'!$R$2:$R$27,MATCH(E350,'Cost_Components'!$A$2:$A$27,0)),"")</f>
      </c>
      <c r="U350" s="75" t="str">
        <f>IFERROR(INDEX('Cost_Components'!$Q$2:$Q$27,MATCH(E350,'Cost_Components'!$A$2:$A$27,0)),"")</f>
      </c>
      <c r="V350" s="76" t="str">
        <f>1/(1+'Calculation_Assumptions'!$B$5)^(B350-'Calculation_Assumptions'!$B$2)</f>
      </c>
      <c r="W350" s="77" t="str">
        <f>Q350*V350</f>
      </c>
      <c r="X350" s="78" t="str">
        <f>R350*V350</f>
      </c>
      <c r="Y350" s="79" t="str">
        <f>S350*V350</f>
      </c>
      <c r="Z350" s="80" t="str">
        <f>IFERROR(INDEX('Cost_Components'!$T$2:$T$27,MATCH(E350,'Cost_Components'!$A$2:$A$27,0)),"")</f>
      </c>
      <c r="AA350" s="81" t="str">
        <f>IFERROR(INDEX('Cost_Components'!$U$2:$U$27,MATCH(E350,'Cost_Components'!$A$2:$A$27,0)),"")</f>
      </c>
      <c r="AB350" s="82" t="str">
        <f>IFERROR(INDEX('Cost_Components'!$V$2:$V$27,MATCH(E350,'Cost_Components'!$A$2:$A$27,0)),"")</f>
      </c>
      <c r="AC350" s="83" t="str">
        <f>IFERROR(INDEX('Cost_Components'!$M$2:$M$27,MATCH(E350,'Cost_Components'!$A$2:$A$27,0)),"")</f>
      </c>
      <c r="AD350" s="84" t="str">
        <f>IFERROR(INDEX('Cost_Components'!$N$2:$N$27,MATCH(E350,'Cost_Components'!$A$2:$A$27,0)),"")</f>
      </c>
      <c r="AE350" s="20" t="str">
        <f>IFERROR(INDEX('Cost_Components'!$O$2:$O$27,MATCH(E350,'Cost_Components'!$A$2:$A$27,0)),"")</f>
      </c>
      <c r="AF350" s="85" t="n">
        <v>6101888.5274542</v>
      </c>
      <c r="AG350" s="86" t="n">
        <v>6096161.90235007</v>
      </c>
      <c r="AH350" s="87" t="str">
        <f>IF(H350="shared-count-once",COUNTIFS($A$2:$A$1353,A350,$B$2:$B$1353,B350,$E$2:$E$1353,E350),1)</f>
      </c>
    </row>
    <row r="351">
      <c r="A351" t="s">
        <v>200</v>
      </c>
      <c r="B351" s="59" t="n">
        <v>2036</v>
      </c>
      <c r="C351" t="s">
        <v>200</v>
      </c>
      <c r="D351" t="s">
        <v>180</v>
      </c>
      <c r="E351" s="60" t="s">
        <v>292</v>
      </c>
      <c r="F351" s="61" t="s">
        <v>293</v>
      </c>
      <c r="G351" s="62" t="s">
        <v>204</v>
      </c>
      <c r="H351" s="63" t="s">
        <v>195</v>
      </c>
      <c r="I351" s="64" t="s">
        <v>267</v>
      </c>
      <c r="J351" s="65" t="str">
        <f>IFERROR(INDEX('Cost_Components'!$K$2:$K$27,MATCH(E351,'Cost_Components'!$A$2:$A$27,0)),"")</f>
      </c>
      <c r="K351" s="66" t="str">
        <f>IF(OR(L351="",Z351="",AA351="",AB351=""),"",IF(B351&lt;AA351,L351,IF(B351&gt;AB351,Z351,L351+(Z351-L351)*MIN(MAX((B351-AA351+1)/MAX(AB351-AA351+1,1),0),1))))</f>
      </c>
      <c r="L351" s="67" t="str">
        <f>IFERROR(INDEX('Cost_Components'!$S$2:$S$27,MATCH(E351,'Cost_Components'!$A$2:$A$27,0)),"")</f>
      </c>
      <c r="M351" s="68" t="str">
        <f>IFERROR(INDEX('Cost_Components'!$L$2:$L$27,MATCH(E351,'Cost_Components'!$A$2:$A$27,0)),"")</f>
      </c>
      <c r="N351" s="69" t="str">
        <f>IFERROR(INDEX('Cost_Components'!$P$2:$P$27,MATCH(E351,'Cost_Components'!$A$2:$A$27,0)),"")</f>
      </c>
      <c r="O351" s="70" t="str">
        <f>AF351*J351</f>
      </c>
      <c r="P351" s="71" t="str">
        <f>AG351*J351</f>
      </c>
      <c r="Q351" s="72" t="str">
        <f>P351*L351*M351*N351</f>
      </c>
      <c r="R351" s="73" t="str">
        <f>O351*K351*M351*N351</f>
      </c>
      <c r="S351" s="74" t="str">
        <f>R351-Q351</f>
      </c>
      <c r="T351" s="20" t="str">
        <f>IFERROR(INDEX('Cost_Components'!$R$2:$R$27,MATCH(E351,'Cost_Components'!$A$2:$A$27,0)),"")</f>
      </c>
      <c r="U351" s="75" t="str">
        <f>IFERROR(INDEX('Cost_Components'!$Q$2:$Q$27,MATCH(E351,'Cost_Components'!$A$2:$A$27,0)),"")</f>
      </c>
      <c r="V351" s="76" t="str">
        <f>1/(1+'Calculation_Assumptions'!$B$5)^(B351-'Calculation_Assumptions'!$B$2)</f>
      </c>
      <c r="W351" s="77" t="str">
        <f>Q351*V351</f>
      </c>
      <c r="X351" s="78" t="str">
        <f>R351*V351</f>
      </c>
      <c r="Y351" s="79" t="str">
        <f>S351*V351</f>
      </c>
      <c r="Z351" s="80" t="str">
        <f>IFERROR(INDEX('Cost_Components'!$T$2:$T$27,MATCH(E351,'Cost_Components'!$A$2:$A$27,0)),"")</f>
      </c>
      <c r="AA351" s="81" t="str">
        <f>IFERROR(INDEX('Cost_Components'!$U$2:$U$27,MATCH(E351,'Cost_Components'!$A$2:$A$27,0)),"")</f>
      </c>
      <c r="AB351" s="82" t="str">
        <f>IFERROR(INDEX('Cost_Components'!$V$2:$V$27,MATCH(E351,'Cost_Components'!$A$2:$A$27,0)),"")</f>
      </c>
      <c r="AC351" s="83" t="str">
        <f>IFERROR(INDEX('Cost_Components'!$M$2:$M$27,MATCH(E351,'Cost_Components'!$A$2:$A$27,0)),"")</f>
      </c>
      <c r="AD351" s="84" t="str">
        <f>IFERROR(INDEX('Cost_Components'!$N$2:$N$27,MATCH(E351,'Cost_Components'!$A$2:$A$27,0)),"")</f>
      </c>
      <c r="AE351" s="20" t="str">
        <f>IFERROR(INDEX('Cost_Components'!$O$2:$O$27,MATCH(E351,'Cost_Components'!$A$2:$A$27,0)),"")</f>
      </c>
      <c r="AF351" s="85" t="n">
        <v>6219624.90851083</v>
      </c>
      <c r="AG351" s="86" t="n">
        <v>6212931.28695398</v>
      </c>
      <c r="AH351" s="87" t="str">
        <f>IF(H351="shared-count-once",COUNTIFS($A$2:$A$1353,A351,$B$2:$B$1353,B351,$E$2:$E$1353,E351),1)</f>
      </c>
    </row>
    <row r="352">
      <c r="A352" t="s">
        <v>200</v>
      </c>
      <c r="B352" s="59" t="n">
        <v>2037</v>
      </c>
      <c r="C352" t="s">
        <v>200</v>
      </c>
      <c r="D352" t="s">
        <v>180</v>
      </c>
      <c r="E352" s="60" t="s">
        <v>292</v>
      </c>
      <c r="F352" s="61" t="s">
        <v>293</v>
      </c>
      <c r="G352" s="62" t="s">
        <v>204</v>
      </c>
      <c r="H352" s="63" t="s">
        <v>195</v>
      </c>
      <c r="I352" s="64" t="s">
        <v>267</v>
      </c>
      <c r="J352" s="65" t="str">
        <f>IFERROR(INDEX('Cost_Components'!$K$2:$K$27,MATCH(E352,'Cost_Components'!$A$2:$A$27,0)),"")</f>
      </c>
      <c r="K352" s="66" t="str">
        <f>IF(OR(L352="",Z352="",AA352="",AB352=""),"",IF(B352&lt;AA352,L352,IF(B352&gt;AB352,Z352,L352+(Z352-L352)*MIN(MAX((B352-AA352+1)/MAX(AB352-AA352+1,1),0),1))))</f>
      </c>
      <c r="L352" s="67" t="str">
        <f>IFERROR(INDEX('Cost_Components'!$S$2:$S$27,MATCH(E352,'Cost_Components'!$A$2:$A$27,0)),"")</f>
      </c>
      <c r="M352" s="68" t="str">
        <f>IFERROR(INDEX('Cost_Components'!$L$2:$L$27,MATCH(E352,'Cost_Components'!$A$2:$A$27,0)),"")</f>
      </c>
      <c r="N352" s="69" t="str">
        <f>IFERROR(INDEX('Cost_Components'!$P$2:$P$27,MATCH(E352,'Cost_Components'!$A$2:$A$27,0)),"")</f>
      </c>
      <c r="O352" s="70" t="str">
        <f>AF352*J352</f>
      </c>
      <c r="P352" s="71" t="str">
        <f>AG352*J352</f>
      </c>
      <c r="Q352" s="72" t="str">
        <f>P352*L352*M352*N352</f>
      </c>
      <c r="R352" s="73" t="str">
        <f>O352*K352*M352*N352</f>
      </c>
      <c r="S352" s="74" t="str">
        <f>R352-Q352</f>
      </c>
      <c r="T352" s="20" t="str">
        <f>IFERROR(INDEX('Cost_Components'!$R$2:$R$27,MATCH(E352,'Cost_Components'!$A$2:$A$27,0)),"")</f>
      </c>
      <c r="U352" s="75" t="str">
        <f>IFERROR(INDEX('Cost_Components'!$Q$2:$Q$27,MATCH(E352,'Cost_Components'!$A$2:$A$27,0)),"")</f>
      </c>
      <c r="V352" s="76" t="str">
        <f>1/(1+'Calculation_Assumptions'!$B$5)^(B352-'Calculation_Assumptions'!$B$2)</f>
      </c>
      <c r="W352" s="77" t="str">
        <f>Q352*V352</f>
      </c>
      <c r="X352" s="78" t="str">
        <f>R352*V352</f>
      </c>
      <c r="Y352" s="79" t="str">
        <f>S352*V352</f>
      </c>
      <c r="Z352" s="80" t="str">
        <f>IFERROR(INDEX('Cost_Components'!$T$2:$T$27,MATCH(E352,'Cost_Components'!$A$2:$A$27,0)),"")</f>
      </c>
      <c r="AA352" s="81" t="str">
        <f>IFERROR(INDEX('Cost_Components'!$U$2:$U$27,MATCH(E352,'Cost_Components'!$A$2:$A$27,0)),"")</f>
      </c>
      <c r="AB352" s="82" t="str">
        <f>IFERROR(INDEX('Cost_Components'!$V$2:$V$27,MATCH(E352,'Cost_Components'!$A$2:$A$27,0)),"")</f>
      </c>
      <c r="AC352" s="83" t="str">
        <f>IFERROR(INDEX('Cost_Components'!$M$2:$M$27,MATCH(E352,'Cost_Components'!$A$2:$A$27,0)),"")</f>
      </c>
      <c r="AD352" s="84" t="str">
        <f>IFERROR(INDEX('Cost_Components'!$N$2:$N$27,MATCH(E352,'Cost_Components'!$A$2:$A$27,0)),"")</f>
      </c>
      <c r="AE352" s="20" t="str">
        <f>IFERROR(INDEX('Cost_Components'!$O$2:$O$27,MATCH(E352,'Cost_Components'!$A$2:$A$27,0)),"")</f>
      </c>
      <c r="AF352" s="85" t="n">
        <v>6337738.29242093</v>
      </c>
      <c r="AG352" s="86" t="n">
        <v>6330015.78836299</v>
      </c>
      <c r="AH352" s="87" t="str">
        <f>IF(H352="shared-count-once",COUNTIFS($A$2:$A$1353,A352,$B$2:$B$1353,B352,$E$2:$E$1353,E352),1)</f>
      </c>
    </row>
    <row r="353">
      <c r="A353" t="s">
        <v>200</v>
      </c>
      <c r="B353" s="59" t="n">
        <v>2038</v>
      </c>
      <c r="C353" t="s">
        <v>200</v>
      </c>
      <c r="D353" t="s">
        <v>180</v>
      </c>
      <c r="E353" s="60" t="s">
        <v>292</v>
      </c>
      <c r="F353" s="61" t="s">
        <v>293</v>
      </c>
      <c r="G353" s="62" t="s">
        <v>204</v>
      </c>
      <c r="H353" s="63" t="s">
        <v>195</v>
      </c>
      <c r="I353" s="64" t="s">
        <v>267</v>
      </c>
      <c r="J353" s="65" t="str">
        <f>IFERROR(INDEX('Cost_Components'!$K$2:$K$27,MATCH(E353,'Cost_Components'!$A$2:$A$27,0)),"")</f>
      </c>
      <c r="K353" s="66" t="str">
        <f>IF(OR(L353="",Z353="",AA353="",AB353=""),"",IF(B353&lt;AA353,L353,IF(B353&gt;AB353,Z353,L353+(Z353-L353)*MIN(MAX((B353-AA353+1)/MAX(AB353-AA353+1,1),0),1))))</f>
      </c>
      <c r="L353" s="67" t="str">
        <f>IFERROR(INDEX('Cost_Components'!$S$2:$S$27,MATCH(E353,'Cost_Components'!$A$2:$A$27,0)),"")</f>
      </c>
      <c r="M353" s="68" t="str">
        <f>IFERROR(INDEX('Cost_Components'!$L$2:$L$27,MATCH(E353,'Cost_Components'!$A$2:$A$27,0)),"")</f>
      </c>
      <c r="N353" s="69" t="str">
        <f>IFERROR(INDEX('Cost_Components'!$P$2:$P$27,MATCH(E353,'Cost_Components'!$A$2:$A$27,0)),"")</f>
      </c>
      <c r="O353" s="70" t="str">
        <f>AF353*J353</f>
      </c>
      <c r="P353" s="71" t="str">
        <f>AG353*J353</f>
      </c>
      <c r="Q353" s="72" t="str">
        <f>P353*L353*M353*N353</f>
      </c>
      <c r="R353" s="73" t="str">
        <f>O353*K353*M353*N353</f>
      </c>
      <c r="S353" s="74" t="str">
        <f>R353-Q353</f>
      </c>
      <c r="T353" s="20" t="str">
        <f>IFERROR(INDEX('Cost_Components'!$R$2:$R$27,MATCH(E353,'Cost_Components'!$A$2:$A$27,0)),"")</f>
      </c>
      <c r="U353" s="75" t="str">
        <f>IFERROR(INDEX('Cost_Components'!$Q$2:$Q$27,MATCH(E353,'Cost_Components'!$A$2:$A$27,0)),"")</f>
      </c>
      <c r="V353" s="76" t="str">
        <f>1/(1+'Calculation_Assumptions'!$B$5)^(B353-'Calculation_Assumptions'!$B$2)</f>
      </c>
      <c r="W353" s="77" t="str">
        <f>Q353*V353</f>
      </c>
      <c r="X353" s="78" t="str">
        <f>R353*V353</f>
      </c>
      <c r="Y353" s="79" t="str">
        <f>S353*V353</f>
      </c>
      <c r="Z353" s="80" t="str">
        <f>IFERROR(INDEX('Cost_Components'!$T$2:$T$27,MATCH(E353,'Cost_Components'!$A$2:$A$27,0)),"")</f>
      </c>
      <c r="AA353" s="81" t="str">
        <f>IFERROR(INDEX('Cost_Components'!$U$2:$U$27,MATCH(E353,'Cost_Components'!$A$2:$A$27,0)),"")</f>
      </c>
      <c r="AB353" s="82" t="str">
        <f>IFERROR(INDEX('Cost_Components'!$V$2:$V$27,MATCH(E353,'Cost_Components'!$A$2:$A$27,0)),"")</f>
      </c>
      <c r="AC353" s="83" t="str">
        <f>IFERROR(INDEX('Cost_Components'!$M$2:$M$27,MATCH(E353,'Cost_Components'!$A$2:$A$27,0)),"")</f>
      </c>
      <c r="AD353" s="84" t="str">
        <f>IFERROR(INDEX('Cost_Components'!$N$2:$N$27,MATCH(E353,'Cost_Components'!$A$2:$A$27,0)),"")</f>
      </c>
      <c r="AE353" s="20" t="str">
        <f>IFERROR(INDEX('Cost_Components'!$O$2:$O$27,MATCH(E353,'Cost_Components'!$A$2:$A$27,0)),"")</f>
      </c>
      <c r="AF353" s="85" t="n">
        <v>6456324.68053459</v>
      </c>
      <c r="AG353" s="86" t="n">
        <v>6447512.9889023</v>
      </c>
      <c r="AH353" s="87" t="str">
        <f>IF(H353="shared-count-once",COUNTIFS($A$2:$A$1353,A353,$B$2:$B$1353,B353,$E$2:$E$1353,E353),1)</f>
      </c>
    </row>
    <row r="354">
      <c r="A354" t="s">
        <v>200</v>
      </c>
      <c r="B354" s="59" t="n">
        <v>2039</v>
      </c>
      <c r="C354" t="s">
        <v>200</v>
      </c>
      <c r="D354" t="s">
        <v>180</v>
      </c>
      <c r="E354" s="60" t="s">
        <v>292</v>
      </c>
      <c r="F354" s="61" t="s">
        <v>293</v>
      </c>
      <c r="G354" s="62" t="s">
        <v>204</v>
      </c>
      <c r="H354" s="63" t="s">
        <v>195</v>
      </c>
      <c r="I354" s="64" t="s">
        <v>267</v>
      </c>
      <c r="J354" s="65" t="str">
        <f>IFERROR(INDEX('Cost_Components'!$K$2:$K$27,MATCH(E354,'Cost_Components'!$A$2:$A$27,0)),"")</f>
      </c>
      <c r="K354" s="66" t="str">
        <f>IF(OR(L354="",Z354="",AA354="",AB354=""),"",IF(B354&lt;AA354,L354,IF(B354&gt;AB354,Z354,L354+(Z354-L354)*MIN(MAX((B354-AA354+1)/MAX(AB354-AA354+1,1),0),1))))</f>
      </c>
      <c r="L354" s="67" t="str">
        <f>IFERROR(INDEX('Cost_Components'!$S$2:$S$27,MATCH(E354,'Cost_Components'!$A$2:$A$27,0)),"")</f>
      </c>
      <c r="M354" s="68" t="str">
        <f>IFERROR(INDEX('Cost_Components'!$L$2:$L$27,MATCH(E354,'Cost_Components'!$A$2:$A$27,0)),"")</f>
      </c>
      <c r="N354" s="69" t="str">
        <f>IFERROR(INDEX('Cost_Components'!$P$2:$P$27,MATCH(E354,'Cost_Components'!$A$2:$A$27,0)),"")</f>
      </c>
      <c r="O354" s="70" t="str">
        <f>AF354*J354</f>
      </c>
      <c r="P354" s="71" t="str">
        <f>AG354*J354</f>
      </c>
      <c r="Q354" s="72" t="str">
        <f>P354*L354*M354*N354</f>
      </c>
      <c r="R354" s="73" t="str">
        <f>O354*K354*M354*N354</f>
      </c>
      <c r="S354" s="74" t="str">
        <f>R354-Q354</f>
      </c>
      <c r="T354" s="20" t="str">
        <f>IFERROR(INDEX('Cost_Components'!$R$2:$R$27,MATCH(E354,'Cost_Components'!$A$2:$A$27,0)),"")</f>
      </c>
      <c r="U354" s="75" t="str">
        <f>IFERROR(INDEX('Cost_Components'!$Q$2:$Q$27,MATCH(E354,'Cost_Components'!$A$2:$A$27,0)),"")</f>
      </c>
      <c r="V354" s="76" t="str">
        <f>1/(1+'Calculation_Assumptions'!$B$5)^(B354-'Calculation_Assumptions'!$B$2)</f>
      </c>
      <c r="W354" s="77" t="str">
        <f>Q354*V354</f>
      </c>
      <c r="X354" s="78" t="str">
        <f>R354*V354</f>
      </c>
      <c r="Y354" s="79" t="str">
        <f>S354*V354</f>
      </c>
      <c r="Z354" s="80" t="str">
        <f>IFERROR(INDEX('Cost_Components'!$T$2:$T$27,MATCH(E354,'Cost_Components'!$A$2:$A$27,0)),"")</f>
      </c>
      <c r="AA354" s="81" t="str">
        <f>IFERROR(INDEX('Cost_Components'!$U$2:$U$27,MATCH(E354,'Cost_Components'!$A$2:$A$27,0)),"")</f>
      </c>
      <c r="AB354" s="82" t="str">
        <f>IFERROR(INDEX('Cost_Components'!$V$2:$V$27,MATCH(E354,'Cost_Components'!$A$2:$A$27,0)),"")</f>
      </c>
      <c r="AC354" s="83" t="str">
        <f>IFERROR(INDEX('Cost_Components'!$M$2:$M$27,MATCH(E354,'Cost_Components'!$A$2:$A$27,0)),"")</f>
      </c>
      <c r="AD354" s="84" t="str">
        <f>IFERROR(INDEX('Cost_Components'!$N$2:$N$27,MATCH(E354,'Cost_Components'!$A$2:$A$27,0)),"")</f>
      </c>
      <c r="AE354" s="20" t="str">
        <f>IFERROR(INDEX('Cost_Components'!$O$2:$O$27,MATCH(E354,'Cost_Components'!$A$2:$A$27,0)),"")</f>
      </c>
      <c r="AF354" s="85" t="n">
        <v>6574035.42913736</v>
      </c>
      <c r="AG354" s="86" t="n">
        <v>6564073.62283021</v>
      </c>
      <c r="AH354" s="87" t="str">
        <f>IF(H354="shared-count-once",COUNTIFS($A$2:$A$1353,A354,$B$2:$B$1353,B354,$E$2:$E$1353,E354),1)</f>
      </c>
    </row>
    <row r="355">
      <c r="A355" t="s">
        <v>200</v>
      </c>
      <c r="B355" s="59" t="n">
        <v>2040</v>
      </c>
      <c r="C355" t="s">
        <v>200</v>
      </c>
      <c r="D355" t="s">
        <v>180</v>
      </c>
      <c r="E355" s="60" t="s">
        <v>292</v>
      </c>
      <c r="F355" s="61" t="s">
        <v>293</v>
      </c>
      <c r="G355" s="62" t="s">
        <v>204</v>
      </c>
      <c r="H355" s="63" t="s">
        <v>195</v>
      </c>
      <c r="I355" s="64" t="s">
        <v>267</v>
      </c>
      <c r="J355" s="65" t="str">
        <f>IFERROR(INDEX('Cost_Components'!$K$2:$K$27,MATCH(E355,'Cost_Components'!$A$2:$A$27,0)),"")</f>
      </c>
      <c r="K355" s="66" t="str">
        <f>IF(OR(L355="",Z355="",AA355="",AB355=""),"",IF(B355&lt;AA355,L355,IF(B355&gt;AB355,Z355,L355+(Z355-L355)*MIN(MAX((B355-AA355+1)/MAX(AB355-AA355+1,1),0),1))))</f>
      </c>
      <c r="L355" s="67" t="str">
        <f>IFERROR(INDEX('Cost_Components'!$S$2:$S$27,MATCH(E355,'Cost_Components'!$A$2:$A$27,0)),"")</f>
      </c>
      <c r="M355" s="68" t="str">
        <f>IFERROR(INDEX('Cost_Components'!$L$2:$L$27,MATCH(E355,'Cost_Components'!$A$2:$A$27,0)),"")</f>
      </c>
      <c r="N355" s="69" t="str">
        <f>IFERROR(INDEX('Cost_Components'!$P$2:$P$27,MATCH(E355,'Cost_Components'!$A$2:$A$27,0)),"")</f>
      </c>
      <c r="O355" s="70" t="str">
        <f>AF355*J355</f>
      </c>
      <c r="P355" s="71" t="str">
        <f>AG355*J355</f>
      </c>
      <c r="Q355" s="72" t="str">
        <f>P355*L355*M355*N355</f>
      </c>
      <c r="R355" s="73" t="str">
        <f>O355*K355*M355*N355</f>
      </c>
      <c r="S355" s="74" t="str">
        <f>R355-Q355</f>
      </c>
      <c r="T355" s="20" t="str">
        <f>IFERROR(INDEX('Cost_Components'!$R$2:$R$27,MATCH(E355,'Cost_Components'!$A$2:$A$27,0)),"")</f>
      </c>
      <c r="U355" s="75" t="str">
        <f>IFERROR(INDEX('Cost_Components'!$Q$2:$Q$27,MATCH(E355,'Cost_Components'!$A$2:$A$27,0)),"")</f>
      </c>
      <c r="V355" s="76" t="str">
        <f>1/(1+'Calculation_Assumptions'!$B$5)^(B355-'Calculation_Assumptions'!$B$2)</f>
      </c>
      <c r="W355" s="77" t="str">
        <f>Q355*V355</f>
      </c>
      <c r="X355" s="78" t="str">
        <f>R355*V355</f>
      </c>
      <c r="Y355" s="79" t="str">
        <f>S355*V355</f>
      </c>
      <c r="Z355" s="80" t="str">
        <f>IFERROR(INDEX('Cost_Components'!$T$2:$T$27,MATCH(E355,'Cost_Components'!$A$2:$A$27,0)),"")</f>
      </c>
      <c r="AA355" s="81" t="str">
        <f>IFERROR(INDEX('Cost_Components'!$U$2:$U$27,MATCH(E355,'Cost_Components'!$A$2:$A$27,0)),"")</f>
      </c>
      <c r="AB355" s="82" t="str">
        <f>IFERROR(INDEX('Cost_Components'!$V$2:$V$27,MATCH(E355,'Cost_Components'!$A$2:$A$27,0)),"")</f>
      </c>
      <c r="AC355" s="83" t="str">
        <f>IFERROR(INDEX('Cost_Components'!$M$2:$M$27,MATCH(E355,'Cost_Components'!$A$2:$A$27,0)),"")</f>
      </c>
      <c r="AD355" s="84" t="str">
        <f>IFERROR(INDEX('Cost_Components'!$N$2:$N$27,MATCH(E355,'Cost_Components'!$A$2:$A$27,0)),"")</f>
      </c>
      <c r="AE355" s="20" t="str">
        <f>IFERROR(INDEX('Cost_Components'!$O$2:$O$27,MATCH(E355,'Cost_Components'!$A$2:$A$27,0)),"")</f>
      </c>
      <c r="AF355" s="85" t="n">
        <v>6691804.9198289</v>
      </c>
      <c r="AG355" s="86" t="n">
        <v>6680640.99764336</v>
      </c>
      <c r="AH355" s="87" t="str">
        <f>IF(H355="shared-count-once",COUNTIFS($A$2:$A$1353,A355,$B$2:$B$1353,B355,$E$2:$E$1353,E355),1)</f>
      </c>
    </row>
    <row r="356">
      <c r="A356" t="s">
        <v>200</v>
      </c>
      <c r="B356" s="59" t="n">
        <v>2041</v>
      </c>
      <c r="C356" t="s">
        <v>200</v>
      </c>
      <c r="D356" t="s">
        <v>180</v>
      </c>
      <c r="E356" s="60" t="s">
        <v>292</v>
      </c>
      <c r="F356" s="61" t="s">
        <v>293</v>
      </c>
      <c r="G356" s="62" t="s">
        <v>204</v>
      </c>
      <c r="H356" s="63" t="s">
        <v>195</v>
      </c>
      <c r="I356" s="64" t="s">
        <v>267</v>
      </c>
      <c r="J356" s="65" t="str">
        <f>IFERROR(INDEX('Cost_Components'!$K$2:$K$27,MATCH(E356,'Cost_Components'!$A$2:$A$27,0)),"")</f>
      </c>
      <c r="K356" s="66" t="str">
        <f>IF(OR(L356="",Z356="",AA356="",AB356=""),"",IF(B356&lt;AA356,L356,IF(B356&gt;AB356,Z356,L356+(Z356-L356)*MIN(MAX((B356-AA356+1)/MAX(AB356-AA356+1,1),0),1))))</f>
      </c>
      <c r="L356" s="67" t="str">
        <f>IFERROR(INDEX('Cost_Components'!$S$2:$S$27,MATCH(E356,'Cost_Components'!$A$2:$A$27,0)),"")</f>
      </c>
      <c r="M356" s="68" t="str">
        <f>IFERROR(INDEX('Cost_Components'!$L$2:$L$27,MATCH(E356,'Cost_Components'!$A$2:$A$27,0)),"")</f>
      </c>
      <c r="N356" s="69" t="str">
        <f>IFERROR(INDEX('Cost_Components'!$P$2:$P$27,MATCH(E356,'Cost_Components'!$A$2:$A$27,0)),"")</f>
      </c>
      <c r="O356" s="70" t="str">
        <f>AF356*J356</f>
      </c>
      <c r="P356" s="71" t="str">
        <f>AG356*J356</f>
      </c>
      <c r="Q356" s="72" t="str">
        <f>P356*L356*M356*N356</f>
      </c>
      <c r="R356" s="73" t="str">
        <f>O356*K356*M356*N356</f>
      </c>
      <c r="S356" s="74" t="str">
        <f>R356-Q356</f>
      </c>
      <c r="T356" s="20" t="str">
        <f>IFERROR(INDEX('Cost_Components'!$R$2:$R$27,MATCH(E356,'Cost_Components'!$A$2:$A$27,0)),"")</f>
      </c>
      <c r="U356" s="75" t="str">
        <f>IFERROR(INDEX('Cost_Components'!$Q$2:$Q$27,MATCH(E356,'Cost_Components'!$A$2:$A$27,0)),"")</f>
      </c>
      <c r="V356" s="76" t="str">
        <f>1/(1+'Calculation_Assumptions'!$B$5)^(B356-'Calculation_Assumptions'!$B$2)</f>
      </c>
      <c r="W356" s="77" t="str">
        <f>Q356*V356</f>
      </c>
      <c r="X356" s="78" t="str">
        <f>R356*V356</f>
      </c>
      <c r="Y356" s="79" t="str">
        <f>S356*V356</f>
      </c>
      <c r="Z356" s="80" t="str">
        <f>IFERROR(INDEX('Cost_Components'!$T$2:$T$27,MATCH(E356,'Cost_Components'!$A$2:$A$27,0)),"")</f>
      </c>
      <c r="AA356" s="81" t="str">
        <f>IFERROR(INDEX('Cost_Components'!$U$2:$U$27,MATCH(E356,'Cost_Components'!$A$2:$A$27,0)),"")</f>
      </c>
      <c r="AB356" s="82" t="str">
        <f>IFERROR(INDEX('Cost_Components'!$V$2:$V$27,MATCH(E356,'Cost_Components'!$A$2:$A$27,0)),"")</f>
      </c>
      <c r="AC356" s="83" t="str">
        <f>IFERROR(INDEX('Cost_Components'!$M$2:$M$27,MATCH(E356,'Cost_Components'!$A$2:$A$27,0)),"")</f>
      </c>
      <c r="AD356" s="84" t="str">
        <f>IFERROR(INDEX('Cost_Components'!$N$2:$N$27,MATCH(E356,'Cost_Components'!$A$2:$A$27,0)),"")</f>
      </c>
      <c r="AE356" s="20" t="str">
        <f>IFERROR(INDEX('Cost_Components'!$O$2:$O$27,MATCH(E356,'Cost_Components'!$A$2:$A$27,0)),"")</f>
      </c>
      <c r="AF356" s="85" t="n">
        <v>6809374.6213155</v>
      </c>
      <c r="AG356" s="86" t="n">
        <v>6796959.57831694</v>
      </c>
      <c r="AH356" s="87" t="str">
        <f>IF(H356="shared-count-once",COUNTIFS($A$2:$A$1353,A356,$B$2:$B$1353,B356,$E$2:$E$1353,E356),1)</f>
      </c>
    </row>
    <row r="357">
      <c r="A357" t="s">
        <v>200</v>
      </c>
      <c r="B357" s="59" t="n">
        <v>2042</v>
      </c>
      <c r="C357" t="s">
        <v>200</v>
      </c>
      <c r="D357" t="s">
        <v>180</v>
      </c>
      <c r="E357" s="60" t="s">
        <v>292</v>
      </c>
      <c r="F357" s="61" t="s">
        <v>293</v>
      </c>
      <c r="G357" s="62" t="s">
        <v>204</v>
      </c>
      <c r="H357" s="63" t="s">
        <v>195</v>
      </c>
      <c r="I357" s="64" t="s">
        <v>267</v>
      </c>
      <c r="J357" s="65" t="str">
        <f>IFERROR(INDEX('Cost_Components'!$K$2:$K$27,MATCH(E357,'Cost_Components'!$A$2:$A$27,0)),"")</f>
      </c>
      <c r="K357" s="66" t="str">
        <f>IF(OR(L357="",Z357="",AA357="",AB357=""),"",IF(B357&lt;AA357,L357,IF(B357&gt;AB357,Z357,L357+(Z357-L357)*MIN(MAX((B357-AA357+1)/MAX(AB357-AA357+1,1),0),1))))</f>
      </c>
      <c r="L357" s="67" t="str">
        <f>IFERROR(INDEX('Cost_Components'!$S$2:$S$27,MATCH(E357,'Cost_Components'!$A$2:$A$27,0)),"")</f>
      </c>
      <c r="M357" s="68" t="str">
        <f>IFERROR(INDEX('Cost_Components'!$L$2:$L$27,MATCH(E357,'Cost_Components'!$A$2:$A$27,0)),"")</f>
      </c>
      <c r="N357" s="69" t="str">
        <f>IFERROR(INDEX('Cost_Components'!$P$2:$P$27,MATCH(E357,'Cost_Components'!$A$2:$A$27,0)),"")</f>
      </c>
      <c r="O357" s="70" t="str">
        <f>AF357*J357</f>
      </c>
      <c r="P357" s="71" t="str">
        <f>AG357*J357</f>
      </c>
      <c r="Q357" s="72" t="str">
        <f>P357*L357*M357*N357</f>
      </c>
      <c r="R357" s="73" t="str">
        <f>O357*K357*M357*N357</f>
      </c>
      <c r="S357" s="74" t="str">
        <f>R357-Q357</f>
      </c>
      <c r="T357" s="20" t="str">
        <f>IFERROR(INDEX('Cost_Components'!$R$2:$R$27,MATCH(E357,'Cost_Components'!$A$2:$A$27,0)),"")</f>
      </c>
      <c r="U357" s="75" t="str">
        <f>IFERROR(INDEX('Cost_Components'!$Q$2:$Q$27,MATCH(E357,'Cost_Components'!$A$2:$A$27,0)),"")</f>
      </c>
      <c r="V357" s="76" t="str">
        <f>1/(1+'Calculation_Assumptions'!$B$5)^(B357-'Calculation_Assumptions'!$B$2)</f>
      </c>
      <c r="W357" s="77" t="str">
        <f>Q357*V357</f>
      </c>
      <c r="X357" s="78" t="str">
        <f>R357*V357</f>
      </c>
      <c r="Y357" s="79" t="str">
        <f>S357*V357</f>
      </c>
      <c r="Z357" s="80" t="str">
        <f>IFERROR(INDEX('Cost_Components'!$T$2:$T$27,MATCH(E357,'Cost_Components'!$A$2:$A$27,0)),"")</f>
      </c>
      <c r="AA357" s="81" t="str">
        <f>IFERROR(INDEX('Cost_Components'!$U$2:$U$27,MATCH(E357,'Cost_Components'!$A$2:$A$27,0)),"")</f>
      </c>
      <c r="AB357" s="82" t="str">
        <f>IFERROR(INDEX('Cost_Components'!$V$2:$V$27,MATCH(E357,'Cost_Components'!$A$2:$A$27,0)),"")</f>
      </c>
      <c r="AC357" s="83" t="str">
        <f>IFERROR(INDEX('Cost_Components'!$M$2:$M$27,MATCH(E357,'Cost_Components'!$A$2:$A$27,0)),"")</f>
      </c>
      <c r="AD357" s="84" t="str">
        <f>IFERROR(INDEX('Cost_Components'!$N$2:$N$27,MATCH(E357,'Cost_Components'!$A$2:$A$27,0)),"")</f>
      </c>
      <c r="AE357" s="20" t="str">
        <f>IFERROR(INDEX('Cost_Components'!$O$2:$O$27,MATCH(E357,'Cost_Components'!$A$2:$A$27,0)),"")</f>
      </c>
      <c r="AF357" s="85" t="n">
        <v>6926812.72471743</v>
      </c>
      <c r="AG357" s="86" t="n">
        <v>6913099.8808547</v>
      </c>
      <c r="AH357" s="87" t="str">
        <f>IF(H357="shared-count-once",COUNTIFS($A$2:$A$1353,A357,$B$2:$B$1353,B357,$E$2:$E$1353,E357),1)</f>
      </c>
    </row>
    <row r="358">
      <c r="A358" t="s">
        <v>200</v>
      </c>
      <c r="B358" s="59" t="n">
        <v>2043</v>
      </c>
      <c r="C358" t="s">
        <v>200</v>
      </c>
      <c r="D358" t="s">
        <v>180</v>
      </c>
      <c r="E358" s="60" t="s">
        <v>292</v>
      </c>
      <c r="F358" s="61" t="s">
        <v>293</v>
      </c>
      <c r="G358" s="62" t="s">
        <v>204</v>
      </c>
      <c r="H358" s="63" t="s">
        <v>195</v>
      </c>
      <c r="I358" s="64" t="s">
        <v>267</v>
      </c>
      <c r="J358" s="65" t="str">
        <f>IFERROR(INDEX('Cost_Components'!$K$2:$K$27,MATCH(E358,'Cost_Components'!$A$2:$A$27,0)),"")</f>
      </c>
      <c r="K358" s="66" t="str">
        <f>IF(OR(L358="",Z358="",AA358="",AB358=""),"",IF(B358&lt;AA358,L358,IF(B358&gt;AB358,Z358,L358+(Z358-L358)*MIN(MAX((B358-AA358+1)/MAX(AB358-AA358+1,1),0),1))))</f>
      </c>
      <c r="L358" s="67" t="str">
        <f>IFERROR(INDEX('Cost_Components'!$S$2:$S$27,MATCH(E358,'Cost_Components'!$A$2:$A$27,0)),"")</f>
      </c>
      <c r="M358" s="68" t="str">
        <f>IFERROR(INDEX('Cost_Components'!$L$2:$L$27,MATCH(E358,'Cost_Components'!$A$2:$A$27,0)),"")</f>
      </c>
      <c r="N358" s="69" t="str">
        <f>IFERROR(INDEX('Cost_Components'!$P$2:$P$27,MATCH(E358,'Cost_Components'!$A$2:$A$27,0)),"")</f>
      </c>
      <c r="O358" s="70" t="str">
        <f>AF358*J358</f>
      </c>
      <c r="P358" s="71" t="str">
        <f>AG358*J358</f>
      </c>
      <c r="Q358" s="72" t="str">
        <f>P358*L358*M358*N358</f>
      </c>
      <c r="R358" s="73" t="str">
        <f>O358*K358*M358*N358</f>
      </c>
      <c r="S358" s="74" t="str">
        <f>R358-Q358</f>
      </c>
      <c r="T358" s="20" t="str">
        <f>IFERROR(INDEX('Cost_Components'!$R$2:$R$27,MATCH(E358,'Cost_Components'!$A$2:$A$27,0)),"")</f>
      </c>
      <c r="U358" s="75" t="str">
        <f>IFERROR(INDEX('Cost_Components'!$Q$2:$Q$27,MATCH(E358,'Cost_Components'!$A$2:$A$27,0)),"")</f>
      </c>
      <c r="V358" s="76" t="str">
        <f>1/(1+'Calculation_Assumptions'!$B$5)^(B358-'Calculation_Assumptions'!$B$2)</f>
      </c>
      <c r="W358" s="77" t="str">
        <f>Q358*V358</f>
      </c>
      <c r="X358" s="78" t="str">
        <f>R358*V358</f>
      </c>
      <c r="Y358" s="79" t="str">
        <f>S358*V358</f>
      </c>
      <c r="Z358" s="80" t="str">
        <f>IFERROR(INDEX('Cost_Components'!$T$2:$T$27,MATCH(E358,'Cost_Components'!$A$2:$A$27,0)),"")</f>
      </c>
      <c r="AA358" s="81" t="str">
        <f>IFERROR(INDEX('Cost_Components'!$U$2:$U$27,MATCH(E358,'Cost_Components'!$A$2:$A$27,0)),"")</f>
      </c>
      <c r="AB358" s="82" t="str">
        <f>IFERROR(INDEX('Cost_Components'!$V$2:$V$27,MATCH(E358,'Cost_Components'!$A$2:$A$27,0)),"")</f>
      </c>
      <c r="AC358" s="83" t="str">
        <f>IFERROR(INDEX('Cost_Components'!$M$2:$M$27,MATCH(E358,'Cost_Components'!$A$2:$A$27,0)),"")</f>
      </c>
      <c r="AD358" s="84" t="str">
        <f>IFERROR(INDEX('Cost_Components'!$N$2:$N$27,MATCH(E358,'Cost_Components'!$A$2:$A$27,0)),"")</f>
      </c>
      <c r="AE358" s="20" t="str">
        <f>IFERROR(INDEX('Cost_Components'!$O$2:$O$27,MATCH(E358,'Cost_Components'!$A$2:$A$27,0)),"")</f>
      </c>
      <c r="AF358" s="85" t="n">
        <v>7043375.41284027</v>
      </c>
      <c r="AG358" s="86" t="n">
        <v>7028320.53609466</v>
      </c>
      <c r="AH358" s="87" t="str">
        <f>IF(H358="shared-count-once",COUNTIFS($A$2:$A$1353,A358,$B$2:$B$1353,B358,$E$2:$E$1353,E358),1)</f>
      </c>
    </row>
    <row r="359">
      <c r="A359" t="s">
        <v>200</v>
      </c>
      <c r="B359" s="59" t="n">
        <v>2044</v>
      </c>
      <c r="C359" t="s">
        <v>200</v>
      </c>
      <c r="D359" t="s">
        <v>180</v>
      </c>
      <c r="E359" s="60" t="s">
        <v>292</v>
      </c>
      <c r="F359" s="61" t="s">
        <v>293</v>
      </c>
      <c r="G359" s="62" t="s">
        <v>204</v>
      </c>
      <c r="H359" s="63" t="s">
        <v>195</v>
      </c>
      <c r="I359" s="64" t="s">
        <v>267</v>
      </c>
      <c r="J359" s="65" t="str">
        <f>IFERROR(INDEX('Cost_Components'!$K$2:$K$27,MATCH(E359,'Cost_Components'!$A$2:$A$27,0)),"")</f>
      </c>
      <c r="K359" s="66" t="str">
        <f>IF(OR(L359="",Z359="",AA359="",AB359=""),"",IF(B359&lt;AA359,L359,IF(B359&gt;AB359,Z359,L359+(Z359-L359)*MIN(MAX((B359-AA359+1)/MAX(AB359-AA359+1,1),0),1))))</f>
      </c>
      <c r="L359" s="67" t="str">
        <f>IFERROR(INDEX('Cost_Components'!$S$2:$S$27,MATCH(E359,'Cost_Components'!$A$2:$A$27,0)),"")</f>
      </c>
      <c r="M359" s="68" t="str">
        <f>IFERROR(INDEX('Cost_Components'!$L$2:$L$27,MATCH(E359,'Cost_Components'!$A$2:$A$27,0)),"")</f>
      </c>
      <c r="N359" s="69" t="str">
        <f>IFERROR(INDEX('Cost_Components'!$P$2:$P$27,MATCH(E359,'Cost_Components'!$A$2:$A$27,0)),"")</f>
      </c>
      <c r="O359" s="70" t="str">
        <f>AF359*J359</f>
      </c>
      <c r="P359" s="71" t="str">
        <f>AG359*J359</f>
      </c>
      <c r="Q359" s="72" t="str">
        <f>P359*L359*M359*N359</f>
      </c>
      <c r="R359" s="73" t="str">
        <f>O359*K359*M359*N359</f>
      </c>
      <c r="S359" s="74" t="str">
        <f>R359-Q359</f>
      </c>
      <c r="T359" s="20" t="str">
        <f>IFERROR(INDEX('Cost_Components'!$R$2:$R$27,MATCH(E359,'Cost_Components'!$A$2:$A$27,0)),"")</f>
      </c>
      <c r="U359" s="75" t="str">
        <f>IFERROR(INDEX('Cost_Components'!$Q$2:$Q$27,MATCH(E359,'Cost_Components'!$A$2:$A$27,0)),"")</f>
      </c>
      <c r="V359" s="76" t="str">
        <f>1/(1+'Calculation_Assumptions'!$B$5)^(B359-'Calculation_Assumptions'!$B$2)</f>
      </c>
      <c r="W359" s="77" t="str">
        <f>Q359*V359</f>
      </c>
      <c r="X359" s="78" t="str">
        <f>R359*V359</f>
      </c>
      <c r="Y359" s="79" t="str">
        <f>S359*V359</f>
      </c>
      <c r="Z359" s="80" t="str">
        <f>IFERROR(INDEX('Cost_Components'!$T$2:$T$27,MATCH(E359,'Cost_Components'!$A$2:$A$27,0)),"")</f>
      </c>
      <c r="AA359" s="81" t="str">
        <f>IFERROR(INDEX('Cost_Components'!$U$2:$U$27,MATCH(E359,'Cost_Components'!$A$2:$A$27,0)),"")</f>
      </c>
      <c r="AB359" s="82" t="str">
        <f>IFERROR(INDEX('Cost_Components'!$V$2:$V$27,MATCH(E359,'Cost_Components'!$A$2:$A$27,0)),"")</f>
      </c>
      <c r="AC359" s="83" t="str">
        <f>IFERROR(INDEX('Cost_Components'!$M$2:$M$27,MATCH(E359,'Cost_Components'!$A$2:$A$27,0)),"")</f>
      </c>
      <c r="AD359" s="84" t="str">
        <f>IFERROR(INDEX('Cost_Components'!$N$2:$N$27,MATCH(E359,'Cost_Components'!$A$2:$A$27,0)),"")</f>
      </c>
      <c r="AE359" s="20" t="str">
        <f>IFERROR(INDEX('Cost_Components'!$O$2:$O$27,MATCH(E359,'Cost_Components'!$A$2:$A$27,0)),"")</f>
      </c>
      <c r="AF359" s="85" t="n">
        <v>7155063.41940418</v>
      </c>
      <c r="AG359" s="86" t="n">
        <v>7138623.97835749</v>
      </c>
      <c r="AH359" s="87" t="str">
        <f>IF(H359="shared-count-once",COUNTIFS($A$2:$A$1353,A359,$B$2:$B$1353,B359,$E$2:$E$1353,E359),1)</f>
      </c>
    </row>
    <row r="360">
      <c r="A360" t="s">
        <v>200</v>
      </c>
      <c r="B360" s="59" t="n">
        <v>2045</v>
      </c>
      <c r="C360" t="s">
        <v>200</v>
      </c>
      <c r="D360" t="s">
        <v>180</v>
      </c>
      <c r="E360" s="60" t="s">
        <v>292</v>
      </c>
      <c r="F360" s="61" t="s">
        <v>293</v>
      </c>
      <c r="G360" s="62" t="s">
        <v>204</v>
      </c>
      <c r="H360" s="63" t="s">
        <v>195</v>
      </c>
      <c r="I360" s="64" t="s">
        <v>267</v>
      </c>
      <c r="J360" s="65" t="str">
        <f>IFERROR(INDEX('Cost_Components'!$K$2:$K$27,MATCH(E360,'Cost_Components'!$A$2:$A$27,0)),"")</f>
      </c>
      <c r="K360" s="66" t="str">
        <f>IF(OR(L360="",Z360="",AA360="",AB360=""),"",IF(B360&lt;AA360,L360,IF(B360&gt;AB360,Z360,L360+(Z360-L360)*MIN(MAX((B360-AA360+1)/MAX(AB360-AA360+1,1),0),1))))</f>
      </c>
      <c r="L360" s="67" t="str">
        <f>IFERROR(INDEX('Cost_Components'!$S$2:$S$27,MATCH(E360,'Cost_Components'!$A$2:$A$27,0)),"")</f>
      </c>
      <c r="M360" s="68" t="str">
        <f>IFERROR(INDEX('Cost_Components'!$L$2:$L$27,MATCH(E360,'Cost_Components'!$A$2:$A$27,0)),"")</f>
      </c>
      <c r="N360" s="69" t="str">
        <f>IFERROR(INDEX('Cost_Components'!$P$2:$P$27,MATCH(E360,'Cost_Components'!$A$2:$A$27,0)),"")</f>
      </c>
      <c r="O360" s="70" t="str">
        <f>AF360*J360</f>
      </c>
      <c r="P360" s="71" t="str">
        <f>AG360*J360</f>
      </c>
      <c r="Q360" s="72" t="str">
        <f>P360*L360*M360*N360</f>
      </c>
      <c r="R360" s="73" t="str">
        <f>O360*K360*M360*N360</f>
      </c>
      <c r="S360" s="74" t="str">
        <f>R360-Q360</f>
      </c>
      <c r="T360" s="20" t="str">
        <f>IFERROR(INDEX('Cost_Components'!$R$2:$R$27,MATCH(E360,'Cost_Components'!$A$2:$A$27,0)),"")</f>
      </c>
      <c r="U360" s="75" t="str">
        <f>IFERROR(INDEX('Cost_Components'!$Q$2:$Q$27,MATCH(E360,'Cost_Components'!$A$2:$A$27,0)),"")</f>
      </c>
      <c r="V360" s="76" t="str">
        <f>1/(1+'Calculation_Assumptions'!$B$5)^(B360-'Calculation_Assumptions'!$B$2)</f>
      </c>
      <c r="W360" s="77" t="str">
        <f>Q360*V360</f>
      </c>
      <c r="X360" s="78" t="str">
        <f>R360*V360</f>
      </c>
      <c r="Y360" s="79" t="str">
        <f>S360*V360</f>
      </c>
      <c r="Z360" s="80" t="str">
        <f>IFERROR(INDEX('Cost_Components'!$T$2:$T$27,MATCH(E360,'Cost_Components'!$A$2:$A$27,0)),"")</f>
      </c>
      <c r="AA360" s="81" t="str">
        <f>IFERROR(INDEX('Cost_Components'!$U$2:$U$27,MATCH(E360,'Cost_Components'!$A$2:$A$27,0)),"")</f>
      </c>
      <c r="AB360" s="82" t="str">
        <f>IFERROR(INDEX('Cost_Components'!$V$2:$V$27,MATCH(E360,'Cost_Components'!$A$2:$A$27,0)),"")</f>
      </c>
      <c r="AC360" s="83" t="str">
        <f>IFERROR(INDEX('Cost_Components'!$M$2:$M$27,MATCH(E360,'Cost_Components'!$A$2:$A$27,0)),"")</f>
      </c>
      <c r="AD360" s="84" t="str">
        <f>IFERROR(INDEX('Cost_Components'!$N$2:$N$27,MATCH(E360,'Cost_Components'!$A$2:$A$27,0)),"")</f>
      </c>
      <c r="AE360" s="20" t="str">
        <f>IFERROR(INDEX('Cost_Components'!$O$2:$O$27,MATCH(E360,'Cost_Components'!$A$2:$A$27,0)),"")</f>
      </c>
      <c r="AF360" s="85" t="n">
        <v>7264641.04427174</v>
      </c>
      <c r="AG360" s="86" t="n">
        <v>7246779.83544231</v>
      </c>
      <c r="AH360" s="87" t="str">
        <f>IF(H360="shared-count-once",COUNTIFS($A$2:$A$1353,A360,$B$2:$B$1353,B360,$E$2:$E$1353,E360),1)</f>
      </c>
    </row>
    <row r="361">
      <c r="A361" t="s">
        <v>200</v>
      </c>
      <c r="B361" s="59" t="n">
        <v>2046</v>
      </c>
      <c r="C361" t="s">
        <v>200</v>
      </c>
      <c r="D361" t="s">
        <v>180</v>
      </c>
      <c r="E361" s="60" t="s">
        <v>292</v>
      </c>
      <c r="F361" s="61" t="s">
        <v>293</v>
      </c>
      <c r="G361" s="62" t="s">
        <v>204</v>
      </c>
      <c r="H361" s="63" t="s">
        <v>195</v>
      </c>
      <c r="I361" s="64" t="s">
        <v>267</v>
      </c>
      <c r="J361" s="65" t="str">
        <f>IFERROR(INDEX('Cost_Components'!$K$2:$K$27,MATCH(E361,'Cost_Components'!$A$2:$A$27,0)),"")</f>
      </c>
      <c r="K361" s="66" t="str">
        <f>IF(OR(L361="",Z361="",AA361="",AB361=""),"",IF(B361&lt;AA361,L361,IF(B361&gt;AB361,Z361,L361+(Z361-L361)*MIN(MAX((B361-AA361+1)/MAX(AB361-AA361+1,1),0),1))))</f>
      </c>
      <c r="L361" s="67" t="str">
        <f>IFERROR(INDEX('Cost_Components'!$S$2:$S$27,MATCH(E361,'Cost_Components'!$A$2:$A$27,0)),"")</f>
      </c>
      <c r="M361" s="68" t="str">
        <f>IFERROR(INDEX('Cost_Components'!$L$2:$L$27,MATCH(E361,'Cost_Components'!$A$2:$A$27,0)),"")</f>
      </c>
      <c r="N361" s="69" t="str">
        <f>IFERROR(INDEX('Cost_Components'!$P$2:$P$27,MATCH(E361,'Cost_Components'!$A$2:$A$27,0)),"")</f>
      </c>
      <c r="O361" s="70" t="str">
        <f>AF361*J361</f>
      </c>
      <c r="P361" s="71" t="str">
        <f>AG361*J361</f>
      </c>
      <c r="Q361" s="72" t="str">
        <f>P361*L361*M361*N361</f>
      </c>
      <c r="R361" s="73" t="str">
        <f>O361*K361*M361*N361</f>
      </c>
      <c r="S361" s="74" t="str">
        <f>R361-Q361</f>
      </c>
      <c r="T361" s="20" t="str">
        <f>IFERROR(INDEX('Cost_Components'!$R$2:$R$27,MATCH(E361,'Cost_Components'!$A$2:$A$27,0)),"")</f>
      </c>
      <c r="U361" s="75" t="str">
        <f>IFERROR(INDEX('Cost_Components'!$Q$2:$Q$27,MATCH(E361,'Cost_Components'!$A$2:$A$27,0)),"")</f>
      </c>
      <c r="V361" s="76" t="str">
        <f>1/(1+'Calculation_Assumptions'!$B$5)^(B361-'Calculation_Assumptions'!$B$2)</f>
      </c>
      <c r="W361" s="77" t="str">
        <f>Q361*V361</f>
      </c>
      <c r="X361" s="78" t="str">
        <f>R361*V361</f>
      </c>
      <c r="Y361" s="79" t="str">
        <f>S361*V361</f>
      </c>
      <c r="Z361" s="80" t="str">
        <f>IFERROR(INDEX('Cost_Components'!$T$2:$T$27,MATCH(E361,'Cost_Components'!$A$2:$A$27,0)),"")</f>
      </c>
      <c r="AA361" s="81" t="str">
        <f>IFERROR(INDEX('Cost_Components'!$U$2:$U$27,MATCH(E361,'Cost_Components'!$A$2:$A$27,0)),"")</f>
      </c>
      <c r="AB361" s="82" t="str">
        <f>IFERROR(INDEX('Cost_Components'!$V$2:$V$27,MATCH(E361,'Cost_Components'!$A$2:$A$27,0)),"")</f>
      </c>
      <c r="AC361" s="83" t="str">
        <f>IFERROR(INDEX('Cost_Components'!$M$2:$M$27,MATCH(E361,'Cost_Components'!$A$2:$A$27,0)),"")</f>
      </c>
      <c r="AD361" s="84" t="str">
        <f>IFERROR(INDEX('Cost_Components'!$N$2:$N$27,MATCH(E361,'Cost_Components'!$A$2:$A$27,0)),"")</f>
      </c>
      <c r="AE361" s="20" t="str">
        <f>IFERROR(INDEX('Cost_Components'!$O$2:$O$27,MATCH(E361,'Cost_Components'!$A$2:$A$27,0)),"")</f>
      </c>
      <c r="AF361" s="85" t="n">
        <v>7371988.88312106</v>
      </c>
      <c r="AG361" s="86" t="n">
        <v>7352671.00291986</v>
      </c>
      <c r="AH361" s="87" t="str">
        <f>IF(H361="shared-count-once",COUNTIFS($A$2:$A$1353,A361,$B$2:$B$1353,B361,$E$2:$E$1353,E361),1)</f>
      </c>
    </row>
    <row r="362">
      <c r="A362" t="s">
        <v>200</v>
      </c>
      <c r="B362" s="59" t="n">
        <v>2047</v>
      </c>
      <c r="C362" t="s">
        <v>200</v>
      </c>
      <c r="D362" t="s">
        <v>180</v>
      </c>
      <c r="E362" s="60" t="s">
        <v>292</v>
      </c>
      <c r="F362" s="61" t="s">
        <v>293</v>
      </c>
      <c r="G362" s="62" t="s">
        <v>204</v>
      </c>
      <c r="H362" s="63" t="s">
        <v>195</v>
      </c>
      <c r="I362" s="64" t="s">
        <v>267</v>
      </c>
      <c r="J362" s="65" t="str">
        <f>IFERROR(INDEX('Cost_Components'!$K$2:$K$27,MATCH(E362,'Cost_Components'!$A$2:$A$27,0)),"")</f>
      </c>
      <c r="K362" s="66" t="str">
        <f>IF(OR(L362="",Z362="",AA362="",AB362=""),"",IF(B362&lt;AA362,L362,IF(B362&gt;AB362,Z362,L362+(Z362-L362)*MIN(MAX((B362-AA362+1)/MAX(AB362-AA362+1,1),0),1))))</f>
      </c>
      <c r="L362" s="67" t="str">
        <f>IFERROR(INDEX('Cost_Components'!$S$2:$S$27,MATCH(E362,'Cost_Components'!$A$2:$A$27,0)),"")</f>
      </c>
      <c r="M362" s="68" t="str">
        <f>IFERROR(INDEX('Cost_Components'!$L$2:$L$27,MATCH(E362,'Cost_Components'!$A$2:$A$27,0)),"")</f>
      </c>
      <c r="N362" s="69" t="str">
        <f>IFERROR(INDEX('Cost_Components'!$P$2:$P$27,MATCH(E362,'Cost_Components'!$A$2:$A$27,0)),"")</f>
      </c>
      <c r="O362" s="70" t="str">
        <f>AF362*J362</f>
      </c>
      <c r="P362" s="71" t="str">
        <f>AG362*J362</f>
      </c>
      <c r="Q362" s="72" t="str">
        <f>P362*L362*M362*N362</f>
      </c>
      <c r="R362" s="73" t="str">
        <f>O362*K362*M362*N362</f>
      </c>
      <c r="S362" s="74" t="str">
        <f>R362-Q362</f>
      </c>
      <c r="T362" s="20" t="str">
        <f>IFERROR(INDEX('Cost_Components'!$R$2:$R$27,MATCH(E362,'Cost_Components'!$A$2:$A$27,0)),"")</f>
      </c>
      <c r="U362" s="75" t="str">
        <f>IFERROR(INDEX('Cost_Components'!$Q$2:$Q$27,MATCH(E362,'Cost_Components'!$A$2:$A$27,0)),"")</f>
      </c>
      <c r="V362" s="76" t="str">
        <f>1/(1+'Calculation_Assumptions'!$B$5)^(B362-'Calculation_Assumptions'!$B$2)</f>
      </c>
      <c r="W362" s="77" t="str">
        <f>Q362*V362</f>
      </c>
      <c r="X362" s="78" t="str">
        <f>R362*V362</f>
      </c>
      <c r="Y362" s="79" t="str">
        <f>S362*V362</f>
      </c>
      <c r="Z362" s="80" t="str">
        <f>IFERROR(INDEX('Cost_Components'!$T$2:$T$27,MATCH(E362,'Cost_Components'!$A$2:$A$27,0)),"")</f>
      </c>
      <c r="AA362" s="81" t="str">
        <f>IFERROR(INDEX('Cost_Components'!$U$2:$U$27,MATCH(E362,'Cost_Components'!$A$2:$A$27,0)),"")</f>
      </c>
      <c r="AB362" s="82" t="str">
        <f>IFERROR(INDEX('Cost_Components'!$V$2:$V$27,MATCH(E362,'Cost_Components'!$A$2:$A$27,0)),"")</f>
      </c>
      <c r="AC362" s="83" t="str">
        <f>IFERROR(INDEX('Cost_Components'!$M$2:$M$27,MATCH(E362,'Cost_Components'!$A$2:$A$27,0)),"")</f>
      </c>
      <c r="AD362" s="84" t="str">
        <f>IFERROR(INDEX('Cost_Components'!$N$2:$N$27,MATCH(E362,'Cost_Components'!$A$2:$A$27,0)),"")</f>
      </c>
      <c r="AE362" s="20" t="str">
        <f>IFERROR(INDEX('Cost_Components'!$O$2:$O$27,MATCH(E362,'Cost_Components'!$A$2:$A$27,0)),"")</f>
      </c>
      <c r="AF362" s="85" t="n">
        <v>7476301.85556299</v>
      </c>
      <c r="AG362" s="86" t="n">
        <v>7455494.40605094</v>
      </c>
      <c r="AH362" s="87" t="str">
        <f>IF(H362="shared-count-once",COUNTIFS($A$2:$A$1353,A362,$B$2:$B$1353,B362,$E$2:$E$1353,E362),1)</f>
      </c>
    </row>
    <row r="363">
      <c r="A363" t="s">
        <v>200</v>
      </c>
      <c r="B363" s="59" t="n">
        <v>2048</v>
      </c>
      <c r="C363" t="s">
        <v>200</v>
      </c>
      <c r="D363" t="s">
        <v>180</v>
      </c>
      <c r="E363" s="60" t="s">
        <v>292</v>
      </c>
      <c r="F363" s="61" t="s">
        <v>293</v>
      </c>
      <c r="G363" s="62" t="s">
        <v>204</v>
      </c>
      <c r="H363" s="63" t="s">
        <v>195</v>
      </c>
      <c r="I363" s="64" t="s">
        <v>267</v>
      </c>
      <c r="J363" s="65" t="str">
        <f>IFERROR(INDEX('Cost_Components'!$K$2:$K$27,MATCH(E363,'Cost_Components'!$A$2:$A$27,0)),"")</f>
      </c>
      <c r="K363" s="66" t="str">
        <f>IF(OR(L363="",Z363="",AA363="",AB363=""),"",IF(B363&lt;AA363,L363,IF(B363&gt;AB363,Z363,L363+(Z363-L363)*MIN(MAX((B363-AA363+1)/MAX(AB363-AA363+1,1),0),1))))</f>
      </c>
      <c r="L363" s="67" t="str">
        <f>IFERROR(INDEX('Cost_Components'!$S$2:$S$27,MATCH(E363,'Cost_Components'!$A$2:$A$27,0)),"")</f>
      </c>
      <c r="M363" s="68" t="str">
        <f>IFERROR(INDEX('Cost_Components'!$L$2:$L$27,MATCH(E363,'Cost_Components'!$A$2:$A$27,0)),"")</f>
      </c>
      <c r="N363" s="69" t="str">
        <f>IFERROR(INDEX('Cost_Components'!$P$2:$P$27,MATCH(E363,'Cost_Components'!$A$2:$A$27,0)),"")</f>
      </c>
      <c r="O363" s="70" t="str">
        <f>AF363*J363</f>
      </c>
      <c r="P363" s="71" t="str">
        <f>AG363*J363</f>
      </c>
      <c r="Q363" s="72" t="str">
        <f>P363*L363*M363*N363</f>
      </c>
      <c r="R363" s="73" t="str">
        <f>O363*K363*M363*N363</f>
      </c>
      <c r="S363" s="74" t="str">
        <f>R363-Q363</f>
      </c>
      <c r="T363" s="20" t="str">
        <f>IFERROR(INDEX('Cost_Components'!$R$2:$R$27,MATCH(E363,'Cost_Components'!$A$2:$A$27,0)),"")</f>
      </c>
      <c r="U363" s="75" t="str">
        <f>IFERROR(INDEX('Cost_Components'!$Q$2:$Q$27,MATCH(E363,'Cost_Components'!$A$2:$A$27,0)),"")</f>
      </c>
      <c r="V363" s="76" t="str">
        <f>1/(1+'Calculation_Assumptions'!$B$5)^(B363-'Calculation_Assumptions'!$B$2)</f>
      </c>
      <c r="W363" s="77" t="str">
        <f>Q363*V363</f>
      </c>
      <c r="X363" s="78" t="str">
        <f>R363*V363</f>
      </c>
      <c r="Y363" s="79" t="str">
        <f>S363*V363</f>
      </c>
      <c r="Z363" s="80" t="str">
        <f>IFERROR(INDEX('Cost_Components'!$T$2:$T$27,MATCH(E363,'Cost_Components'!$A$2:$A$27,0)),"")</f>
      </c>
      <c r="AA363" s="81" t="str">
        <f>IFERROR(INDEX('Cost_Components'!$U$2:$U$27,MATCH(E363,'Cost_Components'!$A$2:$A$27,0)),"")</f>
      </c>
      <c r="AB363" s="82" t="str">
        <f>IFERROR(INDEX('Cost_Components'!$V$2:$V$27,MATCH(E363,'Cost_Components'!$A$2:$A$27,0)),"")</f>
      </c>
      <c r="AC363" s="83" t="str">
        <f>IFERROR(INDEX('Cost_Components'!$M$2:$M$27,MATCH(E363,'Cost_Components'!$A$2:$A$27,0)),"")</f>
      </c>
      <c r="AD363" s="84" t="str">
        <f>IFERROR(INDEX('Cost_Components'!$N$2:$N$27,MATCH(E363,'Cost_Components'!$A$2:$A$27,0)),"")</f>
      </c>
      <c r="AE363" s="20" t="str">
        <f>IFERROR(INDEX('Cost_Components'!$O$2:$O$27,MATCH(E363,'Cost_Components'!$A$2:$A$27,0)),"")</f>
      </c>
      <c r="AF363" s="85" t="n">
        <v>7578785.76191955</v>
      </c>
      <c r="AG363" s="86" t="n">
        <v>7556459.2432584</v>
      </c>
      <c r="AH363" s="87" t="str">
        <f>IF(H363="shared-count-once",COUNTIFS($A$2:$A$1353,A363,$B$2:$B$1353,B363,$E$2:$E$1353,E363),1)</f>
      </c>
    </row>
    <row r="364">
      <c r="A364" t="s">
        <v>200</v>
      </c>
      <c r="B364" s="59" t="n">
        <v>2049</v>
      </c>
      <c r="C364" t="s">
        <v>200</v>
      </c>
      <c r="D364" t="s">
        <v>180</v>
      </c>
      <c r="E364" s="60" t="s">
        <v>292</v>
      </c>
      <c r="F364" s="61" t="s">
        <v>293</v>
      </c>
      <c r="G364" s="62" t="s">
        <v>204</v>
      </c>
      <c r="H364" s="63" t="s">
        <v>195</v>
      </c>
      <c r="I364" s="64" t="s">
        <v>267</v>
      </c>
      <c r="J364" s="65" t="str">
        <f>IFERROR(INDEX('Cost_Components'!$K$2:$K$27,MATCH(E364,'Cost_Components'!$A$2:$A$27,0)),"")</f>
      </c>
      <c r="K364" s="66" t="str">
        <f>IF(OR(L364="",Z364="",AA364="",AB364=""),"",IF(B364&lt;AA364,L364,IF(B364&gt;AB364,Z364,L364+(Z364-L364)*MIN(MAX((B364-AA364+1)/MAX(AB364-AA364+1,1),0),1))))</f>
      </c>
      <c r="L364" s="67" t="str">
        <f>IFERROR(INDEX('Cost_Components'!$S$2:$S$27,MATCH(E364,'Cost_Components'!$A$2:$A$27,0)),"")</f>
      </c>
      <c r="M364" s="68" t="str">
        <f>IFERROR(INDEX('Cost_Components'!$L$2:$L$27,MATCH(E364,'Cost_Components'!$A$2:$A$27,0)),"")</f>
      </c>
      <c r="N364" s="69" t="str">
        <f>IFERROR(INDEX('Cost_Components'!$P$2:$P$27,MATCH(E364,'Cost_Components'!$A$2:$A$27,0)),"")</f>
      </c>
      <c r="O364" s="70" t="str">
        <f>AF364*J364</f>
      </c>
      <c r="P364" s="71" t="str">
        <f>AG364*J364</f>
      </c>
      <c r="Q364" s="72" t="str">
        <f>P364*L364*M364*N364</f>
      </c>
      <c r="R364" s="73" t="str">
        <f>O364*K364*M364*N364</f>
      </c>
      <c r="S364" s="74" t="str">
        <f>R364-Q364</f>
      </c>
      <c r="T364" s="20" t="str">
        <f>IFERROR(INDEX('Cost_Components'!$R$2:$R$27,MATCH(E364,'Cost_Components'!$A$2:$A$27,0)),"")</f>
      </c>
      <c r="U364" s="75" t="str">
        <f>IFERROR(INDEX('Cost_Components'!$Q$2:$Q$27,MATCH(E364,'Cost_Components'!$A$2:$A$27,0)),"")</f>
      </c>
      <c r="V364" s="76" t="str">
        <f>1/(1+'Calculation_Assumptions'!$B$5)^(B364-'Calculation_Assumptions'!$B$2)</f>
      </c>
      <c r="W364" s="77" t="str">
        <f>Q364*V364</f>
      </c>
      <c r="X364" s="78" t="str">
        <f>R364*V364</f>
      </c>
      <c r="Y364" s="79" t="str">
        <f>S364*V364</f>
      </c>
      <c r="Z364" s="80" t="str">
        <f>IFERROR(INDEX('Cost_Components'!$T$2:$T$27,MATCH(E364,'Cost_Components'!$A$2:$A$27,0)),"")</f>
      </c>
      <c r="AA364" s="81" t="str">
        <f>IFERROR(INDEX('Cost_Components'!$U$2:$U$27,MATCH(E364,'Cost_Components'!$A$2:$A$27,0)),"")</f>
      </c>
      <c r="AB364" s="82" t="str">
        <f>IFERROR(INDEX('Cost_Components'!$V$2:$V$27,MATCH(E364,'Cost_Components'!$A$2:$A$27,0)),"")</f>
      </c>
      <c r="AC364" s="83" t="str">
        <f>IFERROR(INDEX('Cost_Components'!$M$2:$M$27,MATCH(E364,'Cost_Components'!$A$2:$A$27,0)),"")</f>
      </c>
      <c r="AD364" s="84" t="str">
        <f>IFERROR(INDEX('Cost_Components'!$N$2:$N$27,MATCH(E364,'Cost_Components'!$A$2:$A$27,0)),"")</f>
      </c>
      <c r="AE364" s="20" t="str">
        <f>IFERROR(INDEX('Cost_Components'!$O$2:$O$27,MATCH(E364,'Cost_Components'!$A$2:$A$27,0)),"")</f>
      </c>
      <c r="AF364" s="85" t="n">
        <v>7676417.63062444</v>
      </c>
      <c r="AG364" s="86" t="n">
        <v>7652544.64203908</v>
      </c>
      <c r="AH364" s="87" t="str">
        <f>IF(H364="shared-count-once",COUNTIFS($A$2:$A$1353,A364,$B$2:$B$1353,B364,$E$2:$E$1353,E364),1)</f>
      </c>
    </row>
    <row r="365">
      <c r="A365" t="s">
        <v>200</v>
      </c>
      <c r="B365" s="59" t="n">
        <v>2050</v>
      </c>
      <c r="C365" t="s">
        <v>200</v>
      </c>
      <c r="D365" t="s">
        <v>180</v>
      </c>
      <c r="E365" s="60" t="s">
        <v>292</v>
      </c>
      <c r="F365" s="61" t="s">
        <v>293</v>
      </c>
      <c r="G365" s="62" t="s">
        <v>204</v>
      </c>
      <c r="H365" s="63" t="s">
        <v>195</v>
      </c>
      <c r="I365" s="64" t="s">
        <v>267</v>
      </c>
      <c r="J365" s="65" t="str">
        <f>IFERROR(INDEX('Cost_Components'!$K$2:$K$27,MATCH(E365,'Cost_Components'!$A$2:$A$27,0)),"")</f>
      </c>
      <c r="K365" s="66" t="str">
        <f>IF(OR(L365="",Z365="",AA365="",AB365=""),"",IF(B365&lt;AA365,L365,IF(B365&gt;AB365,Z365,L365+(Z365-L365)*MIN(MAX((B365-AA365+1)/MAX(AB365-AA365+1,1),0),1))))</f>
      </c>
      <c r="L365" s="67" t="str">
        <f>IFERROR(INDEX('Cost_Components'!$S$2:$S$27,MATCH(E365,'Cost_Components'!$A$2:$A$27,0)),"")</f>
      </c>
      <c r="M365" s="68" t="str">
        <f>IFERROR(INDEX('Cost_Components'!$L$2:$L$27,MATCH(E365,'Cost_Components'!$A$2:$A$27,0)),"")</f>
      </c>
      <c r="N365" s="69" t="str">
        <f>IFERROR(INDEX('Cost_Components'!$P$2:$P$27,MATCH(E365,'Cost_Components'!$A$2:$A$27,0)),"")</f>
      </c>
      <c r="O365" s="70" t="str">
        <f>AF365*J365</f>
      </c>
      <c r="P365" s="71" t="str">
        <f>AG365*J365</f>
      </c>
      <c r="Q365" s="72" t="str">
        <f>P365*L365*M365*N365</f>
      </c>
      <c r="R365" s="73" t="str">
        <f>O365*K365*M365*N365</f>
      </c>
      <c r="S365" s="74" t="str">
        <f>R365-Q365</f>
      </c>
      <c r="T365" s="20" t="str">
        <f>IFERROR(INDEX('Cost_Components'!$R$2:$R$27,MATCH(E365,'Cost_Components'!$A$2:$A$27,0)),"")</f>
      </c>
      <c r="U365" s="75" t="str">
        <f>IFERROR(INDEX('Cost_Components'!$Q$2:$Q$27,MATCH(E365,'Cost_Components'!$A$2:$A$27,0)),"")</f>
      </c>
      <c r="V365" s="76" t="str">
        <f>1/(1+'Calculation_Assumptions'!$B$5)^(B365-'Calculation_Assumptions'!$B$2)</f>
      </c>
      <c r="W365" s="77" t="str">
        <f>Q365*V365</f>
      </c>
      <c r="X365" s="78" t="str">
        <f>R365*V365</f>
      </c>
      <c r="Y365" s="79" t="str">
        <f>S365*V365</f>
      </c>
      <c r="Z365" s="80" t="str">
        <f>IFERROR(INDEX('Cost_Components'!$T$2:$T$27,MATCH(E365,'Cost_Components'!$A$2:$A$27,0)),"")</f>
      </c>
      <c r="AA365" s="81" t="str">
        <f>IFERROR(INDEX('Cost_Components'!$U$2:$U$27,MATCH(E365,'Cost_Components'!$A$2:$A$27,0)),"")</f>
      </c>
      <c r="AB365" s="82" t="str">
        <f>IFERROR(INDEX('Cost_Components'!$V$2:$V$27,MATCH(E365,'Cost_Components'!$A$2:$A$27,0)),"")</f>
      </c>
      <c r="AC365" s="83" t="str">
        <f>IFERROR(INDEX('Cost_Components'!$M$2:$M$27,MATCH(E365,'Cost_Components'!$A$2:$A$27,0)),"")</f>
      </c>
      <c r="AD365" s="84" t="str">
        <f>IFERROR(INDEX('Cost_Components'!$N$2:$N$27,MATCH(E365,'Cost_Components'!$A$2:$A$27,0)),"")</f>
      </c>
      <c r="AE365" s="20" t="str">
        <f>IFERROR(INDEX('Cost_Components'!$O$2:$O$27,MATCH(E365,'Cost_Components'!$A$2:$A$27,0)),"")</f>
      </c>
      <c r="AF365" s="85" t="n">
        <v>7771775.22122806</v>
      </c>
      <c r="AG365" s="86" t="n">
        <v>7746332.78496876</v>
      </c>
      <c r="AH365" s="87" t="str">
        <f>IF(H365="shared-count-once",COUNTIFS($A$2:$A$1353,A365,$B$2:$B$1353,B365,$E$2:$E$1353,E365),1)</f>
      </c>
    </row>
    <row r="366">
      <c r="A366" t="s">
        <v>205</v>
      </c>
      <c r="B366" s="59" t="n">
        <v>2025</v>
      </c>
      <c r="C366" t="s">
        <v>205</v>
      </c>
      <c r="D366" t="s">
        <v>180</v>
      </c>
      <c r="E366" s="60" t="s">
        <v>294</v>
      </c>
      <c r="F366" s="61" t="s">
        <v>295</v>
      </c>
      <c r="G366" s="62" t="s">
        <v>206</v>
      </c>
      <c r="H366" s="63" t="s">
        <v>195</v>
      </c>
      <c r="I366" s="64" t="s">
        <v>170</v>
      </c>
      <c r="J366" s="65" t="str">
        <f>IFERROR(INDEX('Cost_Components'!$K$2:$K$27,MATCH(E366,'Cost_Components'!$A$2:$A$27,0)),"")</f>
      </c>
      <c r="K366" s="66" t="str">
        <f>IF(OR(L366="",Z366="",AA366="",AB366=""),"",IF(B366&lt;AA366,L366,IF(B366&gt;AB366,Z366,L366+(Z366-L366)*MIN(MAX((B366-AA366+1)/MAX(AB366-AA366+1,1),0),1))))</f>
      </c>
      <c r="L366" s="67" t="str">
        <f>IFERROR(INDEX('Cost_Components'!$S$2:$S$27,MATCH(E366,'Cost_Components'!$A$2:$A$27,0)),"")</f>
      </c>
      <c r="M366" s="68" t="str">
        <f>IFERROR(INDEX('Cost_Components'!$L$2:$L$27,MATCH(E366,'Cost_Components'!$A$2:$A$27,0)),"")</f>
      </c>
      <c r="N366" s="69" t="str">
        <f>IFERROR(INDEX('Cost_Components'!$P$2:$P$27,MATCH(E366,'Cost_Components'!$A$2:$A$27,0)),"")</f>
      </c>
      <c r="O366" s="70" t="str">
        <f>AF366*J366</f>
      </c>
      <c r="P366" s="71" t="str">
        <f>AG366*J366</f>
      </c>
      <c r="Q366" s="72" t="str">
        <f>P366*L366*M366*N366</f>
      </c>
      <c r="R366" s="73" t="str">
        <f>O366*K366*M366*N366</f>
      </c>
      <c r="S366" s="74" t="str">
        <f>R366-Q366</f>
      </c>
      <c r="T366" s="20" t="str">
        <f>IFERROR(INDEX('Cost_Components'!$R$2:$R$27,MATCH(E366,'Cost_Components'!$A$2:$A$27,0)),"")</f>
      </c>
      <c r="U366" s="75" t="str">
        <f>IFERROR(INDEX('Cost_Components'!$Q$2:$Q$27,MATCH(E366,'Cost_Components'!$A$2:$A$27,0)),"")</f>
      </c>
      <c r="V366" s="76" t="str">
        <f>1/(1+'Calculation_Assumptions'!$B$5)^(B366-'Calculation_Assumptions'!$B$2)</f>
      </c>
      <c r="W366" s="77" t="str">
        <f>Q366*V366</f>
      </c>
      <c r="X366" s="78" t="str">
        <f>R366*V366</f>
      </c>
      <c r="Y366" s="79" t="str">
        <f>S366*V366</f>
      </c>
      <c r="Z366" s="80" t="str">
        <f>IFERROR(INDEX('Cost_Components'!$T$2:$T$27,MATCH(E366,'Cost_Components'!$A$2:$A$27,0)),"")</f>
      </c>
      <c r="AA366" s="81" t="str">
        <f>IFERROR(INDEX('Cost_Components'!$U$2:$U$27,MATCH(E366,'Cost_Components'!$A$2:$A$27,0)),"")</f>
      </c>
      <c r="AB366" s="82" t="str">
        <f>IFERROR(INDEX('Cost_Components'!$V$2:$V$27,MATCH(E366,'Cost_Components'!$A$2:$A$27,0)),"")</f>
      </c>
      <c r="AC366" s="83" t="str">
        <f>IFERROR(INDEX('Cost_Components'!$M$2:$M$27,MATCH(E366,'Cost_Components'!$A$2:$A$27,0)),"")</f>
      </c>
      <c r="AD366" s="84" t="str">
        <f>IFERROR(INDEX('Cost_Components'!$N$2:$N$27,MATCH(E366,'Cost_Components'!$A$2:$A$27,0)),"")</f>
      </c>
      <c r="AE366" s="20" t="str">
        <f>IFERROR(INDEX('Cost_Components'!$O$2:$O$27,MATCH(E366,'Cost_Components'!$A$2:$A$27,0)),"")</f>
      </c>
      <c r="AF366" s="85" t="n">
        <v>612171.634776233</v>
      </c>
      <c r="AG366" s="86" t="n">
        <v>612171.634776233</v>
      </c>
      <c r="AH366" s="87" t="str">
        <f>IF(H366="shared-count-once",COUNTIFS($A$2:$A$1353,A366,$B$2:$B$1353,B366,$E$2:$E$1353,E366),1)</f>
      </c>
    </row>
    <row r="367">
      <c r="A367" t="s">
        <v>205</v>
      </c>
      <c r="B367" s="59" t="n">
        <v>2026</v>
      </c>
      <c r="C367" t="s">
        <v>205</v>
      </c>
      <c r="D367" t="s">
        <v>180</v>
      </c>
      <c r="E367" s="60" t="s">
        <v>294</v>
      </c>
      <c r="F367" s="61" t="s">
        <v>295</v>
      </c>
      <c r="G367" s="62" t="s">
        <v>206</v>
      </c>
      <c r="H367" s="63" t="s">
        <v>195</v>
      </c>
      <c r="I367" s="64" t="s">
        <v>170</v>
      </c>
      <c r="J367" s="65" t="str">
        <f>IFERROR(INDEX('Cost_Components'!$K$2:$K$27,MATCH(E367,'Cost_Components'!$A$2:$A$27,0)),"")</f>
      </c>
      <c r="K367" s="66" t="str">
        <f>IF(OR(L367="",Z367="",AA367="",AB367=""),"",IF(B367&lt;AA367,L367,IF(B367&gt;AB367,Z367,L367+(Z367-L367)*MIN(MAX((B367-AA367+1)/MAX(AB367-AA367+1,1),0),1))))</f>
      </c>
      <c r="L367" s="67" t="str">
        <f>IFERROR(INDEX('Cost_Components'!$S$2:$S$27,MATCH(E367,'Cost_Components'!$A$2:$A$27,0)),"")</f>
      </c>
      <c r="M367" s="68" t="str">
        <f>IFERROR(INDEX('Cost_Components'!$L$2:$L$27,MATCH(E367,'Cost_Components'!$A$2:$A$27,0)),"")</f>
      </c>
      <c r="N367" s="69" t="str">
        <f>IFERROR(INDEX('Cost_Components'!$P$2:$P$27,MATCH(E367,'Cost_Components'!$A$2:$A$27,0)),"")</f>
      </c>
      <c r="O367" s="70" t="str">
        <f>AF367*J367</f>
      </c>
      <c r="P367" s="71" t="str">
        <f>AG367*J367</f>
      </c>
      <c r="Q367" s="72" t="str">
        <f>P367*L367*M367*N367</f>
      </c>
      <c r="R367" s="73" t="str">
        <f>O367*K367*M367*N367</f>
      </c>
      <c r="S367" s="74" t="str">
        <f>R367-Q367</f>
      </c>
      <c r="T367" s="20" t="str">
        <f>IFERROR(INDEX('Cost_Components'!$R$2:$R$27,MATCH(E367,'Cost_Components'!$A$2:$A$27,0)),"")</f>
      </c>
      <c r="U367" s="75" t="str">
        <f>IFERROR(INDEX('Cost_Components'!$Q$2:$Q$27,MATCH(E367,'Cost_Components'!$A$2:$A$27,0)),"")</f>
      </c>
      <c r="V367" s="76" t="str">
        <f>1/(1+'Calculation_Assumptions'!$B$5)^(B367-'Calculation_Assumptions'!$B$2)</f>
      </c>
      <c r="W367" s="77" t="str">
        <f>Q367*V367</f>
      </c>
      <c r="X367" s="78" t="str">
        <f>R367*V367</f>
      </c>
      <c r="Y367" s="79" t="str">
        <f>S367*V367</f>
      </c>
      <c r="Z367" s="80" t="str">
        <f>IFERROR(INDEX('Cost_Components'!$T$2:$T$27,MATCH(E367,'Cost_Components'!$A$2:$A$27,0)),"")</f>
      </c>
      <c r="AA367" s="81" t="str">
        <f>IFERROR(INDEX('Cost_Components'!$U$2:$U$27,MATCH(E367,'Cost_Components'!$A$2:$A$27,0)),"")</f>
      </c>
      <c r="AB367" s="82" t="str">
        <f>IFERROR(INDEX('Cost_Components'!$V$2:$V$27,MATCH(E367,'Cost_Components'!$A$2:$A$27,0)),"")</f>
      </c>
      <c r="AC367" s="83" t="str">
        <f>IFERROR(INDEX('Cost_Components'!$M$2:$M$27,MATCH(E367,'Cost_Components'!$A$2:$A$27,0)),"")</f>
      </c>
      <c r="AD367" s="84" t="str">
        <f>IFERROR(INDEX('Cost_Components'!$N$2:$N$27,MATCH(E367,'Cost_Components'!$A$2:$A$27,0)),"")</f>
      </c>
      <c r="AE367" s="20" t="str">
        <f>IFERROR(INDEX('Cost_Components'!$O$2:$O$27,MATCH(E367,'Cost_Components'!$A$2:$A$27,0)),"")</f>
      </c>
      <c r="AF367" s="85" t="n">
        <v>616790.029155755</v>
      </c>
      <c r="AG367" s="86" t="n">
        <v>616790.029155756</v>
      </c>
      <c r="AH367" s="87" t="str">
        <f>IF(H367="shared-count-once",COUNTIFS($A$2:$A$1353,A367,$B$2:$B$1353,B367,$E$2:$E$1353,E367),1)</f>
      </c>
    </row>
    <row r="368">
      <c r="A368" t="s">
        <v>205</v>
      </c>
      <c r="B368" s="59" t="n">
        <v>2027</v>
      </c>
      <c r="C368" t="s">
        <v>205</v>
      </c>
      <c r="D368" t="s">
        <v>180</v>
      </c>
      <c r="E368" s="60" t="s">
        <v>294</v>
      </c>
      <c r="F368" s="61" t="s">
        <v>295</v>
      </c>
      <c r="G368" s="62" t="s">
        <v>206</v>
      </c>
      <c r="H368" s="63" t="s">
        <v>195</v>
      </c>
      <c r="I368" s="64" t="s">
        <v>170</v>
      </c>
      <c r="J368" s="65" t="str">
        <f>IFERROR(INDEX('Cost_Components'!$K$2:$K$27,MATCH(E368,'Cost_Components'!$A$2:$A$27,0)),"")</f>
      </c>
      <c r="K368" s="66" t="str">
        <f>IF(OR(L368="",Z368="",AA368="",AB368=""),"",IF(B368&lt;AA368,L368,IF(B368&gt;AB368,Z368,L368+(Z368-L368)*MIN(MAX((B368-AA368+1)/MAX(AB368-AA368+1,1),0),1))))</f>
      </c>
      <c r="L368" s="67" t="str">
        <f>IFERROR(INDEX('Cost_Components'!$S$2:$S$27,MATCH(E368,'Cost_Components'!$A$2:$A$27,0)),"")</f>
      </c>
      <c r="M368" s="68" t="str">
        <f>IFERROR(INDEX('Cost_Components'!$L$2:$L$27,MATCH(E368,'Cost_Components'!$A$2:$A$27,0)),"")</f>
      </c>
      <c r="N368" s="69" t="str">
        <f>IFERROR(INDEX('Cost_Components'!$P$2:$P$27,MATCH(E368,'Cost_Components'!$A$2:$A$27,0)),"")</f>
      </c>
      <c r="O368" s="70" t="str">
        <f>AF368*J368</f>
      </c>
      <c r="P368" s="71" t="str">
        <f>AG368*J368</f>
      </c>
      <c r="Q368" s="72" t="str">
        <f>P368*L368*M368*N368</f>
      </c>
      <c r="R368" s="73" t="str">
        <f>O368*K368*M368*N368</f>
      </c>
      <c r="S368" s="74" t="str">
        <f>R368-Q368</f>
      </c>
      <c r="T368" s="20" t="str">
        <f>IFERROR(INDEX('Cost_Components'!$R$2:$R$27,MATCH(E368,'Cost_Components'!$A$2:$A$27,0)),"")</f>
      </c>
      <c r="U368" s="75" t="str">
        <f>IFERROR(INDEX('Cost_Components'!$Q$2:$Q$27,MATCH(E368,'Cost_Components'!$A$2:$A$27,0)),"")</f>
      </c>
      <c r="V368" s="76" t="str">
        <f>1/(1+'Calculation_Assumptions'!$B$5)^(B368-'Calculation_Assumptions'!$B$2)</f>
      </c>
      <c r="W368" s="77" t="str">
        <f>Q368*V368</f>
      </c>
      <c r="X368" s="78" t="str">
        <f>R368*V368</f>
      </c>
      <c r="Y368" s="79" t="str">
        <f>S368*V368</f>
      </c>
      <c r="Z368" s="80" t="str">
        <f>IFERROR(INDEX('Cost_Components'!$T$2:$T$27,MATCH(E368,'Cost_Components'!$A$2:$A$27,0)),"")</f>
      </c>
      <c r="AA368" s="81" t="str">
        <f>IFERROR(INDEX('Cost_Components'!$U$2:$U$27,MATCH(E368,'Cost_Components'!$A$2:$A$27,0)),"")</f>
      </c>
      <c r="AB368" s="82" t="str">
        <f>IFERROR(INDEX('Cost_Components'!$V$2:$V$27,MATCH(E368,'Cost_Components'!$A$2:$A$27,0)),"")</f>
      </c>
      <c r="AC368" s="83" t="str">
        <f>IFERROR(INDEX('Cost_Components'!$M$2:$M$27,MATCH(E368,'Cost_Components'!$A$2:$A$27,0)),"")</f>
      </c>
      <c r="AD368" s="84" t="str">
        <f>IFERROR(INDEX('Cost_Components'!$N$2:$N$27,MATCH(E368,'Cost_Components'!$A$2:$A$27,0)),"")</f>
      </c>
      <c r="AE368" s="20" t="str">
        <f>IFERROR(INDEX('Cost_Components'!$O$2:$O$27,MATCH(E368,'Cost_Components'!$A$2:$A$27,0)),"")</f>
      </c>
      <c r="AF368" s="85" t="n">
        <v>621431.00295362</v>
      </c>
      <c r="AG368" s="86" t="n">
        <v>621430.902801161</v>
      </c>
      <c r="AH368" s="87" t="str">
        <f>IF(H368="shared-count-once",COUNTIFS($A$2:$A$1353,A368,$B$2:$B$1353,B368,$E$2:$E$1353,E368),1)</f>
      </c>
    </row>
    <row r="369">
      <c r="A369" t="s">
        <v>205</v>
      </c>
      <c r="B369" s="59" t="n">
        <v>2028</v>
      </c>
      <c r="C369" t="s">
        <v>205</v>
      </c>
      <c r="D369" t="s">
        <v>180</v>
      </c>
      <c r="E369" s="60" t="s">
        <v>294</v>
      </c>
      <c r="F369" s="61" t="s">
        <v>295</v>
      </c>
      <c r="G369" s="62" t="s">
        <v>206</v>
      </c>
      <c r="H369" s="63" t="s">
        <v>195</v>
      </c>
      <c r="I369" s="64" t="s">
        <v>170</v>
      </c>
      <c r="J369" s="65" t="str">
        <f>IFERROR(INDEX('Cost_Components'!$K$2:$K$27,MATCH(E369,'Cost_Components'!$A$2:$A$27,0)),"")</f>
      </c>
      <c r="K369" s="66" t="str">
        <f>IF(OR(L369="",Z369="",AA369="",AB369=""),"",IF(B369&lt;AA369,L369,IF(B369&gt;AB369,Z369,L369+(Z369-L369)*MIN(MAX((B369-AA369+1)/MAX(AB369-AA369+1,1),0),1))))</f>
      </c>
      <c r="L369" s="67" t="str">
        <f>IFERROR(INDEX('Cost_Components'!$S$2:$S$27,MATCH(E369,'Cost_Components'!$A$2:$A$27,0)),"")</f>
      </c>
      <c r="M369" s="68" t="str">
        <f>IFERROR(INDEX('Cost_Components'!$L$2:$L$27,MATCH(E369,'Cost_Components'!$A$2:$A$27,0)),"")</f>
      </c>
      <c r="N369" s="69" t="str">
        <f>IFERROR(INDEX('Cost_Components'!$P$2:$P$27,MATCH(E369,'Cost_Components'!$A$2:$A$27,0)),"")</f>
      </c>
      <c r="O369" s="70" t="str">
        <f>AF369*J369</f>
      </c>
      <c r="P369" s="71" t="str">
        <f>AG369*J369</f>
      </c>
      <c r="Q369" s="72" t="str">
        <f>P369*L369*M369*N369</f>
      </c>
      <c r="R369" s="73" t="str">
        <f>O369*K369*M369*N369</f>
      </c>
      <c r="S369" s="74" t="str">
        <f>R369-Q369</f>
      </c>
      <c r="T369" s="20" t="str">
        <f>IFERROR(INDEX('Cost_Components'!$R$2:$R$27,MATCH(E369,'Cost_Components'!$A$2:$A$27,0)),"")</f>
      </c>
      <c r="U369" s="75" t="str">
        <f>IFERROR(INDEX('Cost_Components'!$Q$2:$Q$27,MATCH(E369,'Cost_Components'!$A$2:$A$27,0)),"")</f>
      </c>
      <c r="V369" s="76" t="str">
        <f>1/(1+'Calculation_Assumptions'!$B$5)^(B369-'Calculation_Assumptions'!$B$2)</f>
      </c>
      <c r="W369" s="77" t="str">
        <f>Q369*V369</f>
      </c>
      <c r="X369" s="78" t="str">
        <f>R369*V369</f>
      </c>
      <c r="Y369" s="79" t="str">
        <f>S369*V369</f>
      </c>
      <c r="Z369" s="80" t="str">
        <f>IFERROR(INDEX('Cost_Components'!$T$2:$T$27,MATCH(E369,'Cost_Components'!$A$2:$A$27,0)),"")</f>
      </c>
      <c r="AA369" s="81" t="str">
        <f>IFERROR(INDEX('Cost_Components'!$U$2:$U$27,MATCH(E369,'Cost_Components'!$A$2:$A$27,0)),"")</f>
      </c>
      <c r="AB369" s="82" t="str">
        <f>IFERROR(INDEX('Cost_Components'!$V$2:$V$27,MATCH(E369,'Cost_Components'!$A$2:$A$27,0)),"")</f>
      </c>
      <c r="AC369" s="83" t="str">
        <f>IFERROR(INDEX('Cost_Components'!$M$2:$M$27,MATCH(E369,'Cost_Components'!$A$2:$A$27,0)),"")</f>
      </c>
      <c r="AD369" s="84" t="str">
        <f>IFERROR(INDEX('Cost_Components'!$N$2:$N$27,MATCH(E369,'Cost_Components'!$A$2:$A$27,0)),"")</f>
      </c>
      <c r="AE369" s="20" t="str">
        <f>IFERROR(INDEX('Cost_Components'!$O$2:$O$27,MATCH(E369,'Cost_Components'!$A$2:$A$27,0)),"")</f>
      </c>
      <c r="AF369" s="85" t="n">
        <v>627724.188328994</v>
      </c>
      <c r="AG369" s="86" t="n">
        <v>627723.844155296</v>
      </c>
      <c r="AH369" s="87" t="str">
        <f>IF(H369="shared-count-once",COUNTIFS($A$2:$A$1353,A369,$B$2:$B$1353,B369,$E$2:$E$1353,E369),1)</f>
      </c>
    </row>
    <row r="370">
      <c r="A370" t="s">
        <v>205</v>
      </c>
      <c r="B370" s="59" t="n">
        <v>2029</v>
      </c>
      <c r="C370" t="s">
        <v>205</v>
      </c>
      <c r="D370" t="s">
        <v>180</v>
      </c>
      <c r="E370" s="60" t="s">
        <v>294</v>
      </c>
      <c r="F370" s="61" t="s">
        <v>295</v>
      </c>
      <c r="G370" s="62" t="s">
        <v>206</v>
      </c>
      <c r="H370" s="63" t="s">
        <v>195</v>
      </c>
      <c r="I370" s="64" t="s">
        <v>170</v>
      </c>
      <c r="J370" s="65" t="str">
        <f>IFERROR(INDEX('Cost_Components'!$K$2:$K$27,MATCH(E370,'Cost_Components'!$A$2:$A$27,0)),"")</f>
      </c>
      <c r="K370" s="66" t="str">
        <f>IF(OR(L370="",Z370="",AA370="",AB370=""),"",IF(B370&lt;AA370,L370,IF(B370&gt;AB370,Z370,L370+(Z370-L370)*MIN(MAX((B370-AA370+1)/MAX(AB370-AA370+1,1),0),1))))</f>
      </c>
      <c r="L370" s="67" t="str">
        <f>IFERROR(INDEX('Cost_Components'!$S$2:$S$27,MATCH(E370,'Cost_Components'!$A$2:$A$27,0)),"")</f>
      </c>
      <c r="M370" s="68" t="str">
        <f>IFERROR(INDEX('Cost_Components'!$L$2:$L$27,MATCH(E370,'Cost_Components'!$A$2:$A$27,0)),"")</f>
      </c>
      <c r="N370" s="69" t="str">
        <f>IFERROR(INDEX('Cost_Components'!$P$2:$P$27,MATCH(E370,'Cost_Components'!$A$2:$A$27,0)),"")</f>
      </c>
      <c r="O370" s="70" t="str">
        <f>AF370*J370</f>
      </c>
      <c r="P370" s="71" t="str">
        <f>AG370*J370</f>
      </c>
      <c r="Q370" s="72" t="str">
        <f>P370*L370*M370*N370</f>
      </c>
      <c r="R370" s="73" t="str">
        <f>O370*K370*M370*N370</f>
      </c>
      <c r="S370" s="74" t="str">
        <f>R370-Q370</f>
      </c>
      <c r="T370" s="20" t="str">
        <f>IFERROR(INDEX('Cost_Components'!$R$2:$R$27,MATCH(E370,'Cost_Components'!$A$2:$A$27,0)),"")</f>
      </c>
      <c r="U370" s="75" t="str">
        <f>IFERROR(INDEX('Cost_Components'!$Q$2:$Q$27,MATCH(E370,'Cost_Components'!$A$2:$A$27,0)),"")</f>
      </c>
      <c r="V370" s="76" t="str">
        <f>1/(1+'Calculation_Assumptions'!$B$5)^(B370-'Calculation_Assumptions'!$B$2)</f>
      </c>
      <c r="W370" s="77" t="str">
        <f>Q370*V370</f>
      </c>
      <c r="X370" s="78" t="str">
        <f>R370*V370</f>
      </c>
      <c r="Y370" s="79" t="str">
        <f>S370*V370</f>
      </c>
      <c r="Z370" s="80" t="str">
        <f>IFERROR(INDEX('Cost_Components'!$T$2:$T$27,MATCH(E370,'Cost_Components'!$A$2:$A$27,0)),"")</f>
      </c>
      <c r="AA370" s="81" t="str">
        <f>IFERROR(INDEX('Cost_Components'!$U$2:$U$27,MATCH(E370,'Cost_Components'!$A$2:$A$27,0)),"")</f>
      </c>
      <c r="AB370" s="82" t="str">
        <f>IFERROR(INDEX('Cost_Components'!$V$2:$V$27,MATCH(E370,'Cost_Components'!$A$2:$A$27,0)),"")</f>
      </c>
      <c r="AC370" s="83" t="str">
        <f>IFERROR(INDEX('Cost_Components'!$M$2:$M$27,MATCH(E370,'Cost_Components'!$A$2:$A$27,0)),"")</f>
      </c>
      <c r="AD370" s="84" t="str">
        <f>IFERROR(INDEX('Cost_Components'!$N$2:$N$27,MATCH(E370,'Cost_Components'!$A$2:$A$27,0)),"")</f>
      </c>
      <c r="AE370" s="20" t="str">
        <f>IFERROR(INDEX('Cost_Components'!$O$2:$O$27,MATCH(E370,'Cost_Components'!$A$2:$A$27,0)),"")</f>
      </c>
      <c r="AF370" s="85" t="n">
        <v>630780.164958759</v>
      </c>
      <c r="AG370" s="86" t="n">
        <v>630779.369985079</v>
      </c>
      <c r="AH370" s="87" t="str">
        <f>IF(H370="shared-count-once",COUNTIFS($A$2:$A$1353,A370,$B$2:$B$1353,B370,$E$2:$E$1353,E370),1)</f>
      </c>
    </row>
    <row r="371">
      <c r="A371" t="s">
        <v>205</v>
      </c>
      <c r="B371" s="59" t="n">
        <v>2030</v>
      </c>
      <c r="C371" t="s">
        <v>205</v>
      </c>
      <c r="D371" t="s">
        <v>180</v>
      </c>
      <c r="E371" s="60" t="s">
        <v>294</v>
      </c>
      <c r="F371" s="61" t="s">
        <v>295</v>
      </c>
      <c r="G371" s="62" t="s">
        <v>206</v>
      </c>
      <c r="H371" s="63" t="s">
        <v>195</v>
      </c>
      <c r="I371" s="64" t="s">
        <v>170</v>
      </c>
      <c r="J371" s="65" t="str">
        <f>IFERROR(INDEX('Cost_Components'!$K$2:$K$27,MATCH(E371,'Cost_Components'!$A$2:$A$27,0)),"")</f>
      </c>
      <c r="K371" s="66" t="str">
        <f>IF(OR(L371="",Z371="",AA371="",AB371=""),"",IF(B371&lt;AA371,L371,IF(B371&gt;AB371,Z371,L371+(Z371-L371)*MIN(MAX((B371-AA371+1)/MAX(AB371-AA371+1,1),0),1))))</f>
      </c>
      <c r="L371" s="67" t="str">
        <f>IFERROR(INDEX('Cost_Components'!$S$2:$S$27,MATCH(E371,'Cost_Components'!$A$2:$A$27,0)),"")</f>
      </c>
      <c r="M371" s="68" t="str">
        <f>IFERROR(INDEX('Cost_Components'!$L$2:$L$27,MATCH(E371,'Cost_Components'!$A$2:$A$27,0)),"")</f>
      </c>
      <c r="N371" s="69" t="str">
        <f>IFERROR(INDEX('Cost_Components'!$P$2:$P$27,MATCH(E371,'Cost_Components'!$A$2:$A$27,0)),"")</f>
      </c>
      <c r="O371" s="70" t="str">
        <f>AF371*J371</f>
      </c>
      <c r="P371" s="71" t="str">
        <f>AG371*J371</f>
      </c>
      <c r="Q371" s="72" t="str">
        <f>P371*L371*M371*N371</f>
      </c>
      <c r="R371" s="73" t="str">
        <f>O371*K371*M371*N371</f>
      </c>
      <c r="S371" s="74" t="str">
        <f>R371-Q371</f>
      </c>
      <c r="T371" s="20" t="str">
        <f>IFERROR(INDEX('Cost_Components'!$R$2:$R$27,MATCH(E371,'Cost_Components'!$A$2:$A$27,0)),"")</f>
      </c>
      <c r="U371" s="75" t="str">
        <f>IFERROR(INDEX('Cost_Components'!$Q$2:$Q$27,MATCH(E371,'Cost_Components'!$A$2:$A$27,0)),"")</f>
      </c>
      <c r="V371" s="76" t="str">
        <f>1/(1+'Calculation_Assumptions'!$B$5)^(B371-'Calculation_Assumptions'!$B$2)</f>
      </c>
      <c r="W371" s="77" t="str">
        <f>Q371*V371</f>
      </c>
      <c r="X371" s="78" t="str">
        <f>R371*V371</f>
      </c>
      <c r="Y371" s="79" t="str">
        <f>S371*V371</f>
      </c>
      <c r="Z371" s="80" t="str">
        <f>IFERROR(INDEX('Cost_Components'!$T$2:$T$27,MATCH(E371,'Cost_Components'!$A$2:$A$27,0)),"")</f>
      </c>
      <c r="AA371" s="81" t="str">
        <f>IFERROR(INDEX('Cost_Components'!$U$2:$U$27,MATCH(E371,'Cost_Components'!$A$2:$A$27,0)),"")</f>
      </c>
      <c r="AB371" s="82" t="str">
        <f>IFERROR(INDEX('Cost_Components'!$V$2:$V$27,MATCH(E371,'Cost_Components'!$A$2:$A$27,0)),"")</f>
      </c>
      <c r="AC371" s="83" t="str">
        <f>IFERROR(INDEX('Cost_Components'!$M$2:$M$27,MATCH(E371,'Cost_Components'!$A$2:$A$27,0)),"")</f>
      </c>
      <c r="AD371" s="84" t="str">
        <f>IFERROR(INDEX('Cost_Components'!$N$2:$N$27,MATCH(E371,'Cost_Components'!$A$2:$A$27,0)),"")</f>
      </c>
      <c r="AE371" s="20" t="str">
        <f>IFERROR(INDEX('Cost_Components'!$O$2:$O$27,MATCH(E371,'Cost_Components'!$A$2:$A$27,0)),"")</f>
      </c>
      <c r="AF371" s="85" t="n">
        <v>638200.806152002</v>
      </c>
      <c r="AG371" s="86" t="n">
        <v>638199.367226914</v>
      </c>
      <c r="AH371" s="87" t="str">
        <f>IF(H371="shared-count-once",COUNTIFS($A$2:$A$1353,A371,$B$2:$B$1353,B371,$E$2:$E$1353,E371),1)</f>
      </c>
    </row>
    <row r="372">
      <c r="A372" t="s">
        <v>205</v>
      </c>
      <c r="B372" s="59" t="n">
        <v>2031</v>
      </c>
      <c r="C372" t="s">
        <v>205</v>
      </c>
      <c r="D372" t="s">
        <v>180</v>
      </c>
      <c r="E372" s="60" t="s">
        <v>294</v>
      </c>
      <c r="F372" s="61" t="s">
        <v>295</v>
      </c>
      <c r="G372" s="62" t="s">
        <v>206</v>
      </c>
      <c r="H372" s="63" t="s">
        <v>195</v>
      </c>
      <c r="I372" s="64" t="s">
        <v>170</v>
      </c>
      <c r="J372" s="65" t="str">
        <f>IFERROR(INDEX('Cost_Components'!$K$2:$K$27,MATCH(E372,'Cost_Components'!$A$2:$A$27,0)),"")</f>
      </c>
      <c r="K372" s="66" t="str">
        <f>IF(OR(L372="",Z372="",AA372="",AB372=""),"",IF(B372&lt;AA372,L372,IF(B372&gt;AB372,Z372,L372+(Z372-L372)*MIN(MAX((B372-AA372+1)/MAX(AB372-AA372+1,1),0),1))))</f>
      </c>
      <c r="L372" s="67" t="str">
        <f>IFERROR(INDEX('Cost_Components'!$S$2:$S$27,MATCH(E372,'Cost_Components'!$A$2:$A$27,0)),"")</f>
      </c>
      <c r="M372" s="68" t="str">
        <f>IFERROR(INDEX('Cost_Components'!$L$2:$L$27,MATCH(E372,'Cost_Components'!$A$2:$A$27,0)),"")</f>
      </c>
      <c r="N372" s="69" t="str">
        <f>IFERROR(INDEX('Cost_Components'!$P$2:$P$27,MATCH(E372,'Cost_Components'!$A$2:$A$27,0)),"")</f>
      </c>
      <c r="O372" s="70" t="str">
        <f>AF372*J372</f>
      </c>
      <c r="P372" s="71" t="str">
        <f>AG372*J372</f>
      </c>
      <c r="Q372" s="72" t="str">
        <f>P372*L372*M372*N372</f>
      </c>
      <c r="R372" s="73" t="str">
        <f>O372*K372*M372*N372</f>
      </c>
      <c r="S372" s="74" t="str">
        <f>R372-Q372</f>
      </c>
      <c r="T372" s="20" t="str">
        <f>IFERROR(INDEX('Cost_Components'!$R$2:$R$27,MATCH(E372,'Cost_Components'!$A$2:$A$27,0)),"")</f>
      </c>
      <c r="U372" s="75" t="str">
        <f>IFERROR(INDEX('Cost_Components'!$Q$2:$Q$27,MATCH(E372,'Cost_Components'!$A$2:$A$27,0)),"")</f>
      </c>
      <c r="V372" s="76" t="str">
        <f>1/(1+'Calculation_Assumptions'!$B$5)^(B372-'Calculation_Assumptions'!$B$2)</f>
      </c>
      <c r="W372" s="77" t="str">
        <f>Q372*V372</f>
      </c>
      <c r="X372" s="78" t="str">
        <f>R372*V372</f>
      </c>
      <c r="Y372" s="79" t="str">
        <f>S372*V372</f>
      </c>
      <c r="Z372" s="80" t="str">
        <f>IFERROR(INDEX('Cost_Components'!$T$2:$T$27,MATCH(E372,'Cost_Components'!$A$2:$A$27,0)),"")</f>
      </c>
      <c r="AA372" s="81" t="str">
        <f>IFERROR(INDEX('Cost_Components'!$U$2:$U$27,MATCH(E372,'Cost_Components'!$A$2:$A$27,0)),"")</f>
      </c>
      <c r="AB372" s="82" t="str">
        <f>IFERROR(INDEX('Cost_Components'!$V$2:$V$27,MATCH(E372,'Cost_Components'!$A$2:$A$27,0)),"")</f>
      </c>
      <c r="AC372" s="83" t="str">
        <f>IFERROR(INDEX('Cost_Components'!$M$2:$M$27,MATCH(E372,'Cost_Components'!$A$2:$A$27,0)),"")</f>
      </c>
      <c r="AD372" s="84" t="str">
        <f>IFERROR(INDEX('Cost_Components'!$N$2:$N$27,MATCH(E372,'Cost_Components'!$A$2:$A$27,0)),"")</f>
      </c>
      <c r="AE372" s="20" t="str">
        <f>IFERROR(INDEX('Cost_Components'!$O$2:$O$27,MATCH(E372,'Cost_Components'!$A$2:$A$27,0)),"")</f>
      </c>
      <c r="AF372" s="85" t="n">
        <v>646113.162620928</v>
      </c>
      <c r="AG372" s="86" t="n">
        <v>646110.864169859</v>
      </c>
      <c r="AH372" s="87" t="str">
        <f>IF(H372="shared-count-once",COUNTIFS($A$2:$A$1353,A372,$B$2:$B$1353,B372,$E$2:$E$1353,E372),1)</f>
      </c>
    </row>
    <row r="373">
      <c r="A373" t="s">
        <v>205</v>
      </c>
      <c r="B373" s="59" t="n">
        <v>2032</v>
      </c>
      <c r="C373" t="s">
        <v>205</v>
      </c>
      <c r="D373" t="s">
        <v>180</v>
      </c>
      <c r="E373" s="60" t="s">
        <v>294</v>
      </c>
      <c r="F373" s="61" t="s">
        <v>295</v>
      </c>
      <c r="G373" s="62" t="s">
        <v>206</v>
      </c>
      <c r="H373" s="63" t="s">
        <v>195</v>
      </c>
      <c r="I373" s="64" t="s">
        <v>170</v>
      </c>
      <c r="J373" s="65" t="str">
        <f>IFERROR(INDEX('Cost_Components'!$K$2:$K$27,MATCH(E373,'Cost_Components'!$A$2:$A$27,0)),"")</f>
      </c>
      <c r="K373" s="66" t="str">
        <f>IF(OR(L373="",Z373="",AA373="",AB373=""),"",IF(B373&lt;AA373,L373,IF(B373&gt;AB373,Z373,L373+(Z373-L373)*MIN(MAX((B373-AA373+1)/MAX(AB373-AA373+1,1),0),1))))</f>
      </c>
      <c r="L373" s="67" t="str">
        <f>IFERROR(INDEX('Cost_Components'!$S$2:$S$27,MATCH(E373,'Cost_Components'!$A$2:$A$27,0)),"")</f>
      </c>
      <c r="M373" s="68" t="str">
        <f>IFERROR(INDEX('Cost_Components'!$L$2:$L$27,MATCH(E373,'Cost_Components'!$A$2:$A$27,0)),"")</f>
      </c>
      <c r="N373" s="69" t="str">
        <f>IFERROR(INDEX('Cost_Components'!$P$2:$P$27,MATCH(E373,'Cost_Components'!$A$2:$A$27,0)),"")</f>
      </c>
      <c r="O373" s="70" t="str">
        <f>AF373*J373</f>
      </c>
      <c r="P373" s="71" t="str">
        <f>AG373*J373</f>
      </c>
      <c r="Q373" s="72" t="str">
        <f>P373*L373*M373*N373</f>
      </c>
      <c r="R373" s="73" t="str">
        <f>O373*K373*M373*N373</f>
      </c>
      <c r="S373" s="74" t="str">
        <f>R373-Q373</f>
      </c>
      <c r="T373" s="20" t="str">
        <f>IFERROR(INDEX('Cost_Components'!$R$2:$R$27,MATCH(E373,'Cost_Components'!$A$2:$A$27,0)),"")</f>
      </c>
      <c r="U373" s="75" t="str">
        <f>IFERROR(INDEX('Cost_Components'!$Q$2:$Q$27,MATCH(E373,'Cost_Components'!$A$2:$A$27,0)),"")</f>
      </c>
      <c r="V373" s="76" t="str">
        <f>1/(1+'Calculation_Assumptions'!$B$5)^(B373-'Calculation_Assumptions'!$B$2)</f>
      </c>
      <c r="W373" s="77" t="str">
        <f>Q373*V373</f>
      </c>
      <c r="X373" s="78" t="str">
        <f>R373*V373</f>
      </c>
      <c r="Y373" s="79" t="str">
        <f>S373*V373</f>
      </c>
      <c r="Z373" s="80" t="str">
        <f>IFERROR(INDEX('Cost_Components'!$T$2:$T$27,MATCH(E373,'Cost_Components'!$A$2:$A$27,0)),"")</f>
      </c>
      <c r="AA373" s="81" t="str">
        <f>IFERROR(INDEX('Cost_Components'!$U$2:$U$27,MATCH(E373,'Cost_Components'!$A$2:$A$27,0)),"")</f>
      </c>
      <c r="AB373" s="82" t="str">
        <f>IFERROR(INDEX('Cost_Components'!$V$2:$V$27,MATCH(E373,'Cost_Components'!$A$2:$A$27,0)),"")</f>
      </c>
      <c r="AC373" s="83" t="str">
        <f>IFERROR(INDEX('Cost_Components'!$M$2:$M$27,MATCH(E373,'Cost_Components'!$A$2:$A$27,0)),"")</f>
      </c>
      <c r="AD373" s="84" t="str">
        <f>IFERROR(INDEX('Cost_Components'!$N$2:$N$27,MATCH(E373,'Cost_Components'!$A$2:$A$27,0)),"")</f>
      </c>
      <c r="AE373" s="20" t="str">
        <f>IFERROR(INDEX('Cost_Components'!$O$2:$O$27,MATCH(E373,'Cost_Components'!$A$2:$A$27,0)),"")</f>
      </c>
      <c r="AF373" s="85" t="n">
        <v>654523.190513393</v>
      </c>
      <c r="AG373" s="86" t="n">
        <v>654519.811420389</v>
      </c>
      <c r="AH373" s="87" t="str">
        <f>IF(H373="shared-count-once",COUNTIFS($A$2:$A$1353,A373,$B$2:$B$1353,B373,$E$2:$E$1353,E373),1)</f>
      </c>
    </row>
    <row r="374">
      <c r="A374" t="s">
        <v>205</v>
      </c>
      <c r="B374" s="59" t="n">
        <v>2033</v>
      </c>
      <c r="C374" t="s">
        <v>205</v>
      </c>
      <c r="D374" t="s">
        <v>180</v>
      </c>
      <c r="E374" s="60" t="s">
        <v>294</v>
      </c>
      <c r="F374" s="61" t="s">
        <v>295</v>
      </c>
      <c r="G374" s="62" t="s">
        <v>206</v>
      </c>
      <c r="H374" s="63" t="s">
        <v>195</v>
      </c>
      <c r="I374" s="64" t="s">
        <v>170</v>
      </c>
      <c r="J374" s="65" t="str">
        <f>IFERROR(INDEX('Cost_Components'!$K$2:$K$27,MATCH(E374,'Cost_Components'!$A$2:$A$27,0)),"")</f>
      </c>
      <c r="K374" s="66" t="str">
        <f>IF(OR(L374="",Z374="",AA374="",AB374=""),"",IF(B374&lt;AA374,L374,IF(B374&gt;AB374,Z374,L374+(Z374-L374)*MIN(MAX((B374-AA374+1)/MAX(AB374-AA374+1,1),0),1))))</f>
      </c>
      <c r="L374" s="67" t="str">
        <f>IFERROR(INDEX('Cost_Components'!$S$2:$S$27,MATCH(E374,'Cost_Components'!$A$2:$A$27,0)),"")</f>
      </c>
      <c r="M374" s="68" t="str">
        <f>IFERROR(INDEX('Cost_Components'!$L$2:$L$27,MATCH(E374,'Cost_Components'!$A$2:$A$27,0)),"")</f>
      </c>
      <c r="N374" s="69" t="str">
        <f>IFERROR(INDEX('Cost_Components'!$P$2:$P$27,MATCH(E374,'Cost_Components'!$A$2:$A$27,0)),"")</f>
      </c>
      <c r="O374" s="70" t="str">
        <f>AF374*J374</f>
      </c>
      <c r="P374" s="71" t="str">
        <f>AG374*J374</f>
      </c>
      <c r="Q374" s="72" t="str">
        <f>P374*L374*M374*N374</f>
      </c>
      <c r="R374" s="73" t="str">
        <f>O374*K374*M374*N374</f>
      </c>
      <c r="S374" s="74" t="str">
        <f>R374-Q374</f>
      </c>
      <c r="T374" s="20" t="str">
        <f>IFERROR(INDEX('Cost_Components'!$R$2:$R$27,MATCH(E374,'Cost_Components'!$A$2:$A$27,0)),"")</f>
      </c>
      <c r="U374" s="75" t="str">
        <f>IFERROR(INDEX('Cost_Components'!$Q$2:$Q$27,MATCH(E374,'Cost_Components'!$A$2:$A$27,0)),"")</f>
      </c>
      <c r="V374" s="76" t="str">
        <f>1/(1+'Calculation_Assumptions'!$B$5)^(B374-'Calculation_Assumptions'!$B$2)</f>
      </c>
      <c r="W374" s="77" t="str">
        <f>Q374*V374</f>
      </c>
      <c r="X374" s="78" t="str">
        <f>R374*V374</f>
      </c>
      <c r="Y374" s="79" t="str">
        <f>S374*V374</f>
      </c>
      <c r="Z374" s="80" t="str">
        <f>IFERROR(INDEX('Cost_Components'!$T$2:$T$27,MATCH(E374,'Cost_Components'!$A$2:$A$27,0)),"")</f>
      </c>
      <c r="AA374" s="81" t="str">
        <f>IFERROR(INDEX('Cost_Components'!$U$2:$U$27,MATCH(E374,'Cost_Components'!$A$2:$A$27,0)),"")</f>
      </c>
      <c r="AB374" s="82" t="str">
        <f>IFERROR(INDEX('Cost_Components'!$V$2:$V$27,MATCH(E374,'Cost_Components'!$A$2:$A$27,0)),"")</f>
      </c>
      <c r="AC374" s="83" t="str">
        <f>IFERROR(INDEX('Cost_Components'!$M$2:$M$27,MATCH(E374,'Cost_Components'!$A$2:$A$27,0)),"")</f>
      </c>
      <c r="AD374" s="84" t="str">
        <f>IFERROR(INDEX('Cost_Components'!$N$2:$N$27,MATCH(E374,'Cost_Components'!$A$2:$A$27,0)),"")</f>
      </c>
      <c r="AE374" s="20" t="str">
        <f>IFERROR(INDEX('Cost_Components'!$O$2:$O$27,MATCH(E374,'Cost_Components'!$A$2:$A$27,0)),"")</f>
      </c>
      <c r="AF374" s="85" t="n">
        <v>664013.797330056</v>
      </c>
      <c r="AG374" s="86" t="n">
        <v>664009.138744924</v>
      </c>
      <c r="AH374" s="87" t="str">
        <f>IF(H374="shared-count-once",COUNTIFS($A$2:$A$1353,A374,$B$2:$B$1353,B374,$E$2:$E$1353,E374),1)</f>
      </c>
    </row>
    <row r="375">
      <c r="A375" t="s">
        <v>205</v>
      </c>
      <c r="B375" s="59" t="n">
        <v>2034</v>
      </c>
      <c r="C375" t="s">
        <v>205</v>
      </c>
      <c r="D375" t="s">
        <v>180</v>
      </c>
      <c r="E375" s="60" t="s">
        <v>294</v>
      </c>
      <c r="F375" s="61" t="s">
        <v>295</v>
      </c>
      <c r="G375" s="62" t="s">
        <v>206</v>
      </c>
      <c r="H375" s="63" t="s">
        <v>195</v>
      </c>
      <c r="I375" s="64" t="s">
        <v>170</v>
      </c>
      <c r="J375" s="65" t="str">
        <f>IFERROR(INDEX('Cost_Components'!$K$2:$K$27,MATCH(E375,'Cost_Components'!$A$2:$A$27,0)),"")</f>
      </c>
      <c r="K375" s="66" t="str">
        <f>IF(OR(L375="",Z375="",AA375="",AB375=""),"",IF(B375&lt;AA375,L375,IF(B375&gt;AB375,Z375,L375+(Z375-L375)*MIN(MAX((B375-AA375+1)/MAX(AB375-AA375+1,1),0),1))))</f>
      </c>
      <c r="L375" s="67" t="str">
        <f>IFERROR(INDEX('Cost_Components'!$S$2:$S$27,MATCH(E375,'Cost_Components'!$A$2:$A$27,0)),"")</f>
      </c>
      <c r="M375" s="68" t="str">
        <f>IFERROR(INDEX('Cost_Components'!$L$2:$L$27,MATCH(E375,'Cost_Components'!$A$2:$A$27,0)),"")</f>
      </c>
      <c r="N375" s="69" t="str">
        <f>IFERROR(INDEX('Cost_Components'!$P$2:$P$27,MATCH(E375,'Cost_Components'!$A$2:$A$27,0)),"")</f>
      </c>
      <c r="O375" s="70" t="str">
        <f>AF375*J375</f>
      </c>
      <c r="P375" s="71" t="str">
        <f>AG375*J375</f>
      </c>
      <c r="Q375" s="72" t="str">
        <f>P375*L375*M375*N375</f>
      </c>
      <c r="R375" s="73" t="str">
        <f>O375*K375*M375*N375</f>
      </c>
      <c r="S375" s="74" t="str">
        <f>R375-Q375</f>
      </c>
      <c r="T375" s="20" t="str">
        <f>IFERROR(INDEX('Cost_Components'!$R$2:$R$27,MATCH(E375,'Cost_Components'!$A$2:$A$27,0)),"")</f>
      </c>
      <c r="U375" s="75" t="str">
        <f>IFERROR(INDEX('Cost_Components'!$Q$2:$Q$27,MATCH(E375,'Cost_Components'!$A$2:$A$27,0)),"")</f>
      </c>
      <c r="V375" s="76" t="str">
        <f>1/(1+'Calculation_Assumptions'!$B$5)^(B375-'Calculation_Assumptions'!$B$2)</f>
      </c>
      <c r="W375" s="77" t="str">
        <f>Q375*V375</f>
      </c>
      <c r="X375" s="78" t="str">
        <f>R375*V375</f>
      </c>
      <c r="Y375" s="79" t="str">
        <f>S375*V375</f>
      </c>
      <c r="Z375" s="80" t="str">
        <f>IFERROR(INDEX('Cost_Components'!$T$2:$T$27,MATCH(E375,'Cost_Components'!$A$2:$A$27,0)),"")</f>
      </c>
      <c r="AA375" s="81" t="str">
        <f>IFERROR(INDEX('Cost_Components'!$U$2:$U$27,MATCH(E375,'Cost_Components'!$A$2:$A$27,0)),"")</f>
      </c>
      <c r="AB375" s="82" t="str">
        <f>IFERROR(INDEX('Cost_Components'!$V$2:$V$27,MATCH(E375,'Cost_Components'!$A$2:$A$27,0)),"")</f>
      </c>
      <c r="AC375" s="83" t="str">
        <f>IFERROR(INDEX('Cost_Components'!$M$2:$M$27,MATCH(E375,'Cost_Components'!$A$2:$A$27,0)),"")</f>
      </c>
      <c r="AD375" s="84" t="str">
        <f>IFERROR(INDEX('Cost_Components'!$N$2:$N$27,MATCH(E375,'Cost_Components'!$A$2:$A$27,0)),"")</f>
      </c>
      <c r="AE375" s="20" t="str">
        <f>IFERROR(INDEX('Cost_Components'!$O$2:$O$27,MATCH(E375,'Cost_Components'!$A$2:$A$27,0)),"")</f>
      </c>
      <c r="AF375" s="85" t="n">
        <v>669571.433702591</v>
      </c>
      <c r="AG375" s="86" t="n">
        <v>669565.091865969</v>
      </c>
      <c r="AH375" s="87" t="str">
        <f>IF(H375="shared-count-once",COUNTIFS($A$2:$A$1353,A375,$B$2:$B$1353,B375,$E$2:$E$1353,E375),1)</f>
      </c>
    </row>
    <row r="376">
      <c r="A376" t="s">
        <v>205</v>
      </c>
      <c r="B376" s="59" t="n">
        <v>2035</v>
      </c>
      <c r="C376" t="s">
        <v>205</v>
      </c>
      <c r="D376" t="s">
        <v>180</v>
      </c>
      <c r="E376" s="60" t="s">
        <v>294</v>
      </c>
      <c r="F376" s="61" t="s">
        <v>295</v>
      </c>
      <c r="G376" s="62" t="s">
        <v>206</v>
      </c>
      <c r="H376" s="63" t="s">
        <v>195</v>
      </c>
      <c r="I376" s="64" t="s">
        <v>170</v>
      </c>
      <c r="J376" s="65" t="str">
        <f>IFERROR(INDEX('Cost_Components'!$K$2:$K$27,MATCH(E376,'Cost_Components'!$A$2:$A$27,0)),"")</f>
      </c>
      <c r="K376" s="66" t="str">
        <f>IF(OR(L376="",Z376="",AA376="",AB376=""),"",IF(B376&lt;AA376,L376,IF(B376&gt;AB376,Z376,L376+(Z376-L376)*MIN(MAX((B376-AA376+1)/MAX(AB376-AA376+1,1),0),1))))</f>
      </c>
      <c r="L376" s="67" t="str">
        <f>IFERROR(INDEX('Cost_Components'!$S$2:$S$27,MATCH(E376,'Cost_Components'!$A$2:$A$27,0)),"")</f>
      </c>
      <c r="M376" s="68" t="str">
        <f>IFERROR(INDEX('Cost_Components'!$L$2:$L$27,MATCH(E376,'Cost_Components'!$A$2:$A$27,0)),"")</f>
      </c>
      <c r="N376" s="69" t="str">
        <f>IFERROR(INDEX('Cost_Components'!$P$2:$P$27,MATCH(E376,'Cost_Components'!$A$2:$A$27,0)),"")</f>
      </c>
      <c r="O376" s="70" t="str">
        <f>AF376*J376</f>
      </c>
      <c r="P376" s="71" t="str">
        <f>AG376*J376</f>
      </c>
      <c r="Q376" s="72" t="str">
        <f>P376*L376*M376*N376</f>
      </c>
      <c r="R376" s="73" t="str">
        <f>O376*K376*M376*N376</f>
      </c>
      <c r="S376" s="74" t="str">
        <f>R376-Q376</f>
      </c>
      <c r="T376" s="20" t="str">
        <f>IFERROR(INDEX('Cost_Components'!$R$2:$R$27,MATCH(E376,'Cost_Components'!$A$2:$A$27,0)),"")</f>
      </c>
      <c r="U376" s="75" t="str">
        <f>IFERROR(INDEX('Cost_Components'!$Q$2:$Q$27,MATCH(E376,'Cost_Components'!$A$2:$A$27,0)),"")</f>
      </c>
      <c r="V376" s="76" t="str">
        <f>1/(1+'Calculation_Assumptions'!$B$5)^(B376-'Calculation_Assumptions'!$B$2)</f>
      </c>
      <c r="W376" s="77" t="str">
        <f>Q376*V376</f>
      </c>
      <c r="X376" s="78" t="str">
        <f>R376*V376</f>
      </c>
      <c r="Y376" s="79" t="str">
        <f>S376*V376</f>
      </c>
      <c r="Z376" s="80" t="str">
        <f>IFERROR(INDEX('Cost_Components'!$T$2:$T$27,MATCH(E376,'Cost_Components'!$A$2:$A$27,0)),"")</f>
      </c>
      <c r="AA376" s="81" t="str">
        <f>IFERROR(INDEX('Cost_Components'!$U$2:$U$27,MATCH(E376,'Cost_Components'!$A$2:$A$27,0)),"")</f>
      </c>
      <c r="AB376" s="82" t="str">
        <f>IFERROR(INDEX('Cost_Components'!$V$2:$V$27,MATCH(E376,'Cost_Components'!$A$2:$A$27,0)),"")</f>
      </c>
      <c r="AC376" s="83" t="str">
        <f>IFERROR(INDEX('Cost_Components'!$M$2:$M$27,MATCH(E376,'Cost_Components'!$A$2:$A$27,0)),"")</f>
      </c>
      <c r="AD376" s="84" t="str">
        <f>IFERROR(INDEX('Cost_Components'!$N$2:$N$27,MATCH(E376,'Cost_Components'!$A$2:$A$27,0)),"")</f>
      </c>
      <c r="AE376" s="20" t="str">
        <f>IFERROR(INDEX('Cost_Components'!$O$2:$O$27,MATCH(E376,'Cost_Components'!$A$2:$A$27,0)),"")</f>
      </c>
      <c r="AF376" s="85" t="n">
        <v>678646.551422435</v>
      </c>
      <c r="AG376" s="86" t="n">
        <v>678638.434521443</v>
      </c>
      <c r="AH376" s="87" t="str">
        <f>IF(H376="shared-count-once",COUNTIFS($A$2:$A$1353,A376,$B$2:$B$1353,B376,$E$2:$E$1353,E376),1)</f>
      </c>
    </row>
    <row r="377">
      <c r="A377" t="s">
        <v>205</v>
      </c>
      <c r="B377" s="59" t="n">
        <v>2036</v>
      </c>
      <c r="C377" t="s">
        <v>205</v>
      </c>
      <c r="D377" t="s">
        <v>180</v>
      </c>
      <c r="E377" s="60" t="s">
        <v>294</v>
      </c>
      <c r="F377" s="61" t="s">
        <v>295</v>
      </c>
      <c r="G377" s="62" t="s">
        <v>206</v>
      </c>
      <c r="H377" s="63" t="s">
        <v>195</v>
      </c>
      <c r="I377" s="64" t="s">
        <v>170</v>
      </c>
      <c r="J377" s="65" t="str">
        <f>IFERROR(INDEX('Cost_Components'!$K$2:$K$27,MATCH(E377,'Cost_Components'!$A$2:$A$27,0)),"")</f>
      </c>
      <c r="K377" s="66" t="str">
        <f>IF(OR(L377="",Z377="",AA377="",AB377=""),"",IF(B377&lt;AA377,L377,IF(B377&gt;AB377,Z377,L377+(Z377-L377)*MIN(MAX((B377-AA377+1)/MAX(AB377-AA377+1,1),0),1))))</f>
      </c>
      <c r="L377" s="67" t="str">
        <f>IFERROR(INDEX('Cost_Components'!$S$2:$S$27,MATCH(E377,'Cost_Components'!$A$2:$A$27,0)),"")</f>
      </c>
      <c r="M377" s="68" t="str">
        <f>IFERROR(INDEX('Cost_Components'!$L$2:$L$27,MATCH(E377,'Cost_Components'!$A$2:$A$27,0)),"")</f>
      </c>
      <c r="N377" s="69" t="str">
        <f>IFERROR(INDEX('Cost_Components'!$P$2:$P$27,MATCH(E377,'Cost_Components'!$A$2:$A$27,0)),"")</f>
      </c>
      <c r="O377" s="70" t="str">
        <f>AF377*J377</f>
      </c>
      <c r="P377" s="71" t="str">
        <f>AG377*J377</f>
      </c>
      <c r="Q377" s="72" t="str">
        <f>P377*L377*M377*N377</f>
      </c>
      <c r="R377" s="73" t="str">
        <f>O377*K377*M377*N377</f>
      </c>
      <c r="S377" s="74" t="str">
        <f>R377-Q377</f>
      </c>
      <c r="T377" s="20" t="str">
        <f>IFERROR(INDEX('Cost_Components'!$R$2:$R$27,MATCH(E377,'Cost_Components'!$A$2:$A$27,0)),"")</f>
      </c>
      <c r="U377" s="75" t="str">
        <f>IFERROR(INDEX('Cost_Components'!$Q$2:$Q$27,MATCH(E377,'Cost_Components'!$A$2:$A$27,0)),"")</f>
      </c>
      <c r="V377" s="76" t="str">
        <f>1/(1+'Calculation_Assumptions'!$B$5)^(B377-'Calculation_Assumptions'!$B$2)</f>
      </c>
      <c r="W377" s="77" t="str">
        <f>Q377*V377</f>
      </c>
      <c r="X377" s="78" t="str">
        <f>R377*V377</f>
      </c>
      <c r="Y377" s="79" t="str">
        <f>S377*V377</f>
      </c>
      <c r="Z377" s="80" t="str">
        <f>IFERROR(INDEX('Cost_Components'!$T$2:$T$27,MATCH(E377,'Cost_Components'!$A$2:$A$27,0)),"")</f>
      </c>
      <c r="AA377" s="81" t="str">
        <f>IFERROR(INDEX('Cost_Components'!$U$2:$U$27,MATCH(E377,'Cost_Components'!$A$2:$A$27,0)),"")</f>
      </c>
      <c r="AB377" s="82" t="str">
        <f>IFERROR(INDEX('Cost_Components'!$V$2:$V$27,MATCH(E377,'Cost_Components'!$A$2:$A$27,0)),"")</f>
      </c>
      <c r="AC377" s="83" t="str">
        <f>IFERROR(INDEX('Cost_Components'!$M$2:$M$27,MATCH(E377,'Cost_Components'!$A$2:$A$27,0)),"")</f>
      </c>
      <c r="AD377" s="84" t="str">
        <f>IFERROR(INDEX('Cost_Components'!$N$2:$N$27,MATCH(E377,'Cost_Components'!$A$2:$A$27,0)),"")</f>
      </c>
      <c r="AE377" s="20" t="str">
        <f>IFERROR(INDEX('Cost_Components'!$O$2:$O$27,MATCH(E377,'Cost_Components'!$A$2:$A$27,0)),"")</f>
      </c>
      <c r="AF377" s="85" t="n">
        <v>688204.795883707</v>
      </c>
      <c r="AG377" s="86" t="n">
        <v>688194.684475592</v>
      </c>
      <c r="AH377" s="87" t="str">
        <f>IF(H377="shared-count-once",COUNTIFS($A$2:$A$1353,A377,$B$2:$B$1353,B377,$E$2:$E$1353,E377),1)</f>
      </c>
    </row>
    <row r="378">
      <c r="A378" t="s">
        <v>205</v>
      </c>
      <c r="B378" s="59" t="n">
        <v>2037</v>
      </c>
      <c r="C378" t="s">
        <v>205</v>
      </c>
      <c r="D378" t="s">
        <v>180</v>
      </c>
      <c r="E378" s="60" t="s">
        <v>294</v>
      </c>
      <c r="F378" s="61" t="s">
        <v>295</v>
      </c>
      <c r="G378" s="62" t="s">
        <v>206</v>
      </c>
      <c r="H378" s="63" t="s">
        <v>195</v>
      </c>
      <c r="I378" s="64" t="s">
        <v>170</v>
      </c>
      <c r="J378" s="65" t="str">
        <f>IFERROR(INDEX('Cost_Components'!$K$2:$K$27,MATCH(E378,'Cost_Components'!$A$2:$A$27,0)),"")</f>
      </c>
      <c r="K378" s="66" t="str">
        <f>IF(OR(L378="",Z378="",AA378="",AB378=""),"",IF(B378&lt;AA378,L378,IF(B378&gt;AB378,Z378,L378+(Z378-L378)*MIN(MAX((B378-AA378+1)/MAX(AB378-AA378+1,1),0),1))))</f>
      </c>
      <c r="L378" s="67" t="str">
        <f>IFERROR(INDEX('Cost_Components'!$S$2:$S$27,MATCH(E378,'Cost_Components'!$A$2:$A$27,0)),"")</f>
      </c>
      <c r="M378" s="68" t="str">
        <f>IFERROR(INDEX('Cost_Components'!$L$2:$L$27,MATCH(E378,'Cost_Components'!$A$2:$A$27,0)),"")</f>
      </c>
      <c r="N378" s="69" t="str">
        <f>IFERROR(INDEX('Cost_Components'!$P$2:$P$27,MATCH(E378,'Cost_Components'!$A$2:$A$27,0)),"")</f>
      </c>
      <c r="O378" s="70" t="str">
        <f>AF378*J378</f>
      </c>
      <c r="P378" s="71" t="str">
        <f>AG378*J378</f>
      </c>
      <c r="Q378" s="72" t="str">
        <f>P378*L378*M378*N378</f>
      </c>
      <c r="R378" s="73" t="str">
        <f>O378*K378*M378*N378</f>
      </c>
      <c r="S378" s="74" t="str">
        <f>R378-Q378</f>
      </c>
      <c r="T378" s="20" t="str">
        <f>IFERROR(INDEX('Cost_Components'!$R$2:$R$27,MATCH(E378,'Cost_Components'!$A$2:$A$27,0)),"")</f>
      </c>
      <c r="U378" s="75" t="str">
        <f>IFERROR(INDEX('Cost_Components'!$Q$2:$Q$27,MATCH(E378,'Cost_Components'!$A$2:$A$27,0)),"")</f>
      </c>
      <c r="V378" s="76" t="str">
        <f>1/(1+'Calculation_Assumptions'!$B$5)^(B378-'Calculation_Assumptions'!$B$2)</f>
      </c>
      <c r="W378" s="77" t="str">
        <f>Q378*V378</f>
      </c>
      <c r="X378" s="78" t="str">
        <f>R378*V378</f>
      </c>
      <c r="Y378" s="79" t="str">
        <f>S378*V378</f>
      </c>
      <c r="Z378" s="80" t="str">
        <f>IFERROR(INDEX('Cost_Components'!$T$2:$T$27,MATCH(E378,'Cost_Components'!$A$2:$A$27,0)),"")</f>
      </c>
      <c r="AA378" s="81" t="str">
        <f>IFERROR(INDEX('Cost_Components'!$U$2:$U$27,MATCH(E378,'Cost_Components'!$A$2:$A$27,0)),"")</f>
      </c>
      <c r="AB378" s="82" t="str">
        <f>IFERROR(INDEX('Cost_Components'!$V$2:$V$27,MATCH(E378,'Cost_Components'!$A$2:$A$27,0)),"")</f>
      </c>
      <c r="AC378" s="83" t="str">
        <f>IFERROR(INDEX('Cost_Components'!$M$2:$M$27,MATCH(E378,'Cost_Components'!$A$2:$A$27,0)),"")</f>
      </c>
      <c r="AD378" s="84" t="str">
        <f>IFERROR(INDEX('Cost_Components'!$N$2:$N$27,MATCH(E378,'Cost_Components'!$A$2:$A$27,0)),"")</f>
      </c>
      <c r="AE378" s="20" t="str">
        <f>IFERROR(INDEX('Cost_Components'!$O$2:$O$27,MATCH(E378,'Cost_Components'!$A$2:$A$27,0)),"")</f>
      </c>
      <c r="AF378" s="85" t="n">
        <v>698072.814298356</v>
      </c>
      <c r="AG378" s="86" t="n">
        <v>698060.502126947</v>
      </c>
      <c r="AH378" s="87" t="str">
        <f>IF(H378="shared-count-once",COUNTIFS($A$2:$A$1353,A378,$B$2:$B$1353,B378,$E$2:$E$1353,E378),1)</f>
      </c>
    </row>
    <row r="379">
      <c r="A379" t="s">
        <v>205</v>
      </c>
      <c r="B379" s="59" t="n">
        <v>2038</v>
      </c>
      <c r="C379" t="s">
        <v>205</v>
      </c>
      <c r="D379" t="s">
        <v>180</v>
      </c>
      <c r="E379" s="60" t="s">
        <v>294</v>
      </c>
      <c r="F379" s="61" t="s">
        <v>295</v>
      </c>
      <c r="G379" s="62" t="s">
        <v>206</v>
      </c>
      <c r="H379" s="63" t="s">
        <v>195</v>
      </c>
      <c r="I379" s="64" t="s">
        <v>170</v>
      </c>
      <c r="J379" s="65" t="str">
        <f>IFERROR(INDEX('Cost_Components'!$K$2:$K$27,MATCH(E379,'Cost_Components'!$A$2:$A$27,0)),"")</f>
      </c>
      <c r="K379" s="66" t="str">
        <f>IF(OR(L379="",Z379="",AA379="",AB379=""),"",IF(B379&lt;AA379,L379,IF(B379&gt;AB379,Z379,L379+(Z379-L379)*MIN(MAX((B379-AA379+1)/MAX(AB379-AA379+1,1),0),1))))</f>
      </c>
      <c r="L379" s="67" t="str">
        <f>IFERROR(INDEX('Cost_Components'!$S$2:$S$27,MATCH(E379,'Cost_Components'!$A$2:$A$27,0)),"")</f>
      </c>
      <c r="M379" s="68" t="str">
        <f>IFERROR(INDEX('Cost_Components'!$L$2:$L$27,MATCH(E379,'Cost_Components'!$A$2:$A$27,0)),"")</f>
      </c>
      <c r="N379" s="69" t="str">
        <f>IFERROR(INDEX('Cost_Components'!$P$2:$P$27,MATCH(E379,'Cost_Components'!$A$2:$A$27,0)),"")</f>
      </c>
      <c r="O379" s="70" t="str">
        <f>AF379*J379</f>
      </c>
      <c r="P379" s="71" t="str">
        <f>AG379*J379</f>
      </c>
      <c r="Q379" s="72" t="str">
        <f>P379*L379*M379*N379</f>
      </c>
      <c r="R379" s="73" t="str">
        <f>O379*K379*M379*N379</f>
      </c>
      <c r="S379" s="74" t="str">
        <f>R379-Q379</f>
      </c>
      <c r="T379" s="20" t="str">
        <f>IFERROR(INDEX('Cost_Components'!$R$2:$R$27,MATCH(E379,'Cost_Components'!$A$2:$A$27,0)),"")</f>
      </c>
      <c r="U379" s="75" t="str">
        <f>IFERROR(INDEX('Cost_Components'!$Q$2:$Q$27,MATCH(E379,'Cost_Components'!$A$2:$A$27,0)),"")</f>
      </c>
      <c r="V379" s="76" t="str">
        <f>1/(1+'Calculation_Assumptions'!$B$5)^(B379-'Calculation_Assumptions'!$B$2)</f>
      </c>
      <c r="W379" s="77" t="str">
        <f>Q379*V379</f>
      </c>
      <c r="X379" s="78" t="str">
        <f>R379*V379</f>
      </c>
      <c r="Y379" s="79" t="str">
        <f>S379*V379</f>
      </c>
      <c r="Z379" s="80" t="str">
        <f>IFERROR(INDEX('Cost_Components'!$T$2:$T$27,MATCH(E379,'Cost_Components'!$A$2:$A$27,0)),"")</f>
      </c>
      <c r="AA379" s="81" t="str">
        <f>IFERROR(INDEX('Cost_Components'!$U$2:$U$27,MATCH(E379,'Cost_Components'!$A$2:$A$27,0)),"")</f>
      </c>
      <c r="AB379" s="82" t="str">
        <f>IFERROR(INDEX('Cost_Components'!$V$2:$V$27,MATCH(E379,'Cost_Components'!$A$2:$A$27,0)),"")</f>
      </c>
      <c r="AC379" s="83" t="str">
        <f>IFERROR(INDEX('Cost_Components'!$M$2:$M$27,MATCH(E379,'Cost_Components'!$A$2:$A$27,0)),"")</f>
      </c>
      <c r="AD379" s="84" t="str">
        <f>IFERROR(INDEX('Cost_Components'!$N$2:$N$27,MATCH(E379,'Cost_Components'!$A$2:$A$27,0)),"")</f>
      </c>
      <c r="AE379" s="20" t="str">
        <f>IFERROR(INDEX('Cost_Components'!$O$2:$O$27,MATCH(E379,'Cost_Components'!$A$2:$A$27,0)),"")</f>
      </c>
      <c r="AF379" s="85" t="n">
        <v>708689.253278747</v>
      </c>
      <c r="AG379" s="86" t="n">
        <v>708674.574961299</v>
      </c>
      <c r="AH379" s="87" t="str">
        <f>IF(H379="shared-count-once",COUNTIFS($A$2:$A$1353,A379,$B$2:$B$1353,B379,$E$2:$E$1353,E379),1)</f>
      </c>
    </row>
    <row r="380">
      <c r="A380" t="s">
        <v>205</v>
      </c>
      <c r="B380" s="59" t="n">
        <v>2039</v>
      </c>
      <c r="C380" t="s">
        <v>205</v>
      </c>
      <c r="D380" t="s">
        <v>180</v>
      </c>
      <c r="E380" s="60" t="s">
        <v>294</v>
      </c>
      <c r="F380" s="61" t="s">
        <v>295</v>
      </c>
      <c r="G380" s="62" t="s">
        <v>206</v>
      </c>
      <c r="H380" s="63" t="s">
        <v>195</v>
      </c>
      <c r="I380" s="64" t="s">
        <v>170</v>
      </c>
      <c r="J380" s="65" t="str">
        <f>IFERROR(INDEX('Cost_Components'!$K$2:$K$27,MATCH(E380,'Cost_Components'!$A$2:$A$27,0)),"")</f>
      </c>
      <c r="K380" s="66" t="str">
        <f>IF(OR(L380="",Z380="",AA380="",AB380=""),"",IF(B380&lt;AA380,L380,IF(B380&gt;AB380,Z380,L380+(Z380-L380)*MIN(MAX((B380-AA380+1)/MAX(AB380-AA380+1,1),0),1))))</f>
      </c>
      <c r="L380" s="67" t="str">
        <f>IFERROR(INDEX('Cost_Components'!$S$2:$S$27,MATCH(E380,'Cost_Components'!$A$2:$A$27,0)),"")</f>
      </c>
      <c r="M380" s="68" t="str">
        <f>IFERROR(INDEX('Cost_Components'!$L$2:$L$27,MATCH(E380,'Cost_Components'!$A$2:$A$27,0)),"")</f>
      </c>
      <c r="N380" s="69" t="str">
        <f>IFERROR(INDEX('Cost_Components'!$P$2:$P$27,MATCH(E380,'Cost_Components'!$A$2:$A$27,0)),"")</f>
      </c>
      <c r="O380" s="70" t="str">
        <f>AF380*J380</f>
      </c>
      <c r="P380" s="71" t="str">
        <f>AG380*J380</f>
      </c>
      <c r="Q380" s="72" t="str">
        <f>P380*L380*M380*N380</f>
      </c>
      <c r="R380" s="73" t="str">
        <f>O380*K380*M380*N380</f>
      </c>
      <c r="S380" s="74" t="str">
        <f>R380-Q380</f>
      </c>
      <c r="T380" s="20" t="str">
        <f>IFERROR(INDEX('Cost_Components'!$R$2:$R$27,MATCH(E380,'Cost_Components'!$A$2:$A$27,0)),"")</f>
      </c>
      <c r="U380" s="75" t="str">
        <f>IFERROR(INDEX('Cost_Components'!$Q$2:$Q$27,MATCH(E380,'Cost_Components'!$A$2:$A$27,0)),"")</f>
      </c>
      <c r="V380" s="76" t="str">
        <f>1/(1+'Calculation_Assumptions'!$B$5)^(B380-'Calculation_Assumptions'!$B$2)</f>
      </c>
      <c r="W380" s="77" t="str">
        <f>Q380*V380</f>
      </c>
      <c r="X380" s="78" t="str">
        <f>R380*V380</f>
      </c>
      <c r="Y380" s="79" t="str">
        <f>S380*V380</f>
      </c>
      <c r="Z380" s="80" t="str">
        <f>IFERROR(INDEX('Cost_Components'!$T$2:$T$27,MATCH(E380,'Cost_Components'!$A$2:$A$27,0)),"")</f>
      </c>
      <c r="AA380" s="81" t="str">
        <f>IFERROR(INDEX('Cost_Components'!$U$2:$U$27,MATCH(E380,'Cost_Components'!$A$2:$A$27,0)),"")</f>
      </c>
      <c r="AB380" s="82" t="str">
        <f>IFERROR(INDEX('Cost_Components'!$V$2:$V$27,MATCH(E380,'Cost_Components'!$A$2:$A$27,0)),"")</f>
      </c>
      <c r="AC380" s="83" t="str">
        <f>IFERROR(INDEX('Cost_Components'!$M$2:$M$27,MATCH(E380,'Cost_Components'!$A$2:$A$27,0)),"")</f>
      </c>
      <c r="AD380" s="84" t="str">
        <f>IFERROR(INDEX('Cost_Components'!$N$2:$N$27,MATCH(E380,'Cost_Components'!$A$2:$A$27,0)),"")</f>
      </c>
      <c r="AE380" s="20" t="str">
        <f>IFERROR(INDEX('Cost_Components'!$O$2:$O$27,MATCH(E380,'Cost_Components'!$A$2:$A$27,0)),"")</f>
      </c>
      <c r="AF380" s="85" t="n">
        <v>715598.510812732</v>
      </c>
      <c r="AG380" s="86" t="n">
        <v>715580.887085385</v>
      </c>
      <c r="AH380" s="87" t="str">
        <f>IF(H380="shared-count-once",COUNTIFS($A$2:$A$1353,A380,$B$2:$B$1353,B380,$E$2:$E$1353,E380),1)</f>
      </c>
    </row>
    <row r="381">
      <c r="A381" t="s">
        <v>205</v>
      </c>
      <c r="B381" s="59" t="n">
        <v>2040</v>
      </c>
      <c r="C381" t="s">
        <v>205</v>
      </c>
      <c r="D381" t="s">
        <v>180</v>
      </c>
      <c r="E381" s="60" t="s">
        <v>294</v>
      </c>
      <c r="F381" s="61" t="s">
        <v>295</v>
      </c>
      <c r="G381" s="62" t="s">
        <v>206</v>
      </c>
      <c r="H381" s="63" t="s">
        <v>195</v>
      </c>
      <c r="I381" s="64" t="s">
        <v>170</v>
      </c>
      <c r="J381" s="65" t="str">
        <f>IFERROR(INDEX('Cost_Components'!$K$2:$K$27,MATCH(E381,'Cost_Components'!$A$2:$A$27,0)),"")</f>
      </c>
      <c r="K381" s="66" t="str">
        <f>IF(OR(L381="",Z381="",AA381="",AB381=""),"",IF(B381&lt;AA381,L381,IF(B381&gt;AB381,Z381,L381+(Z381-L381)*MIN(MAX((B381-AA381+1)/MAX(AB381-AA381+1,1),0),1))))</f>
      </c>
      <c r="L381" s="67" t="str">
        <f>IFERROR(INDEX('Cost_Components'!$S$2:$S$27,MATCH(E381,'Cost_Components'!$A$2:$A$27,0)),"")</f>
      </c>
      <c r="M381" s="68" t="str">
        <f>IFERROR(INDEX('Cost_Components'!$L$2:$L$27,MATCH(E381,'Cost_Components'!$A$2:$A$27,0)),"")</f>
      </c>
      <c r="N381" s="69" t="str">
        <f>IFERROR(INDEX('Cost_Components'!$P$2:$P$27,MATCH(E381,'Cost_Components'!$A$2:$A$27,0)),"")</f>
      </c>
      <c r="O381" s="70" t="str">
        <f>AF381*J381</f>
      </c>
      <c r="P381" s="71" t="str">
        <f>AG381*J381</f>
      </c>
      <c r="Q381" s="72" t="str">
        <f>P381*L381*M381*N381</f>
      </c>
      <c r="R381" s="73" t="str">
        <f>O381*K381*M381*N381</f>
      </c>
      <c r="S381" s="74" t="str">
        <f>R381-Q381</f>
      </c>
      <c r="T381" s="20" t="str">
        <f>IFERROR(INDEX('Cost_Components'!$R$2:$R$27,MATCH(E381,'Cost_Components'!$A$2:$A$27,0)),"")</f>
      </c>
      <c r="U381" s="75" t="str">
        <f>IFERROR(INDEX('Cost_Components'!$Q$2:$Q$27,MATCH(E381,'Cost_Components'!$A$2:$A$27,0)),"")</f>
      </c>
      <c r="V381" s="76" t="str">
        <f>1/(1+'Calculation_Assumptions'!$B$5)^(B381-'Calculation_Assumptions'!$B$2)</f>
      </c>
      <c r="W381" s="77" t="str">
        <f>Q381*V381</f>
      </c>
      <c r="X381" s="78" t="str">
        <f>R381*V381</f>
      </c>
      <c r="Y381" s="79" t="str">
        <f>S381*V381</f>
      </c>
      <c r="Z381" s="80" t="str">
        <f>IFERROR(INDEX('Cost_Components'!$T$2:$T$27,MATCH(E381,'Cost_Components'!$A$2:$A$27,0)),"")</f>
      </c>
      <c r="AA381" s="81" t="str">
        <f>IFERROR(INDEX('Cost_Components'!$U$2:$U$27,MATCH(E381,'Cost_Components'!$A$2:$A$27,0)),"")</f>
      </c>
      <c r="AB381" s="82" t="str">
        <f>IFERROR(INDEX('Cost_Components'!$V$2:$V$27,MATCH(E381,'Cost_Components'!$A$2:$A$27,0)),"")</f>
      </c>
      <c r="AC381" s="83" t="str">
        <f>IFERROR(INDEX('Cost_Components'!$M$2:$M$27,MATCH(E381,'Cost_Components'!$A$2:$A$27,0)),"")</f>
      </c>
      <c r="AD381" s="84" t="str">
        <f>IFERROR(INDEX('Cost_Components'!$N$2:$N$27,MATCH(E381,'Cost_Components'!$A$2:$A$27,0)),"")</f>
      </c>
      <c r="AE381" s="20" t="str">
        <f>IFERROR(INDEX('Cost_Components'!$O$2:$O$27,MATCH(E381,'Cost_Components'!$A$2:$A$27,0)),"")</f>
      </c>
      <c r="AF381" s="85" t="n">
        <v>725078.310043919</v>
      </c>
      <c r="AG381" s="86" t="n">
        <v>725057.851356544</v>
      </c>
      <c r="AH381" s="87" t="str">
        <f>IF(H381="shared-count-once",COUNTIFS($A$2:$A$1353,A381,$B$2:$B$1353,B381,$E$2:$E$1353,E381),1)</f>
      </c>
    </row>
    <row r="382">
      <c r="A382" t="s">
        <v>205</v>
      </c>
      <c r="B382" s="59" t="n">
        <v>2041</v>
      </c>
      <c r="C382" t="s">
        <v>205</v>
      </c>
      <c r="D382" t="s">
        <v>180</v>
      </c>
      <c r="E382" s="60" t="s">
        <v>294</v>
      </c>
      <c r="F382" s="61" t="s">
        <v>295</v>
      </c>
      <c r="G382" s="62" t="s">
        <v>206</v>
      </c>
      <c r="H382" s="63" t="s">
        <v>195</v>
      </c>
      <c r="I382" s="64" t="s">
        <v>170</v>
      </c>
      <c r="J382" s="65" t="str">
        <f>IFERROR(INDEX('Cost_Components'!$K$2:$K$27,MATCH(E382,'Cost_Components'!$A$2:$A$27,0)),"")</f>
      </c>
      <c r="K382" s="66" t="str">
        <f>IF(OR(L382="",Z382="",AA382="",AB382=""),"",IF(B382&lt;AA382,L382,IF(B382&gt;AB382,Z382,L382+(Z382-L382)*MIN(MAX((B382-AA382+1)/MAX(AB382-AA382+1,1),0),1))))</f>
      </c>
      <c r="L382" s="67" t="str">
        <f>IFERROR(INDEX('Cost_Components'!$S$2:$S$27,MATCH(E382,'Cost_Components'!$A$2:$A$27,0)),"")</f>
      </c>
      <c r="M382" s="68" t="str">
        <f>IFERROR(INDEX('Cost_Components'!$L$2:$L$27,MATCH(E382,'Cost_Components'!$A$2:$A$27,0)),"")</f>
      </c>
      <c r="N382" s="69" t="str">
        <f>IFERROR(INDEX('Cost_Components'!$P$2:$P$27,MATCH(E382,'Cost_Components'!$A$2:$A$27,0)),"")</f>
      </c>
      <c r="O382" s="70" t="str">
        <f>AF382*J382</f>
      </c>
      <c r="P382" s="71" t="str">
        <f>AG382*J382</f>
      </c>
      <c r="Q382" s="72" t="str">
        <f>P382*L382*M382*N382</f>
      </c>
      <c r="R382" s="73" t="str">
        <f>O382*K382*M382*N382</f>
      </c>
      <c r="S382" s="74" t="str">
        <f>R382-Q382</f>
      </c>
      <c r="T382" s="20" t="str">
        <f>IFERROR(INDEX('Cost_Components'!$R$2:$R$27,MATCH(E382,'Cost_Components'!$A$2:$A$27,0)),"")</f>
      </c>
      <c r="U382" s="75" t="str">
        <f>IFERROR(INDEX('Cost_Components'!$Q$2:$Q$27,MATCH(E382,'Cost_Components'!$A$2:$A$27,0)),"")</f>
      </c>
      <c r="V382" s="76" t="str">
        <f>1/(1+'Calculation_Assumptions'!$B$5)^(B382-'Calculation_Assumptions'!$B$2)</f>
      </c>
      <c r="W382" s="77" t="str">
        <f>Q382*V382</f>
      </c>
      <c r="X382" s="78" t="str">
        <f>R382*V382</f>
      </c>
      <c r="Y382" s="79" t="str">
        <f>S382*V382</f>
      </c>
      <c r="Z382" s="80" t="str">
        <f>IFERROR(INDEX('Cost_Components'!$T$2:$T$27,MATCH(E382,'Cost_Components'!$A$2:$A$27,0)),"")</f>
      </c>
      <c r="AA382" s="81" t="str">
        <f>IFERROR(INDEX('Cost_Components'!$U$2:$U$27,MATCH(E382,'Cost_Components'!$A$2:$A$27,0)),"")</f>
      </c>
      <c r="AB382" s="82" t="str">
        <f>IFERROR(INDEX('Cost_Components'!$V$2:$V$27,MATCH(E382,'Cost_Components'!$A$2:$A$27,0)),"")</f>
      </c>
      <c r="AC382" s="83" t="str">
        <f>IFERROR(INDEX('Cost_Components'!$M$2:$M$27,MATCH(E382,'Cost_Components'!$A$2:$A$27,0)),"")</f>
      </c>
      <c r="AD382" s="84" t="str">
        <f>IFERROR(INDEX('Cost_Components'!$N$2:$N$27,MATCH(E382,'Cost_Components'!$A$2:$A$27,0)),"")</f>
      </c>
      <c r="AE382" s="20" t="str">
        <f>IFERROR(INDEX('Cost_Components'!$O$2:$O$27,MATCH(E382,'Cost_Components'!$A$2:$A$27,0)),"")</f>
      </c>
      <c r="AF382" s="85" t="n">
        <v>734651.225283522</v>
      </c>
      <c r="AG382" s="86" t="n">
        <v>734627.740075404</v>
      </c>
      <c r="AH382" s="87" t="str">
        <f>IF(H382="shared-count-once",COUNTIFS($A$2:$A$1353,A382,$B$2:$B$1353,B382,$E$2:$E$1353,E382),1)</f>
      </c>
    </row>
    <row r="383">
      <c r="A383" t="s">
        <v>205</v>
      </c>
      <c r="B383" s="59" t="n">
        <v>2042</v>
      </c>
      <c r="C383" t="s">
        <v>205</v>
      </c>
      <c r="D383" t="s">
        <v>180</v>
      </c>
      <c r="E383" s="60" t="s">
        <v>294</v>
      </c>
      <c r="F383" s="61" t="s">
        <v>295</v>
      </c>
      <c r="G383" s="62" t="s">
        <v>206</v>
      </c>
      <c r="H383" s="63" t="s">
        <v>195</v>
      </c>
      <c r="I383" s="64" t="s">
        <v>170</v>
      </c>
      <c r="J383" s="65" t="str">
        <f>IFERROR(INDEX('Cost_Components'!$K$2:$K$27,MATCH(E383,'Cost_Components'!$A$2:$A$27,0)),"")</f>
      </c>
      <c r="K383" s="66" t="str">
        <f>IF(OR(L383="",Z383="",AA383="",AB383=""),"",IF(B383&lt;AA383,L383,IF(B383&gt;AB383,Z383,L383+(Z383-L383)*MIN(MAX((B383-AA383+1)/MAX(AB383-AA383+1,1),0),1))))</f>
      </c>
      <c r="L383" s="67" t="str">
        <f>IFERROR(INDEX('Cost_Components'!$S$2:$S$27,MATCH(E383,'Cost_Components'!$A$2:$A$27,0)),"")</f>
      </c>
      <c r="M383" s="68" t="str">
        <f>IFERROR(INDEX('Cost_Components'!$L$2:$L$27,MATCH(E383,'Cost_Components'!$A$2:$A$27,0)),"")</f>
      </c>
      <c r="N383" s="69" t="str">
        <f>IFERROR(INDEX('Cost_Components'!$P$2:$P$27,MATCH(E383,'Cost_Components'!$A$2:$A$27,0)),"")</f>
      </c>
      <c r="O383" s="70" t="str">
        <f>AF383*J383</f>
      </c>
      <c r="P383" s="71" t="str">
        <f>AG383*J383</f>
      </c>
      <c r="Q383" s="72" t="str">
        <f>P383*L383*M383*N383</f>
      </c>
      <c r="R383" s="73" t="str">
        <f>O383*K383*M383*N383</f>
      </c>
      <c r="S383" s="74" t="str">
        <f>R383-Q383</f>
      </c>
      <c r="T383" s="20" t="str">
        <f>IFERROR(INDEX('Cost_Components'!$R$2:$R$27,MATCH(E383,'Cost_Components'!$A$2:$A$27,0)),"")</f>
      </c>
      <c r="U383" s="75" t="str">
        <f>IFERROR(INDEX('Cost_Components'!$Q$2:$Q$27,MATCH(E383,'Cost_Components'!$A$2:$A$27,0)),"")</f>
      </c>
      <c r="V383" s="76" t="str">
        <f>1/(1+'Calculation_Assumptions'!$B$5)^(B383-'Calculation_Assumptions'!$B$2)</f>
      </c>
      <c r="W383" s="77" t="str">
        <f>Q383*V383</f>
      </c>
      <c r="X383" s="78" t="str">
        <f>R383*V383</f>
      </c>
      <c r="Y383" s="79" t="str">
        <f>S383*V383</f>
      </c>
      <c r="Z383" s="80" t="str">
        <f>IFERROR(INDEX('Cost_Components'!$T$2:$T$27,MATCH(E383,'Cost_Components'!$A$2:$A$27,0)),"")</f>
      </c>
      <c r="AA383" s="81" t="str">
        <f>IFERROR(INDEX('Cost_Components'!$U$2:$U$27,MATCH(E383,'Cost_Components'!$A$2:$A$27,0)),"")</f>
      </c>
      <c r="AB383" s="82" t="str">
        <f>IFERROR(INDEX('Cost_Components'!$V$2:$V$27,MATCH(E383,'Cost_Components'!$A$2:$A$27,0)),"")</f>
      </c>
      <c r="AC383" s="83" t="str">
        <f>IFERROR(INDEX('Cost_Components'!$M$2:$M$27,MATCH(E383,'Cost_Components'!$A$2:$A$27,0)),"")</f>
      </c>
      <c r="AD383" s="84" t="str">
        <f>IFERROR(INDEX('Cost_Components'!$N$2:$N$27,MATCH(E383,'Cost_Components'!$A$2:$A$27,0)),"")</f>
      </c>
      <c r="AE383" s="20" t="str">
        <f>IFERROR(INDEX('Cost_Components'!$O$2:$O$27,MATCH(E383,'Cost_Components'!$A$2:$A$27,0)),"")</f>
      </c>
      <c r="AF383" s="85" t="n">
        <v>744339.956717483</v>
      </c>
      <c r="AG383" s="86" t="n">
        <v>744313.272667757</v>
      </c>
      <c r="AH383" s="87" t="str">
        <f>IF(H383="shared-count-once",COUNTIFS($A$2:$A$1353,A383,$B$2:$B$1353,B383,$E$2:$E$1353,E383),1)</f>
      </c>
    </row>
    <row r="384">
      <c r="A384" t="s">
        <v>205</v>
      </c>
      <c r="B384" s="59" t="n">
        <v>2043</v>
      </c>
      <c r="C384" t="s">
        <v>205</v>
      </c>
      <c r="D384" t="s">
        <v>180</v>
      </c>
      <c r="E384" s="60" t="s">
        <v>294</v>
      </c>
      <c r="F384" s="61" t="s">
        <v>295</v>
      </c>
      <c r="G384" s="62" t="s">
        <v>206</v>
      </c>
      <c r="H384" s="63" t="s">
        <v>195</v>
      </c>
      <c r="I384" s="64" t="s">
        <v>170</v>
      </c>
      <c r="J384" s="65" t="str">
        <f>IFERROR(INDEX('Cost_Components'!$K$2:$K$27,MATCH(E384,'Cost_Components'!$A$2:$A$27,0)),"")</f>
      </c>
      <c r="K384" s="66" t="str">
        <f>IF(OR(L384="",Z384="",AA384="",AB384=""),"",IF(B384&lt;AA384,L384,IF(B384&gt;AB384,Z384,L384+(Z384-L384)*MIN(MAX((B384-AA384+1)/MAX(AB384-AA384+1,1),0),1))))</f>
      </c>
      <c r="L384" s="67" t="str">
        <f>IFERROR(INDEX('Cost_Components'!$S$2:$S$27,MATCH(E384,'Cost_Components'!$A$2:$A$27,0)),"")</f>
      </c>
      <c r="M384" s="68" t="str">
        <f>IFERROR(INDEX('Cost_Components'!$L$2:$L$27,MATCH(E384,'Cost_Components'!$A$2:$A$27,0)),"")</f>
      </c>
      <c r="N384" s="69" t="str">
        <f>IFERROR(INDEX('Cost_Components'!$P$2:$P$27,MATCH(E384,'Cost_Components'!$A$2:$A$27,0)),"")</f>
      </c>
      <c r="O384" s="70" t="str">
        <f>AF384*J384</f>
      </c>
      <c r="P384" s="71" t="str">
        <f>AG384*J384</f>
      </c>
      <c r="Q384" s="72" t="str">
        <f>P384*L384*M384*N384</f>
      </c>
      <c r="R384" s="73" t="str">
        <f>O384*K384*M384*N384</f>
      </c>
      <c r="S384" s="74" t="str">
        <f>R384-Q384</f>
      </c>
      <c r="T384" s="20" t="str">
        <f>IFERROR(INDEX('Cost_Components'!$R$2:$R$27,MATCH(E384,'Cost_Components'!$A$2:$A$27,0)),"")</f>
      </c>
      <c r="U384" s="75" t="str">
        <f>IFERROR(INDEX('Cost_Components'!$Q$2:$Q$27,MATCH(E384,'Cost_Components'!$A$2:$A$27,0)),"")</f>
      </c>
      <c r="V384" s="76" t="str">
        <f>1/(1+'Calculation_Assumptions'!$B$5)^(B384-'Calculation_Assumptions'!$B$2)</f>
      </c>
      <c r="W384" s="77" t="str">
        <f>Q384*V384</f>
      </c>
      <c r="X384" s="78" t="str">
        <f>R384*V384</f>
      </c>
      <c r="Y384" s="79" t="str">
        <f>S384*V384</f>
      </c>
      <c r="Z384" s="80" t="str">
        <f>IFERROR(INDEX('Cost_Components'!$T$2:$T$27,MATCH(E384,'Cost_Components'!$A$2:$A$27,0)),"")</f>
      </c>
      <c r="AA384" s="81" t="str">
        <f>IFERROR(INDEX('Cost_Components'!$U$2:$U$27,MATCH(E384,'Cost_Components'!$A$2:$A$27,0)),"")</f>
      </c>
      <c r="AB384" s="82" t="str">
        <f>IFERROR(INDEX('Cost_Components'!$V$2:$V$27,MATCH(E384,'Cost_Components'!$A$2:$A$27,0)),"")</f>
      </c>
      <c r="AC384" s="83" t="str">
        <f>IFERROR(INDEX('Cost_Components'!$M$2:$M$27,MATCH(E384,'Cost_Components'!$A$2:$A$27,0)),"")</f>
      </c>
      <c r="AD384" s="84" t="str">
        <f>IFERROR(INDEX('Cost_Components'!$N$2:$N$27,MATCH(E384,'Cost_Components'!$A$2:$A$27,0)),"")</f>
      </c>
      <c r="AE384" s="20" t="str">
        <f>IFERROR(INDEX('Cost_Components'!$O$2:$O$27,MATCH(E384,'Cost_Components'!$A$2:$A$27,0)),"")</f>
      </c>
      <c r="AF384" s="85" t="n">
        <v>754400.912241683</v>
      </c>
      <c r="AG384" s="86" t="n">
        <v>754370.892413502</v>
      </c>
      <c r="AH384" s="87" t="str">
        <f>IF(H384="shared-count-once",COUNTIFS($A$2:$A$1353,A384,$B$2:$B$1353,B384,$E$2:$E$1353,E384),1)</f>
      </c>
    </row>
    <row r="385">
      <c r="A385" t="s">
        <v>205</v>
      </c>
      <c r="B385" s="59" t="n">
        <v>2044</v>
      </c>
      <c r="C385" t="s">
        <v>205</v>
      </c>
      <c r="D385" t="s">
        <v>180</v>
      </c>
      <c r="E385" s="60" t="s">
        <v>294</v>
      </c>
      <c r="F385" s="61" t="s">
        <v>295</v>
      </c>
      <c r="G385" s="62" t="s">
        <v>206</v>
      </c>
      <c r="H385" s="63" t="s">
        <v>195</v>
      </c>
      <c r="I385" s="64" t="s">
        <v>170</v>
      </c>
      <c r="J385" s="65" t="str">
        <f>IFERROR(INDEX('Cost_Components'!$K$2:$K$27,MATCH(E385,'Cost_Components'!$A$2:$A$27,0)),"")</f>
      </c>
      <c r="K385" s="66" t="str">
        <f>IF(OR(L385="",Z385="",AA385="",AB385=""),"",IF(B385&lt;AA385,L385,IF(B385&gt;AB385,Z385,L385+(Z385-L385)*MIN(MAX((B385-AA385+1)/MAX(AB385-AA385+1,1),0),1))))</f>
      </c>
      <c r="L385" s="67" t="str">
        <f>IFERROR(INDEX('Cost_Components'!$S$2:$S$27,MATCH(E385,'Cost_Components'!$A$2:$A$27,0)),"")</f>
      </c>
      <c r="M385" s="68" t="str">
        <f>IFERROR(INDEX('Cost_Components'!$L$2:$L$27,MATCH(E385,'Cost_Components'!$A$2:$A$27,0)),"")</f>
      </c>
      <c r="N385" s="69" t="str">
        <f>IFERROR(INDEX('Cost_Components'!$P$2:$P$27,MATCH(E385,'Cost_Components'!$A$2:$A$27,0)),"")</f>
      </c>
      <c r="O385" s="70" t="str">
        <f>AF385*J385</f>
      </c>
      <c r="P385" s="71" t="str">
        <f>AG385*J385</f>
      </c>
      <c r="Q385" s="72" t="str">
        <f>P385*L385*M385*N385</f>
      </c>
      <c r="R385" s="73" t="str">
        <f>O385*K385*M385*N385</f>
      </c>
      <c r="S385" s="74" t="str">
        <f>R385-Q385</f>
      </c>
      <c r="T385" s="20" t="str">
        <f>IFERROR(INDEX('Cost_Components'!$R$2:$R$27,MATCH(E385,'Cost_Components'!$A$2:$A$27,0)),"")</f>
      </c>
      <c r="U385" s="75" t="str">
        <f>IFERROR(INDEX('Cost_Components'!$Q$2:$Q$27,MATCH(E385,'Cost_Components'!$A$2:$A$27,0)),"")</f>
      </c>
      <c r="V385" s="76" t="str">
        <f>1/(1+'Calculation_Assumptions'!$B$5)^(B385-'Calculation_Assumptions'!$B$2)</f>
      </c>
      <c r="W385" s="77" t="str">
        <f>Q385*V385</f>
      </c>
      <c r="X385" s="78" t="str">
        <f>R385*V385</f>
      </c>
      <c r="Y385" s="79" t="str">
        <f>S385*V385</f>
      </c>
      <c r="Z385" s="80" t="str">
        <f>IFERROR(INDEX('Cost_Components'!$T$2:$T$27,MATCH(E385,'Cost_Components'!$A$2:$A$27,0)),"")</f>
      </c>
      <c r="AA385" s="81" t="str">
        <f>IFERROR(INDEX('Cost_Components'!$U$2:$U$27,MATCH(E385,'Cost_Components'!$A$2:$A$27,0)),"")</f>
      </c>
      <c r="AB385" s="82" t="str">
        <f>IFERROR(INDEX('Cost_Components'!$V$2:$V$27,MATCH(E385,'Cost_Components'!$A$2:$A$27,0)),"")</f>
      </c>
      <c r="AC385" s="83" t="str">
        <f>IFERROR(INDEX('Cost_Components'!$M$2:$M$27,MATCH(E385,'Cost_Components'!$A$2:$A$27,0)),"")</f>
      </c>
      <c r="AD385" s="84" t="str">
        <f>IFERROR(INDEX('Cost_Components'!$N$2:$N$27,MATCH(E385,'Cost_Components'!$A$2:$A$27,0)),"")</f>
      </c>
      <c r="AE385" s="20" t="str">
        <f>IFERROR(INDEX('Cost_Components'!$O$2:$O$27,MATCH(E385,'Cost_Components'!$A$2:$A$27,0)),"")</f>
      </c>
      <c r="AF385" s="85" t="n">
        <v>760785.53408744</v>
      </c>
      <c r="AG385" s="86" t="n">
        <v>760751.529161819</v>
      </c>
      <c r="AH385" s="87" t="str">
        <f>IF(H385="shared-count-once",COUNTIFS($A$2:$A$1353,A385,$B$2:$B$1353,B385,$E$2:$E$1353,E385),1)</f>
      </c>
    </row>
    <row r="386">
      <c r="A386" t="s">
        <v>205</v>
      </c>
      <c r="B386" s="59" t="n">
        <v>2045</v>
      </c>
      <c r="C386" t="s">
        <v>205</v>
      </c>
      <c r="D386" t="s">
        <v>180</v>
      </c>
      <c r="E386" s="60" t="s">
        <v>294</v>
      </c>
      <c r="F386" s="61" t="s">
        <v>295</v>
      </c>
      <c r="G386" s="62" t="s">
        <v>206</v>
      </c>
      <c r="H386" s="63" t="s">
        <v>195</v>
      </c>
      <c r="I386" s="64" t="s">
        <v>170</v>
      </c>
      <c r="J386" s="65" t="str">
        <f>IFERROR(INDEX('Cost_Components'!$K$2:$K$27,MATCH(E386,'Cost_Components'!$A$2:$A$27,0)),"")</f>
      </c>
      <c r="K386" s="66" t="str">
        <f>IF(OR(L386="",Z386="",AA386="",AB386=""),"",IF(B386&lt;AA386,L386,IF(B386&gt;AB386,Z386,L386+(Z386-L386)*MIN(MAX((B386-AA386+1)/MAX(AB386-AA386+1,1),0),1))))</f>
      </c>
      <c r="L386" s="67" t="str">
        <f>IFERROR(INDEX('Cost_Components'!$S$2:$S$27,MATCH(E386,'Cost_Components'!$A$2:$A$27,0)),"")</f>
      </c>
      <c r="M386" s="68" t="str">
        <f>IFERROR(INDEX('Cost_Components'!$L$2:$L$27,MATCH(E386,'Cost_Components'!$A$2:$A$27,0)),"")</f>
      </c>
      <c r="N386" s="69" t="str">
        <f>IFERROR(INDEX('Cost_Components'!$P$2:$P$27,MATCH(E386,'Cost_Components'!$A$2:$A$27,0)),"")</f>
      </c>
      <c r="O386" s="70" t="str">
        <f>AF386*J386</f>
      </c>
      <c r="P386" s="71" t="str">
        <f>AG386*J386</f>
      </c>
      <c r="Q386" s="72" t="str">
        <f>P386*L386*M386*N386</f>
      </c>
      <c r="R386" s="73" t="str">
        <f>O386*K386*M386*N386</f>
      </c>
      <c r="S386" s="74" t="str">
        <f>R386-Q386</f>
      </c>
      <c r="T386" s="20" t="str">
        <f>IFERROR(INDEX('Cost_Components'!$R$2:$R$27,MATCH(E386,'Cost_Components'!$A$2:$A$27,0)),"")</f>
      </c>
      <c r="U386" s="75" t="str">
        <f>IFERROR(INDEX('Cost_Components'!$Q$2:$Q$27,MATCH(E386,'Cost_Components'!$A$2:$A$27,0)),"")</f>
      </c>
      <c r="V386" s="76" t="str">
        <f>1/(1+'Calculation_Assumptions'!$B$5)^(B386-'Calculation_Assumptions'!$B$2)</f>
      </c>
      <c r="W386" s="77" t="str">
        <f>Q386*V386</f>
      </c>
      <c r="X386" s="78" t="str">
        <f>R386*V386</f>
      </c>
      <c r="Y386" s="79" t="str">
        <f>S386*V386</f>
      </c>
      <c r="Z386" s="80" t="str">
        <f>IFERROR(INDEX('Cost_Components'!$T$2:$T$27,MATCH(E386,'Cost_Components'!$A$2:$A$27,0)),"")</f>
      </c>
      <c r="AA386" s="81" t="str">
        <f>IFERROR(INDEX('Cost_Components'!$U$2:$U$27,MATCH(E386,'Cost_Components'!$A$2:$A$27,0)),"")</f>
      </c>
      <c r="AB386" s="82" t="str">
        <f>IFERROR(INDEX('Cost_Components'!$V$2:$V$27,MATCH(E386,'Cost_Components'!$A$2:$A$27,0)),"")</f>
      </c>
      <c r="AC386" s="83" t="str">
        <f>IFERROR(INDEX('Cost_Components'!$M$2:$M$27,MATCH(E386,'Cost_Components'!$A$2:$A$27,0)),"")</f>
      </c>
      <c r="AD386" s="84" t="str">
        <f>IFERROR(INDEX('Cost_Components'!$N$2:$N$27,MATCH(E386,'Cost_Components'!$A$2:$A$27,0)),"")</f>
      </c>
      <c r="AE386" s="20" t="str">
        <f>IFERROR(INDEX('Cost_Components'!$O$2:$O$27,MATCH(E386,'Cost_Components'!$A$2:$A$27,0)),"")</f>
      </c>
      <c r="AF386" s="85" t="n">
        <v>769351.531167591</v>
      </c>
      <c r="AG386" s="86" t="n">
        <v>769313.803212411</v>
      </c>
      <c r="AH386" s="87" t="str">
        <f>IF(H386="shared-count-once",COUNTIFS($A$2:$A$1353,A386,$B$2:$B$1353,B386,$E$2:$E$1353,E386),1)</f>
      </c>
    </row>
    <row r="387">
      <c r="A387" t="s">
        <v>205</v>
      </c>
      <c r="B387" s="59" t="n">
        <v>2046</v>
      </c>
      <c r="C387" t="s">
        <v>205</v>
      </c>
      <c r="D387" t="s">
        <v>180</v>
      </c>
      <c r="E387" s="60" t="s">
        <v>294</v>
      </c>
      <c r="F387" s="61" t="s">
        <v>295</v>
      </c>
      <c r="G387" s="62" t="s">
        <v>206</v>
      </c>
      <c r="H387" s="63" t="s">
        <v>195</v>
      </c>
      <c r="I387" s="64" t="s">
        <v>170</v>
      </c>
      <c r="J387" s="65" t="str">
        <f>IFERROR(INDEX('Cost_Components'!$K$2:$K$27,MATCH(E387,'Cost_Components'!$A$2:$A$27,0)),"")</f>
      </c>
      <c r="K387" s="66" t="str">
        <f>IF(OR(L387="",Z387="",AA387="",AB387=""),"",IF(B387&lt;AA387,L387,IF(B387&gt;AB387,Z387,L387+(Z387-L387)*MIN(MAX((B387-AA387+1)/MAX(AB387-AA387+1,1),0),1))))</f>
      </c>
      <c r="L387" s="67" t="str">
        <f>IFERROR(INDEX('Cost_Components'!$S$2:$S$27,MATCH(E387,'Cost_Components'!$A$2:$A$27,0)),"")</f>
      </c>
      <c r="M387" s="68" t="str">
        <f>IFERROR(INDEX('Cost_Components'!$L$2:$L$27,MATCH(E387,'Cost_Components'!$A$2:$A$27,0)),"")</f>
      </c>
      <c r="N387" s="69" t="str">
        <f>IFERROR(INDEX('Cost_Components'!$P$2:$P$27,MATCH(E387,'Cost_Components'!$A$2:$A$27,0)),"")</f>
      </c>
      <c r="O387" s="70" t="str">
        <f>AF387*J387</f>
      </c>
      <c r="P387" s="71" t="str">
        <f>AG387*J387</f>
      </c>
      <c r="Q387" s="72" t="str">
        <f>P387*L387*M387*N387</f>
      </c>
      <c r="R387" s="73" t="str">
        <f>O387*K387*M387*N387</f>
      </c>
      <c r="S387" s="74" t="str">
        <f>R387-Q387</f>
      </c>
      <c r="T387" s="20" t="str">
        <f>IFERROR(INDEX('Cost_Components'!$R$2:$R$27,MATCH(E387,'Cost_Components'!$A$2:$A$27,0)),"")</f>
      </c>
      <c r="U387" s="75" t="str">
        <f>IFERROR(INDEX('Cost_Components'!$Q$2:$Q$27,MATCH(E387,'Cost_Components'!$A$2:$A$27,0)),"")</f>
      </c>
      <c r="V387" s="76" t="str">
        <f>1/(1+'Calculation_Assumptions'!$B$5)^(B387-'Calculation_Assumptions'!$B$2)</f>
      </c>
      <c r="W387" s="77" t="str">
        <f>Q387*V387</f>
      </c>
      <c r="X387" s="78" t="str">
        <f>R387*V387</f>
      </c>
      <c r="Y387" s="79" t="str">
        <f>S387*V387</f>
      </c>
      <c r="Z387" s="80" t="str">
        <f>IFERROR(INDEX('Cost_Components'!$T$2:$T$27,MATCH(E387,'Cost_Components'!$A$2:$A$27,0)),"")</f>
      </c>
      <c r="AA387" s="81" t="str">
        <f>IFERROR(INDEX('Cost_Components'!$U$2:$U$27,MATCH(E387,'Cost_Components'!$A$2:$A$27,0)),"")</f>
      </c>
      <c r="AB387" s="82" t="str">
        <f>IFERROR(INDEX('Cost_Components'!$V$2:$V$27,MATCH(E387,'Cost_Components'!$A$2:$A$27,0)),"")</f>
      </c>
      <c r="AC387" s="83" t="str">
        <f>IFERROR(INDEX('Cost_Components'!$M$2:$M$27,MATCH(E387,'Cost_Components'!$A$2:$A$27,0)),"")</f>
      </c>
      <c r="AD387" s="84" t="str">
        <f>IFERROR(INDEX('Cost_Components'!$N$2:$N$27,MATCH(E387,'Cost_Components'!$A$2:$A$27,0)),"")</f>
      </c>
      <c r="AE387" s="20" t="str">
        <f>IFERROR(INDEX('Cost_Components'!$O$2:$O$27,MATCH(E387,'Cost_Components'!$A$2:$A$27,0)),"")</f>
      </c>
      <c r="AF387" s="85" t="n">
        <v>778137.464605332</v>
      </c>
      <c r="AG387" s="86" t="n">
        <v>778095.842672562</v>
      </c>
      <c r="AH387" s="87" t="str">
        <f>IF(H387="shared-count-once",COUNTIFS($A$2:$A$1353,A387,$B$2:$B$1353,B387,$E$2:$E$1353,E387),1)</f>
      </c>
    </row>
    <row r="388">
      <c r="A388" t="s">
        <v>205</v>
      </c>
      <c r="B388" s="59" t="n">
        <v>2047</v>
      </c>
      <c r="C388" t="s">
        <v>205</v>
      </c>
      <c r="D388" t="s">
        <v>180</v>
      </c>
      <c r="E388" s="60" t="s">
        <v>294</v>
      </c>
      <c r="F388" s="61" t="s">
        <v>295</v>
      </c>
      <c r="G388" s="62" t="s">
        <v>206</v>
      </c>
      <c r="H388" s="63" t="s">
        <v>195</v>
      </c>
      <c r="I388" s="64" t="s">
        <v>170</v>
      </c>
      <c r="J388" s="65" t="str">
        <f>IFERROR(INDEX('Cost_Components'!$K$2:$K$27,MATCH(E388,'Cost_Components'!$A$2:$A$27,0)),"")</f>
      </c>
      <c r="K388" s="66" t="str">
        <f>IF(OR(L388="",Z388="",AA388="",AB388=""),"",IF(B388&lt;AA388,L388,IF(B388&gt;AB388,Z388,L388+(Z388-L388)*MIN(MAX((B388-AA388+1)/MAX(AB388-AA388+1,1),0),1))))</f>
      </c>
      <c r="L388" s="67" t="str">
        <f>IFERROR(INDEX('Cost_Components'!$S$2:$S$27,MATCH(E388,'Cost_Components'!$A$2:$A$27,0)),"")</f>
      </c>
      <c r="M388" s="68" t="str">
        <f>IFERROR(INDEX('Cost_Components'!$L$2:$L$27,MATCH(E388,'Cost_Components'!$A$2:$A$27,0)),"")</f>
      </c>
      <c r="N388" s="69" t="str">
        <f>IFERROR(INDEX('Cost_Components'!$P$2:$P$27,MATCH(E388,'Cost_Components'!$A$2:$A$27,0)),"")</f>
      </c>
      <c r="O388" s="70" t="str">
        <f>AF388*J388</f>
      </c>
      <c r="P388" s="71" t="str">
        <f>AG388*J388</f>
      </c>
      <c r="Q388" s="72" t="str">
        <f>P388*L388*M388*N388</f>
      </c>
      <c r="R388" s="73" t="str">
        <f>O388*K388*M388*N388</f>
      </c>
      <c r="S388" s="74" t="str">
        <f>R388-Q388</f>
      </c>
      <c r="T388" s="20" t="str">
        <f>IFERROR(INDEX('Cost_Components'!$R$2:$R$27,MATCH(E388,'Cost_Components'!$A$2:$A$27,0)),"")</f>
      </c>
      <c r="U388" s="75" t="str">
        <f>IFERROR(INDEX('Cost_Components'!$Q$2:$Q$27,MATCH(E388,'Cost_Components'!$A$2:$A$27,0)),"")</f>
      </c>
      <c r="V388" s="76" t="str">
        <f>1/(1+'Calculation_Assumptions'!$B$5)^(B388-'Calculation_Assumptions'!$B$2)</f>
      </c>
      <c r="W388" s="77" t="str">
        <f>Q388*V388</f>
      </c>
      <c r="X388" s="78" t="str">
        <f>R388*V388</f>
      </c>
      <c r="Y388" s="79" t="str">
        <f>S388*V388</f>
      </c>
      <c r="Z388" s="80" t="str">
        <f>IFERROR(INDEX('Cost_Components'!$T$2:$T$27,MATCH(E388,'Cost_Components'!$A$2:$A$27,0)),"")</f>
      </c>
      <c r="AA388" s="81" t="str">
        <f>IFERROR(INDEX('Cost_Components'!$U$2:$U$27,MATCH(E388,'Cost_Components'!$A$2:$A$27,0)),"")</f>
      </c>
      <c r="AB388" s="82" t="str">
        <f>IFERROR(INDEX('Cost_Components'!$V$2:$V$27,MATCH(E388,'Cost_Components'!$A$2:$A$27,0)),"")</f>
      </c>
      <c r="AC388" s="83" t="str">
        <f>IFERROR(INDEX('Cost_Components'!$M$2:$M$27,MATCH(E388,'Cost_Components'!$A$2:$A$27,0)),"")</f>
      </c>
      <c r="AD388" s="84" t="str">
        <f>IFERROR(INDEX('Cost_Components'!$N$2:$N$27,MATCH(E388,'Cost_Components'!$A$2:$A$27,0)),"")</f>
      </c>
      <c r="AE388" s="20" t="str">
        <f>IFERROR(INDEX('Cost_Components'!$O$2:$O$27,MATCH(E388,'Cost_Components'!$A$2:$A$27,0)),"")</f>
      </c>
      <c r="AF388" s="85" t="n">
        <v>786913.006977593</v>
      </c>
      <c r="AG388" s="86" t="n">
        <v>786867.366017656</v>
      </c>
      <c r="AH388" s="87" t="str">
        <f>IF(H388="shared-count-once",COUNTIFS($A$2:$A$1353,A388,$B$2:$B$1353,B388,$E$2:$E$1353,E388),1)</f>
      </c>
    </row>
    <row r="389">
      <c r="A389" t="s">
        <v>205</v>
      </c>
      <c r="B389" s="59" t="n">
        <v>2048</v>
      </c>
      <c r="C389" t="s">
        <v>205</v>
      </c>
      <c r="D389" t="s">
        <v>180</v>
      </c>
      <c r="E389" s="60" t="s">
        <v>294</v>
      </c>
      <c r="F389" s="61" t="s">
        <v>295</v>
      </c>
      <c r="G389" s="62" t="s">
        <v>206</v>
      </c>
      <c r="H389" s="63" t="s">
        <v>195</v>
      </c>
      <c r="I389" s="64" t="s">
        <v>170</v>
      </c>
      <c r="J389" s="65" t="str">
        <f>IFERROR(INDEX('Cost_Components'!$K$2:$K$27,MATCH(E389,'Cost_Components'!$A$2:$A$27,0)),"")</f>
      </c>
      <c r="K389" s="66" t="str">
        <f>IF(OR(L389="",Z389="",AA389="",AB389=""),"",IF(B389&lt;AA389,L389,IF(B389&gt;AB389,Z389,L389+(Z389-L389)*MIN(MAX((B389-AA389+1)/MAX(AB389-AA389+1,1),0),1))))</f>
      </c>
      <c r="L389" s="67" t="str">
        <f>IFERROR(INDEX('Cost_Components'!$S$2:$S$27,MATCH(E389,'Cost_Components'!$A$2:$A$27,0)),"")</f>
      </c>
      <c r="M389" s="68" t="str">
        <f>IFERROR(INDEX('Cost_Components'!$L$2:$L$27,MATCH(E389,'Cost_Components'!$A$2:$A$27,0)),"")</f>
      </c>
      <c r="N389" s="69" t="str">
        <f>IFERROR(INDEX('Cost_Components'!$P$2:$P$27,MATCH(E389,'Cost_Components'!$A$2:$A$27,0)),"")</f>
      </c>
      <c r="O389" s="70" t="str">
        <f>AF389*J389</f>
      </c>
      <c r="P389" s="71" t="str">
        <f>AG389*J389</f>
      </c>
      <c r="Q389" s="72" t="str">
        <f>P389*L389*M389*N389</f>
      </c>
      <c r="R389" s="73" t="str">
        <f>O389*K389*M389*N389</f>
      </c>
      <c r="S389" s="74" t="str">
        <f>R389-Q389</f>
      </c>
      <c r="T389" s="20" t="str">
        <f>IFERROR(INDEX('Cost_Components'!$R$2:$R$27,MATCH(E389,'Cost_Components'!$A$2:$A$27,0)),"")</f>
      </c>
      <c r="U389" s="75" t="str">
        <f>IFERROR(INDEX('Cost_Components'!$Q$2:$Q$27,MATCH(E389,'Cost_Components'!$A$2:$A$27,0)),"")</f>
      </c>
      <c r="V389" s="76" t="str">
        <f>1/(1+'Calculation_Assumptions'!$B$5)^(B389-'Calculation_Assumptions'!$B$2)</f>
      </c>
      <c r="W389" s="77" t="str">
        <f>Q389*V389</f>
      </c>
      <c r="X389" s="78" t="str">
        <f>R389*V389</f>
      </c>
      <c r="Y389" s="79" t="str">
        <f>S389*V389</f>
      </c>
      <c r="Z389" s="80" t="str">
        <f>IFERROR(INDEX('Cost_Components'!$T$2:$T$27,MATCH(E389,'Cost_Components'!$A$2:$A$27,0)),"")</f>
      </c>
      <c r="AA389" s="81" t="str">
        <f>IFERROR(INDEX('Cost_Components'!$U$2:$U$27,MATCH(E389,'Cost_Components'!$A$2:$A$27,0)),"")</f>
      </c>
      <c r="AB389" s="82" t="str">
        <f>IFERROR(INDEX('Cost_Components'!$V$2:$V$27,MATCH(E389,'Cost_Components'!$A$2:$A$27,0)),"")</f>
      </c>
      <c r="AC389" s="83" t="str">
        <f>IFERROR(INDEX('Cost_Components'!$M$2:$M$27,MATCH(E389,'Cost_Components'!$A$2:$A$27,0)),"")</f>
      </c>
      <c r="AD389" s="84" t="str">
        <f>IFERROR(INDEX('Cost_Components'!$N$2:$N$27,MATCH(E389,'Cost_Components'!$A$2:$A$27,0)),"")</f>
      </c>
      <c r="AE389" s="20" t="str">
        <f>IFERROR(INDEX('Cost_Components'!$O$2:$O$27,MATCH(E389,'Cost_Components'!$A$2:$A$27,0)),"")</f>
      </c>
      <c r="AF389" s="85" t="n">
        <v>795846.578897717</v>
      </c>
      <c r="AG389" s="86" t="n">
        <v>795796.819401734</v>
      </c>
      <c r="AH389" s="87" t="str">
        <f>IF(H389="shared-count-once",COUNTIFS($A$2:$A$1353,A389,$B$2:$B$1353,B389,$E$2:$E$1353,E389),1)</f>
      </c>
    </row>
    <row r="390">
      <c r="A390" t="s">
        <v>205</v>
      </c>
      <c r="B390" s="59" t="n">
        <v>2049</v>
      </c>
      <c r="C390" t="s">
        <v>205</v>
      </c>
      <c r="D390" t="s">
        <v>180</v>
      </c>
      <c r="E390" s="60" t="s">
        <v>294</v>
      </c>
      <c r="F390" s="61" t="s">
        <v>295</v>
      </c>
      <c r="G390" s="62" t="s">
        <v>206</v>
      </c>
      <c r="H390" s="63" t="s">
        <v>195</v>
      </c>
      <c r="I390" s="64" t="s">
        <v>170</v>
      </c>
      <c r="J390" s="65" t="str">
        <f>IFERROR(INDEX('Cost_Components'!$K$2:$K$27,MATCH(E390,'Cost_Components'!$A$2:$A$27,0)),"")</f>
      </c>
      <c r="K390" s="66" t="str">
        <f>IF(OR(L390="",Z390="",AA390="",AB390=""),"",IF(B390&lt;AA390,L390,IF(B390&gt;AB390,Z390,L390+(Z390-L390)*MIN(MAX((B390-AA390+1)/MAX(AB390-AA390+1,1),0),1))))</f>
      </c>
      <c r="L390" s="67" t="str">
        <f>IFERROR(INDEX('Cost_Components'!$S$2:$S$27,MATCH(E390,'Cost_Components'!$A$2:$A$27,0)),"")</f>
      </c>
      <c r="M390" s="68" t="str">
        <f>IFERROR(INDEX('Cost_Components'!$L$2:$L$27,MATCH(E390,'Cost_Components'!$A$2:$A$27,0)),"")</f>
      </c>
      <c r="N390" s="69" t="str">
        <f>IFERROR(INDEX('Cost_Components'!$P$2:$P$27,MATCH(E390,'Cost_Components'!$A$2:$A$27,0)),"")</f>
      </c>
      <c r="O390" s="70" t="str">
        <f>AF390*J390</f>
      </c>
      <c r="P390" s="71" t="str">
        <f>AG390*J390</f>
      </c>
      <c r="Q390" s="72" t="str">
        <f>P390*L390*M390*N390</f>
      </c>
      <c r="R390" s="73" t="str">
        <f>O390*K390*M390*N390</f>
      </c>
      <c r="S390" s="74" t="str">
        <f>R390-Q390</f>
      </c>
      <c r="T390" s="20" t="str">
        <f>IFERROR(INDEX('Cost_Components'!$R$2:$R$27,MATCH(E390,'Cost_Components'!$A$2:$A$27,0)),"")</f>
      </c>
      <c r="U390" s="75" t="str">
        <f>IFERROR(INDEX('Cost_Components'!$Q$2:$Q$27,MATCH(E390,'Cost_Components'!$A$2:$A$27,0)),"")</f>
      </c>
      <c r="V390" s="76" t="str">
        <f>1/(1+'Calculation_Assumptions'!$B$5)^(B390-'Calculation_Assumptions'!$B$2)</f>
      </c>
      <c r="W390" s="77" t="str">
        <f>Q390*V390</f>
      </c>
      <c r="X390" s="78" t="str">
        <f>R390*V390</f>
      </c>
      <c r="Y390" s="79" t="str">
        <f>S390*V390</f>
      </c>
      <c r="Z390" s="80" t="str">
        <f>IFERROR(INDEX('Cost_Components'!$T$2:$T$27,MATCH(E390,'Cost_Components'!$A$2:$A$27,0)),"")</f>
      </c>
      <c r="AA390" s="81" t="str">
        <f>IFERROR(INDEX('Cost_Components'!$U$2:$U$27,MATCH(E390,'Cost_Components'!$A$2:$A$27,0)),"")</f>
      </c>
      <c r="AB390" s="82" t="str">
        <f>IFERROR(INDEX('Cost_Components'!$V$2:$V$27,MATCH(E390,'Cost_Components'!$A$2:$A$27,0)),"")</f>
      </c>
      <c r="AC390" s="83" t="str">
        <f>IFERROR(INDEX('Cost_Components'!$M$2:$M$27,MATCH(E390,'Cost_Components'!$A$2:$A$27,0)),"")</f>
      </c>
      <c r="AD390" s="84" t="str">
        <f>IFERROR(INDEX('Cost_Components'!$N$2:$N$27,MATCH(E390,'Cost_Components'!$A$2:$A$27,0)),"")</f>
      </c>
      <c r="AE390" s="20" t="str">
        <f>IFERROR(INDEX('Cost_Components'!$O$2:$O$27,MATCH(E390,'Cost_Components'!$A$2:$A$27,0)),"")</f>
      </c>
      <c r="AF390" s="85" t="n">
        <v>801651.344991777</v>
      </c>
      <c r="AG390" s="86" t="n">
        <v>801596.853664259</v>
      </c>
      <c r="AH390" s="87" t="str">
        <f>IF(H390="shared-count-once",COUNTIFS($A$2:$A$1353,A390,$B$2:$B$1353,B390,$E$2:$E$1353,E390),1)</f>
      </c>
    </row>
    <row r="391">
      <c r="A391" t="s">
        <v>205</v>
      </c>
      <c r="B391" s="59" t="n">
        <v>2050</v>
      </c>
      <c r="C391" t="s">
        <v>205</v>
      </c>
      <c r="D391" t="s">
        <v>180</v>
      </c>
      <c r="E391" s="60" t="s">
        <v>294</v>
      </c>
      <c r="F391" s="61" t="s">
        <v>295</v>
      </c>
      <c r="G391" s="62" t="s">
        <v>206</v>
      </c>
      <c r="H391" s="63" t="s">
        <v>195</v>
      </c>
      <c r="I391" s="64" t="s">
        <v>170</v>
      </c>
      <c r="J391" s="65" t="str">
        <f>IFERROR(INDEX('Cost_Components'!$K$2:$K$27,MATCH(E391,'Cost_Components'!$A$2:$A$27,0)),"")</f>
      </c>
      <c r="K391" s="66" t="str">
        <f>IF(OR(L391="",Z391="",AA391="",AB391=""),"",IF(B391&lt;AA391,L391,IF(B391&gt;AB391,Z391,L391+(Z391-L391)*MIN(MAX((B391-AA391+1)/MAX(AB391-AA391+1,1),0),1))))</f>
      </c>
      <c r="L391" s="67" t="str">
        <f>IFERROR(INDEX('Cost_Components'!$S$2:$S$27,MATCH(E391,'Cost_Components'!$A$2:$A$27,0)),"")</f>
      </c>
      <c r="M391" s="68" t="str">
        <f>IFERROR(INDEX('Cost_Components'!$L$2:$L$27,MATCH(E391,'Cost_Components'!$A$2:$A$27,0)),"")</f>
      </c>
      <c r="N391" s="69" t="str">
        <f>IFERROR(INDEX('Cost_Components'!$P$2:$P$27,MATCH(E391,'Cost_Components'!$A$2:$A$27,0)),"")</f>
      </c>
      <c r="O391" s="70" t="str">
        <f>AF391*J391</f>
      </c>
      <c r="P391" s="71" t="str">
        <f>AG391*J391</f>
      </c>
      <c r="Q391" s="72" t="str">
        <f>P391*L391*M391*N391</f>
      </c>
      <c r="R391" s="73" t="str">
        <f>O391*K391*M391*N391</f>
      </c>
      <c r="S391" s="74" t="str">
        <f>R391-Q391</f>
      </c>
      <c r="T391" s="20" t="str">
        <f>IFERROR(INDEX('Cost_Components'!$R$2:$R$27,MATCH(E391,'Cost_Components'!$A$2:$A$27,0)),"")</f>
      </c>
      <c r="U391" s="75" t="str">
        <f>IFERROR(INDEX('Cost_Components'!$Q$2:$Q$27,MATCH(E391,'Cost_Components'!$A$2:$A$27,0)),"")</f>
      </c>
      <c r="V391" s="76" t="str">
        <f>1/(1+'Calculation_Assumptions'!$B$5)^(B391-'Calculation_Assumptions'!$B$2)</f>
      </c>
      <c r="W391" s="77" t="str">
        <f>Q391*V391</f>
      </c>
      <c r="X391" s="78" t="str">
        <f>R391*V391</f>
      </c>
      <c r="Y391" s="79" t="str">
        <f>S391*V391</f>
      </c>
      <c r="Z391" s="80" t="str">
        <f>IFERROR(INDEX('Cost_Components'!$T$2:$T$27,MATCH(E391,'Cost_Components'!$A$2:$A$27,0)),"")</f>
      </c>
      <c r="AA391" s="81" t="str">
        <f>IFERROR(INDEX('Cost_Components'!$U$2:$U$27,MATCH(E391,'Cost_Components'!$A$2:$A$27,0)),"")</f>
      </c>
      <c r="AB391" s="82" t="str">
        <f>IFERROR(INDEX('Cost_Components'!$V$2:$V$27,MATCH(E391,'Cost_Components'!$A$2:$A$27,0)),"")</f>
      </c>
      <c r="AC391" s="83" t="str">
        <f>IFERROR(INDEX('Cost_Components'!$M$2:$M$27,MATCH(E391,'Cost_Components'!$A$2:$A$27,0)),"")</f>
      </c>
      <c r="AD391" s="84" t="str">
        <f>IFERROR(INDEX('Cost_Components'!$N$2:$N$27,MATCH(E391,'Cost_Components'!$A$2:$A$27,0)),"")</f>
      </c>
      <c r="AE391" s="20" t="str">
        <f>IFERROR(INDEX('Cost_Components'!$O$2:$O$27,MATCH(E391,'Cost_Components'!$A$2:$A$27,0)),"")</f>
      </c>
      <c r="AF391" s="85" t="n">
        <v>809077.594223162</v>
      </c>
      <c r="AG391" s="86" t="n">
        <v>809018.722538968</v>
      </c>
      <c r="AH391" s="87" t="str">
        <f>IF(H391="shared-count-once",COUNTIFS($A$2:$A$1353,A391,$B$2:$B$1353,B391,$E$2:$E$1353,E391),1)</f>
      </c>
    </row>
    <row r="392">
      <c r="A392" t="s">
        <v>205</v>
      </c>
      <c r="B392" s="59" t="n">
        <v>2025</v>
      </c>
      <c r="C392" t="s">
        <v>205</v>
      </c>
      <c r="D392" t="s">
        <v>180</v>
      </c>
      <c r="E392" s="60" t="s">
        <v>297</v>
      </c>
      <c r="F392" s="61" t="s">
        <v>298</v>
      </c>
      <c r="G392" s="62" t="s">
        <v>206</v>
      </c>
      <c r="H392" s="63" t="s">
        <v>195</v>
      </c>
      <c r="I392" s="64" t="s">
        <v>267</v>
      </c>
      <c r="J392" s="65" t="str">
        <f>IFERROR(INDEX('Cost_Components'!$K$2:$K$27,MATCH(E392,'Cost_Components'!$A$2:$A$27,0)),"")</f>
      </c>
      <c r="K392" s="66" t="str">
        <f>IF(OR(L392="",Z392="",AA392="",AB392=""),"",IF(B392&lt;AA392,L392,IF(B392&gt;AB392,Z392,L392+(Z392-L392)*MIN(MAX((B392-AA392+1)/MAX(AB392-AA392+1,1),0),1))))</f>
      </c>
      <c r="L392" s="67" t="str">
        <f>IFERROR(INDEX('Cost_Components'!$S$2:$S$27,MATCH(E392,'Cost_Components'!$A$2:$A$27,0)),"")</f>
      </c>
      <c r="M392" s="68" t="str">
        <f>IFERROR(INDEX('Cost_Components'!$L$2:$L$27,MATCH(E392,'Cost_Components'!$A$2:$A$27,0)),"")</f>
      </c>
      <c r="N392" s="69" t="str">
        <f>IFERROR(INDEX('Cost_Components'!$P$2:$P$27,MATCH(E392,'Cost_Components'!$A$2:$A$27,0)),"")</f>
      </c>
      <c r="O392" s="70" t="str">
        <f>AF392*J392</f>
      </c>
      <c r="P392" s="71" t="str">
        <f>AG392*J392</f>
      </c>
      <c r="Q392" s="72" t="str">
        <f>P392*L392*M392*N392</f>
      </c>
      <c r="R392" s="73" t="str">
        <f>O392*K392*M392*N392</f>
      </c>
      <c r="S392" s="74" t="str">
        <f>R392-Q392</f>
      </c>
      <c r="T392" s="20" t="str">
        <f>IFERROR(INDEX('Cost_Components'!$R$2:$R$27,MATCH(E392,'Cost_Components'!$A$2:$A$27,0)),"")</f>
      </c>
      <c r="U392" s="75" t="str">
        <f>IFERROR(INDEX('Cost_Components'!$Q$2:$Q$27,MATCH(E392,'Cost_Components'!$A$2:$A$27,0)),"")</f>
      </c>
      <c r="V392" s="76" t="str">
        <f>1/(1+'Calculation_Assumptions'!$B$5)^(B392-'Calculation_Assumptions'!$B$2)</f>
      </c>
      <c r="W392" s="77" t="str">
        <f>Q392*V392</f>
      </c>
      <c r="X392" s="78" t="str">
        <f>R392*V392</f>
      </c>
      <c r="Y392" s="79" t="str">
        <f>S392*V392</f>
      </c>
      <c r="Z392" s="80" t="str">
        <f>IFERROR(INDEX('Cost_Components'!$T$2:$T$27,MATCH(E392,'Cost_Components'!$A$2:$A$27,0)),"")</f>
      </c>
      <c r="AA392" s="81" t="str">
        <f>IFERROR(INDEX('Cost_Components'!$U$2:$U$27,MATCH(E392,'Cost_Components'!$A$2:$A$27,0)),"")</f>
      </c>
      <c r="AB392" s="82" t="str">
        <f>IFERROR(INDEX('Cost_Components'!$V$2:$V$27,MATCH(E392,'Cost_Components'!$A$2:$A$27,0)),"")</f>
      </c>
      <c r="AC392" s="83" t="str">
        <f>IFERROR(INDEX('Cost_Components'!$M$2:$M$27,MATCH(E392,'Cost_Components'!$A$2:$A$27,0)),"")</f>
      </c>
      <c r="AD392" s="84" t="str">
        <f>IFERROR(INDEX('Cost_Components'!$N$2:$N$27,MATCH(E392,'Cost_Components'!$A$2:$A$27,0)),"")</f>
      </c>
      <c r="AE392" s="20" t="str">
        <f>IFERROR(INDEX('Cost_Components'!$O$2:$O$27,MATCH(E392,'Cost_Components'!$A$2:$A$27,0)),"")</f>
      </c>
      <c r="AF392" s="85" t="n">
        <v>5102784.84317052</v>
      </c>
      <c r="AG392" s="86" t="n">
        <v>5102083.90698855</v>
      </c>
      <c r="AH392" s="87" t="str">
        <f>IF(H392="shared-count-once",COUNTIFS($A$2:$A$1353,A392,$B$2:$B$1353,B392,$E$2:$E$1353,E392),1)</f>
      </c>
    </row>
    <row r="393">
      <c r="A393" t="s">
        <v>205</v>
      </c>
      <c r="B393" s="59" t="n">
        <v>2026</v>
      </c>
      <c r="C393" t="s">
        <v>205</v>
      </c>
      <c r="D393" t="s">
        <v>180</v>
      </c>
      <c r="E393" s="60" t="s">
        <v>297</v>
      </c>
      <c r="F393" s="61" t="s">
        <v>298</v>
      </c>
      <c r="G393" s="62" t="s">
        <v>206</v>
      </c>
      <c r="H393" s="63" t="s">
        <v>195</v>
      </c>
      <c r="I393" s="64" t="s">
        <v>267</v>
      </c>
      <c r="J393" s="65" t="str">
        <f>IFERROR(INDEX('Cost_Components'!$K$2:$K$27,MATCH(E393,'Cost_Components'!$A$2:$A$27,0)),"")</f>
      </c>
      <c r="K393" s="66" t="str">
        <f>IF(OR(L393="",Z393="",AA393="",AB393=""),"",IF(B393&lt;AA393,L393,IF(B393&gt;AB393,Z393,L393+(Z393-L393)*MIN(MAX((B393-AA393+1)/MAX(AB393-AA393+1,1),0),1))))</f>
      </c>
      <c r="L393" s="67" t="str">
        <f>IFERROR(INDEX('Cost_Components'!$S$2:$S$27,MATCH(E393,'Cost_Components'!$A$2:$A$27,0)),"")</f>
      </c>
      <c r="M393" s="68" t="str">
        <f>IFERROR(INDEX('Cost_Components'!$L$2:$L$27,MATCH(E393,'Cost_Components'!$A$2:$A$27,0)),"")</f>
      </c>
      <c r="N393" s="69" t="str">
        <f>IFERROR(INDEX('Cost_Components'!$P$2:$P$27,MATCH(E393,'Cost_Components'!$A$2:$A$27,0)),"")</f>
      </c>
      <c r="O393" s="70" t="str">
        <f>AF393*J393</f>
      </c>
      <c r="P393" s="71" t="str">
        <f>AG393*J393</f>
      </c>
      <c r="Q393" s="72" t="str">
        <f>P393*L393*M393*N393</f>
      </c>
      <c r="R393" s="73" t="str">
        <f>O393*K393*M393*N393</f>
      </c>
      <c r="S393" s="74" t="str">
        <f>R393-Q393</f>
      </c>
      <c r="T393" s="20" t="str">
        <f>IFERROR(INDEX('Cost_Components'!$R$2:$R$27,MATCH(E393,'Cost_Components'!$A$2:$A$27,0)),"")</f>
      </c>
      <c r="U393" s="75" t="str">
        <f>IFERROR(INDEX('Cost_Components'!$Q$2:$Q$27,MATCH(E393,'Cost_Components'!$A$2:$A$27,0)),"")</f>
      </c>
      <c r="V393" s="76" t="str">
        <f>1/(1+'Calculation_Assumptions'!$B$5)^(B393-'Calculation_Assumptions'!$B$2)</f>
      </c>
      <c r="W393" s="77" t="str">
        <f>Q393*V393</f>
      </c>
      <c r="X393" s="78" t="str">
        <f>R393*V393</f>
      </c>
      <c r="Y393" s="79" t="str">
        <f>S393*V393</f>
      </c>
      <c r="Z393" s="80" t="str">
        <f>IFERROR(INDEX('Cost_Components'!$T$2:$T$27,MATCH(E393,'Cost_Components'!$A$2:$A$27,0)),"")</f>
      </c>
      <c r="AA393" s="81" t="str">
        <f>IFERROR(INDEX('Cost_Components'!$U$2:$U$27,MATCH(E393,'Cost_Components'!$A$2:$A$27,0)),"")</f>
      </c>
      <c r="AB393" s="82" t="str">
        <f>IFERROR(INDEX('Cost_Components'!$V$2:$V$27,MATCH(E393,'Cost_Components'!$A$2:$A$27,0)),"")</f>
      </c>
      <c r="AC393" s="83" t="str">
        <f>IFERROR(INDEX('Cost_Components'!$M$2:$M$27,MATCH(E393,'Cost_Components'!$A$2:$A$27,0)),"")</f>
      </c>
      <c r="AD393" s="84" t="str">
        <f>IFERROR(INDEX('Cost_Components'!$N$2:$N$27,MATCH(E393,'Cost_Components'!$A$2:$A$27,0)),"")</f>
      </c>
      <c r="AE393" s="20" t="str">
        <f>IFERROR(INDEX('Cost_Components'!$O$2:$O$27,MATCH(E393,'Cost_Components'!$A$2:$A$27,0)),"")</f>
      </c>
      <c r="AF393" s="85" t="n">
        <v>5227058.72004549</v>
      </c>
      <c r="AG393" s="86" t="n">
        <v>5224992.02984447</v>
      </c>
      <c r="AH393" s="87" t="str">
        <f>IF(H393="shared-count-once",COUNTIFS($A$2:$A$1353,A393,$B$2:$B$1353,B393,$E$2:$E$1353,E393),1)</f>
      </c>
    </row>
    <row r="394">
      <c r="A394" t="s">
        <v>205</v>
      </c>
      <c r="B394" s="59" t="n">
        <v>2027</v>
      </c>
      <c r="C394" t="s">
        <v>205</v>
      </c>
      <c r="D394" t="s">
        <v>180</v>
      </c>
      <c r="E394" s="60" t="s">
        <v>297</v>
      </c>
      <c r="F394" s="61" t="s">
        <v>298</v>
      </c>
      <c r="G394" s="62" t="s">
        <v>206</v>
      </c>
      <c r="H394" s="63" t="s">
        <v>195</v>
      </c>
      <c r="I394" s="64" t="s">
        <v>267</v>
      </c>
      <c r="J394" s="65" t="str">
        <f>IFERROR(INDEX('Cost_Components'!$K$2:$K$27,MATCH(E394,'Cost_Components'!$A$2:$A$27,0)),"")</f>
      </c>
      <c r="K394" s="66" t="str">
        <f>IF(OR(L394="",Z394="",AA394="",AB394=""),"",IF(B394&lt;AA394,L394,IF(B394&gt;AB394,Z394,L394+(Z394-L394)*MIN(MAX((B394-AA394+1)/MAX(AB394-AA394+1,1),0),1))))</f>
      </c>
      <c r="L394" s="67" t="str">
        <f>IFERROR(INDEX('Cost_Components'!$S$2:$S$27,MATCH(E394,'Cost_Components'!$A$2:$A$27,0)),"")</f>
      </c>
      <c r="M394" s="68" t="str">
        <f>IFERROR(INDEX('Cost_Components'!$L$2:$L$27,MATCH(E394,'Cost_Components'!$A$2:$A$27,0)),"")</f>
      </c>
      <c r="N394" s="69" t="str">
        <f>IFERROR(INDEX('Cost_Components'!$P$2:$P$27,MATCH(E394,'Cost_Components'!$A$2:$A$27,0)),"")</f>
      </c>
      <c r="O394" s="70" t="str">
        <f>AF394*J394</f>
      </c>
      <c r="P394" s="71" t="str">
        <f>AG394*J394</f>
      </c>
      <c r="Q394" s="72" t="str">
        <f>P394*L394*M394*N394</f>
      </c>
      <c r="R394" s="73" t="str">
        <f>O394*K394*M394*N394</f>
      </c>
      <c r="S394" s="74" t="str">
        <f>R394-Q394</f>
      </c>
      <c r="T394" s="20" t="str">
        <f>IFERROR(INDEX('Cost_Components'!$R$2:$R$27,MATCH(E394,'Cost_Components'!$A$2:$A$27,0)),"")</f>
      </c>
      <c r="U394" s="75" t="str">
        <f>IFERROR(INDEX('Cost_Components'!$Q$2:$Q$27,MATCH(E394,'Cost_Components'!$A$2:$A$27,0)),"")</f>
      </c>
      <c r="V394" s="76" t="str">
        <f>1/(1+'Calculation_Assumptions'!$B$5)^(B394-'Calculation_Assumptions'!$B$2)</f>
      </c>
      <c r="W394" s="77" t="str">
        <f>Q394*V394</f>
      </c>
      <c r="X394" s="78" t="str">
        <f>R394*V394</f>
      </c>
      <c r="Y394" s="79" t="str">
        <f>S394*V394</f>
      </c>
      <c r="Z394" s="80" t="str">
        <f>IFERROR(INDEX('Cost_Components'!$T$2:$T$27,MATCH(E394,'Cost_Components'!$A$2:$A$27,0)),"")</f>
      </c>
      <c r="AA394" s="81" t="str">
        <f>IFERROR(INDEX('Cost_Components'!$U$2:$U$27,MATCH(E394,'Cost_Components'!$A$2:$A$27,0)),"")</f>
      </c>
      <c r="AB394" s="82" t="str">
        <f>IFERROR(INDEX('Cost_Components'!$V$2:$V$27,MATCH(E394,'Cost_Components'!$A$2:$A$27,0)),"")</f>
      </c>
      <c r="AC394" s="83" t="str">
        <f>IFERROR(INDEX('Cost_Components'!$M$2:$M$27,MATCH(E394,'Cost_Components'!$A$2:$A$27,0)),"")</f>
      </c>
      <c r="AD394" s="84" t="str">
        <f>IFERROR(INDEX('Cost_Components'!$N$2:$N$27,MATCH(E394,'Cost_Components'!$A$2:$A$27,0)),"")</f>
      </c>
      <c r="AE394" s="20" t="str">
        <f>IFERROR(INDEX('Cost_Components'!$O$2:$O$27,MATCH(E394,'Cost_Components'!$A$2:$A$27,0)),"")</f>
      </c>
      <c r="AF394" s="85" t="n">
        <v>5349129.42781493</v>
      </c>
      <c r="AG394" s="86" t="n">
        <v>5345060.5643959</v>
      </c>
      <c r="AH394" s="87" t="str">
        <f>IF(H394="shared-count-once",COUNTIFS($A$2:$A$1353,A394,$B$2:$B$1353,B394,$E$2:$E$1353,E394),1)</f>
      </c>
    </row>
    <row r="395">
      <c r="A395" t="s">
        <v>205</v>
      </c>
      <c r="B395" s="59" t="n">
        <v>2028</v>
      </c>
      <c r="C395" t="s">
        <v>205</v>
      </c>
      <c r="D395" t="s">
        <v>180</v>
      </c>
      <c r="E395" s="60" t="s">
        <v>297</v>
      </c>
      <c r="F395" s="61" t="s">
        <v>298</v>
      </c>
      <c r="G395" s="62" t="s">
        <v>206</v>
      </c>
      <c r="H395" s="63" t="s">
        <v>195</v>
      </c>
      <c r="I395" s="64" t="s">
        <v>267</v>
      </c>
      <c r="J395" s="65" t="str">
        <f>IFERROR(INDEX('Cost_Components'!$K$2:$K$27,MATCH(E395,'Cost_Components'!$A$2:$A$27,0)),"")</f>
      </c>
      <c r="K395" s="66" t="str">
        <f>IF(OR(L395="",Z395="",AA395="",AB395=""),"",IF(B395&lt;AA395,L395,IF(B395&gt;AB395,Z395,L395+(Z395-L395)*MIN(MAX((B395-AA395+1)/MAX(AB395-AA395+1,1),0),1))))</f>
      </c>
      <c r="L395" s="67" t="str">
        <f>IFERROR(INDEX('Cost_Components'!$S$2:$S$27,MATCH(E395,'Cost_Components'!$A$2:$A$27,0)),"")</f>
      </c>
      <c r="M395" s="68" t="str">
        <f>IFERROR(INDEX('Cost_Components'!$L$2:$L$27,MATCH(E395,'Cost_Components'!$A$2:$A$27,0)),"")</f>
      </c>
      <c r="N395" s="69" t="str">
        <f>IFERROR(INDEX('Cost_Components'!$P$2:$P$27,MATCH(E395,'Cost_Components'!$A$2:$A$27,0)),"")</f>
      </c>
      <c r="O395" s="70" t="str">
        <f>AF395*J395</f>
      </c>
      <c r="P395" s="71" t="str">
        <f>AG395*J395</f>
      </c>
      <c r="Q395" s="72" t="str">
        <f>P395*L395*M395*N395</f>
      </c>
      <c r="R395" s="73" t="str">
        <f>O395*K395*M395*N395</f>
      </c>
      <c r="S395" s="74" t="str">
        <f>R395-Q395</f>
      </c>
      <c r="T395" s="20" t="str">
        <f>IFERROR(INDEX('Cost_Components'!$R$2:$R$27,MATCH(E395,'Cost_Components'!$A$2:$A$27,0)),"")</f>
      </c>
      <c r="U395" s="75" t="str">
        <f>IFERROR(INDEX('Cost_Components'!$Q$2:$Q$27,MATCH(E395,'Cost_Components'!$A$2:$A$27,0)),"")</f>
      </c>
      <c r="V395" s="76" t="str">
        <f>1/(1+'Calculation_Assumptions'!$B$5)^(B395-'Calculation_Assumptions'!$B$2)</f>
      </c>
      <c r="W395" s="77" t="str">
        <f>Q395*V395</f>
      </c>
      <c r="X395" s="78" t="str">
        <f>R395*V395</f>
      </c>
      <c r="Y395" s="79" t="str">
        <f>S395*V395</f>
      </c>
      <c r="Z395" s="80" t="str">
        <f>IFERROR(INDEX('Cost_Components'!$T$2:$T$27,MATCH(E395,'Cost_Components'!$A$2:$A$27,0)),"")</f>
      </c>
      <c r="AA395" s="81" t="str">
        <f>IFERROR(INDEX('Cost_Components'!$U$2:$U$27,MATCH(E395,'Cost_Components'!$A$2:$A$27,0)),"")</f>
      </c>
      <c r="AB395" s="82" t="str">
        <f>IFERROR(INDEX('Cost_Components'!$V$2:$V$27,MATCH(E395,'Cost_Components'!$A$2:$A$27,0)),"")</f>
      </c>
      <c r="AC395" s="83" t="str">
        <f>IFERROR(INDEX('Cost_Components'!$M$2:$M$27,MATCH(E395,'Cost_Components'!$A$2:$A$27,0)),"")</f>
      </c>
      <c r="AD395" s="84" t="str">
        <f>IFERROR(INDEX('Cost_Components'!$N$2:$N$27,MATCH(E395,'Cost_Components'!$A$2:$A$27,0)),"")</f>
      </c>
      <c r="AE395" s="20" t="str">
        <f>IFERROR(INDEX('Cost_Components'!$O$2:$O$27,MATCH(E395,'Cost_Components'!$A$2:$A$27,0)),"")</f>
      </c>
      <c r="AF395" s="85" t="n">
        <v>5470581.14802077</v>
      </c>
      <c r="AG395" s="86" t="n">
        <v>5463892.28222306</v>
      </c>
      <c r="AH395" s="87" t="str">
        <f>IF(H395="shared-count-once",COUNTIFS($A$2:$A$1353,A395,$B$2:$B$1353,B395,$E$2:$E$1353,E395),1)</f>
      </c>
    </row>
    <row r="396">
      <c r="A396" t="s">
        <v>205</v>
      </c>
      <c r="B396" s="59" t="n">
        <v>2029</v>
      </c>
      <c r="C396" t="s">
        <v>205</v>
      </c>
      <c r="D396" t="s">
        <v>180</v>
      </c>
      <c r="E396" s="60" t="s">
        <v>297</v>
      </c>
      <c r="F396" s="61" t="s">
        <v>298</v>
      </c>
      <c r="G396" s="62" t="s">
        <v>206</v>
      </c>
      <c r="H396" s="63" t="s">
        <v>195</v>
      </c>
      <c r="I396" s="64" t="s">
        <v>267</v>
      </c>
      <c r="J396" s="65" t="str">
        <f>IFERROR(INDEX('Cost_Components'!$K$2:$K$27,MATCH(E396,'Cost_Components'!$A$2:$A$27,0)),"")</f>
      </c>
      <c r="K396" s="66" t="str">
        <f>IF(OR(L396="",Z396="",AA396="",AB396=""),"",IF(B396&lt;AA396,L396,IF(B396&gt;AB396,Z396,L396+(Z396-L396)*MIN(MAX((B396-AA396+1)/MAX(AB396-AA396+1,1),0),1))))</f>
      </c>
      <c r="L396" s="67" t="str">
        <f>IFERROR(INDEX('Cost_Components'!$S$2:$S$27,MATCH(E396,'Cost_Components'!$A$2:$A$27,0)),"")</f>
      </c>
      <c r="M396" s="68" t="str">
        <f>IFERROR(INDEX('Cost_Components'!$L$2:$L$27,MATCH(E396,'Cost_Components'!$A$2:$A$27,0)),"")</f>
      </c>
      <c r="N396" s="69" t="str">
        <f>IFERROR(INDEX('Cost_Components'!$P$2:$P$27,MATCH(E396,'Cost_Components'!$A$2:$A$27,0)),"")</f>
      </c>
      <c r="O396" s="70" t="str">
        <f>AF396*J396</f>
      </c>
      <c r="P396" s="71" t="str">
        <f>AG396*J396</f>
      </c>
      <c r="Q396" s="72" t="str">
        <f>P396*L396*M396*N396</f>
      </c>
      <c r="R396" s="73" t="str">
        <f>O396*K396*M396*N396</f>
      </c>
      <c r="S396" s="74" t="str">
        <f>R396-Q396</f>
      </c>
      <c r="T396" s="20" t="str">
        <f>IFERROR(INDEX('Cost_Components'!$R$2:$R$27,MATCH(E396,'Cost_Components'!$A$2:$A$27,0)),"")</f>
      </c>
      <c r="U396" s="75" t="str">
        <f>IFERROR(INDEX('Cost_Components'!$Q$2:$Q$27,MATCH(E396,'Cost_Components'!$A$2:$A$27,0)),"")</f>
      </c>
      <c r="V396" s="76" t="str">
        <f>1/(1+'Calculation_Assumptions'!$B$5)^(B396-'Calculation_Assumptions'!$B$2)</f>
      </c>
      <c r="W396" s="77" t="str">
        <f>Q396*V396</f>
      </c>
      <c r="X396" s="78" t="str">
        <f>R396*V396</f>
      </c>
      <c r="Y396" s="79" t="str">
        <f>S396*V396</f>
      </c>
      <c r="Z396" s="80" t="str">
        <f>IFERROR(INDEX('Cost_Components'!$T$2:$T$27,MATCH(E396,'Cost_Components'!$A$2:$A$27,0)),"")</f>
      </c>
      <c r="AA396" s="81" t="str">
        <f>IFERROR(INDEX('Cost_Components'!$U$2:$U$27,MATCH(E396,'Cost_Components'!$A$2:$A$27,0)),"")</f>
      </c>
      <c r="AB396" s="82" t="str">
        <f>IFERROR(INDEX('Cost_Components'!$V$2:$V$27,MATCH(E396,'Cost_Components'!$A$2:$A$27,0)),"")</f>
      </c>
      <c r="AC396" s="83" t="str">
        <f>IFERROR(INDEX('Cost_Components'!$M$2:$M$27,MATCH(E396,'Cost_Components'!$A$2:$A$27,0)),"")</f>
      </c>
      <c r="AD396" s="84" t="str">
        <f>IFERROR(INDEX('Cost_Components'!$N$2:$N$27,MATCH(E396,'Cost_Components'!$A$2:$A$27,0)),"")</f>
      </c>
      <c r="AE396" s="20" t="str">
        <f>IFERROR(INDEX('Cost_Components'!$O$2:$O$27,MATCH(E396,'Cost_Components'!$A$2:$A$27,0)),"")</f>
      </c>
      <c r="AF396" s="85" t="n">
        <v>5587252.84678299</v>
      </c>
      <c r="AG396" s="86" t="n">
        <v>5577335.16444688</v>
      </c>
      <c r="AH396" s="87" t="str">
        <f>IF(H396="shared-count-once",COUNTIFS($A$2:$A$1353,A396,$B$2:$B$1353,B396,$E$2:$E$1353,E396),1)</f>
      </c>
    </row>
    <row r="397">
      <c r="A397" t="s">
        <v>205</v>
      </c>
      <c r="B397" s="59" t="n">
        <v>2030</v>
      </c>
      <c r="C397" t="s">
        <v>205</v>
      </c>
      <c r="D397" t="s">
        <v>180</v>
      </c>
      <c r="E397" s="60" t="s">
        <v>297</v>
      </c>
      <c r="F397" s="61" t="s">
        <v>298</v>
      </c>
      <c r="G397" s="62" t="s">
        <v>206</v>
      </c>
      <c r="H397" s="63" t="s">
        <v>195</v>
      </c>
      <c r="I397" s="64" t="s">
        <v>267</v>
      </c>
      <c r="J397" s="65" t="str">
        <f>IFERROR(INDEX('Cost_Components'!$K$2:$K$27,MATCH(E397,'Cost_Components'!$A$2:$A$27,0)),"")</f>
      </c>
      <c r="K397" s="66" t="str">
        <f>IF(OR(L397="",Z397="",AA397="",AB397=""),"",IF(B397&lt;AA397,L397,IF(B397&gt;AB397,Z397,L397+(Z397-L397)*MIN(MAX((B397-AA397+1)/MAX(AB397-AA397+1,1),0),1))))</f>
      </c>
      <c r="L397" s="67" t="str">
        <f>IFERROR(INDEX('Cost_Components'!$S$2:$S$27,MATCH(E397,'Cost_Components'!$A$2:$A$27,0)),"")</f>
      </c>
      <c r="M397" s="68" t="str">
        <f>IFERROR(INDEX('Cost_Components'!$L$2:$L$27,MATCH(E397,'Cost_Components'!$A$2:$A$27,0)),"")</f>
      </c>
      <c r="N397" s="69" t="str">
        <f>IFERROR(INDEX('Cost_Components'!$P$2:$P$27,MATCH(E397,'Cost_Components'!$A$2:$A$27,0)),"")</f>
      </c>
      <c r="O397" s="70" t="str">
        <f>AF397*J397</f>
      </c>
      <c r="P397" s="71" t="str">
        <f>AG397*J397</f>
      </c>
      <c r="Q397" s="72" t="str">
        <f>P397*L397*M397*N397</f>
      </c>
      <c r="R397" s="73" t="str">
        <f>O397*K397*M397*N397</f>
      </c>
      <c r="S397" s="74" t="str">
        <f>R397-Q397</f>
      </c>
      <c r="T397" s="20" t="str">
        <f>IFERROR(INDEX('Cost_Components'!$R$2:$R$27,MATCH(E397,'Cost_Components'!$A$2:$A$27,0)),"")</f>
      </c>
      <c r="U397" s="75" t="str">
        <f>IFERROR(INDEX('Cost_Components'!$Q$2:$Q$27,MATCH(E397,'Cost_Components'!$A$2:$A$27,0)),"")</f>
      </c>
      <c r="V397" s="76" t="str">
        <f>1/(1+'Calculation_Assumptions'!$B$5)^(B397-'Calculation_Assumptions'!$B$2)</f>
      </c>
      <c r="W397" s="77" t="str">
        <f>Q397*V397</f>
      </c>
      <c r="X397" s="78" t="str">
        <f>R397*V397</f>
      </c>
      <c r="Y397" s="79" t="str">
        <f>S397*V397</f>
      </c>
      <c r="Z397" s="80" t="str">
        <f>IFERROR(INDEX('Cost_Components'!$T$2:$T$27,MATCH(E397,'Cost_Components'!$A$2:$A$27,0)),"")</f>
      </c>
      <c r="AA397" s="81" t="str">
        <f>IFERROR(INDEX('Cost_Components'!$U$2:$U$27,MATCH(E397,'Cost_Components'!$A$2:$A$27,0)),"")</f>
      </c>
      <c r="AB397" s="82" t="str">
        <f>IFERROR(INDEX('Cost_Components'!$V$2:$V$27,MATCH(E397,'Cost_Components'!$A$2:$A$27,0)),"")</f>
      </c>
      <c r="AC397" s="83" t="str">
        <f>IFERROR(INDEX('Cost_Components'!$M$2:$M$27,MATCH(E397,'Cost_Components'!$A$2:$A$27,0)),"")</f>
      </c>
      <c r="AD397" s="84" t="str">
        <f>IFERROR(INDEX('Cost_Components'!$N$2:$N$27,MATCH(E397,'Cost_Components'!$A$2:$A$27,0)),"")</f>
      </c>
      <c r="AE397" s="20" t="str">
        <f>IFERROR(INDEX('Cost_Components'!$O$2:$O$27,MATCH(E397,'Cost_Components'!$A$2:$A$27,0)),"")</f>
      </c>
      <c r="AF397" s="85" t="n">
        <v>5706144.35717538</v>
      </c>
      <c r="AG397" s="86" t="n">
        <v>5692434.95186848</v>
      </c>
      <c r="AH397" s="87" t="str">
        <f>IF(H397="shared-count-once",COUNTIFS($A$2:$A$1353,A397,$B$2:$B$1353,B397,$E$2:$E$1353,E397),1)</f>
      </c>
    </row>
    <row r="398">
      <c r="A398" t="s">
        <v>205</v>
      </c>
      <c r="B398" s="59" t="n">
        <v>2031</v>
      </c>
      <c r="C398" t="s">
        <v>205</v>
      </c>
      <c r="D398" t="s">
        <v>180</v>
      </c>
      <c r="E398" s="60" t="s">
        <v>297</v>
      </c>
      <c r="F398" s="61" t="s">
        <v>298</v>
      </c>
      <c r="G398" s="62" t="s">
        <v>206</v>
      </c>
      <c r="H398" s="63" t="s">
        <v>195</v>
      </c>
      <c r="I398" s="64" t="s">
        <v>267</v>
      </c>
      <c r="J398" s="65" t="str">
        <f>IFERROR(INDEX('Cost_Components'!$K$2:$K$27,MATCH(E398,'Cost_Components'!$A$2:$A$27,0)),"")</f>
      </c>
      <c r="K398" s="66" t="str">
        <f>IF(OR(L398="",Z398="",AA398="",AB398=""),"",IF(B398&lt;AA398,L398,IF(B398&gt;AB398,Z398,L398+(Z398-L398)*MIN(MAX((B398-AA398+1)/MAX(AB398-AA398+1,1),0),1))))</f>
      </c>
      <c r="L398" s="67" t="str">
        <f>IFERROR(INDEX('Cost_Components'!$S$2:$S$27,MATCH(E398,'Cost_Components'!$A$2:$A$27,0)),"")</f>
      </c>
      <c r="M398" s="68" t="str">
        <f>IFERROR(INDEX('Cost_Components'!$L$2:$L$27,MATCH(E398,'Cost_Components'!$A$2:$A$27,0)),"")</f>
      </c>
      <c r="N398" s="69" t="str">
        <f>IFERROR(INDEX('Cost_Components'!$P$2:$P$27,MATCH(E398,'Cost_Components'!$A$2:$A$27,0)),"")</f>
      </c>
      <c r="O398" s="70" t="str">
        <f>AF398*J398</f>
      </c>
      <c r="P398" s="71" t="str">
        <f>AG398*J398</f>
      </c>
      <c r="Q398" s="72" t="str">
        <f>P398*L398*M398*N398</f>
      </c>
      <c r="R398" s="73" t="str">
        <f>O398*K398*M398*N398</f>
      </c>
      <c r="S398" s="74" t="str">
        <f>R398-Q398</f>
      </c>
      <c r="T398" s="20" t="str">
        <f>IFERROR(INDEX('Cost_Components'!$R$2:$R$27,MATCH(E398,'Cost_Components'!$A$2:$A$27,0)),"")</f>
      </c>
      <c r="U398" s="75" t="str">
        <f>IFERROR(INDEX('Cost_Components'!$Q$2:$Q$27,MATCH(E398,'Cost_Components'!$A$2:$A$27,0)),"")</f>
      </c>
      <c r="V398" s="76" t="str">
        <f>1/(1+'Calculation_Assumptions'!$B$5)^(B398-'Calculation_Assumptions'!$B$2)</f>
      </c>
      <c r="W398" s="77" t="str">
        <f>Q398*V398</f>
      </c>
      <c r="X398" s="78" t="str">
        <f>R398*V398</f>
      </c>
      <c r="Y398" s="79" t="str">
        <f>S398*V398</f>
      </c>
      <c r="Z398" s="80" t="str">
        <f>IFERROR(INDEX('Cost_Components'!$T$2:$T$27,MATCH(E398,'Cost_Components'!$A$2:$A$27,0)),"")</f>
      </c>
      <c r="AA398" s="81" t="str">
        <f>IFERROR(INDEX('Cost_Components'!$U$2:$U$27,MATCH(E398,'Cost_Components'!$A$2:$A$27,0)),"")</f>
      </c>
      <c r="AB398" s="82" t="str">
        <f>IFERROR(INDEX('Cost_Components'!$V$2:$V$27,MATCH(E398,'Cost_Components'!$A$2:$A$27,0)),"")</f>
      </c>
      <c r="AC398" s="83" t="str">
        <f>IFERROR(INDEX('Cost_Components'!$M$2:$M$27,MATCH(E398,'Cost_Components'!$A$2:$A$27,0)),"")</f>
      </c>
      <c r="AD398" s="84" t="str">
        <f>IFERROR(INDEX('Cost_Components'!$N$2:$N$27,MATCH(E398,'Cost_Components'!$A$2:$A$27,0)),"")</f>
      </c>
      <c r="AE398" s="20" t="str">
        <f>IFERROR(INDEX('Cost_Components'!$O$2:$O$27,MATCH(E398,'Cost_Components'!$A$2:$A$27,0)),"")</f>
      </c>
      <c r="AF398" s="85" t="n">
        <v>5827496.82493079</v>
      </c>
      <c r="AG398" s="86" t="n">
        <v>5809459.27108144</v>
      </c>
      <c r="AH398" s="87" t="str">
        <f>IF(H398="shared-count-once",COUNTIFS($A$2:$A$1353,A398,$B$2:$B$1353,B398,$E$2:$E$1353,E398),1)</f>
      </c>
    </row>
    <row r="399">
      <c r="A399" t="s">
        <v>205</v>
      </c>
      <c r="B399" s="59" t="n">
        <v>2032</v>
      </c>
      <c r="C399" t="s">
        <v>205</v>
      </c>
      <c r="D399" t="s">
        <v>180</v>
      </c>
      <c r="E399" s="60" t="s">
        <v>297</v>
      </c>
      <c r="F399" s="61" t="s">
        <v>298</v>
      </c>
      <c r="G399" s="62" t="s">
        <v>206</v>
      </c>
      <c r="H399" s="63" t="s">
        <v>195</v>
      </c>
      <c r="I399" s="64" t="s">
        <v>267</v>
      </c>
      <c r="J399" s="65" t="str">
        <f>IFERROR(INDEX('Cost_Components'!$K$2:$K$27,MATCH(E399,'Cost_Components'!$A$2:$A$27,0)),"")</f>
      </c>
      <c r="K399" s="66" t="str">
        <f>IF(OR(L399="",Z399="",AA399="",AB399=""),"",IF(B399&lt;AA399,L399,IF(B399&gt;AB399,Z399,L399+(Z399-L399)*MIN(MAX((B399-AA399+1)/MAX(AB399-AA399+1,1),0),1))))</f>
      </c>
      <c r="L399" s="67" t="str">
        <f>IFERROR(INDEX('Cost_Components'!$S$2:$S$27,MATCH(E399,'Cost_Components'!$A$2:$A$27,0)),"")</f>
      </c>
      <c r="M399" s="68" t="str">
        <f>IFERROR(INDEX('Cost_Components'!$L$2:$L$27,MATCH(E399,'Cost_Components'!$A$2:$A$27,0)),"")</f>
      </c>
      <c r="N399" s="69" t="str">
        <f>IFERROR(INDEX('Cost_Components'!$P$2:$P$27,MATCH(E399,'Cost_Components'!$A$2:$A$27,0)),"")</f>
      </c>
      <c r="O399" s="70" t="str">
        <f>AF399*J399</f>
      </c>
      <c r="P399" s="71" t="str">
        <f>AG399*J399</f>
      </c>
      <c r="Q399" s="72" t="str">
        <f>P399*L399*M399*N399</f>
      </c>
      <c r="R399" s="73" t="str">
        <f>O399*K399*M399*N399</f>
      </c>
      <c r="S399" s="74" t="str">
        <f>R399-Q399</f>
      </c>
      <c r="T399" s="20" t="str">
        <f>IFERROR(INDEX('Cost_Components'!$R$2:$R$27,MATCH(E399,'Cost_Components'!$A$2:$A$27,0)),"")</f>
      </c>
      <c r="U399" s="75" t="str">
        <f>IFERROR(INDEX('Cost_Components'!$Q$2:$Q$27,MATCH(E399,'Cost_Components'!$A$2:$A$27,0)),"")</f>
      </c>
      <c r="V399" s="76" t="str">
        <f>1/(1+'Calculation_Assumptions'!$B$5)^(B399-'Calculation_Assumptions'!$B$2)</f>
      </c>
      <c r="W399" s="77" t="str">
        <f>Q399*V399</f>
      </c>
      <c r="X399" s="78" t="str">
        <f>R399*V399</f>
      </c>
      <c r="Y399" s="79" t="str">
        <f>S399*V399</f>
      </c>
      <c r="Z399" s="80" t="str">
        <f>IFERROR(INDEX('Cost_Components'!$T$2:$T$27,MATCH(E399,'Cost_Components'!$A$2:$A$27,0)),"")</f>
      </c>
      <c r="AA399" s="81" t="str">
        <f>IFERROR(INDEX('Cost_Components'!$U$2:$U$27,MATCH(E399,'Cost_Components'!$A$2:$A$27,0)),"")</f>
      </c>
      <c r="AB399" s="82" t="str">
        <f>IFERROR(INDEX('Cost_Components'!$V$2:$V$27,MATCH(E399,'Cost_Components'!$A$2:$A$27,0)),"")</f>
      </c>
      <c r="AC399" s="83" t="str">
        <f>IFERROR(INDEX('Cost_Components'!$M$2:$M$27,MATCH(E399,'Cost_Components'!$A$2:$A$27,0)),"")</f>
      </c>
      <c r="AD399" s="84" t="str">
        <f>IFERROR(INDEX('Cost_Components'!$N$2:$N$27,MATCH(E399,'Cost_Components'!$A$2:$A$27,0)),"")</f>
      </c>
      <c r="AE399" s="20" t="str">
        <f>IFERROR(INDEX('Cost_Components'!$O$2:$O$27,MATCH(E399,'Cost_Components'!$A$2:$A$27,0)),"")</f>
      </c>
      <c r="AF399" s="85" t="n">
        <v>5950853.31512361</v>
      </c>
      <c r="AG399" s="86" t="n">
        <v>5927965.33586751</v>
      </c>
      <c r="AH399" s="87" t="str">
        <f>IF(H399="shared-count-once",COUNTIFS($A$2:$A$1353,A399,$B$2:$B$1353,B399,$E$2:$E$1353,E399),1)</f>
      </c>
    </row>
    <row r="400">
      <c r="A400" t="s">
        <v>205</v>
      </c>
      <c r="B400" s="59" t="n">
        <v>2033</v>
      </c>
      <c r="C400" t="s">
        <v>205</v>
      </c>
      <c r="D400" t="s">
        <v>180</v>
      </c>
      <c r="E400" s="60" t="s">
        <v>297</v>
      </c>
      <c r="F400" s="61" t="s">
        <v>298</v>
      </c>
      <c r="G400" s="62" t="s">
        <v>206</v>
      </c>
      <c r="H400" s="63" t="s">
        <v>195</v>
      </c>
      <c r="I400" s="64" t="s">
        <v>267</v>
      </c>
      <c r="J400" s="65" t="str">
        <f>IFERROR(INDEX('Cost_Components'!$K$2:$K$27,MATCH(E400,'Cost_Components'!$A$2:$A$27,0)),"")</f>
      </c>
      <c r="K400" s="66" t="str">
        <f>IF(OR(L400="",Z400="",AA400="",AB400=""),"",IF(B400&lt;AA400,L400,IF(B400&gt;AB400,Z400,L400+(Z400-L400)*MIN(MAX((B400-AA400+1)/MAX(AB400-AA400+1,1),0),1))))</f>
      </c>
      <c r="L400" s="67" t="str">
        <f>IFERROR(INDEX('Cost_Components'!$S$2:$S$27,MATCH(E400,'Cost_Components'!$A$2:$A$27,0)),"")</f>
      </c>
      <c r="M400" s="68" t="str">
        <f>IFERROR(INDEX('Cost_Components'!$L$2:$L$27,MATCH(E400,'Cost_Components'!$A$2:$A$27,0)),"")</f>
      </c>
      <c r="N400" s="69" t="str">
        <f>IFERROR(INDEX('Cost_Components'!$P$2:$P$27,MATCH(E400,'Cost_Components'!$A$2:$A$27,0)),"")</f>
      </c>
      <c r="O400" s="70" t="str">
        <f>AF400*J400</f>
      </c>
      <c r="P400" s="71" t="str">
        <f>AG400*J400</f>
      </c>
      <c r="Q400" s="72" t="str">
        <f>P400*L400*M400*N400</f>
      </c>
      <c r="R400" s="73" t="str">
        <f>O400*K400*M400*N400</f>
      </c>
      <c r="S400" s="74" t="str">
        <f>R400-Q400</f>
      </c>
      <c r="T400" s="20" t="str">
        <f>IFERROR(INDEX('Cost_Components'!$R$2:$R$27,MATCH(E400,'Cost_Components'!$A$2:$A$27,0)),"")</f>
      </c>
      <c r="U400" s="75" t="str">
        <f>IFERROR(INDEX('Cost_Components'!$Q$2:$Q$27,MATCH(E400,'Cost_Components'!$A$2:$A$27,0)),"")</f>
      </c>
      <c r="V400" s="76" t="str">
        <f>1/(1+'Calculation_Assumptions'!$B$5)^(B400-'Calculation_Assumptions'!$B$2)</f>
      </c>
      <c r="W400" s="77" t="str">
        <f>Q400*V400</f>
      </c>
      <c r="X400" s="78" t="str">
        <f>R400*V400</f>
      </c>
      <c r="Y400" s="79" t="str">
        <f>S400*V400</f>
      </c>
      <c r="Z400" s="80" t="str">
        <f>IFERROR(INDEX('Cost_Components'!$T$2:$T$27,MATCH(E400,'Cost_Components'!$A$2:$A$27,0)),"")</f>
      </c>
      <c r="AA400" s="81" t="str">
        <f>IFERROR(INDEX('Cost_Components'!$U$2:$U$27,MATCH(E400,'Cost_Components'!$A$2:$A$27,0)),"")</f>
      </c>
      <c r="AB400" s="82" t="str">
        <f>IFERROR(INDEX('Cost_Components'!$V$2:$V$27,MATCH(E400,'Cost_Components'!$A$2:$A$27,0)),"")</f>
      </c>
      <c r="AC400" s="83" t="str">
        <f>IFERROR(INDEX('Cost_Components'!$M$2:$M$27,MATCH(E400,'Cost_Components'!$A$2:$A$27,0)),"")</f>
      </c>
      <c r="AD400" s="84" t="str">
        <f>IFERROR(INDEX('Cost_Components'!$N$2:$N$27,MATCH(E400,'Cost_Components'!$A$2:$A$27,0)),"")</f>
      </c>
      <c r="AE400" s="20" t="str">
        <f>IFERROR(INDEX('Cost_Components'!$O$2:$O$27,MATCH(E400,'Cost_Components'!$A$2:$A$27,0)),"")</f>
      </c>
      <c r="AF400" s="85" t="n">
        <v>6076472.61008887</v>
      </c>
      <c r="AG400" s="86" t="n">
        <v>6048231.79901667</v>
      </c>
      <c r="AH400" s="87" t="str">
        <f>IF(H400="shared-count-once",COUNTIFS($A$2:$A$1353,A400,$B$2:$B$1353,B400,$E$2:$E$1353,E400),1)</f>
      </c>
    </row>
    <row r="401">
      <c r="A401" t="s">
        <v>205</v>
      </c>
      <c r="B401" s="59" t="n">
        <v>2034</v>
      </c>
      <c r="C401" t="s">
        <v>205</v>
      </c>
      <c r="D401" t="s">
        <v>180</v>
      </c>
      <c r="E401" s="60" t="s">
        <v>297</v>
      </c>
      <c r="F401" s="61" t="s">
        <v>298</v>
      </c>
      <c r="G401" s="62" t="s">
        <v>206</v>
      </c>
      <c r="H401" s="63" t="s">
        <v>195</v>
      </c>
      <c r="I401" s="64" t="s">
        <v>267</v>
      </c>
      <c r="J401" s="65" t="str">
        <f>IFERROR(INDEX('Cost_Components'!$K$2:$K$27,MATCH(E401,'Cost_Components'!$A$2:$A$27,0)),"")</f>
      </c>
      <c r="K401" s="66" t="str">
        <f>IF(OR(L401="",Z401="",AA401="",AB401=""),"",IF(B401&lt;AA401,L401,IF(B401&gt;AB401,Z401,L401+(Z401-L401)*MIN(MAX((B401-AA401+1)/MAX(AB401-AA401+1,1),0),1))))</f>
      </c>
      <c r="L401" s="67" t="str">
        <f>IFERROR(INDEX('Cost_Components'!$S$2:$S$27,MATCH(E401,'Cost_Components'!$A$2:$A$27,0)),"")</f>
      </c>
      <c r="M401" s="68" t="str">
        <f>IFERROR(INDEX('Cost_Components'!$L$2:$L$27,MATCH(E401,'Cost_Components'!$A$2:$A$27,0)),"")</f>
      </c>
      <c r="N401" s="69" t="str">
        <f>IFERROR(INDEX('Cost_Components'!$P$2:$P$27,MATCH(E401,'Cost_Components'!$A$2:$A$27,0)),"")</f>
      </c>
      <c r="O401" s="70" t="str">
        <f>AF401*J401</f>
      </c>
      <c r="P401" s="71" t="str">
        <f>AG401*J401</f>
      </c>
      <c r="Q401" s="72" t="str">
        <f>P401*L401*M401*N401</f>
      </c>
      <c r="R401" s="73" t="str">
        <f>O401*K401*M401*N401</f>
      </c>
      <c r="S401" s="74" t="str">
        <f>R401-Q401</f>
      </c>
      <c r="T401" s="20" t="str">
        <f>IFERROR(INDEX('Cost_Components'!$R$2:$R$27,MATCH(E401,'Cost_Components'!$A$2:$A$27,0)),"")</f>
      </c>
      <c r="U401" s="75" t="str">
        <f>IFERROR(INDEX('Cost_Components'!$Q$2:$Q$27,MATCH(E401,'Cost_Components'!$A$2:$A$27,0)),"")</f>
      </c>
      <c r="V401" s="76" t="str">
        <f>1/(1+'Calculation_Assumptions'!$B$5)^(B401-'Calculation_Assumptions'!$B$2)</f>
      </c>
      <c r="W401" s="77" t="str">
        <f>Q401*V401</f>
      </c>
      <c r="X401" s="78" t="str">
        <f>R401*V401</f>
      </c>
      <c r="Y401" s="79" t="str">
        <f>S401*V401</f>
      </c>
      <c r="Z401" s="80" t="str">
        <f>IFERROR(INDEX('Cost_Components'!$T$2:$T$27,MATCH(E401,'Cost_Components'!$A$2:$A$27,0)),"")</f>
      </c>
      <c r="AA401" s="81" t="str">
        <f>IFERROR(INDEX('Cost_Components'!$U$2:$U$27,MATCH(E401,'Cost_Components'!$A$2:$A$27,0)),"")</f>
      </c>
      <c r="AB401" s="82" t="str">
        <f>IFERROR(INDEX('Cost_Components'!$V$2:$V$27,MATCH(E401,'Cost_Components'!$A$2:$A$27,0)),"")</f>
      </c>
      <c r="AC401" s="83" t="str">
        <f>IFERROR(INDEX('Cost_Components'!$M$2:$M$27,MATCH(E401,'Cost_Components'!$A$2:$A$27,0)),"")</f>
      </c>
      <c r="AD401" s="84" t="str">
        <f>IFERROR(INDEX('Cost_Components'!$N$2:$N$27,MATCH(E401,'Cost_Components'!$A$2:$A$27,0)),"")</f>
      </c>
      <c r="AE401" s="20" t="str">
        <f>IFERROR(INDEX('Cost_Components'!$O$2:$O$27,MATCH(E401,'Cost_Components'!$A$2:$A$27,0)),"")</f>
      </c>
      <c r="AF401" s="85" t="n">
        <v>6199400.13376597</v>
      </c>
      <c r="AG401" s="86" t="n">
        <v>6165314.81756487</v>
      </c>
      <c r="AH401" s="87" t="str">
        <f>IF(H401="shared-count-once",COUNTIFS($A$2:$A$1353,A401,$B$2:$B$1353,B401,$E$2:$E$1353,E401),1)</f>
      </c>
    </row>
    <row r="402">
      <c r="A402" t="s">
        <v>205</v>
      </c>
      <c r="B402" s="59" t="n">
        <v>2035</v>
      </c>
      <c r="C402" t="s">
        <v>205</v>
      </c>
      <c r="D402" t="s">
        <v>180</v>
      </c>
      <c r="E402" s="60" t="s">
        <v>297</v>
      </c>
      <c r="F402" s="61" t="s">
        <v>298</v>
      </c>
      <c r="G402" s="62" t="s">
        <v>206</v>
      </c>
      <c r="H402" s="63" t="s">
        <v>195</v>
      </c>
      <c r="I402" s="64" t="s">
        <v>267</v>
      </c>
      <c r="J402" s="65" t="str">
        <f>IFERROR(INDEX('Cost_Components'!$K$2:$K$27,MATCH(E402,'Cost_Components'!$A$2:$A$27,0)),"")</f>
      </c>
      <c r="K402" s="66" t="str">
        <f>IF(OR(L402="",Z402="",AA402="",AB402=""),"",IF(B402&lt;AA402,L402,IF(B402&gt;AB402,Z402,L402+(Z402-L402)*MIN(MAX((B402-AA402+1)/MAX(AB402-AA402+1,1),0),1))))</f>
      </c>
      <c r="L402" s="67" t="str">
        <f>IFERROR(INDEX('Cost_Components'!$S$2:$S$27,MATCH(E402,'Cost_Components'!$A$2:$A$27,0)),"")</f>
      </c>
      <c r="M402" s="68" t="str">
        <f>IFERROR(INDEX('Cost_Components'!$L$2:$L$27,MATCH(E402,'Cost_Components'!$A$2:$A$27,0)),"")</f>
      </c>
      <c r="N402" s="69" t="str">
        <f>IFERROR(INDEX('Cost_Components'!$P$2:$P$27,MATCH(E402,'Cost_Components'!$A$2:$A$27,0)),"")</f>
      </c>
      <c r="O402" s="70" t="str">
        <f>AF402*J402</f>
      </c>
      <c r="P402" s="71" t="str">
        <f>AG402*J402</f>
      </c>
      <c r="Q402" s="72" t="str">
        <f>P402*L402*M402*N402</f>
      </c>
      <c r="R402" s="73" t="str">
        <f>O402*K402*M402*N402</f>
      </c>
      <c r="S402" s="74" t="str">
        <f>R402-Q402</f>
      </c>
      <c r="T402" s="20" t="str">
        <f>IFERROR(INDEX('Cost_Components'!$R$2:$R$27,MATCH(E402,'Cost_Components'!$A$2:$A$27,0)),"")</f>
      </c>
      <c r="U402" s="75" t="str">
        <f>IFERROR(INDEX('Cost_Components'!$Q$2:$Q$27,MATCH(E402,'Cost_Components'!$A$2:$A$27,0)),"")</f>
      </c>
      <c r="V402" s="76" t="str">
        <f>1/(1+'Calculation_Assumptions'!$B$5)^(B402-'Calculation_Assumptions'!$B$2)</f>
      </c>
      <c r="W402" s="77" t="str">
        <f>Q402*V402</f>
      </c>
      <c r="X402" s="78" t="str">
        <f>R402*V402</f>
      </c>
      <c r="Y402" s="79" t="str">
        <f>S402*V402</f>
      </c>
      <c r="Z402" s="80" t="str">
        <f>IFERROR(INDEX('Cost_Components'!$T$2:$T$27,MATCH(E402,'Cost_Components'!$A$2:$A$27,0)),"")</f>
      </c>
      <c r="AA402" s="81" t="str">
        <f>IFERROR(INDEX('Cost_Components'!$U$2:$U$27,MATCH(E402,'Cost_Components'!$A$2:$A$27,0)),"")</f>
      </c>
      <c r="AB402" s="82" t="str">
        <f>IFERROR(INDEX('Cost_Components'!$V$2:$V$27,MATCH(E402,'Cost_Components'!$A$2:$A$27,0)),"")</f>
      </c>
      <c r="AC402" s="83" t="str">
        <f>IFERROR(INDEX('Cost_Components'!$M$2:$M$27,MATCH(E402,'Cost_Components'!$A$2:$A$27,0)),"")</f>
      </c>
      <c r="AD402" s="84" t="str">
        <f>IFERROR(INDEX('Cost_Components'!$N$2:$N$27,MATCH(E402,'Cost_Components'!$A$2:$A$27,0)),"")</f>
      </c>
      <c r="AE402" s="20" t="str">
        <f>IFERROR(INDEX('Cost_Components'!$O$2:$O$27,MATCH(E402,'Cost_Components'!$A$2:$A$27,0)),"")</f>
      </c>
      <c r="AF402" s="85" t="n">
        <v>6324406.99137606</v>
      </c>
      <c r="AG402" s="86" t="n">
        <v>6284033.10491271</v>
      </c>
      <c r="AH402" s="87" t="str">
        <f>IF(H402="shared-count-once",COUNTIFS($A$2:$A$1353,A402,$B$2:$B$1353,B402,$E$2:$E$1353,E402),1)</f>
      </c>
    </row>
    <row r="403">
      <c r="A403" t="s">
        <v>205</v>
      </c>
      <c r="B403" s="59" t="n">
        <v>2036</v>
      </c>
      <c r="C403" t="s">
        <v>205</v>
      </c>
      <c r="D403" t="s">
        <v>180</v>
      </c>
      <c r="E403" s="60" t="s">
        <v>297</v>
      </c>
      <c r="F403" s="61" t="s">
        <v>298</v>
      </c>
      <c r="G403" s="62" t="s">
        <v>206</v>
      </c>
      <c r="H403" s="63" t="s">
        <v>195</v>
      </c>
      <c r="I403" s="64" t="s">
        <v>267</v>
      </c>
      <c r="J403" s="65" t="str">
        <f>IFERROR(INDEX('Cost_Components'!$K$2:$K$27,MATCH(E403,'Cost_Components'!$A$2:$A$27,0)),"")</f>
      </c>
      <c r="K403" s="66" t="str">
        <f>IF(OR(L403="",Z403="",AA403="",AB403=""),"",IF(B403&lt;AA403,L403,IF(B403&gt;AB403,Z403,L403+(Z403-L403)*MIN(MAX((B403-AA403+1)/MAX(AB403-AA403+1,1),0),1))))</f>
      </c>
      <c r="L403" s="67" t="str">
        <f>IFERROR(INDEX('Cost_Components'!$S$2:$S$27,MATCH(E403,'Cost_Components'!$A$2:$A$27,0)),"")</f>
      </c>
      <c r="M403" s="68" t="str">
        <f>IFERROR(INDEX('Cost_Components'!$L$2:$L$27,MATCH(E403,'Cost_Components'!$A$2:$A$27,0)),"")</f>
      </c>
      <c r="N403" s="69" t="str">
        <f>IFERROR(INDEX('Cost_Components'!$P$2:$P$27,MATCH(E403,'Cost_Components'!$A$2:$A$27,0)),"")</f>
      </c>
      <c r="O403" s="70" t="str">
        <f>AF403*J403</f>
      </c>
      <c r="P403" s="71" t="str">
        <f>AG403*J403</f>
      </c>
      <c r="Q403" s="72" t="str">
        <f>P403*L403*M403*N403</f>
      </c>
      <c r="R403" s="73" t="str">
        <f>O403*K403*M403*N403</f>
      </c>
      <c r="S403" s="74" t="str">
        <f>R403-Q403</f>
      </c>
      <c r="T403" s="20" t="str">
        <f>IFERROR(INDEX('Cost_Components'!$R$2:$R$27,MATCH(E403,'Cost_Components'!$A$2:$A$27,0)),"")</f>
      </c>
      <c r="U403" s="75" t="str">
        <f>IFERROR(INDEX('Cost_Components'!$Q$2:$Q$27,MATCH(E403,'Cost_Components'!$A$2:$A$27,0)),"")</f>
      </c>
      <c r="V403" s="76" t="str">
        <f>1/(1+'Calculation_Assumptions'!$B$5)^(B403-'Calculation_Assumptions'!$B$2)</f>
      </c>
      <c r="W403" s="77" t="str">
        <f>Q403*V403</f>
      </c>
      <c r="X403" s="78" t="str">
        <f>R403*V403</f>
      </c>
      <c r="Y403" s="79" t="str">
        <f>S403*V403</f>
      </c>
      <c r="Z403" s="80" t="str">
        <f>IFERROR(INDEX('Cost_Components'!$T$2:$T$27,MATCH(E403,'Cost_Components'!$A$2:$A$27,0)),"")</f>
      </c>
      <c r="AA403" s="81" t="str">
        <f>IFERROR(INDEX('Cost_Components'!$U$2:$U$27,MATCH(E403,'Cost_Components'!$A$2:$A$27,0)),"")</f>
      </c>
      <c r="AB403" s="82" t="str">
        <f>IFERROR(INDEX('Cost_Components'!$V$2:$V$27,MATCH(E403,'Cost_Components'!$A$2:$A$27,0)),"")</f>
      </c>
      <c r="AC403" s="83" t="str">
        <f>IFERROR(INDEX('Cost_Components'!$M$2:$M$27,MATCH(E403,'Cost_Components'!$A$2:$A$27,0)),"")</f>
      </c>
      <c r="AD403" s="84" t="str">
        <f>IFERROR(INDEX('Cost_Components'!$N$2:$N$27,MATCH(E403,'Cost_Components'!$A$2:$A$27,0)),"")</f>
      </c>
      <c r="AE403" s="20" t="str">
        <f>IFERROR(INDEX('Cost_Components'!$O$2:$O$27,MATCH(E403,'Cost_Components'!$A$2:$A$27,0)),"")</f>
      </c>
      <c r="AF403" s="85" t="n">
        <v>6450741.12674901</v>
      </c>
      <c r="AG403" s="86" t="n">
        <v>6403647.07460713</v>
      </c>
      <c r="AH403" s="87" t="str">
        <f>IF(H403="shared-count-once",COUNTIFS($A$2:$A$1353,A403,$B$2:$B$1353,B403,$E$2:$E$1353,E403),1)</f>
      </c>
    </row>
    <row r="404">
      <c r="A404" t="s">
        <v>205</v>
      </c>
      <c r="B404" s="59" t="n">
        <v>2037</v>
      </c>
      <c r="C404" t="s">
        <v>205</v>
      </c>
      <c r="D404" t="s">
        <v>180</v>
      </c>
      <c r="E404" s="60" t="s">
        <v>297</v>
      </c>
      <c r="F404" s="61" t="s">
        <v>298</v>
      </c>
      <c r="G404" s="62" t="s">
        <v>206</v>
      </c>
      <c r="H404" s="63" t="s">
        <v>195</v>
      </c>
      <c r="I404" s="64" t="s">
        <v>267</v>
      </c>
      <c r="J404" s="65" t="str">
        <f>IFERROR(INDEX('Cost_Components'!$K$2:$K$27,MATCH(E404,'Cost_Components'!$A$2:$A$27,0)),"")</f>
      </c>
      <c r="K404" s="66" t="str">
        <f>IF(OR(L404="",Z404="",AA404="",AB404=""),"",IF(B404&lt;AA404,L404,IF(B404&gt;AB404,Z404,L404+(Z404-L404)*MIN(MAX((B404-AA404+1)/MAX(AB404-AA404+1,1),0),1))))</f>
      </c>
      <c r="L404" s="67" t="str">
        <f>IFERROR(INDEX('Cost_Components'!$S$2:$S$27,MATCH(E404,'Cost_Components'!$A$2:$A$27,0)),"")</f>
      </c>
      <c r="M404" s="68" t="str">
        <f>IFERROR(INDEX('Cost_Components'!$L$2:$L$27,MATCH(E404,'Cost_Components'!$A$2:$A$27,0)),"")</f>
      </c>
      <c r="N404" s="69" t="str">
        <f>IFERROR(INDEX('Cost_Components'!$P$2:$P$27,MATCH(E404,'Cost_Components'!$A$2:$A$27,0)),"")</f>
      </c>
      <c r="O404" s="70" t="str">
        <f>AF404*J404</f>
      </c>
      <c r="P404" s="71" t="str">
        <f>AG404*J404</f>
      </c>
      <c r="Q404" s="72" t="str">
        <f>P404*L404*M404*N404</f>
      </c>
      <c r="R404" s="73" t="str">
        <f>O404*K404*M404*N404</f>
      </c>
      <c r="S404" s="74" t="str">
        <f>R404-Q404</f>
      </c>
      <c r="T404" s="20" t="str">
        <f>IFERROR(INDEX('Cost_Components'!$R$2:$R$27,MATCH(E404,'Cost_Components'!$A$2:$A$27,0)),"")</f>
      </c>
      <c r="U404" s="75" t="str">
        <f>IFERROR(INDEX('Cost_Components'!$Q$2:$Q$27,MATCH(E404,'Cost_Components'!$A$2:$A$27,0)),"")</f>
      </c>
      <c r="V404" s="76" t="str">
        <f>1/(1+'Calculation_Assumptions'!$B$5)^(B404-'Calculation_Assumptions'!$B$2)</f>
      </c>
      <c r="W404" s="77" t="str">
        <f>Q404*V404</f>
      </c>
      <c r="X404" s="78" t="str">
        <f>R404*V404</f>
      </c>
      <c r="Y404" s="79" t="str">
        <f>S404*V404</f>
      </c>
      <c r="Z404" s="80" t="str">
        <f>IFERROR(INDEX('Cost_Components'!$T$2:$T$27,MATCH(E404,'Cost_Components'!$A$2:$A$27,0)),"")</f>
      </c>
      <c r="AA404" s="81" t="str">
        <f>IFERROR(INDEX('Cost_Components'!$U$2:$U$27,MATCH(E404,'Cost_Components'!$A$2:$A$27,0)),"")</f>
      </c>
      <c r="AB404" s="82" t="str">
        <f>IFERROR(INDEX('Cost_Components'!$V$2:$V$27,MATCH(E404,'Cost_Components'!$A$2:$A$27,0)),"")</f>
      </c>
      <c r="AC404" s="83" t="str">
        <f>IFERROR(INDEX('Cost_Components'!$M$2:$M$27,MATCH(E404,'Cost_Components'!$A$2:$A$27,0)),"")</f>
      </c>
      <c r="AD404" s="84" t="str">
        <f>IFERROR(INDEX('Cost_Components'!$N$2:$N$27,MATCH(E404,'Cost_Components'!$A$2:$A$27,0)),"")</f>
      </c>
      <c r="AE404" s="20" t="str">
        <f>IFERROR(INDEX('Cost_Components'!$O$2:$O$27,MATCH(E404,'Cost_Components'!$A$2:$A$27,0)),"")</f>
      </c>
      <c r="AF404" s="85" t="n">
        <v>6577840.64319415</v>
      </c>
      <c r="AG404" s="86" t="n">
        <v>6523601.43550817</v>
      </c>
      <c r="AH404" s="87" t="str">
        <f>IF(H404="shared-count-once",COUNTIFS($A$2:$A$1353,A404,$B$2:$B$1353,B404,$E$2:$E$1353,E404),1)</f>
      </c>
    </row>
    <row r="405">
      <c r="A405" t="s">
        <v>205</v>
      </c>
      <c r="B405" s="59" t="n">
        <v>2038</v>
      </c>
      <c r="C405" t="s">
        <v>205</v>
      </c>
      <c r="D405" t="s">
        <v>180</v>
      </c>
      <c r="E405" s="60" t="s">
        <v>297</v>
      </c>
      <c r="F405" s="61" t="s">
        <v>298</v>
      </c>
      <c r="G405" s="62" t="s">
        <v>206</v>
      </c>
      <c r="H405" s="63" t="s">
        <v>195</v>
      </c>
      <c r="I405" s="64" t="s">
        <v>267</v>
      </c>
      <c r="J405" s="65" t="str">
        <f>IFERROR(INDEX('Cost_Components'!$K$2:$K$27,MATCH(E405,'Cost_Components'!$A$2:$A$27,0)),"")</f>
      </c>
      <c r="K405" s="66" t="str">
        <f>IF(OR(L405="",Z405="",AA405="",AB405=""),"",IF(B405&lt;AA405,L405,IF(B405&gt;AB405,Z405,L405+(Z405-L405)*MIN(MAX((B405-AA405+1)/MAX(AB405-AA405+1,1),0),1))))</f>
      </c>
      <c r="L405" s="67" t="str">
        <f>IFERROR(INDEX('Cost_Components'!$S$2:$S$27,MATCH(E405,'Cost_Components'!$A$2:$A$27,0)),"")</f>
      </c>
      <c r="M405" s="68" t="str">
        <f>IFERROR(INDEX('Cost_Components'!$L$2:$L$27,MATCH(E405,'Cost_Components'!$A$2:$A$27,0)),"")</f>
      </c>
      <c r="N405" s="69" t="str">
        <f>IFERROR(INDEX('Cost_Components'!$P$2:$P$27,MATCH(E405,'Cost_Components'!$A$2:$A$27,0)),"")</f>
      </c>
      <c r="O405" s="70" t="str">
        <f>AF405*J405</f>
      </c>
      <c r="P405" s="71" t="str">
        <f>AG405*J405</f>
      </c>
      <c r="Q405" s="72" t="str">
        <f>P405*L405*M405*N405</f>
      </c>
      <c r="R405" s="73" t="str">
        <f>O405*K405*M405*N405</f>
      </c>
      <c r="S405" s="74" t="str">
        <f>R405-Q405</f>
      </c>
      <c r="T405" s="20" t="str">
        <f>IFERROR(INDEX('Cost_Components'!$R$2:$R$27,MATCH(E405,'Cost_Components'!$A$2:$A$27,0)),"")</f>
      </c>
      <c r="U405" s="75" t="str">
        <f>IFERROR(INDEX('Cost_Components'!$Q$2:$Q$27,MATCH(E405,'Cost_Components'!$A$2:$A$27,0)),"")</f>
      </c>
      <c r="V405" s="76" t="str">
        <f>1/(1+'Calculation_Assumptions'!$B$5)^(B405-'Calculation_Assumptions'!$B$2)</f>
      </c>
      <c r="W405" s="77" t="str">
        <f>Q405*V405</f>
      </c>
      <c r="X405" s="78" t="str">
        <f>R405*V405</f>
      </c>
      <c r="Y405" s="79" t="str">
        <f>S405*V405</f>
      </c>
      <c r="Z405" s="80" t="str">
        <f>IFERROR(INDEX('Cost_Components'!$T$2:$T$27,MATCH(E405,'Cost_Components'!$A$2:$A$27,0)),"")</f>
      </c>
      <c r="AA405" s="81" t="str">
        <f>IFERROR(INDEX('Cost_Components'!$U$2:$U$27,MATCH(E405,'Cost_Components'!$A$2:$A$27,0)),"")</f>
      </c>
      <c r="AB405" s="82" t="str">
        <f>IFERROR(INDEX('Cost_Components'!$V$2:$V$27,MATCH(E405,'Cost_Components'!$A$2:$A$27,0)),"")</f>
      </c>
      <c r="AC405" s="83" t="str">
        <f>IFERROR(INDEX('Cost_Components'!$M$2:$M$27,MATCH(E405,'Cost_Components'!$A$2:$A$27,0)),"")</f>
      </c>
      <c r="AD405" s="84" t="str">
        <f>IFERROR(INDEX('Cost_Components'!$N$2:$N$27,MATCH(E405,'Cost_Components'!$A$2:$A$27,0)),"")</f>
      </c>
      <c r="AE405" s="20" t="str">
        <f>IFERROR(INDEX('Cost_Components'!$O$2:$O$27,MATCH(E405,'Cost_Components'!$A$2:$A$27,0)),"")</f>
      </c>
      <c r="AF405" s="85" t="n">
        <v>6705809.68535365</v>
      </c>
      <c r="AG405" s="86" t="n">
        <v>6644008.192335</v>
      </c>
      <c r="AH405" s="87" t="str">
        <f>IF(H405="shared-count-once",COUNTIFS($A$2:$A$1353,A405,$B$2:$B$1353,B405,$E$2:$E$1353,E405),1)</f>
      </c>
    </row>
    <row r="406">
      <c r="A406" t="s">
        <v>205</v>
      </c>
      <c r="B406" s="59" t="n">
        <v>2039</v>
      </c>
      <c r="C406" t="s">
        <v>205</v>
      </c>
      <c r="D406" t="s">
        <v>180</v>
      </c>
      <c r="E406" s="60" t="s">
        <v>297</v>
      </c>
      <c r="F406" s="61" t="s">
        <v>298</v>
      </c>
      <c r="G406" s="62" t="s">
        <v>206</v>
      </c>
      <c r="H406" s="63" t="s">
        <v>195</v>
      </c>
      <c r="I406" s="64" t="s">
        <v>267</v>
      </c>
      <c r="J406" s="65" t="str">
        <f>IFERROR(INDEX('Cost_Components'!$K$2:$K$27,MATCH(E406,'Cost_Components'!$A$2:$A$27,0)),"")</f>
      </c>
      <c r="K406" s="66" t="str">
        <f>IF(OR(L406="",Z406="",AA406="",AB406=""),"",IF(B406&lt;AA406,L406,IF(B406&gt;AB406,Z406,L406+(Z406-L406)*MIN(MAX((B406-AA406+1)/MAX(AB406-AA406+1,1),0),1))))</f>
      </c>
      <c r="L406" s="67" t="str">
        <f>IFERROR(INDEX('Cost_Components'!$S$2:$S$27,MATCH(E406,'Cost_Components'!$A$2:$A$27,0)),"")</f>
      </c>
      <c r="M406" s="68" t="str">
        <f>IFERROR(INDEX('Cost_Components'!$L$2:$L$27,MATCH(E406,'Cost_Components'!$A$2:$A$27,0)),"")</f>
      </c>
      <c r="N406" s="69" t="str">
        <f>IFERROR(INDEX('Cost_Components'!$P$2:$P$27,MATCH(E406,'Cost_Components'!$A$2:$A$27,0)),"")</f>
      </c>
      <c r="O406" s="70" t="str">
        <f>AF406*J406</f>
      </c>
      <c r="P406" s="71" t="str">
        <f>AG406*J406</f>
      </c>
      <c r="Q406" s="72" t="str">
        <f>P406*L406*M406*N406</f>
      </c>
      <c r="R406" s="73" t="str">
        <f>O406*K406*M406*N406</f>
      </c>
      <c r="S406" s="74" t="str">
        <f>R406-Q406</f>
      </c>
      <c r="T406" s="20" t="str">
        <f>IFERROR(INDEX('Cost_Components'!$R$2:$R$27,MATCH(E406,'Cost_Components'!$A$2:$A$27,0)),"")</f>
      </c>
      <c r="U406" s="75" t="str">
        <f>IFERROR(INDEX('Cost_Components'!$Q$2:$Q$27,MATCH(E406,'Cost_Components'!$A$2:$A$27,0)),"")</f>
      </c>
      <c r="V406" s="76" t="str">
        <f>1/(1+'Calculation_Assumptions'!$B$5)^(B406-'Calculation_Assumptions'!$B$2)</f>
      </c>
      <c r="W406" s="77" t="str">
        <f>Q406*V406</f>
      </c>
      <c r="X406" s="78" t="str">
        <f>R406*V406</f>
      </c>
      <c r="Y406" s="79" t="str">
        <f>S406*V406</f>
      </c>
      <c r="Z406" s="80" t="str">
        <f>IFERROR(INDEX('Cost_Components'!$T$2:$T$27,MATCH(E406,'Cost_Components'!$A$2:$A$27,0)),"")</f>
      </c>
      <c r="AA406" s="81" t="str">
        <f>IFERROR(INDEX('Cost_Components'!$U$2:$U$27,MATCH(E406,'Cost_Components'!$A$2:$A$27,0)),"")</f>
      </c>
      <c r="AB406" s="82" t="str">
        <f>IFERROR(INDEX('Cost_Components'!$V$2:$V$27,MATCH(E406,'Cost_Components'!$A$2:$A$27,0)),"")</f>
      </c>
      <c r="AC406" s="83" t="str">
        <f>IFERROR(INDEX('Cost_Components'!$M$2:$M$27,MATCH(E406,'Cost_Components'!$A$2:$A$27,0)),"")</f>
      </c>
      <c r="AD406" s="84" t="str">
        <f>IFERROR(INDEX('Cost_Components'!$N$2:$N$27,MATCH(E406,'Cost_Components'!$A$2:$A$27,0)),"")</f>
      </c>
      <c r="AE406" s="20" t="str">
        <f>IFERROR(INDEX('Cost_Components'!$O$2:$O$27,MATCH(E406,'Cost_Components'!$A$2:$A$27,0)),"")</f>
      </c>
      <c r="AF406" s="85" t="n">
        <v>6830015.88051736</v>
      </c>
      <c r="AG406" s="86" t="n">
        <v>6760238.21942814</v>
      </c>
      <c r="AH406" s="87" t="str">
        <f>IF(H406="shared-count-once",COUNTIFS($A$2:$A$1353,A406,$B$2:$B$1353,B406,$E$2:$E$1353,E406),1)</f>
      </c>
    </row>
    <row r="407">
      <c r="A407" t="s">
        <v>205</v>
      </c>
      <c r="B407" s="59" t="n">
        <v>2040</v>
      </c>
      <c r="C407" t="s">
        <v>205</v>
      </c>
      <c r="D407" t="s">
        <v>180</v>
      </c>
      <c r="E407" s="60" t="s">
        <v>297</v>
      </c>
      <c r="F407" s="61" t="s">
        <v>298</v>
      </c>
      <c r="G407" s="62" t="s">
        <v>206</v>
      </c>
      <c r="H407" s="63" t="s">
        <v>195</v>
      </c>
      <c r="I407" s="64" t="s">
        <v>267</v>
      </c>
      <c r="J407" s="65" t="str">
        <f>IFERROR(INDEX('Cost_Components'!$K$2:$K$27,MATCH(E407,'Cost_Components'!$A$2:$A$27,0)),"")</f>
      </c>
      <c r="K407" s="66" t="str">
        <f>IF(OR(L407="",Z407="",AA407="",AB407=""),"",IF(B407&lt;AA407,L407,IF(B407&gt;AB407,Z407,L407+(Z407-L407)*MIN(MAX((B407-AA407+1)/MAX(AB407-AA407+1,1),0),1))))</f>
      </c>
      <c r="L407" s="67" t="str">
        <f>IFERROR(INDEX('Cost_Components'!$S$2:$S$27,MATCH(E407,'Cost_Components'!$A$2:$A$27,0)),"")</f>
      </c>
      <c r="M407" s="68" t="str">
        <f>IFERROR(INDEX('Cost_Components'!$L$2:$L$27,MATCH(E407,'Cost_Components'!$A$2:$A$27,0)),"")</f>
      </c>
      <c r="N407" s="69" t="str">
        <f>IFERROR(INDEX('Cost_Components'!$P$2:$P$27,MATCH(E407,'Cost_Components'!$A$2:$A$27,0)),"")</f>
      </c>
      <c r="O407" s="70" t="str">
        <f>AF407*J407</f>
      </c>
      <c r="P407" s="71" t="str">
        <f>AG407*J407</f>
      </c>
      <c r="Q407" s="72" t="str">
        <f>P407*L407*M407*N407</f>
      </c>
      <c r="R407" s="73" t="str">
        <f>O407*K407*M407*N407</f>
      </c>
      <c r="S407" s="74" t="str">
        <f>R407-Q407</f>
      </c>
      <c r="T407" s="20" t="str">
        <f>IFERROR(INDEX('Cost_Components'!$R$2:$R$27,MATCH(E407,'Cost_Components'!$A$2:$A$27,0)),"")</f>
      </c>
      <c r="U407" s="75" t="str">
        <f>IFERROR(INDEX('Cost_Components'!$Q$2:$Q$27,MATCH(E407,'Cost_Components'!$A$2:$A$27,0)),"")</f>
      </c>
      <c r="V407" s="76" t="str">
        <f>1/(1+'Calculation_Assumptions'!$B$5)^(B407-'Calculation_Assumptions'!$B$2)</f>
      </c>
      <c r="W407" s="77" t="str">
        <f>Q407*V407</f>
      </c>
      <c r="X407" s="78" t="str">
        <f>R407*V407</f>
      </c>
      <c r="Y407" s="79" t="str">
        <f>S407*V407</f>
      </c>
      <c r="Z407" s="80" t="str">
        <f>IFERROR(INDEX('Cost_Components'!$T$2:$T$27,MATCH(E407,'Cost_Components'!$A$2:$A$27,0)),"")</f>
      </c>
      <c r="AA407" s="81" t="str">
        <f>IFERROR(INDEX('Cost_Components'!$U$2:$U$27,MATCH(E407,'Cost_Components'!$A$2:$A$27,0)),"")</f>
      </c>
      <c r="AB407" s="82" t="str">
        <f>IFERROR(INDEX('Cost_Components'!$V$2:$V$27,MATCH(E407,'Cost_Components'!$A$2:$A$27,0)),"")</f>
      </c>
      <c r="AC407" s="83" t="str">
        <f>IFERROR(INDEX('Cost_Components'!$M$2:$M$27,MATCH(E407,'Cost_Components'!$A$2:$A$27,0)),"")</f>
      </c>
      <c r="AD407" s="84" t="str">
        <f>IFERROR(INDEX('Cost_Components'!$N$2:$N$27,MATCH(E407,'Cost_Components'!$A$2:$A$27,0)),"")</f>
      </c>
      <c r="AE407" s="20" t="str">
        <f>IFERROR(INDEX('Cost_Components'!$O$2:$O$27,MATCH(E407,'Cost_Components'!$A$2:$A$27,0)),"")</f>
      </c>
      <c r="AF407" s="85" t="n">
        <v>6954151.10840049</v>
      </c>
      <c r="AG407" s="86" t="n">
        <v>6876037.34665342</v>
      </c>
      <c r="AH407" s="87" t="str">
        <f>IF(H407="shared-count-once",COUNTIFS($A$2:$A$1353,A407,$B$2:$B$1353,B407,$E$2:$E$1353,E407),1)</f>
      </c>
    </row>
    <row r="408">
      <c r="A408" t="s">
        <v>205</v>
      </c>
      <c r="B408" s="59" t="n">
        <v>2041</v>
      </c>
      <c r="C408" t="s">
        <v>205</v>
      </c>
      <c r="D408" t="s">
        <v>180</v>
      </c>
      <c r="E408" s="60" t="s">
        <v>297</v>
      </c>
      <c r="F408" s="61" t="s">
        <v>298</v>
      </c>
      <c r="G408" s="62" t="s">
        <v>206</v>
      </c>
      <c r="H408" s="63" t="s">
        <v>195</v>
      </c>
      <c r="I408" s="64" t="s">
        <v>267</v>
      </c>
      <c r="J408" s="65" t="str">
        <f>IFERROR(INDEX('Cost_Components'!$K$2:$K$27,MATCH(E408,'Cost_Components'!$A$2:$A$27,0)),"")</f>
      </c>
      <c r="K408" s="66" t="str">
        <f>IF(OR(L408="",Z408="",AA408="",AB408=""),"",IF(B408&lt;AA408,L408,IF(B408&gt;AB408,Z408,L408+(Z408-L408)*MIN(MAX((B408-AA408+1)/MAX(AB408-AA408+1,1),0),1))))</f>
      </c>
      <c r="L408" s="67" t="str">
        <f>IFERROR(INDEX('Cost_Components'!$S$2:$S$27,MATCH(E408,'Cost_Components'!$A$2:$A$27,0)),"")</f>
      </c>
      <c r="M408" s="68" t="str">
        <f>IFERROR(INDEX('Cost_Components'!$L$2:$L$27,MATCH(E408,'Cost_Components'!$A$2:$A$27,0)),"")</f>
      </c>
      <c r="N408" s="69" t="str">
        <f>IFERROR(INDEX('Cost_Components'!$P$2:$P$27,MATCH(E408,'Cost_Components'!$A$2:$A$27,0)),"")</f>
      </c>
      <c r="O408" s="70" t="str">
        <f>AF408*J408</f>
      </c>
      <c r="P408" s="71" t="str">
        <f>AG408*J408</f>
      </c>
      <c r="Q408" s="72" t="str">
        <f>P408*L408*M408*N408</f>
      </c>
      <c r="R408" s="73" t="str">
        <f>O408*K408*M408*N408</f>
      </c>
      <c r="S408" s="74" t="str">
        <f>R408-Q408</f>
      </c>
      <c r="T408" s="20" t="str">
        <f>IFERROR(INDEX('Cost_Components'!$R$2:$R$27,MATCH(E408,'Cost_Components'!$A$2:$A$27,0)),"")</f>
      </c>
      <c r="U408" s="75" t="str">
        <f>IFERROR(INDEX('Cost_Components'!$Q$2:$Q$27,MATCH(E408,'Cost_Components'!$A$2:$A$27,0)),"")</f>
      </c>
      <c r="V408" s="76" t="str">
        <f>1/(1+'Calculation_Assumptions'!$B$5)^(B408-'Calculation_Assumptions'!$B$2)</f>
      </c>
      <c r="W408" s="77" t="str">
        <f>Q408*V408</f>
      </c>
      <c r="X408" s="78" t="str">
        <f>R408*V408</f>
      </c>
      <c r="Y408" s="79" t="str">
        <f>S408*V408</f>
      </c>
      <c r="Z408" s="80" t="str">
        <f>IFERROR(INDEX('Cost_Components'!$T$2:$T$27,MATCH(E408,'Cost_Components'!$A$2:$A$27,0)),"")</f>
      </c>
      <c r="AA408" s="81" t="str">
        <f>IFERROR(INDEX('Cost_Components'!$U$2:$U$27,MATCH(E408,'Cost_Components'!$A$2:$A$27,0)),"")</f>
      </c>
      <c r="AB408" s="82" t="str">
        <f>IFERROR(INDEX('Cost_Components'!$V$2:$V$27,MATCH(E408,'Cost_Components'!$A$2:$A$27,0)),"")</f>
      </c>
      <c r="AC408" s="83" t="str">
        <f>IFERROR(INDEX('Cost_Components'!$M$2:$M$27,MATCH(E408,'Cost_Components'!$A$2:$A$27,0)),"")</f>
      </c>
      <c r="AD408" s="84" t="str">
        <f>IFERROR(INDEX('Cost_Components'!$N$2:$N$27,MATCH(E408,'Cost_Components'!$A$2:$A$27,0)),"")</f>
      </c>
      <c r="AE408" s="20" t="str">
        <f>IFERROR(INDEX('Cost_Components'!$O$2:$O$27,MATCH(E408,'Cost_Components'!$A$2:$A$27,0)),"")</f>
      </c>
      <c r="AF408" s="85" t="n">
        <v>7077742.36976589</v>
      </c>
      <c r="AG408" s="86" t="n">
        <v>6990953.04348834</v>
      </c>
      <c r="AH408" s="87" t="str">
        <f>IF(H408="shared-count-once",COUNTIFS($A$2:$A$1353,A408,$B$2:$B$1353,B408,$E$2:$E$1353,E408),1)</f>
      </c>
    </row>
    <row r="409">
      <c r="A409" t="s">
        <v>205</v>
      </c>
      <c r="B409" s="59" t="n">
        <v>2042</v>
      </c>
      <c r="C409" t="s">
        <v>205</v>
      </c>
      <c r="D409" t="s">
        <v>180</v>
      </c>
      <c r="E409" s="60" t="s">
        <v>297</v>
      </c>
      <c r="F409" s="61" t="s">
        <v>298</v>
      </c>
      <c r="G409" s="62" t="s">
        <v>206</v>
      </c>
      <c r="H409" s="63" t="s">
        <v>195</v>
      </c>
      <c r="I409" s="64" t="s">
        <v>267</v>
      </c>
      <c r="J409" s="65" t="str">
        <f>IFERROR(INDEX('Cost_Components'!$K$2:$K$27,MATCH(E409,'Cost_Components'!$A$2:$A$27,0)),"")</f>
      </c>
      <c r="K409" s="66" t="str">
        <f>IF(OR(L409="",Z409="",AA409="",AB409=""),"",IF(B409&lt;AA409,L409,IF(B409&gt;AB409,Z409,L409+(Z409-L409)*MIN(MAX((B409-AA409+1)/MAX(AB409-AA409+1,1),0),1))))</f>
      </c>
      <c r="L409" s="67" t="str">
        <f>IFERROR(INDEX('Cost_Components'!$S$2:$S$27,MATCH(E409,'Cost_Components'!$A$2:$A$27,0)),"")</f>
      </c>
      <c r="M409" s="68" t="str">
        <f>IFERROR(INDEX('Cost_Components'!$L$2:$L$27,MATCH(E409,'Cost_Components'!$A$2:$A$27,0)),"")</f>
      </c>
      <c r="N409" s="69" t="str">
        <f>IFERROR(INDEX('Cost_Components'!$P$2:$P$27,MATCH(E409,'Cost_Components'!$A$2:$A$27,0)),"")</f>
      </c>
      <c r="O409" s="70" t="str">
        <f>AF409*J409</f>
      </c>
      <c r="P409" s="71" t="str">
        <f>AG409*J409</f>
      </c>
      <c r="Q409" s="72" t="str">
        <f>P409*L409*M409*N409</f>
      </c>
      <c r="R409" s="73" t="str">
        <f>O409*K409*M409*N409</f>
      </c>
      <c r="S409" s="74" t="str">
        <f>R409-Q409</f>
      </c>
      <c r="T409" s="20" t="str">
        <f>IFERROR(INDEX('Cost_Components'!$R$2:$R$27,MATCH(E409,'Cost_Components'!$A$2:$A$27,0)),"")</f>
      </c>
      <c r="U409" s="75" t="str">
        <f>IFERROR(INDEX('Cost_Components'!$Q$2:$Q$27,MATCH(E409,'Cost_Components'!$A$2:$A$27,0)),"")</f>
      </c>
      <c r="V409" s="76" t="str">
        <f>1/(1+'Calculation_Assumptions'!$B$5)^(B409-'Calculation_Assumptions'!$B$2)</f>
      </c>
      <c r="W409" s="77" t="str">
        <f>Q409*V409</f>
      </c>
      <c r="X409" s="78" t="str">
        <f>R409*V409</f>
      </c>
      <c r="Y409" s="79" t="str">
        <f>S409*V409</f>
      </c>
      <c r="Z409" s="80" t="str">
        <f>IFERROR(INDEX('Cost_Components'!$T$2:$T$27,MATCH(E409,'Cost_Components'!$A$2:$A$27,0)),"")</f>
      </c>
      <c r="AA409" s="81" t="str">
        <f>IFERROR(INDEX('Cost_Components'!$U$2:$U$27,MATCH(E409,'Cost_Components'!$A$2:$A$27,0)),"")</f>
      </c>
      <c r="AB409" s="82" t="str">
        <f>IFERROR(INDEX('Cost_Components'!$V$2:$V$27,MATCH(E409,'Cost_Components'!$A$2:$A$27,0)),"")</f>
      </c>
      <c r="AC409" s="83" t="str">
        <f>IFERROR(INDEX('Cost_Components'!$M$2:$M$27,MATCH(E409,'Cost_Components'!$A$2:$A$27,0)),"")</f>
      </c>
      <c r="AD409" s="84" t="str">
        <f>IFERROR(INDEX('Cost_Components'!$N$2:$N$27,MATCH(E409,'Cost_Components'!$A$2:$A$27,0)),"")</f>
      </c>
      <c r="AE409" s="20" t="str">
        <f>IFERROR(INDEX('Cost_Components'!$O$2:$O$27,MATCH(E409,'Cost_Components'!$A$2:$A$27,0)),"")</f>
      </c>
      <c r="AF409" s="85" t="n">
        <v>7200586.04099985</v>
      </c>
      <c r="AG409" s="86" t="n">
        <v>7104796.47237168</v>
      </c>
      <c r="AH409" s="87" t="str">
        <f>IF(H409="shared-count-once",COUNTIFS($A$2:$A$1353,A409,$B$2:$B$1353,B409,$E$2:$E$1353,E409),1)</f>
      </c>
    </row>
    <row r="410">
      <c r="A410" t="s">
        <v>205</v>
      </c>
      <c r="B410" s="59" t="n">
        <v>2043</v>
      </c>
      <c r="C410" t="s">
        <v>205</v>
      </c>
      <c r="D410" t="s">
        <v>180</v>
      </c>
      <c r="E410" s="60" t="s">
        <v>297</v>
      </c>
      <c r="F410" s="61" t="s">
        <v>298</v>
      </c>
      <c r="G410" s="62" t="s">
        <v>206</v>
      </c>
      <c r="H410" s="63" t="s">
        <v>195</v>
      </c>
      <c r="I410" s="64" t="s">
        <v>267</v>
      </c>
      <c r="J410" s="65" t="str">
        <f>IFERROR(INDEX('Cost_Components'!$K$2:$K$27,MATCH(E410,'Cost_Components'!$A$2:$A$27,0)),"")</f>
      </c>
      <c r="K410" s="66" t="str">
        <f>IF(OR(L410="",Z410="",AA410="",AB410=""),"",IF(B410&lt;AA410,L410,IF(B410&gt;AB410,Z410,L410+(Z410-L410)*MIN(MAX((B410-AA410+1)/MAX(AB410-AA410+1,1),0),1))))</f>
      </c>
      <c r="L410" s="67" t="str">
        <f>IFERROR(INDEX('Cost_Components'!$S$2:$S$27,MATCH(E410,'Cost_Components'!$A$2:$A$27,0)),"")</f>
      </c>
      <c r="M410" s="68" t="str">
        <f>IFERROR(INDEX('Cost_Components'!$L$2:$L$27,MATCH(E410,'Cost_Components'!$A$2:$A$27,0)),"")</f>
      </c>
      <c r="N410" s="69" t="str">
        <f>IFERROR(INDEX('Cost_Components'!$P$2:$P$27,MATCH(E410,'Cost_Components'!$A$2:$A$27,0)),"")</f>
      </c>
      <c r="O410" s="70" t="str">
        <f>AF410*J410</f>
      </c>
      <c r="P410" s="71" t="str">
        <f>AG410*J410</f>
      </c>
      <c r="Q410" s="72" t="str">
        <f>P410*L410*M410*N410</f>
      </c>
      <c r="R410" s="73" t="str">
        <f>O410*K410*M410*N410</f>
      </c>
      <c r="S410" s="74" t="str">
        <f>R410-Q410</f>
      </c>
      <c r="T410" s="20" t="str">
        <f>IFERROR(INDEX('Cost_Components'!$R$2:$R$27,MATCH(E410,'Cost_Components'!$A$2:$A$27,0)),"")</f>
      </c>
      <c r="U410" s="75" t="str">
        <f>IFERROR(INDEX('Cost_Components'!$Q$2:$Q$27,MATCH(E410,'Cost_Components'!$A$2:$A$27,0)),"")</f>
      </c>
      <c r="V410" s="76" t="str">
        <f>1/(1+'Calculation_Assumptions'!$B$5)^(B410-'Calculation_Assumptions'!$B$2)</f>
      </c>
      <c r="W410" s="77" t="str">
        <f>Q410*V410</f>
      </c>
      <c r="X410" s="78" t="str">
        <f>R410*V410</f>
      </c>
      <c r="Y410" s="79" t="str">
        <f>S410*V410</f>
      </c>
      <c r="Z410" s="80" t="str">
        <f>IFERROR(INDEX('Cost_Components'!$T$2:$T$27,MATCH(E410,'Cost_Components'!$A$2:$A$27,0)),"")</f>
      </c>
      <c r="AA410" s="81" t="str">
        <f>IFERROR(INDEX('Cost_Components'!$U$2:$U$27,MATCH(E410,'Cost_Components'!$A$2:$A$27,0)),"")</f>
      </c>
      <c r="AB410" s="82" t="str">
        <f>IFERROR(INDEX('Cost_Components'!$V$2:$V$27,MATCH(E410,'Cost_Components'!$A$2:$A$27,0)),"")</f>
      </c>
      <c r="AC410" s="83" t="str">
        <f>IFERROR(INDEX('Cost_Components'!$M$2:$M$27,MATCH(E410,'Cost_Components'!$A$2:$A$27,0)),"")</f>
      </c>
      <c r="AD410" s="84" t="str">
        <f>IFERROR(INDEX('Cost_Components'!$N$2:$N$27,MATCH(E410,'Cost_Components'!$A$2:$A$27,0)),"")</f>
      </c>
      <c r="AE410" s="20" t="str">
        <f>IFERROR(INDEX('Cost_Components'!$O$2:$O$27,MATCH(E410,'Cost_Components'!$A$2:$A$27,0)),"")</f>
      </c>
      <c r="AF410" s="85" t="n">
        <v>7322923.99875103</v>
      </c>
      <c r="AG410" s="86" t="n">
        <v>7217825.7559417</v>
      </c>
      <c r="AH410" s="87" t="str">
        <f>IF(H410="shared-count-once",COUNTIFS($A$2:$A$1353,A410,$B$2:$B$1353,B410,$E$2:$E$1353,E410),1)</f>
      </c>
    </row>
    <row r="411">
      <c r="A411" t="s">
        <v>205</v>
      </c>
      <c r="B411" s="59" t="n">
        <v>2044</v>
      </c>
      <c r="C411" t="s">
        <v>205</v>
      </c>
      <c r="D411" t="s">
        <v>180</v>
      </c>
      <c r="E411" s="60" t="s">
        <v>297</v>
      </c>
      <c r="F411" s="61" t="s">
        <v>298</v>
      </c>
      <c r="G411" s="62" t="s">
        <v>206</v>
      </c>
      <c r="H411" s="63" t="s">
        <v>195</v>
      </c>
      <c r="I411" s="64" t="s">
        <v>267</v>
      </c>
      <c r="J411" s="65" t="str">
        <f>IFERROR(INDEX('Cost_Components'!$K$2:$K$27,MATCH(E411,'Cost_Components'!$A$2:$A$27,0)),"")</f>
      </c>
      <c r="K411" s="66" t="str">
        <f>IF(OR(L411="",Z411="",AA411="",AB411=""),"",IF(B411&lt;AA411,L411,IF(B411&gt;AB411,Z411,L411+(Z411-L411)*MIN(MAX((B411-AA411+1)/MAX(AB411-AA411+1,1),0),1))))</f>
      </c>
      <c r="L411" s="67" t="str">
        <f>IFERROR(INDEX('Cost_Components'!$S$2:$S$27,MATCH(E411,'Cost_Components'!$A$2:$A$27,0)),"")</f>
      </c>
      <c r="M411" s="68" t="str">
        <f>IFERROR(INDEX('Cost_Components'!$L$2:$L$27,MATCH(E411,'Cost_Components'!$A$2:$A$27,0)),"")</f>
      </c>
      <c r="N411" s="69" t="str">
        <f>IFERROR(INDEX('Cost_Components'!$P$2:$P$27,MATCH(E411,'Cost_Components'!$A$2:$A$27,0)),"")</f>
      </c>
      <c r="O411" s="70" t="str">
        <f>AF411*J411</f>
      </c>
      <c r="P411" s="71" t="str">
        <f>AG411*J411</f>
      </c>
      <c r="Q411" s="72" t="str">
        <f>P411*L411*M411*N411</f>
      </c>
      <c r="R411" s="73" t="str">
        <f>O411*K411*M411*N411</f>
      </c>
      <c r="S411" s="74" t="str">
        <f>R411-Q411</f>
      </c>
      <c r="T411" s="20" t="str">
        <f>IFERROR(INDEX('Cost_Components'!$R$2:$R$27,MATCH(E411,'Cost_Components'!$A$2:$A$27,0)),"")</f>
      </c>
      <c r="U411" s="75" t="str">
        <f>IFERROR(INDEX('Cost_Components'!$Q$2:$Q$27,MATCH(E411,'Cost_Components'!$A$2:$A$27,0)),"")</f>
      </c>
      <c r="V411" s="76" t="str">
        <f>1/(1+'Calculation_Assumptions'!$B$5)^(B411-'Calculation_Assumptions'!$B$2)</f>
      </c>
      <c r="W411" s="77" t="str">
        <f>Q411*V411</f>
      </c>
      <c r="X411" s="78" t="str">
        <f>R411*V411</f>
      </c>
      <c r="Y411" s="79" t="str">
        <f>S411*V411</f>
      </c>
      <c r="Z411" s="80" t="str">
        <f>IFERROR(INDEX('Cost_Components'!$T$2:$T$27,MATCH(E411,'Cost_Components'!$A$2:$A$27,0)),"")</f>
      </c>
      <c r="AA411" s="81" t="str">
        <f>IFERROR(INDEX('Cost_Components'!$U$2:$U$27,MATCH(E411,'Cost_Components'!$A$2:$A$27,0)),"")</f>
      </c>
      <c r="AB411" s="82" t="str">
        <f>IFERROR(INDEX('Cost_Components'!$V$2:$V$27,MATCH(E411,'Cost_Components'!$A$2:$A$27,0)),"")</f>
      </c>
      <c r="AC411" s="83" t="str">
        <f>IFERROR(INDEX('Cost_Components'!$M$2:$M$27,MATCH(E411,'Cost_Components'!$A$2:$A$27,0)),"")</f>
      </c>
      <c r="AD411" s="84" t="str">
        <f>IFERROR(INDEX('Cost_Components'!$N$2:$N$27,MATCH(E411,'Cost_Components'!$A$2:$A$27,0)),"")</f>
      </c>
      <c r="AE411" s="20" t="str">
        <f>IFERROR(INDEX('Cost_Components'!$O$2:$O$27,MATCH(E411,'Cost_Components'!$A$2:$A$27,0)),"")</f>
      </c>
      <c r="AF411" s="85" t="n">
        <v>7440979.4779758</v>
      </c>
      <c r="AG411" s="86" t="n">
        <v>7326275.74827768</v>
      </c>
      <c r="AH411" s="87" t="str">
        <f>IF(H411="shared-count-once",COUNTIFS($A$2:$A$1353,A411,$B$2:$B$1353,B411,$E$2:$E$1353,E411),1)</f>
      </c>
    </row>
    <row r="412">
      <c r="A412" t="s">
        <v>205</v>
      </c>
      <c r="B412" s="59" t="n">
        <v>2045</v>
      </c>
      <c r="C412" t="s">
        <v>205</v>
      </c>
      <c r="D412" t="s">
        <v>180</v>
      </c>
      <c r="E412" s="60" t="s">
        <v>297</v>
      </c>
      <c r="F412" s="61" t="s">
        <v>298</v>
      </c>
      <c r="G412" s="62" t="s">
        <v>206</v>
      </c>
      <c r="H412" s="63" t="s">
        <v>195</v>
      </c>
      <c r="I412" s="64" t="s">
        <v>267</v>
      </c>
      <c r="J412" s="65" t="str">
        <f>IFERROR(INDEX('Cost_Components'!$K$2:$K$27,MATCH(E412,'Cost_Components'!$A$2:$A$27,0)),"")</f>
      </c>
      <c r="K412" s="66" t="str">
        <f>IF(OR(L412="",Z412="",AA412="",AB412=""),"",IF(B412&lt;AA412,L412,IF(B412&gt;AB412,Z412,L412+(Z412-L412)*MIN(MAX((B412-AA412+1)/MAX(AB412-AA412+1,1),0),1))))</f>
      </c>
      <c r="L412" s="67" t="str">
        <f>IFERROR(INDEX('Cost_Components'!$S$2:$S$27,MATCH(E412,'Cost_Components'!$A$2:$A$27,0)),"")</f>
      </c>
      <c r="M412" s="68" t="str">
        <f>IFERROR(INDEX('Cost_Components'!$L$2:$L$27,MATCH(E412,'Cost_Components'!$A$2:$A$27,0)),"")</f>
      </c>
      <c r="N412" s="69" t="str">
        <f>IFERROR(INDEX('Cost_Components'!$P$2:$P$27,MATCH(E412,'Cost_Components'!$A$2:$A$27,0)),"")</f>
      </c>
      <c r="O412" s="70" t="str">
        <f>AF412*J412</f>
      </c>
      <c r="P412" s="71" t="str">
        <f>AG412*J412</f>
      </c>
      <c r="Q412" s="72" t="str">
        <f>P412*L412*M412*N412</f>
      </c>
      <c r="R412" s="73" t="str">
        <f>O412*K412*M412*N412</f>
      </c>
      <c r="S412" s="74" t="str">
        <f>R412-Q412</f>
      </c>
      <c r="T412" s="20" t="str">
        <f>IFERROR(INDEX('Cost_Components'!$R$2:$R$27,MATCH(E412,'Cost_Components'!$A$2:$A$27,0)),"")</f>
      </c>
      <c r="U412" s="75" t="str">
        <f>IFERROR(INDEX('Cost_Components'!$Q$2:$Q$27,MATCH(E412,'Cost_Components'!$A$2:$A$27,0)),"")</f>
      </c>
      <c r="V412" s="76" t="str">
        <f>1/(1+'Calculation_Assumptions'!$B$5)^(B412-'Calculation_Assumptions'!$B$2)</f>
      </c>
      <c r="W412" s="77" t="str">
        <f>Q412*V412</f>
      </c>
      <c r="X412" s="78" t="str">
        <f>R412*V412</f>
      </c>
      <c r="Y412" s="79" t="str">
        <f>S412*V412</f>
      </c>
      <c r="Z412" s="80" t="str">
        <f>IFERROR(INDEX('Cost_Components'!$T$2:$T$27,MATCH(E412,'Cost_Components'!$A$2:$A$27,0)),"")</f>
      </c>
      <c r="AA412" s="81" t="str">
        <f>IFERROR(INDEX('Cost_Components'!$U$2:$U$27,MATCH(E412,'Cost_Components'!$A$2:$A$27,0)),"")</f>
      </c>
      <c r="AB412" s="82" t="str">
        <f>IFERROR(INDEX('Cost_Components'!$V$2:$V$27,MATCH(E412,'Cost_Components'!$A$2:$A$27,0)),"")</f>
      </c>
      <c r="AC412" s="83" t="str">
        <f>IFERROR(INDEX('Cost_Components'!$M$2:$M$27,MATCH(E412,'Cost_Components'!$A$2:$A$27,0)),"")</f>
      </c>
      <c r="AD412" s="84" t="str">
        <f>IFERROR(INDEX('Cost_Components'!$N$2:$N$27,MATCH(E412,'Cost_Components'!$A$2:$A$27,0)),"")</f>
      </c>
      <c r="AE412" s="20" t="str">
        <f>IFERROR(INDEX('Cost_Components'!$O$2:$O$27,MATCH(E412,'Cost_Components'!$A$2:$A$27,0)),"")</f>
      </c>
      <c r="AF412" s="85" t="n">
        <v>7557472.35362557</v>
      </c>
      <c r="AG412" s="86" t="n">
        <v>7432902.55351555</v>
      </c>
      <c r="AH412" s="87" t="str">
        <f>IF(H412="shared-count-once",COUNTIFS($A$2:$A$1353,A412,$B$2:$B$1353,B412,$E$2:$E$1353,E412),1)</f>
      </c>
    </row>
    <row r="413">
      <c r="A413" t="s">
        <v>205</v>
      </c>
      <c r="B413" s="59" t="n">
        <v>2046</v>
      </c>
      <c r="C413" t="s">
        <v>205</v>
      </c>
      <c r="D413" t="s">
        <v>180</v>
      </c>
      <c r="E413" s="60" t="s">
        <v>297</v>
      </c>
      <c r="F413" s="61" t="s">
        <v>298</v>
      </c>
      <c r="G413" s="62" t="s">
        <v>206</v>
      </c>
      <c r="H413" s="63" t="s">
        <v>195</v>
      </c>
      <c r="I413" s="64" t="s">
        <v>267</v>
      </c>
      <c r="J413" s="65" t="str">
        <f>IFERROR(INDEX('Cost_Components'!$K$2:$K$27,MATCH(E413,'Cost_Components'!$A$2:$A$27,0)),"")</f>
      </c>
      <c r="K413" s="66" t="str">
        <f>IF(OR(L413="",Z413="",AA413="",AB413=""),"",IF(B413&lt;AA413,L413,IF(B413&gt;AB413,Z413,L413+(Z413-L413)*MIN(MAX((B413-AA413+1)/MAX(AB413-AA413+1,1),0),1))))</f>
      </c>
      <c r="L413" s="67" t="str">
        <f>IFERROR(INDEX('Cost_Components'!$S$2:$S$27,MATCH(E413,'Cost_Components'!$A$2:$A$27,0)),"")</f>
      </c>
      <c r="M413" s="68" t="str">
        <f>IFERROR(INDEX('Cost_Components'!$L$2:$L$27,MATCH(E413,'Cost_Components'!$A$2:$A$27,0)),"")</f>
      </c>
      <c r="N413" s="69" t="str">
        <f>IFERROR(INDEX('Cost_Components'!$P$2:$P$27,MATCH(E413,'Cost_Components'!$A$2:$A$27,0)),"")</f>
      </c>
      <c r="O413" s="70" t="str">
        <f>AF413*J413</f>
      </c>
      <c r="P413" s="71" t="str">
        <f>AG413*J413</f>
      </c>
      <c r="Q413" s="72" t="str">
        <f>P413*L413*M413*N413</f>
      </c>
      <c r="R413" s="73" t="str">
        <f>O413*K413*M413*N413</f>
      </c>
      <c r="S413" s="74" t="str">
        <f>R413-Q413</f>
      </c>
      <c r="T413" s="20" t="str">
        <f>IFERROR(INDEX('Cost_Components'!$R$2:$R$27,MATCH(E413,'Cost_Components'!$A$2:$A$27,0)),"")</f>
      </c>
      <c r="U413" s="75" t="str">
        <f>IFERROR(INDEX('Cost_Components'!$Q$2:$Q$27,MATCH(E413,'Cost_Components'!$A$2:$A$27,0)),"")</f>
      </c>
      <c r="V413" s="76" t="str">
        <f>1/(1+'Calculation_Assumptions'!$B$5)^(B413-'Calculation_Assumptions'!$B$2)</f>
      </c>
      <c r="W413" s="77" t="str">
        <f>Q413*V413</f>
      </c>
      <c r="X413" s="78" t="str">
        <f>R413*V413</f>
      </c>
      <c r="Y413" s="79" t="str">
        <f>S413*V413</f>
      </c>
      <c r="Z413" s="80" t="str">
        <f>IFERROR(INDEX('Cost_Components'!$T$2:$T$27,MATCH(E413,'Cost_Components'!$A$2:$A$27,0)),"")</f>
      </c>
      <c r="AA413" s="81" t="str">
        <f>IFERROR(INDEX('Cost_Components'!$U$2:$U$27,MATCH(E413,'Cost_Components'!$A$2:$A$27,0)),"")</f>
      </c>
      <c r="AB413" s="82" t="str">
        <f>IFERROR(INDEX('Cost_Components'!$V$2:$V$27,MATCH(E413,'Cost_Components'!$A$2:$A$27,0)),"")</f>
      </c>
      <c r="AC413" s="83" t="str">
        <f>IFERROR(INDEX('Cost_Components'!$M$2:$M$27,MATCH(E413,'Cost_Components'!$A$2:$A$27,0)),"")</f>
      </c>
      <c r="AD413" s="84" t="str">
        <f>IFERROR(INDEX('Cost_Components'!$N$2:$N$27,MATCH(E413,'Cost_Components'!$A$2:$A$27,0)),"")</f>
      </c>
      <c r="AE413" s="20" t="str">
        <f>IFERROR(INDEX('Cost_Components'!$O$2:$O$27,MATCH(E413,'Cost_Components'!$A$2:$A$27,0)),"")</f>
      </c>
      <c r="AF413" s="85" t="n">
        <v>7672249.84505514</v>
      </c>
      <c r="AG413" s="86" t="n">
        <v>7537569.08606469</v>
      </c>
      <c r="AH413" s="87" t="str">
        <f>IF(H413="shared-count-once",COUNTIFS($A$2:$A$1353,A413,$B$2:$B$1353,B413,$E$2:$E$1353,E413),1)</f>
      </c>
    </row>
    <row r="414">
      <c r="A414" t="s">
        <v>205</v>
      </c>
      <c r="B414" s="59" t="n">
        <v>2047</v>
      </c>
      <c r="C414" t="s">
        <v>205</v>
      </c>
      <c r="D414" t="s">
        <v>180</v>
      </c>
      <c r="E414" s="60" t="s">
        <v>297</v>
      </c>
      <c r="F414" s="61" t="s">
        <v>298</v>
      </c>
      <c r="G414" s="62" t="s">
        <v>206</v>
      </c>
      <c r="H414" s="63" t="s">
        <v>195</v>
      </c>
      <c r="I414" s="64" t="s">
        <v>267</v>
      </c>
      <c r="J414" s="65" t="str">
        <f>IFERROR(INDEX('Cost_Components'!$K$2:$K$27,MATCH(E414,'Cost_Components'!$A$2:$A$27,0)),"")</f>
      </c>
      <c r="K414" s="66" t="str">
        <f>IF(OR(L414="",Z414="",AA414="",AB414=""),"",IF(B414&lt;AA414,L414,IF(B414&gt;AB414,Z414,L414+(Z414-L414)*MIN(MAX((B414-AA414+1)/MAX(AB414-AA414+1,1),0),1))))</f>
      </c>
      <c r="L414" s="67" t="str">
        <f>IFERROR(INDEX('Cost_Components'!$S$2:$S$27,MATCH(E414,'Cost_Components'!$A$2:$A$27,0)),"")</f>
      </c>
      <c r="M414" s="68" t="str">
        <f>IFERROR(INDEX('Cost_Components'!$L$2:$L$27,MATCH(E414,'Cost_Components'!$A$2:$A$27,0)),"")</f>
      </c>
      <c r="N414" s="69" t="str">
        <f>IFERROR(INDEX('Cost_Components'!$P$2:$P$27,MATCH(E414,'Cost_Components'!$A$2:$A$27,0)),"")</f>
      </c>
      <c r="O414" s="70" t="str">
        <f>AF414*J414</f>
      </c>
      <c r="P414" s="71" t="str">
        <f>AG414*J414</f>
      </c>
      <c r="Q414" s="72" t="str">
        <f>P414*L414*M414*N414</f>
      </c>
      <c r="R414" s="73" t="str">
        <f>O414*K414*M414*N414</f>
      </c>
      <c r="S414" s="74" t="str">
        <f>R414-Q414</f>
      </c>
      <c r="T414" s="20" t="str">
        <f>IFERROR(INDEX('Cost_Components'!$R$2:$R$27,MATCH(E414,'Cost_Components'!$A$2:$A$27,0)),"")</f>
      </c>
      <c r="U414" s="75" t="str">
        <f>IFERROR(INDEX('Cost_Components'!$Q$2:$Q$27,MATCH(E414,'Cost_Components'!$A$2:$A$27,0)),"")</f>
      </c>
      <c r="V414" s="76" t="str">
        <f>1/(1+'Calculation_Assumptions'!$B$5)^(B414-'Calculation_Assumptions'!$B$2)</f>
      </c>
      <c r="W414" s="77" t="str">
        <f>Q414*V414</f>
      </c>
      <c r="X414" s="78" t="str">
        <f>R414*V414</f>
      </c>
      <c r="Y414" s="79" t="str">
        <f>S414*V414</f>
      </c>
      <c r="Z414" s="80" t="str">
        <f>IFERROR(INDEX('Cost_Components'!$T$2:$T$27,MATCH(E414,'Cost_Components'!$A$2:$A$27,0)),"")</f>
      </c>
      <c r="AA414" s="81" t="str">
        <f>IFERROR(INDEX('Cost_Components'!$U$2:$U$27,MATCH(E414,'Cost_Components'!$A$2:$A$27,0)),"")</f>
      </c>
      <c r="AB414" s="82" t="str">
        <f>IFERROR(INDEX('Cost_Components'!$V$2:$V$27,MATCH(E414,'Cost_Components'!$A$2:$A$27,0)),"")</f>
      </c>
      <c r="AC414" s="83" t="str">
        <f>IFERROR(INDEX('Cost_Components'!$M$2:$M$27,MATCH(E414,'Cost_Components'!$A$2:$A$27,0)),"")</f>
      </c>
      <c r="AD414" s="84" t="str">
        <f>IFERROR(INDEX('Cost_Components'!$N$2:$N$27,MATCH(E414,'Cost_Components'!$A$2:$A$27,0)),"")</f>
      </c>
      <c r="AE414" s="20" t="str">
        <f>IFERROR(INDEX('Cost_Components'!$O$2:$O$27,MATCH(E414,'Cost_Components'!$A$2:$A$27,0)),"")</f>
      </c>
      <c r="AF414" s="85" t="n">
        <v>7785373.51980998</v>
      </c>
      <c r="AG414" s="86" t="n">
        <v>7640350.68929373</v>
      </c>
      <c r="AH414" s="87" t="str">
        <f>IF(H414="shared-count-once",COUNTIFS($A$2:$A$1353,A414,$B$2:$B$1353,B414,$E$2:$E$1353,E414),1)</f>
      </c>
    </row>
    <row r="415">
      <c r="A415" t="s">
        <v>205</v>
      </c>
      <c r="B415" s="59" t="n">
        <v>2048</v>
      </c>
      <c r="C415" t="s">
        <v>205</v>
      </c>
      <c r="D415" t="s">
        <v>180</v>
      </c>
      <c r="E415" s="60" t="s">
        <v>297</v>
      </c>
      <c r="F415" s="61" t="s">
        <v>298</v>
      </c>
      <c r="G415" s="62" t="s">
        <v>206</v>
      </c>
      <c r="H415" s="63" t="s">
        <v>195</v>
      </c>
      <c r="I415" s="64" t="s">
        <v>267</v>
      </c>
      <c r="J415" s="65" t="str">
        <f>IFERROR(INDEX('Cost_Components'!$K$2:$K$27,MATCH(E415,'Cost_Components'!$A$2:$A$27,0)),"")</f>
      </c>
      <c r="K415" s="66" t="str">
        <f>IF(OR(L415="",Z415="",AA415="",AB415=""),"",IF(B415&lt;AA415,L415,IF(B415&gt;AB415,Z415,L415+(Z415-L415)*MIN(MAX((B415-AA415+1)/MAX(AB415-AA415+1,1),0),1))))</f>
      </c>
      <c r="L415" s="67" t="str">
        <f>IFERROR(INDEX('Cost_Components'!$S$2:$S$27,MATCH(E415,'Cost_Components'!$A$2:$A$27,0)),"")</f>
      </c>
      <c r="M415" s="68" t="str">
        <f>IFERROR(INDEX('Cost_Components'!$L$2:$L$27,MATCH(E415,'Cost_Components'!$A$2:$A$27,0)),"")</f>
      </c>
      <c r="N415" s="69" t="str">
        <f>IFERROR(INDEX('Cost_Components'!$P$2:$P$27,MATCH(E415,'Cost_Components'!$A$2:$A$27,0)),"")</f>
      </c>
      <c r="O415" s="70" t="str">
        <f>AF415*J415</f>
      </c>
      <c r="P415" s="71" t="str">
        <f>AG415*J415</f>
      </c>
      <c r="Q415" s="72" t="str">
        <f>P415*L415*M415*N415</f>
      </c>
      <c r="R415" s="73" t="str">
        <f>O415*K415*M415*N415</f>
      </c>
      <c r="S415" s="74" t="str">
        <f>R415-Q415</f>
      </c>
      <c r="T415" s="20" t="str">
        <f>IFERROR(INDEX('Cost_Components'!$R$2:$R$27,MATCH(E415,'Cost_Components'!$A$2:$A$27,0)),"")</f>
      </c>
      <c r="U415" s="75" t="str">
        <f>IFERROR(INDEX('Cost_Components'!$Q$2:$Q$27,MATCH(E415,'Cost_Components'!$A$2:$A$27,0)),"")</f>
      </c>
      <c r="V415" s="76" t="str">
        <f>1/(1+'Calculation_Assumptions'!$B$5)^(B415-'Calculation_Assumptions'!$B$2)</f>
      </c>
      <c r="W415" s="77" t="str">
        <f>Q415*V415</f>
      </c>
      <c r="X415" s="78" t="str">
        <f>R415*V415</f>
      </c>
      <c r="Y415" s="79" t="str">
        <f>S415*V415</f>
      </c>
      <c r="Z415" s="80" t="str">
        <f>IFERROR(INDEX('Cost_Components'!$T$2:$T$27,MATCH(E415,'Cost_Components'!$A$2:$A$27,0)),"")</f>
      </c>
      <c r="AA415" s="81" t="str">
        <f>IFERROR(INDEX('Cost_Components'!$U$2:$U$27,MATCH(E415,'Cost_Components'!$A$2:$A$27,0)),"")</f>
      </c>
      <c r="AB415" s="82" t="str">
        <f>IFERROR(INDEX('Cost_Components'!$V$2:$V$27,MATCH(E415,'Cost_Components'!$A$2:$A$27,0)),"")</f>
      </c>
      <c r="AC415" s="83" t="str">
        <f>IFERROR(INDEX('Cost_Components'!$M$2:$M$27,MATCH(E415,'Cost_Components'!$A$2:$A$27,0)),"")</f>
      </c>
      <c r="AD415" s="84" t="str">
        <f>IFERROR(INDEX('Cost_Components'!$N$2:$N$27,MATCH(E415,'Cost_Components'!$A$2:$A$27,0)),"")</f>
      </c>
      <c r="AE415" s="20" t="str">
        <f>IFERROR(INDEX('Cost_Components'!$O$2:$O$27,MATCH(E415,'Cost_Components'!$A$2:$A$27,0)),"")</f>
      </c>
      <c r="AF415" s="85" t="n">
        <v>7897228.5768617</v>
      </c>
      <c r="AG415" s="86" t="n">
        <v>7741657.53723872</v>
      </c>
      <c r="AH415" s="87" t="str">
        <f>IF(H415="shared-count-once",COUNTIFS($A$2:$A$1353,A415,$B$2:$B$1353,B415,$E$2:$E$1353,E415),1)</f>
      </c>
    </row>
    <row r="416">
      <c r="A416" t="s">
        <v>205</v>
      </c>
      <c r="B416" s="59" t="n">
        <v>2049</v>
      </c>
      <c r="C416" t="s">
        <v>205</v>
      </c>
      <c r="D416" t="s">
        <v>180</v>
      </c>
      <c r="E416" s="60" t="s">
        <v>297</v>
      </c>
      <c r="F416" s="61" t="s">
        <v>298</v>
      </c>
      <c r="G416" s="62" t="s">
        <v>206</v>
      </c>
      <c r="H416" s="63" t="s">
        <v>195</v>
      </c>
      <c r="I416" s="64" t="s">
        <v>267</v>
      </c>
      <c r="J416" s="65" t="str">
        <f>IFERROR(INDEX('Cost_Components'!$K$2:$K$27,MATCH(E416,'Cost_Components'!$A$2:$A$27,0)),"")</f>
      </c>
      <c r="K416" s="66" t="str">
        <f>IF(OR(L416="",Z416="",AA416="",AB416=""),"",IF(B416&lt;AA416,L416,IF(B416&gt;AB416,Z416,L416+(Z416-L416)*MIN(MAX((B416-AA416+1)/MAX(AB416-AA416+1,1),0),1))))</f>
      </c>
      <c r="L416" s="67" t="str">
        <f>IFERROR(INDEX('Cost_Components'!$S$2:$S$27,MATCH(E416,'Cost_Components'!$A$2:$A$27,0)),"")</f>
      </c>
      <c r="M416" s="68" t="str">
        <f>IFERROR(INDEX('Cost_Components'!$L$2:$L$27,MATCH(E416,'Cost_Components'!$A$2:$A$27,0)),"")</f>
      </c>
      <c r="N416" s="69" t="str">
        <f>IFERROR(INDEX('Cost_Components'!$P$2:$P$27,MATCH(E416,'Cost_Components'!$A$2:$A$27,0)),"")</f>
      </c>
      <c r="O416" s="70" t="str">
        <f>AF416*J416</f>
      </c>
      <c r="P416" s="71" t="str">
        <f>AG416*J416</f>
      </c>
      <c r="Q416" s="72" t="str">
        <f>P416*L416*M416*N416</f>
      </c>
      <c r="R416" s="73" t="str">
        <f>O416*K416*M416*N416</f>
      </c>
      <c r="S416" s="74" t="str">
        <f>R416-Q416</f>
      </c>
      <c r="T416" s="20" t="str">
        <f>IFERROR(INDEX('Cost_Components'!$R$2:$R$27,MATCH(E416,'Cost_Components'!$A$2:$A$27,0)),"")</f>
      </c>
      <c r="U416" s="75" t="str">
        <f>IFERROR(INDEX('Cost_Components'!$Q$2:$Q$27,MATCH(E416,'Cost_Components'!$A$2:$A$27,0)),"")</f>
      </c>
      <c r="V416" s="76" t="str">
        <f>1/(1+'Calculation_Assumptions'!$B$5)^(B416-'Calculation_Assumptions'!$B$2)</f>
      </c>
      <c r="W416" s="77" t="str">
        <f>Q416*V416</f>
      </c>
      <c r="X416" s="78" t="str">
        <f>R416*V416</f>
      </c>
      <c r="Y416" s="79" t="str">
        <f>S416*V416</f>
      </c>
      <c r="Z416" s="80" t="str">
        <f>IFERROR(INDEX('Cost_Components'!$T$2:$T$27,MATCH(E416,'Cost_Components'!$A$2:$A$27,0)),"")</f>
      </c>
      <c r="AA416" s="81" t="str">
        <f>IFERROR(INDEX('Cost_Components'!$U$2:$U$27,MATCH(E416,'Cost_Components'!$A$2:$A$27,0)),"")</f>
      </c>
      <c r="AB416" s="82" t="str">
        <f>IFERROR(INDEX('Cost_Components'!$V$2:$V$27,MATCH(E416,'Cost_Components'!$A$2:$A$27,0)),"")</f>
      </c>
      <c r="AC416" s="83" t="str">
        <f>IFERROR(INDEX('Cost_Components'!$M$2:$M$27,MATCH(E416,'Cost_Components'!$A$2:$A$27,0)),"")</f>
      </c>
      <c r="AD416" s="84" t="str">
        <f>IFERROR(INDEX('Cost_Components'!$N$2:$N$27,MATCH(E416,'Cost_Components'!$A$2:$A$27,0)),"")</f>
      </c>
      <c r="AE416" s="20" t="str">
        <f>IFERROR(INDEX('Cost_Components'!$O$2:$O$27,MATCH(E416,'Cost_Components'!$A$2:$A$27,0)),"")</f>
      </c>
      <c r="AF416" s="85" t="n">
        <v>8004524.38539742</v>
      </c>
      <c r="AG416" s="86" t="n">
        <v>7838208.38053693</v>
      </c>
      <c r="AH416" s="87" t="str">
        <f>IF(H416="shared-count-once",COUNTIFS($A$2:$A$1353,A416,$B$2:$B$1353,B416,$E$2:$E$1353,E416),1)</f>
      </c>
    </row>
    <row r="417">
      <c r="A417" t="s">
        <v>205</v>
      </c>
      <c r="B417" s="59" t="n">
        <v>2050</v>
      </c>
      <c r="C417" t="s">
        <v>205</v>
      </c>
      <c r="D417" t="s">
        <v>180</v>
      </c>
      <c r="E417" s="60" t="s">
        <v>297</v>
      </c>
      <c r="F417" s="61" t="s">
        <v>298</v>
      </c>
      <c r="G417" s="62" t="s">
        <v>206</v>
      </c>
      <c r="H417" s="63" t="s">
        <v>195</v>
      </c>
      <c r="I417" s="64" t="s">
        <v>267</v>
      </c>
      <c r="J417" s="65" t="str">
        <f>IFERROR(INDEX('Cost_Components'!$K$2:$K$27,MATCH(E417,'Cost_Components'!$A$2:$A$27,0)),"")</f>
      </c>
      <c r="K417" s="66" t="str">
        <f>IF(OR(L417="",Z417="",AA417="",AB417=""),"",IF(B417&lt;AA417,L417,IF(B417&gt;AB417,Z417,L417+(Z417-L417)*MIN(MAX((B417-AA417+1)/MAX(AB417-AA417+1,1),0),1))))</f>
      </c>
      <c r="L417" s="67" t="str">
        <f>IFERROR(INDEX('Cost_Components'!$S$2:$S$27,MATCH(E417,'Cost_Components'!$A$2:$A$27,0)),"")</f>
      </c>
      <c r="M417" s="68" t="str">
        <f>IFERROR(INDEX('Cost_Components'!$L$2:$L$27,MATCH(E417,'Cost_Components'!$A$2:$A$27,0)),"")</f>
      </c>
      <c r="N417" s="69" t="str">
        <f>IFERROR(INDEX('Cost_Components'!$P$2:$P$27,MATCH(E417,'Cost_Components'!$A$2:$A$27,0)),"")</f>
      </c>
      <c r="O417" s="70" t="str">
        <f>AF417*J417</f>
      </c>
      <c r="P417" s="71" t="str">
        <f>AG417*J417</f>
      </c>
      <c r="Q417" s="72" t="str">
        <f>P417*L417*M417*N417</f>
      </c>
      <c r="R417" s="73" t="str">
        <f>O417*K417*M417*N417</f>
      </c>
      <c r="S417" s="74" t="str">
        <f>R417-Q417</f>
      </c>
      <c r="T417" s="20" t="str">
        <f>IFERROR(INDEX('Cost_Components'!$R$2:$R$27,MATCH(E417,'Cost_Components'!$A$2:$A$27,0)),"")</f>
      </c>
      <c r="U417" s="75" t="str">
        <f>IFERROR(INDEX('Cost_Components'!$Q$2:$Q$27,MATCH(E417,'Cost_Components'!$A$2:$A$27,0)),"")</f>
      </c>
      <c r="V417" s="76" t="str">
        <f>1/(1+'Calculation_Assumptions'!$B$5)^(B417-'Calculation_Assumptions'!$B$2)</f>
      </c>
      <c r="W417" s="77" t="str">
        <f>Q417*V417</f>
      </c>
      <c r="X417" s="78" t="str">
        <f>R417*V417</f>
      </c>
      <c r="Y417" s="79" t="str">
        <f>S417*V417</f>
      </c>
      <c r="Z417" s="80" t="str">
        <f>IFERROR(INDEX('Cost_Components'!$T$2:$T$27,MATCH(E417,'Cost_Components'!$A$2:$A$27,0)),"")</f>
      </c>
      <c r="AA417" s="81" t="str">
        <f>IFERROR(INDEX('Cost_Components'!$U$2:$U$27,MATCH(E417,'Cost_Components'!$A$2:$A$27,0)),"")</f>
      </c>
      <c r="AB417" s="82" t="str">
        <f>IFERROR(INDEX('Cost_Components'!$V$2:$V$27,MATCH(E417,'Cost_Components'!$A$2:$A$27,0)),"")</f>
      </c>
      <c r="AC417" s="83" t="str">
        <f>IFERROR(INDEX('Cost_Components'!$M$2:$M$27,MATCH(E417,'Cost_Components'!$A$2:$A$27,0)),"")</f>
      </c>
      <c r="AD417" s="84" t="str">
        <f>IFERROR(INDEX('Cost_Components'!$N$2:$N$27,MATCH(E417,'Cost_Components'!$A$2:$A$27,0)),"")</f>
      </c>
      <c r="AE417" s="20" t="str">
        <f>IFERROR(INDEX('Cost_Components'!$O$2:$O$27,MATCH(E417,'Cost_Components'!$A$2:$A$27,0)),"")</f>
      </c>
      <c r="AF417" s="85" t="n">
        <v>8109568.41753071</v>
      </c>
      <c r="AG417" s="86" t="n">
        <v>7932343.49493125</v>
      </c>
      <c r="AH417" s="87" t="str">
        <f>IF(H417="shared-count-once",COUNTIFS($A$2:$A$1353,A417,$B$2:$B$1353,B417,$E$2:$E$1353,E417),1)</f>
      </c>
    </row>
    <row r="418">
      <c r="A418" t="s">
        <v>205</v>
      </c>
      <c r="B418" s="59" t="n">
        <v>2025</v>
      </c>
      <c r="C418" t="s">
        <v>205</v>
      </c>
      <c r="D418" t="s">
        <v>180</v>
      </c>
      <c r="E418" s="60" t="s">
        <v>300</v>
      </c>
      <c r="F418" s="61" t="s">
        <v>301</v>
      </c>
      <c r="G418" s="62" t="s">
        <v>206</v>
      </c>
      <c r="H418" s="63" t="s">
        <v>195</v>
      </c>
      <c r="I418" s="64" t="s">
        <v>267</v>
      </c>
      <c r="J418" s="65" t="str">
        <f>IFERROR(INDEX('Cost_Components'!$K$2:$K$27,MATCH(E418,'Cost_Components'!$A$2:$A$27,0)),"")</f>
      </c>
      <c r="K418" s="66" t="str">
        <f>IF(OR(L418="",Z418="",AA418="",AB418=""),"",IF(B418&lt;AA418,L418,IF(B418&gt;AB418,Z418,L418+(Z418-L418)*MIN(MAX((B418-AA418+1)/MAX(AB418-AA418+1,1),0),1))))</f>
      </c>
      <c r="L418" s="67" t="str">
        <f>IFERROR(INDEX('Cost_Components'!$S$2:$S$27,MATCH(E418,'Cost_Components'!$A$2:$A$27,0)),"")</f>
      </c>
      <c r="M418" s="68" t="str">
        <f>IFERROR(INDEX('Cost_Components'!$L$2:$L$27,MATCH(E418,'Cost_Components'!$A$2:$A$27,0)),"")</f>
      </c>
      <c r="N418" s="69" t="str">
        <f>IFERROR(INDEX('Cost_Components'!$P$2:$P$27,MATCH(E418,'Cost_Components'!$A$2:$A$27,0)),"")</f>
      </c>
      <c r="O418" s="70" t="str">
        <f>AF418*J418</f>
      </c>
      <c r="P418" s="71" t="str">
        <f>AG418*J418</f>
      </c>
      <c r="Q418" s="72" t="str">
        <f>P418*L418*M418*N418</f>
      </c>
      <c r="R418" s="73" t="str">
        <f>O418*K418*M418*N418</f>
      </c>
      <c r="S418" s="74" t="str">
        <f>R418-Q418</f>
      </c>
      <c r="T418" s="20" t="str">
        <f>IFERROR(INDEX('Cost_Components'!$R$2:$R$27,MATCH(E418,'Cost_Components'!$A$2:$A$27,0)),"")</f>
      </c>
      <c r="U418" s="75" t="str">
        <f>IFERROR(INDEX('Cost_Components'!$Q$2:$Q$27,MATCH(E418,'Cost_Components'!$A$2:$A$27,0)),"")</f>
      </c>
      <c r="V418" s="76" t="str">
        <f>1/(1+'Calculation_Assumptions'!$B$5)^(B418-'Calculation_Assumptions'!$B$2)</f>
      </c>
      <c r="W418" s="77" t="str">
        <f>Q418*V418</f>
      </c>
      <c r="X418" s="78" t="str">
        <f>R418*V418</f>
      </c>
      <c r="Y418" s="79" t="str">
        <f>S418*V418</f>
      </c>
      <c r="Z418" s="80" t="str">
        <f>IFERROR(INDEX('Cost_Components'!$T$2:$T$27,MATCH(E418,'Cost_Components'!$A$2:$A$27,0)),"")</f>
      </c>
      <c r="AA418" s="81" t="str">
        <f>IFERROR(INDEX('Cost_Components'!$U$2:$U$27,MATCH(E418,'Cost_Components'!$A$2:$A$27,0)),"")</f>
      </c>
      <c r="AB418" s="82" t="str">
        <f>IFERROR(INDEX('Cost_Components'!$V$2:$V$27,MATCH(E418,'Cost_Components'!$A$2:$A$27,0)),"")</f>
      </c>
      <c r="AC418" s="83" t="str">
        <f>IFERROR(INDEX('Cost_Components'!$M$2:$M$27,MATCH(E418,'Cost_Components'!$A$2:$A$27,0)),"")</f>
      </c>
      <c r="AD418" s="84" t="str">
        <f>IFERROR(INDEX('Cost_Components'!$N$2:$N$27,MATCH(E418,'Cost_Components'!$A$2:$A$27,0)),"")</f>
      </c>
      <c r="AE418" s="20" t="str">
        <f>IFERROR(INDEX('Cost_Components'!$O$2:$O$27,MATCH(E418,'Cost_Components'!$A$2:$A$27,0)),"")</f>
      </c>
      <c r="AF418" s="85" t="n">
        <v>5102784.84317052</v>
      </c>
      <c r="AG418" s="86" t="n">
        <v>5102083.90698855</v>
      </c>
      <c r="AH418" s="87" t="str">
        <f>IF(H418="shared-count-once",COUNTIFS($A$2:$A$1353,A418,$B$2:$B$1353,B418,$E$2:$E$1353,E418),1)</f>
      </c>
    </row>
    <row r="419">
      <c r="A419" t="s">
        <v>205</v>
      </c>
      <c r="B419" s="59" t="n">
        <v>2026</v>
      </c>
      <c r="C419" t="s">
        <v>205</v>
      </c>
      <c r="D419" t="s">
        <v>180</v>
      </c>
      <c r="E419" s="60" t="s">
        <v>300</v>
      </c>
      <c r="F419" s="61" t="s">
        <v>301</v>
      </c>
      <c r="G419" s="62" t="s">
        <v>206</v>
      </c>
      <c r="H419" s="63" t="s">
        <v>195</v>
      </c>
      <c r="I419" s="64" t="s">
        <v>267</v>
      </c>
      <c r="J419" s="65" t="str">
        <f>IFERROR(INDEX('Cost_Components'!$K$2:$K$27,MATCH(E419,'Cost_Components'!$A$2:$A$27,0)),"")</f>
      </c>
      <c r="K419" s="66" t="str">
        <f>IF(OR(L419="",Z419="",AA419="",AB419=""),"",IF(B419&lt;AA419,L419,IF(B419&gt;AB419,Z419,L419+(Z419-L419)*MIN(MAX((B419-AA419+1)/MAX(AB419-AA419+1,1),0),1))))</f>
      </c>
      <c r="L419" s="67" t="str">
        <f>IFERROR(INDEX('Cost_Components'!$S$2:$S$27,MATCH(E419,'Cost_Components'!$A$2:$A$27,0)),"")</f>
      </c>
      <c r="M419" s="68" t="str">
        <f>IFERROR(INDEX('Cost_Components'!$L$2:$L$27,MATCH(E419,'Cost_Components'!$A$2:$A$27,0)),"")</f>
      </c>
      <c r="N419" s="69" t="str">
        <f>IFERROR(INDEX('Cost_Components'!$P$2:$P$27,MATCH(E419,'Cost_Components'!$A$2:$A$27,0)),"")</f>
      </c>
      <c r="O419" s="70" t="str">
        <f>AF419*J419</f>
      </c>
      <c r="P419" s="71" t="str">
        <f>AG419*J419</f>
      </c>
      <c r="Q419" s="72" t="str">
        <f>P419*L419*M419*N419</f>
      </c>
      <c r="R419" s="73" t="str">
        <f>O419*K419*M419*N419</f>
      </c>
      <c r="S419" s="74" t="str">
        <f>R419-Q419</f>
      </c>
      <c r="T419" s="20" t="str">
        <f>IFERROR(INDEX('Cost_Components'!$R$2:$R$27,MATCH(E419,'Cost_Components'!$A$2:$A$27,0)),"")</f>
      </c>
      <c r="U419" s="75" t="str">
        <f>IFERROR(INDEX('Cost_Components'!$Q$2:$Q$27,MATCH(E419,'Cost_Components'!$A$2:$A$27,0)),"")</f>
      </c>
      <c r="V419" s="76" t="str">
        <f>1/(1+'Calculation_Assumptions'!$B$5)^(B419-'Calculation_Assumptions'!$B$2)</f>
      </c>
      <c r="W419" s="77" t="str">
        <f>Q419*V419</f>
      </c>
      <c r="X419" s="78" t="str">
        <f>R419*V419</f>
      </c>
      <c r="Y419" s="79" t="str">
        <f>S419*V419</f>
      </c>
      <c r="Z419" s="80" t="str">
        <f>IFERROR(INDEX('Cost_Components'!$T$2:$T$27,MATCH(E419,'Cost_Components'!$A$2:$A$27,0)),"")</f>
      </c>
      <c r="AA419" s="81" t="str">
        <f>IFERROR(INDEX('Cost_Components'!$U$2:$U$27,MATCH(E419,'Cost_Components'!$A$2:$A$27,0)),"")</f>
      </c>
      <c r="AB419" s="82" t="str">
        <f>IFERROR(INDEX('Cost_Components'!$V$2:$V$27,MATCH(E419,'Cost_Components'!$A$2:$A$27,0)),"")</f>
      </c>
      <c r="AC419" s="83" t="str">
        <f>IFERROR(INDEX('Cost_Components'!$M$2:$M$27,MATCH(E419,'Cost_Components'!$A$2:$A$27,0)),"")</f>
      </c>
      <c r="AD419" s="84" t="str">
        <f>IFERROR(INDEX('Cost_Components'!$N$2:$N$27,MATCH(E419,'Cost_Components'!$A$2:$A$27,0)),"")</f>
      </c>
      <c r="AE419" s="20" t="str">
        <f>IFERROR(INDEX('Cost_Components'!$O$2:$O$27,MATCH(E419,'Cost_Components'!$A$2:$A$27,0)),"")</f>
      </c>
      <c r="AF419" s="85" t="n">
        <v>5227058.72004549</v>
      </c>
      <c r="AG419" s="86" t="n">
        <v>5224992.02984447</v>
      </c>
      <c r="AH419" s="87" t="str">
        <f>IF(H419="shared-count-once",COUNTIFS($A$2:$A$1353,A419,$B$2:$B$1353,B419,$E$2:$E$1353,E419),1)</f>
      </c>
    </row>
    <row r="420">
      <c r="A420" t="s">
        <v>205</v>
      </c>
      <c r="B420" s="59" t="n">
        <v>2027</v>
      </c>
      <c r="C420" t="s">
        <v>205</v>
      </c>
      <c r="D420" t="s">
        <v>180</v>
      </c>
      <c r="E420" s="60" t="s">
        <v>300</v>
      </c>
      <c r="F420" s="61" t="s">
        <v>301</v>
      </c>
      <c r="G420" s="62" t="s">
        <v>206</v>
      </c>
      <c r="H420" s="63" t="s">
        <v>195</v>
      </c>
      <c r="I420" s="64" t="s">
        <v>267</v>
      </c>
      <c r="J420" s="65" t="str">
        <f>IFERROR(INDEX('Cost_Components'!$K$2:$K$27,MATCH(E420,'Cost_Components'!$A$2:$A$27,0)),"")</f>
      </c>
      <c r="K420" s="66" t="str">
        <f>IF(OR(L420="",Z420="",AA420="",AB420=""),"",IF(B420&lt;AA420,L420,IF(B420&gt;AB420,Z420,L420+(Z420-L420)*MIN(MAX((B420-AA420+1)/MAX(AB420-AA420+1,1),0),1))))</f>
      </c>
      <c r="L420" s="67" t="str">
        <f>IFERROR(INDEX('Cost_Components'!$S$2:$S$27,MATCH(E420,'Cost_Components'!$A$2:$A$27,0)),"")</f>
      </c>
      <c r="M420" s="68" t="str">
        <f>IFERROR(INDEX('Cost_Components'!$L$2:$L$27,MATCH(E420,'Cost_Components'!$A$2:$A$27,0)),"")</f>
      </c>
      <c r="N420" s="69" t="str">
        <f>IFERROR(INDEX('Cost_Components'!$P$2:$P$27,MATCH(E420,'Cost_Components'!$A$2:$A$27,0)),"")</f>
      </c>
      <c r="O420" s="70" t="str">
        <f>AF420*J420</f>
      </c>
      <c r="P420" s="71" t="str">
        <f>AG420*J420</f>
      </c>
      <c r="Q420" s="72" t="str">
        <f>P420*L420*M420*N420</f>
      </c>
      <c r="R420" s="73" t="str">
        <f>O420*K420*M420*N420</f>
      </c>
      <c r="S420" s="74" t="str">
        <f>R420-Q420</f>
      </c>
      <c r="T420" s="20" t="str">
        <f>IFERROR(INDEX('Cost_Components'!$R$2:$R$27,MATCH(E420,'Cost_Components'!$A$2:$A$27,0)),"")</f>
      </c>
      <c r="U420" s="75" t="str">
        <f>IFERROR(INDEX('Cost_Components'!$Q$2:$Q$27,MATCH(E420,'Cost_Components'!$A$2:$A$27,0)),"")</f>
      </c>
      <c r="V420" s="76" t="str">
        <f>1/(1+'Calculation_Assumptions'!$B$5)^(B420-'Calculation_Assumptions'!$B$2)</f>
      </c>
      <c r="W420" s="77" t="str">
        <f>Q420*V420</f>
      </c>
      <c r="X420" s="78" t="str">
        <f>R420*V420</f>
      </c>
      <c r="Y420" s="79" t="str">
        <f>S420*V420</f>
      </c>
      <c r="Z420" s="80" t="str">
        <f>IFERROR(INDEX('Cost_Components'!$T$2:$T$27,MATCH(E420,'Cost_Components'!$A$2:$A$27,0)),"")</f>
      </c>
      <c r="AA420" s="81" t="str">
        <f>IFERROR(INDEX('Cost_Components'!$U$2:$U$27,MATCH(E420,'Cost_Components'!$A$2:$A$27,0)),"")</f>
      </c>
      <c r="AB420" s="82" t="str">
        <f>IFERROR(INDEX('Cost_Components'!$V$2:$V$27,MATCH(E420,'Cost_Components'!$A$2:$A$27,0)),"")</f>
      </c>
      <c r="AC420" s="83" t="str">
        <f>IFERROR(INDEX('Cost_Components'!$M$2:$M$27,MATCH(E420,'Cost_Components'!$A$2:$A$27,0)),"")</f>
      </c>
      <c r="AD420" s="84" t="str">
        <f>IFERROR(INDEX('Cost_Components'!$N$2:$N$27,MATCH(E420,'Cost_Components'!$A$2:$A$27,0)),"")</f>
      </c>
      <c r="AE420" s="20" t="str">
        <f>IFERROR(INDEX('Cost_Components'!$O$2:$O$27,MATCH(E420,'Cost_Components'!$A$2:$A$27,0)),"")</f>
      </c>
      <c r="AF420" s="85" t="n">
        <v>5349129.42781493</v>
      </c>
      <c r="AG420" s="86" t="n">
        <v>5345060.5643959</v>
      </c>
      <c r="AH420" s="87" t="str">
        <f>IF(H420="shared-count-once",COUNTIFS($A$2:$A$1353,A420,$B$2:$B$1353,B420,$E$2:$E$1353,E420),1)</f>
      </c>
    </row>
    <row r="421">
      <c r="A421" t="s">
        <v>205</v>
      </c>
      <c r="B421" s="59" t="n">
        <v>2028</v>
      </c>
      <c r="C421" t="s">
        <v>205</v>
      </c>
      <c r="D421" t="s">
        <v>180</v>
      </c>
      <c r="E421" s="60" t="s">
        <v>300</v>
      </c>
      <c r="F421" s="61" t="s">
        <v>301</v>
      </c>
      <c r="G421" s="62" t="s">
        <v>206</v>
      </c>
      <c r="H421" s="63" t="s">
        <v>195</v>
      </c>
      <c r="I421" s="64" t="s">
        <v>267</v>
      </c>
      <c r="J421" s="65" t="str">
        <f>IFERROR(INDEX('Cost_Components'!$K$2:$K$27,MATCH(E421,'Cost_Components'!$A$2:$A$27,0)),"")</f>
      </c>
      <c r="K421" s="66" t="str">
        <f>IF(OR(L421="",Z421="",AA421="",AB421=""),"",IF(B421&lt;AA421,L421,IF(B421&gt;AB421,Z421,L421+(Z421-L421)*MIN(MAX((B421-AA421+1)/MAX(AB421-AA421+1,1),0),1))))</f>
      </c>
      <c r="L421" s="67" t="str">
        <f>IFERROR(INDEX('Cost_Components'!$S$2:$S$27,MATCH(E421,'Cost_Components'!$A$2:$A$27,0)),"")</f>
      </c>
      <c r="M421" s="68" t="str">
        <f>IFERROR(INDEX('Cost_Components'!$L$2:$L$27,MATCH(E421,'Cost_Components'!$A$2:$A$27,0)),"")</f>
      </c>
      <c r="N421" s="69" t="str">
        <f>IFERROR(INDEX('Cost_Components'!$P$2:$P$27,MATCH(E421,'Cost_Components'!$A$2:$A$27,0)),"")</f>
      </c>
      <c r="O421" s="70" t="str">
        <f>AF421*J421</f>
      </c>
      <c r="P421" s="71" t="str">
        <f>AG421*J421</f>
      </c>
      <c r="Q421" s="72" t="str">
        <f>P421*L421*M421*N421</f>
      </c>
      <c r="R421" s="73" t="str">
        <f>O421*K421*M421*N421</f>
      </c>
      <c r="S421" s="74" t="str">
        <f>R421-Q421</f>
      </c>
      <c r="T421" s="20" t="str">
        <f>IFERROR(INDEX('Cost_Components'!$R$2:$R$27,MATCH(E421,'Cost_Components'!$A$2:$A$27,0)),"")</f>
      </c>
      <c r="U421" s="75" t="str">
        <f>IFERROR(INDEX('Cost_Components'!$Q$2:$Q$27,MATCH(E421,'Cost_Components'!$A$2:$A$27,0)),"")</f>
      </c>
      <c r="V421" s="76" t="str">
        <f>1/(1+'Calculation_Assumptions'!$B$5)^(B421-'Calculation_Assumptions'!$B$2)</f>
      </c>
      <c r="W421" s="77" t="str">
        <f>Q421*V421</f>
      </c>
      <c r="X421" s="78" t="str">
        <f>R421*V421</f>
      </c>
      <c r="Y421" s="79" t="str">
        <f>S421*V421</f>
      </c>
      <c r="Z421" s="80" t="str">
        <f>IFERROR(INDEX('Cost_Components'!$T$2:$T$27,MATCH(E421,'Cost_Components'!$A$2:$A$27,0)),"")</f>
      </c>
      <c r="AA421" s="81" t="str">
        <f>IFERROR(INDEX('Cost_Components'!$U$2:$U$27,MATCH(E421,'Cost_Components'!$A$2:$A$27,0)),"")</f>
      </c>
      <c r="AB421" s="82" t="str">
        <f>IFERROR(INDEX('Cost_Components'!$V$2:$V$27,MATCH(E421,'Cost_Components'!$A$2:$A$27,0)),"")</f>
      </c>
      <c r="AC421" s="83" t="str">
        <f>IFERROR(INDEX('Cost_Components'!$M$2:$M$27,MATCH(E421,'Cost_Components'!$A$2:$A$27,0)),"")</f>
      </c>
      <c r="AD421" s="84" t="str">
        <f>IFERROR(INDEX('Cost_Components'!$N$2:$N$27,MATCH(E421,'Cost_Components'!$A$2:$A$27,0)),"")</f>
      </c>
      <c r="AE421" s="20" t="str">
        <f>IFERROR(INDEX('Cost_Components'!$O$2:$O$27,MATCH(E421,'Cost_Components'!$A$2:$A$27,0)),"")</f>
      </c>
      <c r="AF421" s="85" t="n">
        <v>5470581.14802077</v>
      </c>
      <c r="AG421" s="86" t="n">
        <v>5463892.28222306</v>
      </c>
      <c r="AH421" s="87" t="str">
        <f>IF(H421="shared-count-once",COUNTIFS($A$2:$A$1353,A421,$B$2:$B$1353,B421,$E$2:$E$1353,E421),1)</f>
      </c>
    </row>
    <row r="422">
      <c r="A422" t="s">
        <v>205</v>
      </c>
      <c r="B422" s="59" t="n">
        <v>2029</v>
      </c>
      <c r="C422" t="s">
        <v>205</v>
      </c>
      <c r="D422" t="s">
        <v>180</v>
      </c>
      <c r="E422" s="60" t="s">
        <v>300</v>
      </c>
      <c r="F422" s="61" t="s">
        <v>301</v>
      </c>
      <c r="G422" s="62" t="s">
        <v>206</v>
      </c>
      <c r="H422" s="63" t="s">
        <v>195</v>
      </c>
      <c r="I422" s="64" t="s">
        <v>267</v>
      </c>
      <c r="J422" s="65" t="str">
        <f>IFERROR(INDEX('Cost_Components'!$K$2:$K$27,MATCH(E422,'Cost_Components'!$A$2:$A$27,0)),"")</f>
      </c>
      <c r="K422" s="66" t="str">
        <f>IF(OR(L422="",Z422="",AA422="",AB422=""),"",IF(B422&lt;AA422,L422,IF(B422&gt;AB422,Z422,L422+(Z422-L422)*MIN(MAX((B422-AA422+1)/MAX(AB422-AA422+1,1),0),1))))</f>
      </c>
      <c r="L422" s="67" t="str">
        <f>IFERROR(INDEX('Cost_Components'!$S$2:$S$27,MATCH(E422,'Cost_Components'!$A$2:$A$27,0)),"")</f>
      </c>
      <c r="M422" s="68" t="str">
        <f>IFERROR(INDEX('Cost_Components'!$L$2:$L$27,MATCH(E422,'Cost_Components'!$A$2:$A$27,0)),"")</f>
      </c>
      <c r="N422" s="69" t="str">
        <f>IFERROR(INDEX('Cost_Components'!$P$2:$P$27,MATCH(E422,'Cost_Components'!$A$2:$A$27,0)),"")</f>
      </c>
      <c r="O422" s="70" t="str">
        <f>AF422*J422</f>
      </c>
      <c r="P422" s="71" t="str">
        <f>AG422*J422</f>
      </c>
      <c r="Q422" s="72" t="str">
        <f>P422*L422*M422*N422</f>
      </c>
      <c r="R422" s="73" t="str">
        <f>O422*K422*M422*N422</f>
      </c>
      <c r="S422" s="74" t="str">
        <f>R422-Q422</f>
      </c>
      <c r="T422" s="20" t="str">
        <f>IFERROR(INDEX('Cost_Components'!$R$2:$R$27,MATCH(E422,'Cost_Components'!$A$2:$A$27,0)),"")</f>
      </c>
      <c r="U422" s="75" t="str">
        <f>IFERROR(INDEX('Cost_Components'!$Q$2:$Q$27,MATCH(E422,'Cost_Components'!$A$2:$A$27,0)),"")</f>
      </c>
      <c r="V422" s="76" t="str">
        <f>1/(1+'Calculation_Assumptions'!$B$5)^(B422-'Calculation_Assumptions'!$B$2)</f>
      </c>
      <c r="W422" s="77" t="str">
        <f>Q422*V422</f>
      </c>
      <c r="X422" s="78" t="str">
        <f>R422*V422</f>
      </c>
      <c r="Y422" s="79" t="str">
        <f>S422*V422</f>
      </c>
      <c r="Z422" s="80" t="str">
        <f>IFERROR(INDEX('Cost_Components'!$T$2:$T$27,MATCH(E422,'Cost_Components'!$A$2:$A$27,0)),"")</f>
      </c>
      <c r="AA422" s="81" t="str">
        <f>IFERROR(INDEX('Cost_Components'!$U$2:$U$27,MATCH(E422,'Cost_Components'!$A$2:$A$27,0)),"")</f>
      </c>
      <c r="AB422" s="82" t="str">
        <f>IFERROR(INDEX('Cost_Components'!$V$2:$V$27,MATCH(E422,'Cost_Components'!$A$2:$A$27,0)),"")</f>
      </c>
      <c r="AC422" s="83" t="str">
        <f>IFERROR(INDEX('Cost_Components'!$M$2:$M$27,MATCH(E422,'Cost_Components'!$A$2:$A$27,0)),"")</f>
      </c>
      <c r="AD422" s="84" t="str">
        <f>IFERROR(INDEX('Cost_Components'!$N$2:$N$27,MATCH(E422,'Cost_Components'!$A$2:$A$27,0)),"")</f>
      </c>
      <c r="AE422" s="20" t="str">
        <f>IFERROR(INDEX('Cost_Components'!$O$2:$O$27,MATCH(E422,'Cost_Components'!$A$2:$A$27,0)),"")</f>
      </c>
      <c r="AF422" s="85" t="n">
        <v>5587252.84678299</v>
      </c>
      <c r="AG422" s="86" t="n">
        <v>5577335.16444688</v>
      </c>
      <c r="AH422" s="87" t="str">
        <f>IF(H422="shared-count-once",COUNTIFS($A$2:$A$1353,A422,$B$2:$B$1353,B422,$E$2:$E$1353,E422),1)</f>
      </c>
    </row>
    <row r="423">
      <c r="A423" t="s">
        <v>205</v>
      </c>
      <c r="B423" s="59" t="n">
        <v>2030</v>
      </c>
      <c r="C423" t="s">
        <v>205</v>
      </c>
      <c r="D423" t="s">
        <v>180</v>
      </c>
      <c r="E423" s="60" t="s">
        <v>300</v>
      </c>
      <c r="F423" s="61" t="s">
        <v>301</v>
      </c>
      <c r="G423" s="62" t="s">
        <v>206</v>
      </c>
      <c r="H423" s="63" t="s">
        <v>195</v>
      </c>
      <c r="I423" s="64" t="s">
        <v>267</v>
      </c>
      <c r="J423" s="65" t="str">
        <f>IFERROR(INDEX('Cost_Components'!$K$2:$K$27,MATCH(E423,'Cost_Components'!$A$2:$A$27,0)),"")</f>
      </c>
      <c r="K423" s="66" t="str">
        <f>IF(OR(L423="",Z423="",AA423="",AB423=""),"",IF(B423&lt;AA423,L423,IF(B423&gt;AB423,Z423,L423+(Z423-L423)*MIN(MAX((B423-AA423+1)/MAX(AB423-AA423+1,1),0),1))))</f>
      </c>
      <c r="L423" s="67" t="str">
        <f>IFERROR(INDEX('Cost_Components'!$S$2:$S$27,MATCH(E423,'Cost_Components'!$A$2:$A$27,0)),"")</f>
      </c>
      <c r="M423" s="68" t="str">
        <f>IFERROR(INDEX('Cost_Components'!$L$2:$L$27,MATCH(E423,'Cost_Components'!$A$2:$A$27,0)),"")</f>
      </c>
      <c r="N423" s="69" t="str">
        <f>IFERROR(INDEX('Cost_Components'!$P$2:$P$27,MATCH(E423,'Cost_Components'!$A$2:$A$27,0)),"")</f>
      </c>
      <c r="O423" s="70" t="str">
        <f>AF423*J423</f>
      </c>
      <c r="P423" s="71" t="str">
        <f>AG423*J423</f>
      </c>
      <c r="Q423" s="72" t="str">
        <f>P423*L423*M423*N423</f>
      </c>
      <c r="R423" s="73" t="str">
        <f>O423*K423*M423*N423</f>
      </c>
      <c r="S423" s="74" t="str">
        <f>R423-Q423</f>
      </c>
      <c r="T423" s="20" t="str">
        <f>IFERROR(INDEX('Cost_Components'!$R$2:$R$27,MATCH(E423,'Cost_Components'!$A$2:$A$27,0)),"")</f>
      </c>
      <c r="U423" s="75" t="str">
        <f>IFERROR(INDEX('Cost_Components'!$Q$2:$Q$27,MATCH(E423,'Cost_Components'!$A$2:$A$27,0)),"")</f>
      </c>
      <c r="V423" s="76" t="str">
        <f>1/(1+'Calculation_Assumptions'!$B$5)^(B423-'Calculation_Assumptions'!$B$2)</f>
      </c>
      <c r="W423" s="77" t="str">
        <f>Q423*V423</f>
      </c>
      <c r="X423" s="78" t="str">
        <f>R423*V423</f>
      </c>
      <c r="Y423" s="79" t="str">
        <f>S423*V423</f>
      </c>
      <c r="Z423" s="80" t="str">
        <f>IFERROR(INDEX('Cost_Components'!$T$2:$T$27,MATCH(E423,'Cost_Components'!$A$2:$A$27,0)),"")</f>
      </c>
      <c r="AA423" s="81" t="str">
        <f>IFERROR(INDEX('Cost_Components'!$U$2:$U$27,MATCH(E423,'Cost_Components'!$A$2:$A$27,0)),"")</f>
      </c>
      <c r="AB423" s="82" t="str">
        <f>IFERROR(INDEX('Cost_Components'!$V$2:$V$27,MATCH(E423,'Cost_Components'!$A$2:$A$27,0)),"")</f>
      </c>
      <c r="AC423" s="83" t="str">
        <f>IFERROR(INDEX('Cost_Components'!$M$2:$M$27,MATCH(E423,'Cost_Components'!$A$2:$A$27,0)),"")</f>
      </c>
      <c r="AD423" s="84" t="str">
        <f>IFERROR(INDEX('Cost_Components'!$N$2:$N$27,MATCH(E423,'Cost_Components'!$A$2:$A$27,0)),"")</f>
      </c>
      <c r="AE423" s="20" t="str">
        <f>IFERROR(INDEX('Cost_Components'!$O$2:$O$27,MATCH(E423,'Cost_Components'!$A$2:$A$27,0)),"")</f>
      </c>
      <c r="AF423" s="85" t="n">
        <v>5706144.35717538</v>
      </c>
      <c r="AG423" s="86" t="n">
        <v>5692434.95186848</v>
      </c>
      <c r="AH423" s="87" t="str">
        <f>IF(H423="shared-count-once",COUNTIFS($A$2:$A$1353,A423,$B$2:$B$1353,B423,$E$2:$E$1353,E423),1)</f>
      </c>
    </row>
    <row r="424">
      <c r="A424" t="s">
        <v>205</v>
      </c>
      <c r="B424" s="59" t="n">
        <v>2031</v>
      </c>
      <c r="C424" t="s">
        <v>205</v>
      </c>
      <c r="D424" t="s">
        <v>180</v>
      </c>
      <c r="E424" s="60" t="s">
        <v>300</v>
      </c>
      <c r="F424" s="61" t="s">
        <v>301</v>
      </c>
      <c r="G424" s="62" t="s">
        <v>206</v>
      </c>
      <c r="H424" s="63" t="s">
        <v>195</v>
      </c>
      <c r="I424" s="64" t="s">
        <v>267</v>
      </c>
      <c r="J424" s="65" t="str">
        <f>IFERROR(INDEX('Cost_Components'!$K$2:$K$27,MATCH(E424,'Cost_Components'!$A$2:$A$27,0)),"")</f>
      </c>
      <c r="K424" s="66" t="str">
        <f>IF(OR(L424="",Z424="",AA424="",AB424=""),"",IF(B424&lt;AA424,L424,IF(B424&gt;AB424,Z424,L424+(Z424-L424)*MIN(MAX((B424-AA424+1)/MAX(AB424-AA424+1,1),0),1))))</f>
      </c>
      <c r="L424" s="67" t="str">
        <f>IFERROR(INDEX('Cost_Components'!$S$2:$S$27,MATCH(E424,'Cost_Components'!$A$2:$A$27,0)),"")</f>
      </c>
      <c r="M424" s="68" t="str">
        <f>IFERROR(INDEX('Cost_Components'!$L$2:$L$27,MATCH(E424,'Cost_Components'!$A$2:$A$27,0)),"")</f>
      </c>
      <c r="N424" s="69" t="str">
        <f>IFERROR(INDEX('Cost_Components'!$P$2:$P$27,MATCH(E424,'Cost_Components'!$A$2:$A$27,0)),"")</f>
      </c>
      <c r="O424" s="70" t="str">
        <f>AF424*J424</f>
      </c>
      <c r="P424" s="71" t="str">
        <f>AG424*J424</f>
      </c>
      <c r="Q424" s="72" t="str">
        <f>P424*L424*M424*N424</f>
      </c>
      <c r="R424" s="73" t="str">
        <f>O424*K424*M424*N424</f>
      </c>
      <c r="S424" s="74" t="str">
        <f>R424-Q424</f>
      </c>
      <c r="T424" s="20" t="str">
        <f>IFERROR(INDEX('Cost_Components'!$R$2:$R$27,MATCH(E424,'Cost_Components'!$A$2:$A$27,0)),"")</f>
      </c>
      <c r="U424" s="75" t="str">
        <f>IFERROR(INDEX('Cost_Components'!$Q$2:$Q$27,MATCH(E424,'Cost_Components'!$A$2:$A$27,0)),"")</f>
      </c>
      <c r="V424" s="76" t="str">
        <f>1/(1+'Calculation_Assumptions'!$B$5)^(B424-'Calculation_Assumptions'!$B$2)</f>
      </c>
      <c r="W424" s="77" t="str">
        <f>Q424*V424</f>
      </c>
      <c r="X424" s="78" t="str">
        <f>R424*V424</f>
      </c>
      <c r="Y424" s="79" t="str">
        <f>S424*V424</f>
      </c>
      <c r="Z424" s="80" t="str">
        <f>IFERROR(INDEX('Cost_Components'!$T$2:$T$27,MATCH(E424,'Cost_Components'!$A$2:$A$27,0)),"")</f>
      </c>
      <c r="AA424" s="81" t="str">
        <f>IFERROR(INDEX('Cost_Components'!$U$2:$U$27,MATCH(E424,'Cost_Components'!$A$2:$A$27,0)),"")</f>
      </c>
      <c r="AB424" s="82" t="str">
        <f>IFERROR(INDEX('Cost_Components'!$V$2:$V$27,MATCH(E424,'Cost_Components'!$A$2:$A$27,0)),"")</f>
      </c>
      <c r="AC424" s="83" t="str">
        <f>IFERROR(INDEX('Cost_Components'!$M$2:$M$27,MATCH(E424,'Cost_Components'!$A$2:$A$27,0)),"")</f>
      </c>
      <c r="AD424" s="84" t="str">
        <f>IFERROR(INDEX('Cost_Components'!$N$2:$N$27,MATCH(E424,'Cost_Components'!$A$2:$A$27,0)),"")</f>
      </c>
      <c r="AE424" s="20" t="str">
        <f>IFERROR(INDEX('Cost_Components'!$O$2:$O$27,MATCH(E424,'Cost_Components'!$A$2:$A$27,0)),"")</f>
      </c>
      <c r="AF424" s="85" t="n">
        <v>5827496.82493079</v>
      </c>
      <c r="AG424" s="86" t="n">
        <v>5809459.27108144</v>
      </c>
      <c r="AH424" s="87" t="str">
        <f>IF(H424="shared-count-once",COUNTIFS($A$2:$A$1353,A424,$B$2:$B$1353,B424,$E$2:$E$1353,E424),1)</f>
      </c>
    </row>
    <row r="425">
      <c r="A425" t="s">
        <v>205</v>
      </c>
      <c r="B425" s="59" t="n">
        <v>2032</v>
      </c>
      <c r="C425" t="s">
        <v>205</v>
      </c>
      <c r="D425" t="s">
        <v>180</v>
      </c>
      <c r="E425" s="60" t="s">
        <v>300</v>
      </c>
      <c r="F425" s="61" t="s">
        <v>301</v>
      </c>
      <c r="G425" s="62" t="s">
        <v>206</v>
      </c>
      <c r="H425" s="63" t="s">
        <v>195</v>
      </c>
      <c r="I425" s="64" t="s">
        <v>267</v>
      </c>
      <c r="J425" s="65" t="str">
        <f>IFERROR(INDEX('Cost_Components'!$K$2:$K$27,MATCH(E425,'Cost_Components'!$A$2:$A$27,0)),"")</f>
      </c>
      <c r="K425" s="66" t="str">
        <f>IF(OR(L425="",Z425="",AA425="",AB425=""),"",IF(B425&lt;AA425,L425,IF(B425&gt;AB425,Z425,L425+(Z425-L425)*MIN(MAX((B425-AA425+1)/MAX(AB425-AA425+1,1),0),1))))</f>
      </c>
      <c r="L425" s="67" t="str">
        <f>IFERROR(INDEX('Cost_Components'!$S$2:$S$27,MATCH(E425,'Cost_Components'!$A$2:$A$27,0)),"")</f>
      </c>
      <c r="M425" s="68" t="str">
        <f>IFERROR(INDEX('Cost_Components'!$L$2:$L$27,MATCH(E425,'Cost_Components'!$A$2:$A$27,0)),"")</f>
      </c>
      <c r="N425" s="69" t="str">
        <f>IFERROR(INDEX('Cost_Components'!$P$2:$P$27,MATCH(E425,'Cost_Components'!$A$2:$A$27,0)),"")</f>
      </c>
      <c r="O425" s="70" t="str">
        <f>AF425*J425</f>
      </c>
      <c r="P425" s="71" t="str">
        <f>AG425*J425</f>
      </c>
      <c r="Q425" s="72" t="str">
        <f>P425*L425*M425*N425</f>
      </c>
      <c r="R425" s="73" t="str">
        <f>O425*K425*M425*N425</f>
      </c>
      <c r="S425" s="74" t="str">
        <f>R425-Q425</f>
      </c>
      <c r="T425" s="20" t="str">
        <f>IFERROR(INDEX('Cost_Components'!$R$2:$R$27,MATCH(E425,'Cost_Components'!$A$2:$A$27,0)),"")</f>
      </c>
      <c r="U425" s="75" t="str">
        <f>IFERROR(INDEX('Cost_Components'!$Q$2:$Q$27,MATCH(E425,'Cost_Components'!$A$2:$A$27,0)),"")</f>
      </c>
      <c r="V425" s="76" t="str">
        <f>1/(1+'Calculation_Assumptions'!$B$5)^(B425-'Calculation_Assumptions'!$B$2)</f>
      </c>
      <c r="W425" s="77" t="str">
        <f>Q425*V425</f>
      </c>
      <c r="X425" s="78" t="str">
        <f>R425*V425</f>
      </c>
      <c r="Y425" s="79" t="str">
        <f>S425*V425</f>
      </c>
      <c r="Z425" s="80" t="str">
        <f>IFERROR(INDEX('Cost_Components'!$T$2:$T$27,MATCH(E425,'Cost_Components'!$A$2:$A$27,0)),"")</f>
      </c>
      <c r="AA425" s="81" t="str">
        <f>IFERROR(INDEX('Cost_Components'!$U$2:$U$27,MATCH(E425,'Cost_Components'!$A$2:$A$27,0)),"")</f>
      </c>
      <c r="AB425" s="82" t="str">
        <f>IFERROR(INDEX('Cost_Components'!$V$2:$V$27,MATCH(E425,'Cost_Components'!$A$2:$A$27,0)),"")</f>
      </c>
      <c r="AC425" s="83" t="str">
        <f>IFERROR(INDEX('Cost_Components'!$M$2:$M$27,MATCH(E425,'Cost_Components'!$A$2:$A$27,0)),"")</f>
      </c>
      <c r="AD425" s="84" t="str">
        <f>IFERROR(INDEX('Cost_Components'!$N$2:$N$27,MATCH(E425,'Cost_Components'!$A$2:$A$27,0)),"")</f>
      </c>
      <c r="AE425" s="20" t="str">
        <f>IFERROR(INDEX('Cost_Components'!$O$2:$O$27,MATCH(E425,'Cost_Components'!$A$2:$A$27,0)),"")</f>
      </c>
      <c r="AF425" s="85" t="n">
        <v>5950853.31512361</v>
      </c>
      <c r="AG425" s="86" t="n">
        <v>5927965.33586751</v>
      </c>
      <c r="AH425" s="87" t="str">
        <f>IF(H425="shared-count-once",COUNTIFS($A$2:$A$1353,A425,$B$2:$B$1353,B425,$E$2:$E$1353,E425),1)</f>
      </c>
    </row>
    <row r="426">
      <c r="A426" t="s">
        <v>205</v>
      </c>
      <c r="B426" s="59" t="n">
        <v>2033</v>
      </c>
      <c r="C426" t="s">
        <v>205</v>
      </c>
      <c r="D426" t="s">
        <v>180</v>
      </c>
      <c r="E426" s="60" t="s">
        <v>300</v>
      </c>
      <c r="F426" s="61" t="s">
        <v>301</v>
      </c>
      <c r="G426" s="62" t="s">
        <v>206</v>
      </c>
      <c r="H426" s="63" t="s">
        <v>195</v>
      </c>
      <c r="I426" s="64" t="s">
        <v>267</v>
      </c>
      <c r="J426" s="65" t="str">
        <f>IFERROR(INDEX('Cost_Components'!$K$2:$K$27,MATCH(E426,'Cost_Components'!$A$2:$A$27,0)),"")</f>
      </c>
      <c r="K426" s="66" t="str">
        <f>IF(OR(L426="",Z426="",AA426="",AB426=""),"",IF(B426&lt;AA426,L426,IF(B426&gt;AB426,Z426,L426+(Z426-L426)*MIN(MAX((B426-AA426+1)/MAX(AB426-AA426+1,1),0),1))))</f>
      </c>
      <c r="L426" s="67" t="str">
        <f>IFERROR(INDEX('Cost_Components'!$S$2:$S$27,MATCH(E426,'Cost_Components'!$A$2:$A$27,0)),"")</f>
      </c>
      <c r="M426" s="68" t="str">
        <f>IFERROR(INDEX('Cost_Components'!$L$2:$L$27,MATCH(E426,'Cost_Components'!$A$2:$A$27,0)),"")</f>
      </c>
      <c r="N426" s="69" t="str">
        <f>IFERROR(INDEX('Cost_Components'!$P$2:$P$27,MATCH(E426,'Cost_Components'!$A$2:$A$27,0)),"")</f>
      </c>
      <c r="O426" s="70" t="str">
        <f>AF426*J426</f>
      </c>
      <c r="P426" s="71" t="str">
        <f>AG426*J426</f>
      </c>
      <c r="Q426" s="72" t="str">
        <f>P426*L426*M426*N426</f>
      </c>
      <c r="R426" s="73" t="str">
        <f>O426*K426*M426*N426</f>
      </c>
      <c r="S426" s="74" t="str">
        <f>R426-Q426</f>
      </c>
      <c r="T426" s="20" t="str">
        <f>IFERROR(INDEX('Cost_Components'!$R$2:$R$27,MATCH(E426,'Cost_Components'!$A$2:$A$27,0)),"")</f>
      </c>
      <c r="U426" s="75" t="str">
        <f>IFERROR(INDEX('Cost_Components'!$Q$2:$Q$27,MATCH(E426,'Cost_Components'!$A$2:$A$27,0)),"")</f>
      </c>
      <c r="V426" s="76" t="str">
        <f>1/(1+'Calculation_Assumptions'!$B$5)^(B426-'Calculation_Assumptions'!$B$2)</f>
      </c>
      <c r="W426" s="77" t="str">
        <f>Q426*V426</f>
      </c>
      <c r="X426" s="78" t="str">
        <f>R426*V426</f>
      </c>
      <c r="Y426" s="79" t="str">
        <f>S426*V426</f>
      </c>
      <c r="Z426" s="80" t="str">
        <f>IFERROR(INDEX('Cost_Components'!$T$2:$T$27,MATCH(E426,'Cost_Components'!$A$2:$A$27,0)),"")</f>
      </c>
      <c r="AA426" s="81" t="str">
        <f>IFERROR(INDEX('Cost_Components'!$U$2:$U$27,MATCH(E426,'Cost_Components'!$A$2:$A$27,0)),"")</f>
      </c>
      <c r="AB426" s="82" t="str">
        <f>IFERROR(INDEX('Cost_Components'!$V$2:$V$27,MATCH(E426,'Cost_Components'!$A$2:$A$27,0)),"")</f>
      </c>
      <c r="AC426" s="83" t="str">
        <f>IFERROR(INDEX('Cost_Components'!$M$2:$M$27,MATCH(E426,'Cost_Components'!$A$2:$A$27,0)),"")</f>
      </c>
      <c r="AD426" s="84" t="str">
        <f>IFERROR(INDEX('Cost_Components'!$N$2:$N$27,MATCH(E426,'Cost_Components'!$A$2:$A$27,0)),"")</f>
      </c>
      <c r="AE426" s="20" t="str">
        <f>IFERROR(INDEX('Cost_Components'!$O$2:$O$27,MATCH(E426,'Cost_Components'!$A$2:$A$27,0)),"")</f>
      </c>
      <c r="AF426" s="85" t="n">
        <v>6076472.61008887</v>
      </c>
      <c r="AG426" s="86" t="n">
        <v>6048231.79901667</v>
      </c>
      <c r="AH426" s="87" t="str">
        <f>IF(H426="shared-count-once",COUNTIFS($A$2:$A$1353,A426,$B$2:$B$1353,B426,$E$2:$E$1353,E426),1)</f>
      </c>
    </row>
    <row r="427">
      <c r="A427" t="s">
        <v>205</v>
      </c>
      <c r="B427" s="59" t="n">
        <v>2034</v>
      </c>
      <c r="C427" t="s">
        <v>205</v>
      </c>
      <c r="D427" t="s">
        <v>180</v>
      </c>
      <c r="E427" s="60" t="s">
        <v>300</v>
      </c>
      <c r="F427" s="61" t="s">
        <v>301</v>
      </c>
      <c r="G427" s="62" t="s">
        <v>206</v>
      </c>
      <c r="H427" s="63" t="s">
        <v>195</v>
      </c>
      <c r="I427" s="64" t="s">
        <v>267</v>
      </c>
      <c r="J427" s="65" t="str">
        <f>IFERROR(INDEX('Cost_Components'!$K$2:$K$27,MATCH(E427,'Cost_Components'!$A$2:$A$27,0)),"")</f>
      </c>
      <c r="K427" s="66" t="str">
        <f>IF(OR(L427="",Z427="",AA427="",AB427=""),"",IF(B427&lt;AA427,L427,IF(B427&gt;AB427,Z427,L427+(Z427-L427)*MIN(MAX((B427-AA427+1)/MAX(AB427-AA427+1,1),0),1))))</f>
      </c>
      <c r="L427" s="67" t="str">
        <f>IFERROR(INDEX('Cost_Components'!$S$2:$S$27,MATCH(E427,'Cost_Components'!$A$2:$A$27,0)),"")</f>
      </c>
      <c r="M427" s="68" t="str">
        <f>IFERROR(INDEX('Cost_Components'!$L$2:$L$27,MATCH(E427,'Cost_Components'!$A$2:$A$27,0)),"")</f>
      </c>
      <c r="N427" s="69" t="str">
        <f>IFERROR(INDEX('Cost_Components'!$P$2:$P$27,MATCH(E427,'Cost_Components'!$A$2:$A$27,0)),"")</f>
      </c>
      <c r="O427" s="70" t="str">
        <f>AF427*J427</f>
      </c>
      <c r="P427" s="71" t="str">
        <f>AG427*J427</f>
      </c>
      <c r="Q427" s="72" t="str">
        <f>P427*L427*M427*N427</f>
      </c>
      <c r="R427" s="73" t="str">
        <f>O427*K427*M427*N427</f>
      </c>
      <c r="S427" s="74" t="str">
        <f>R427-Q427</f>
      </c>
      <c r="T427" s="20" t="str">
        <f>IFERROR(INDEX('Cost_Components'!$R$2:$R$27,MATCH(E427,'Cost_Components'!$A$2:$A$27,0)),"")</f>
      </c>
      <c r="U427" s="75" t="str">
        <f>IFERROR(INDEX('Cost_Components'!$Q$2:$Q$27,MATCH(E427,'Cost_Components'!$A$2:$A$27,0)),"")</f>
      </c>
      <c r="V427" s="76" t="str">
        <f>1/(1+'Calculation_Assumptions'!$B$5)^(B427-'Calculation_Assumptions'!$B$2)</f>
      </c>
      <c r="W427" s="77" t="str">
        <f>Q427*V427</f>
      </c>
      <c r="X427" s="78" t="str">
        <f>R427*V427</f>
      </c>
      <c r="Y427" s="79" t="str">
        <f>S427*V427</f>
      </c>
      <c r="Z427" s="80" t="str">
        <f>IFERROR(INDEX('Cost_Components'!$T$2:$T$27,MATCH(E427,'Cost_Components'!$A$2:$A$27,0)),"")</f>
      </c>
      <c r="AA427" s="81" t="str">
        <f>IFERROR(INDEX('Cost_Components'!$U$2:$U$27,MATCH(E427,'Cost_Components'!$A$2:$A$27,0)),"")</f>
      </c>
      <c r="AB427" s="82" t="str">
        <f>IFERROR(INDEX('Cost_Components'!$V$2:$V$27,MATCH(E427,'Cost_Components'!$A$2:$A$27,0)),"")</f>
      </c>
      <c r="AC427" s="83" t="str">
        <f>IFERROR(INDEX('Cost_Components'!$M$2:$M$27,MATCH(E427,'Cost_Components'!$A$2:$A$27,0)),"")</f>
      </c>
      <c r="AD427" s="84" t="str">
        <f>IFERROR(INDEX('Cost_Components'!$N$2:$N$27,MATCH(E427,'Cost_Components'!$A$2:$A$27,0)),"")</f>
      </c>
      <c r="AE427" s="20" t="str">
        <f>IFERROR(INDEX('Cost_Components'!$O$2:$O$27,MATCH(E427,'Cost_Components'!$A$2:$A$27,0)),"")</f>
      </c>
      <c r="AF427" s="85" t="n">
        <v>6199400.13376597</v>
      </c>
      <c r="AG427" s="86" t="n">
        <v>6165314.81756487</v>
      </c>
      <c r="AH427" s="87" t="str">
        <f>IF(H427="shared-count-once",COUNTIFS($A$2:$A$1353,A427,$B$2:$B$1353,B427,$E$2:$E$1353,E427),1)</f>
      </c>
    </row>
    <row r="428">
      <c r="A428" t="s">
        <v>205</v>
      </c>
      <c r="B428" s="59" t="n">
        <v>2035</v>
      </c>
      <c r="C428" t="s">
        <v>205</v>
      </c>
      <c r="D428" t="s">
        <v>180</v>
      </c>
      <c r="E428" s="60" t="s">
        <v>300</v>
      </c>
      <c r="F428" s="61" t="s">
        <v>301</v>
      </c>
      <c r="G428" s="62" t="s">
        <v>206</v>
      </c>
      <c r="H428" s="63" t="s">
        <v>195</v>
      </c>
      <c r="I428" s="64" t="s">
        <v>267</v>
      </c>
      <c r="J428" s="65" t="str">
        <f>IFERROR(INDEX('Cost_Components'!$K$2:$K$27,MATCH(E428,'Cost_Components'!$A$2:$A$27,0)),"")</f>
      </c>
      <c r="K428" s="66" t="str">
        <f>IF(OR(L428="",Z428="",AA428="",AB428=""),"",IF(B428&lt;AA428,L428,IF(B428&gt;AB428,Z428,L428+(Z428-L428)*MIN(MAX((B428-AA428+1)/MAX(AB428-AA428+1,1),0),1))))</f>
      </c>
      <c r="L428" s="67" t="str">
        <f>IFERROR(INDEX('Cost_Components'!$S$2:$S$27,MATCH(E428,'Cost_Components'!$A$2:$A$27,0)),"")</f>
      </c>
      <c r="M428" s="68" t="str">
        <f>IFERROR(INDEX('Cost_Components'!$L$2:$L$27,MATCH(E428,'Cost_Components'!$A$2:$A$27,0)),"")</f>
      </c>
      <c r="N428" s="69" t="str">
        <f>IFERROR(INDEX('Cost_Components'!$P$2:$P$27,MATCH(E428,'Cost_Components'!$A$2:$A$27,0)),"")</f>
      </c>
      <c r="O428" s="70" t="str">
        <f>AF428*J428</f>
      </c>
      <c r="P428" s="71" t="str">
        <f>AG428*J428</f>
      </c>
      <c r="Q428" s="72" t="str">
        <f>P428*L428*M428*N428</f>
      </c>
      <c r="R428" s="73" t="str">
        <f>O428*K428*M428*N428</f>
      </c>
      <c r="S428" s="74" t="str">
        <f>R428-Q428</f>
      </c>
      <c r="T428" s="20" t="str">
        <f>IFERROR(INDEX('Cost_Components'!$R$2:$R$27,MATCH(E428,'Cost_Components'!$A$2:$A$27,0)),"")</f>
      </c>
      <c r="U428" s="75" t="str">
        <f>IFERROR(INDEX('Cost_Components'!$Q$2:$Q$27,MATCH(E428,'Cost_Components'!$A$2:$A$27,0)),"")</f>
      </c>
      <c r="V428" s="76" t="str">
        <f>1/(1+'Calculation_Assumptions'!$B$5)^(B428-'Calculation_Assumptions'!$B$2)</f>
      </c>
      <c r="W428" s="77" t="str">
        <f>Q428*V428</f>
      </c>
      <c r="X428" s="78" t="str">
        <f>R428*V428</f>
      </c>
      <c r="Y428" s="79" t="str">
        <f>S428*V428</f>
      </c>
      <c r="Z428" s="80" t="str">
        <f>IFERROR(INDEX('Cost_Components'!$T$2:$T$27,MATCH(E428,'Cost_Components'!$A$2:$A$27,0)),"")</f>
      </c>
      <c r="AA428" s="81" t="str">
        <f>IFERROR(INDEX('Cost_Components'!$U$2:$U$27,MATCH(E428,'Cost_Components'!$A$2:$A$27,0)),"")</f>
      </c>
      <c r="AB428" s="82" t="str">
        <f>IFERROR(INDEX('Cost_Components'!$V$2:$V$27,MATCH(E428,'Cost_Components'!$A$2:$A$27,0)),"")</f>
      </c>
      <c r="AC428" s="83" t="str">
        <f>IFERROR(INDEX('Cost_Components'!$M$2:$M$27,MATCH(E428,'Cost_Components'!$A$2:$A$27,0)),"")</f>
      </c>
      <c r="AD428" s="84" t="str">
        <f>IFERROR(INDEX('Cost_Components'!$N$2:$N$27,MATCH(E428,'Cost_Components'!$A$2:$A$27,0)),"")</f>
      </c>
      <c r="AE428" s="20" t="str">
        <f>IFERROR(INDEX('Cost_Components'!$O$2:$O$27,MATCH(E428,'Cost_Components'!$A$2:$A$27,0)),"")</f>
      </c>
      <c r="AF428" s="85" t="n">
        <v>6324406.99137606</v>
      </c>
      <c r="AG428" s="86" t="n">
        <v>6284033.10491271</v>
      </c>
      <c r="AH428" s="87" t="str">
        <f>IF(H428="shared-count-once",COUNTIFS($A$2:$A$1353,A428,$B$2:$B$1353,B428,$E$2:$E$1353,E428),1)</f>
      </c>
    </row>
    <row r="429">
      <c r="A429" t="s">
        <v>205</v>
      </c>
      <c r="B429" s="59" t="n">
        <v>2036</v>
      </c>
      <c r="C429" t="s">
        <v>205</v>
      </c>
      <c r="D429" t="s">
        <v>180</v>
      </c>
      <c r="E429" s="60" t="s">
        <v>300</v>
      </c>
      <c r="F429" s="61" t="s">
        <v>301</v>
      </c>
      <c r="G429" s="62" t="s">
        <v>206</v>
      </c>
      <c r="H429" s="63" t="s">
        <v>195</v>
      </c>
      <c r="I429" s="64" t="s">
        <v>267</v>
      </c>
      <c r="J429" s="65" t="str">
        <f>IFERROR(INDEX('Cost_Components'!$K$2:$K$27,MATCH(E429,'Cost_Components'!$A$2:$A$27,0)),"")</f>
      </c>
      <c r="K429" s="66" t="str">
        <f>IF(OR(L429="",Z429="",AA429="",AB429=""),"",IF(B429&lt;AA429,L429,IF(B429&gt;AB429,Z429,L429+(Z429-L429)*MIN(MAX((B429-AA429+1)/MAX(AB429-AA429+1,1),0),1))))</f>
      </c>
      <c r="L429" s="67" t="str">
        <f>IFERROR(INDEX('Cost_Components'!$S$2:$S$27,MATCH(E429,'Cost_Components'!$A$2:$A$27,0)),"")</f>
      </c>
      <c r="M429" s="68" t="str">
        <f>IFERROR(INDEX('Cost_Components'!$L$2:$L$27,MATCH(E429,'Cost_Components'!$A$2:$A$27,0)),"")</f>
      </c>
      <c r="N429" s="69" t="str">
        <f>IFERROR(INDEX('Cost_Components'!$P$2:$P$27,MATCH(E429,'Cost_Components'!$A$2:$A$27,0)),"")</f>
      </c>
      <c r="O429" s="70" t="str">
        <f>AF429*J429</f>
      </c>
      <c r="P429" s="71" t="str">
        <f>AG429*J429</f>
      </c>
      <c r="Q429" s="72" t="str">
        <f>P429*L429*M429*N429</f>
      </c>
      <c r="R429" s="73" t="str">
        <f>O429*K429*M429*N429</f>
      </c>
      <c r="S429" s="74" t="str">
        <f>R429-Q429</f>
      </c>
      <c r="T429" s="20" t="str">
        <f>IFERROR(INDEX('Cost_Components'!$R$2:$R$27,MATCH(E429,'Cost_Components'!$A$2:$A$27,0)),"")</f>
      </c>
      <c r="U429" s="75" t="str">
        <f>IFERROR(INDEX('Cost_Components'!$Q$2:$Q$27,MATCH(E429,'Cost_Components'!$A$2:$A$27,0)),"")</f>
      </c>
      <c r="V429" s="76" t="str">
        <f>1/(1+'Calculation_Assumptions'!$B$5)^(B429-'Calculation_Assumptions'!$B$2)</f>
      </c>
      <c r="W429" s="77" t="str">
        <f>Q429*V429</f>
      </c>
      <c r="X429" s="78" t="str">
        <f>R429*V429</f>
      </c>
      <c r="Y429" s="79" t="str">
        <f>S429*V429</f>
      </c>
      <c r="Z429" s="80" t="str">
        <f>IFERROR(INDEX('Cost_Components'!$T$2:$T$27,MATCH(E429,'Cost_Components'!$A$2:$A$27,0)),"")</f>
      </c>
      <c r="AA429" s="81" t="str">
        <f>IFERROR(INDEX('Cost_Components'!$U$2:$U$27,MATCH(E429,'Cost_Components'!$A$2:$A$27,0)),"")</f>
      </c>
      <c r="AB429" s="82" t="str">
        <f>IFERROR(INDEX('Cost_Components'!$V$2:$V$27,MATCH(E429,'Cost_Components'!$A$2:$A$27,0)),"")</f>
      </c>
      <c r="AC429" s="83" t="str">
        <f>IFERROR(INDEX('Cost_Components'!$M$2:$M$27,MATCH(E429,'Cost_Components'!$A$2:$A$27,0)),"")</f>
      </c>
      <c r="AD429" s="84" t="str">
        <f>IFERROR(INDEX('Cost_Components'!$N$2:$N$27,MATCH(E429,'Cost_Components'!$A$2:$A$27,0)),"")</f>
      </c>
      <c r="AE429" s="20" t="str">
        <f>IFERROR(INDEX('Cost_Components'!$O$2:$O$27,MATCH(E429,'Cost_Components'!$A$2:$A$27,0)),"")</f>
      </c>
      <c r="AF429" s="85" t="n">
        <v>6450741.12674901</v>
      </c>
      <c r="AG429" s="86" t="n">
        <v>6403647.07460713</v>
      </c>
      <c r="AH429" s="87" t="str">
        <f>IF(H429="shared-count-once",COUNTIFS($A$2:$A$1353,A429,$B$2:$B$1353,B429,$E$2:$E$1353,E429),1)</f>
      </c>
    </row>
    <row r="430">
      <c r="A430" t="s">
        <v>205</v>
      </c>
      <c r="B430" s="59" t="n">
        <v>2037</v>
      </c>
      <c r="C430" t="s">
        <v>205</v>
      </c>
      <c r="D430" t="s">
        <v>180</v>
      </c>
      <c r="E430" s="60" t="s">
        <v>300</v>
      </c>
      <c r="F430" s="61" t="s">
        <v>301</v>
      </c>
      <c r="G430" s="62" t="s">
        <v>206</v>
      </c>
      <c r="H430" s="63" t="s">
        <v>195</v>
      </c>
      <c r="I430" s="64" t="s">
        <v>267</v>
      </c>
      <c r="J430" s="65" t="str">
        <f>IFERROR(INDEX('Cost_Components'!$K$2:$K$27,MATCH(E430,'Cost_Components'!$A$2:$A$27,0)),"")</f>
      </c>
      <c r="K430" s="66" t="str">
        <f>IF(OR(L430="",Z430="",AA430="",AB430=""),"",IF(B430&lt;AA430,L430,IF(B430&gt;AB430,Z430,L430+(Z430-L430)*MIN(MAX((B430-AA430+1)/MAX(AB430-AA430+1,1),0),1))))</f>
      </c>
      <c r="L430" s="67" t="str">
        <f>IFERROR(INDEX('Cost_Components'!$S$2:$S$27,MATCH(E430,'Cost_Components'!$A$2:$A$27,0)),"")</f>
      </c>
      <c r="M430" s="68" t="str">
        <f>IFERROR(INDEX('Cost_Components'!$L$2:$L$27,MATCH(E430,'Cost_Components'!$A$2:$A$27,0)),"")</f>
      </c>
      <c r="N430" s="69" t="str">
        <f>IFERROR(INDEX('Cost_Components'!$P$2:$P$27,MATCH(E430,'Cost_Components'!$A$2:$A$27,0)),"")</f>
      </c>
      <c r="O430" s="70" t="str">
        <f>AF430*J430</f>
      </c>
      <c r="P430" s="71" t="str">
        <f>AG430*J430</f>
      </c>
      <c r="Q430" s="72" t="str">
        <f>P430*L430*M430*N430</f>
      </c>
      <c r="R430" s="73" t="str">
        <f>O430*K430*M430*N430</f>
      </c>
      <c r="S430" s="74" t="str">
        <f>R430-Q430</f>
      </c>
      <c r="T430" s="20" t="str">
        <f>IFERROR(INDEX('Cost_Components'!$R$2:$R$27,MATCH(E430,'Cost_Components'!$A$2:$A$27,0)),"")</f>
      </c>
      <c r="U430" s="75" t="str">
        <f>IFERROR(INDEX('Cost_Components'!$Q$2:$Q$27,MATCH(E430,'Cost_Components'!$A$2:$A$27,0)),"")</f>
      </c>
      <c r="V430" s="76" t="str">
        <f>1/(1+'Calculation_Assumptions'!$B$5)^(B430-'Calculation_Assumptions'!$B$2)</f>
      </c>
      <c r="W430" s="77" t="str">
        <f>Q430*V430</f>
      </c>
      <c r="X430" s="78" t="str">
        <f>R430*V430</f>
      </c>
      <c r="Y430" s="79" t="str">
        <f>S430*V430</f>
      </c>
      <c r="Z430" s="80" t="str">
        <f>IFERROR(INDEX('Cost_Components'!$T$2:$T$27,MATCH(E430,'Cost_Components'!$A$2:$A$27,0)),"")</f>
      </c>
      <c r="AA430" s="81" t="str">
        <f>IFERROR(INDEX('Cost_Components'!$U$2:$U$27,MATCH(E430,'Cost_Components'!$A$2:$A$27,0)),"")</f>
      </c>
      <c r="AB430" s="82" t="str">
        <f>IFERROR(INDEX('Cost_Components'!$V$2:$V$27,MATCH(E430,'Cost_Components'!$A$2:$A$27,0)),"")</f>
      </c>
      <c r="AC430" s="83" t="str">
        <f>IFERROR(INDEX('Cost_Components'!$M$2:$M$27,MATCH(E430,'Cost_Components'!$A$2:$A$27,0)),"")</f>
      </c>
      <c r="AD430" s="84" t="str">
        <f>IFERROR(INDEX('Cost_Components'!$N$2:$N$27,MATCH(E430,'Cost_Components'!$A$2:$A$27,0)),"")</f>
      </c>
      <c r="AE430" s="20" t="str">
        <f>IFERROR(INDEX('Cost_Components'!$O$2:$O$27,MATCH(E430,'Cost_Components'!$A$2:$A$27,0)),"")</f>
      </c>
      <c r="AF430" s="85" t="n">
        <v>6577840.64319415</v>
      </c>
      <c r="AG430" s="86" t="n">
        <v>6523601.43550817</v>
      </c>
      <c r="AH430" s="87" t="str">
        <f>IF(H430="shared-count-once",COUNTIFS($A$2:$A$1353,A430,$B$2:$B$1353,B430,$E$2:$E$1353,E430),1)</f>
      </c>
    </row>
    <row r="431">
      <c r="A431" t="s">
        <v>205</v>
      </c>
      <c r="B431" s="59" t="n">
        <v>2038</v>
      </c>
      <c r="C431" t="s">
        <v>205</v>
      </c>
      <c r="D431" t="s">
        <v>180</v>
      </c>
      <c r="E431" s="60" t="s">
        <v>300</v>
      </c>
      <c r="F431" s="61" t="s">
        <v>301</v>
      </c>
      <c r="G431" s="62" t="s">
        <v>206</v>
      </c>
      <c r="H431" s="63" t="s">
        <v>195</v>
      </c>
      <c r="I431" s="64" t="s">
        <v>267</v>
      </c>
      <c r="J431" s="65" t="str">
        <f>IFERROR(INDEX('Cost_Components'!$K$2:$K$27,MATCH(E431,'Cost_Components'!$A$2:$A$27,0)),"")</f>
      </c>
      <c r="K431" s="66" t="str">
        <f>IF(OR(L431="",Z431="",AA431="",AB431=""),"",IF(B431&lt;AA431,L431,IF(B431&gt;AB431,Z431,L431+(Z431-L431)*MIN(MAX((B431-AA431+1)/MAX(AB431-AA431+1,1),0),1))))</f>
      </c>
      <c r="L431" s="67" t="str">
        <f>IFERROR(INDEX('Cost_Components'!$S$2:$S$27,MATCH(E431,'Cost_Components'!$A$2:$A$27,0)),"")</f>
      </c>
      <c r="M431" s="68" t="str">
        <f>IFERROR(INDEX('Cost_Components'!$L$2:$L$27,MATCH(E431,'Cost_Components'!$A$2:$A$27,0)),"")</f>
      </c>
      <c r="N431" s="69" t="str">
        <f>IFERROR(INDEX('Cost_Components'!$P$2:$P$27,MATCH(E431,'Cost_Components'!$A$2:$A$27,0)),"")</f>
      </c>
      <c r="O431" s="70" t="str">
        <f>AF431*J431</f>
      </c>
      <c r="P431" s="71" t="str">
        <f>AG431*J431</f>
      </c>
      <c r="Q431" s="72" t="str">
        <f>P431*L431*M431*N431</f>
      </c>
      <c r="R431" s="73" t="str">
        <f>O431*K431*M431*N431</f>
      </c>
      <c r="S431" s="74" t="str">
        <f>R431-Q431</f>
      </c>
      <c r="T431" s="20" t="str">
        <f>IFERROR(INDEX('Cost_Components'!$R$2:$R$27,MATCH(E431,'Cost_Components'!$A$2:$A$27,0)),"")</f>
      </c>
      <c r="U431" s="75" t="str">
        <f>IFERROR(INDEX('Cost_Components'!$Q$2:$Q$27,MATCH(E431,'Cost_Components'!$A$2:$A$27,0)),"")</f>
      </c>
      <c r="V431" s="76" t="str">
        <f>1/(1+'Calculation_Assumptions'!$B$5)^(B431-'Calculation_Assumptions'!$B$2)</f>
      </c>
      <c r="W431" s="77" t="str">
        <f>Q431*V431</f>
      </c>
      <c r="X431" s="78" t="str">
        <f>R431*V431</f>
      </c>
      <c r="Y431" s="79" t="str">
        <f>S431*V431</f>
      </c>
      <c r="Z431" s="80" t="str">
        <f>IFERROR(INDEX('Cost_Components'!$T$2:$T$27,MATCH(E431,'Cost_Components'!$A$2:$A$27,0)),"")</f>
      </c>
      <c r="AA431" s="81" t="str">
        <f>IFERROR(INDEX('Cost_Components'!$U$2:$U$27,MATCH(E431,'Cost_Components'!$A$2:$A$27,0)),"")</f>
      </c>
      <c r="AB431" s="82" t="str">
        <f>IFERROR(INDEX('Cost_Components'!$V$2:$V$27,MATCH(E431,'Cost_Components'!$A$2:$A$27,0)),"")</f>
      </c>
      <c r="AC431" s="83" t="str">
        <f>IFERROR(INDEX('Cost_Components'!$M$2:$M$27,MATCH(E431,'Cost_Components'!$A$2:$A$27,0)),"")</f>
      </c>
      <c r="AD431" s="84" t="str">
        <f>IFERROR(INDEX('Cost_Components'!$N$2:$N$27,MATCH(E431,'Cost_Components'!$A$2:$A$27,0)),"")</f>
      </c>
      <c r="AE431" s="20" t="str">
        <f>IFERROR(INDEX('Cost_Components'!$O$2:$O$27,MATCH(E431,'Cost_Components'!$A$2:$A$27,0)),"")</f>
      </c>
      <c r="AF431" s="85" t="n">
        <v>6705809.68535365</v>
      </c>
      <c r="AG431" s="86" t="n">
        <v>6644008.192335</v>
      </c>
      <c r="AH431" s="87" t="str">
        <f>IF(H431="shared-count-once",COUNTIFS($A$2:$A$1353,A431,$B$2:$B$1353,B431,$E$2:$E$1353,E431),1)</f>
      </c>
    </row>
    <row r="432">
      <c r="A432" t="s">
        <v>205</v>
      </c>
      <c r="B432" s="59" t="n">
        <v>2039</v>
      </c>
      <c r="C432" t="s">
        <v>205</v>
      </c>
      <c r="D432" t="s">
        <v>180</v>
      </c>
      <c r="E432" s="60" t="s">
        <v>300</v>
      </c>
      <c r="F432" s="61" t="s">
        <v>301</v>
      </c>
      <c r="G432" s="62" t="s">
        <v>206</v>
      </c>
      <c r="H432" s="63" t="s">
        <v>195</v>
      </c>
      <c r="I432" s="64" t="s">
        <v>267</v>
      </c>
      <c r="J432" s="65" t="str">
        <f>IFERROR(INDEX('Cost_Components'!$K$2:$K$27,MATCH(E432,'Cost_Components'!$A$2:$A$27,0)),"")</f>
      </c>
      <c r="K432" s="66" t="str">
        <f>IF(OR(L432="",Z432="",AA432="",AB432=""),"",IF(B432&lt;AA432,L432,IF(B432&gt;AB432,Z432,L432+(Z432-L432)*MIN(MAX((B432-AA432+1)/MAX(AB432-AA432+1,1),0),1))))</f>
      </c>
      <c r="L432" s="67" t="str">
        <f>IFERROR(INDEX('Cost_Components'!$S$2:$S$27,MATCH(E432,'Cost_Components'!$A$2:$A$27,0)),"")</f>
      </c>
      <c r="M432" s="68" t="str">
        <f>IFERROR(INDEX('Cost_Components'!$L$2:$L$27,MATCH(E432,'Cost_Components'!$A$2:$A$27,0)),"")</f>
      </c>
      <c r="N432" s="69" t="str">
        <f>IFERROR(INDEX('Cost_Components'!$P$2:$P$27,MATCH(E432,'Cost_Components'!$A$2:$A$27,0)),"")</f>
      </c>
      <c r="O432" s="70" t="str">
        <f>AF432*J432</f>
      </c>
      <c r="P432" s="71" t="str">
        <f>AG432*J432</f>
      </c>
      <c r="Q432" s="72" t="str">
        <f>P432*L432*M432*N432</f>
      </c>
      <c r="R432" s="73" t="str">
        <f>O432*K432*M432*N432</f>
      </c>
      <c r="S432" s="74" t="str">
        <f>R432-Q432</f>
      </c>
      <c r="T432" s="20" t="str">
        <f>IFERROR(INDEX('Cost_Components'!$R$2:$R$27,MATCH(E432,'Cost_Components'!$A$2:$A$27,0)),"")</f>
      </c>
      <c r="U432" s="75" t="str">
        <f>IFERROR(INDEX('Cost_Components'!$Q$2:$Q$27,MATCH(E432,'Cost_Components'!$A$2:$A$27,0)),"")</f>
      </c>
      <c r="V432" s="76" t="str">
        <f>1/(1+'Calculation_Assumptions'!$B$5)^(B432-'Calculation_Assumptions'!$B$2)</f>
      </c>
      <c r="W432" s="77" t="str">
        <f>Q432*V432</f>
      </c>
      <c r="X432" s="78" t="str">
        <f>R432*V432</f>
      </c>
      <c r="Y432" s="79" t="str">
        <f>S432*V432</f>
      </c>
      <c r="Z432" s="80" t="str">
        <f>IFERROR(INDEX('Cost_Components'!$T$2:$T$27,MATCH(E432,'Cost_Components'!$A$2:$A$27,0)),"")</f>
      </c>
      <c r="AA432" s="81" t="str">
        <f>IFERROR(INDEX('Cost_Components'!$U$2:$U$27,MATCH(E432,'Cost_Components'!$A$2:$A$27,0)),"")</f>
      </c>
      <c r="AB432" s="82" t="str">
        <f>IFERROR(INDEX('Cost_Components'!$V$2:$V$27,MATCH(E432,'Cost_Components'!$A$2:$A$27,0)),"")</f>
      </c>
      <c r="AC432" s="83" t="str">
        <f>IFERROR(INDEX('Cost_Components'!$M$2:$M$27,MATCH(E432,'Cost_Components'!$A$2:$A$27,0)),"")</f>
      </c>
      <c r="AD432" s="84" t="str">
        <f>IFERROR(INDEX('Cost_Components'!$N$2:$N$27,MATCH(E432,'Cost_Components'!$A$2:$A$27,0)),"")</f>
      </c>
      <c r="AE432" s="20" t="str">
        <f>IFERROR(INDEX('Cost_Components'!$O$2:$O$27,MATCH(E432,'Cost_Components'!$A$2:$A$27,0)),"")</f>
      </c>
      <c r="AF432" s="85" t="n">
        <v>6830015.88051736</v>
      </c>
      <c r="AG432" s="86" t="n">
        <v>6760238.21942814</v>
      </c>
      <c r="AH432" s="87" t="str">
        <f>IF(H432="shared-count-once",COUNTIFS($A$2:$A$1353,A432,$B$2:$B$1353,B432,$E$2:$E$1353,E432),1)</f>
      </c>
    </row>
    <row r="433">
      <c r="A433" t="s">
        <v>205</v>
      </c>
      <c r="B433" s="59" t="n">
        <v>2040</v>
      </c>
      <c r="C433" t="s">
        <v>205</v>
      </c>
      <c r="D433" t="s">
        <v>180</v>
      </c>
      <c r="E433" s="60" t="s">
        <v>300</v>
      </c>
      <c r="F433" s="61" t="s">
        <v>301</v>
      </c>
      <c r="G433" s="62" t="s">
        <v>206</v>
      </c>
      <c r="H433" s="63" t="s">
        <v>195</v>
      </c>
      <c r="I433" s="64" t="s">
        <v>267</v>
      </c>
      <c r="J433" s="65" t="str">
        <f>IFERROR(INDEX('Cost_Components'!$K$2:$K$27,MATCH(E433,'Cost_Components'!$A$2:$A$27,0)),"")</f>
      </c>
      <c r="K433" s="66" t="str">
        <f>IF(OR(L433="",Z433="",AA433="",AB433=""),"",IF(B433&lt;AA433,L433,IF(B433&gt;AB433,Z433,L433+(Z433-L433)*MIN(MAX((B433-AA433+1)/MAX(AB433-AA433+1,1),0),1))))</f>
      </c>
      <c r="L433" s="67" t="str">
        <f>IFERROR(INDEX('Cost_Components'!$S$2:$S$27,MATCH(E433,'Cost_Components'!$A$2:$A$27,0)),"")</f>
      </c>
      <c r="M433" s="68" t="str">
        <f>IFERROR(INDEX('Cost_Components'!$L$2:$L$27,MATCH(E433,'Cost_Components'!$A$2:$A$27,0)),"")</f>
      </c>
      <c r="N433" s="69" t="str">
        <f>IFERROR(INDEX('Cost_Components'!$P$2:$P$27,MATCH(E433,'Cost_Components'!$A$2:$A$27,0)),"")</f>
      </c>
      <c r="O433" s="70" t="str">
        <f>AF433*J433</f>
      </c>
      <c r="P433" s="71" t="str">
        <f>AG433*J433</f>
      </c>
      <c r="Q433" s="72" t="str">
        <f>P433*L433*M433*N433</f>
      </c>
      <c r="R433" s="73" t="str">
        <f>O433*K433*M433*N433</f>
      </c>
      <c r="S433" s="74" t="str">
        <f>R433-Q433</f>
      </c>
      <c r="T433" s="20" t="str">
        <f>IFERROR(INDEX('Cost_Components'!$R$2:$R$27,MATCH(E433,'Cost_Components'!$A$2:$A$27,0)),"")</f>
      </c>
      <c r="U433" s="75" t="str">
        <f>IFERROR(INDEX('Cost_Components'!$Q$2:$Q$27,MATCH(E433,'Cost_Components'!$A$2:$A$27,0)),"")</f>
      </c>
      <c r="V433" s="76" t="str">
        <f>1/(1+'Calculation_Assumptions'!$B$5)^(B433-'Calculation_Assumptions'!$B$2)</f>
      </c>
      <c r="W433" s="77" t="str">
        <f>Q433*V433</f>
      </c>
      <c r="X433" s="78" t="str">
        <f>R433*V433</f>
      </c>
      <c r="Y433" s="79" t="str">
        <f>S433*V433</f>
      </c>
      <c r="Z433" s="80" t="str">
        <f>IFERROR(INDEX('Cost_Components'!$T$2:$T$27,MATCH(E433,'Cost_Components'!$A$2:$A$27,0)),"")</f>
      </c>
      <c r="AA433" s="81" t="str">
        <f>IFERROR(INDEX('Cost_Components'!$U$2:$U$27,MATCH(E433,'Cost_Components'!$A$2:$A$27,0)),"")</f>
      </c>
      <c r="AB433" s="82" t="str">
        <f>IFERROR(INDEX('Cost_Components'!$V$2:$V$27,MATCH(E433,'Cost_Components'!$A$2:$A$27,0)),"")</f>
      </c>
      <c r="AC433" s="83" t="str">
        <f>IFERROR(INDEX('Cost_Components'!$M$2:$M$27,MATCH(E433,'Cost_Components'!$A$2:$A$27,0)),"")</f>
      </c>
      <c r="AD433" s="84" t="str">
        <f>IFERROR(INDEX('Cost_Components'!$N$2:$N$27,MATCH(E433,'Cost_Components'!$A$2:$A$27,0)),"")</f>
      </c>
      <c r="AE433" s="20" t="str">
        <f>IFERROR(INDEX('Cost_Components'!$O$2:$O$27,MATCH(E433,'Cost_Components'!$A$2:$A$27,0)),"")</f>
      </c>
      <c r="AF433" s="85" t="n">
        <v>6954151.10840049</v>
      </c>
      <c r="AG433" s="86" t="n">
        <v>6876037.34665342</v>
      </c>
      <c r="AH433" s="87" t="str">
        <f>IF(H433="shared-count-once",COUNTIFS($A$2:$A$1353,A433,$B$2:$B$1353,B433,$E$2:$E$1353,E433),1)</f>
      </c>
    </row>
    <row r="434">
      <c r="A434" t="s">
        <v>205</v>
      </c>
      <c r="B434" s="59" t="n">
        <v>2041</v>
      </c>
      <c r="C434" t="s">
        <v>205</v>
      </c>
      <c r="D434" t="s">
        <v>180</v>
      </c>
      <c r="E434" s="60" t="s">
        <v>300</v>
      </c>
      <c r="F434" s="61" t="s">
        <v>301</v>
      </c>
      <c r="G434" s="62" t="s">
        <v>206</v>
      </c>
      <c r="H434" s="63" t="s">
        <v>195</v>
      </c>
      <c r="I434" s="64" t="s">
        <v>267</v>
      </c>
      <c r="J434" s="65" t="str">
        <f>IFERROR(INDEX('Cost_Components'!$K$2:$K$27,MATCH(E434,'Cost_Components'!$A$2:$A$27,0)),"")</f>
      </c>
      <c r="K434" s="66" t="str">
        <f>IF(OR(L434="",Z434="",AA434="",AB434=""),"",IF(B434&lt;AA434,L434,IF(B434&gt;AB434,Z434,L434+(Z434-L434)*MIN(MAX((B434-AA434+1)/MAX(AB434-AA434+1,1),0),1))))</f>
      </c>
      <c r="L434" s="67" t="str">
        <f>IFERROR(INDEX('Cost_Components'!$S$2:$S$27,MATCH(E434,'Cost_Components'!$A$2:$A$27,0)),"")</f>
      </c>
      <c r="M434" s="68" t="str">
        <f>IFERROR(INDEX('Cost_Components'!$L$2:$L$27,MATCH(E434,'Cost_Components'!$A$2:$A$27,0)),"")</f>
      </c>
      <c r="N434" s="69" t="str">
        <f>IFERROR(INDEX('Cost_Components'!$P$2:$P$27,MATCH(E434,'Cost_Components'!$A$2:$A$27,0)),"")</f>
      </c>
      <c r="O434" s="70" t="str">
        <f>AF434*J434</f>
      </c>
      <c r="P434" s="71" t="str">
        <f>AG434*J434</f>
      </c>
      <c r="Q434" s="72" t="str">
        <f>P434*L434*M434*N434</f>
      </c>
      <c r="R434" s="73" t="str">
        <f>O434*K434*M434*N434</f>
      </c>
      <c r="S434" s="74" t="str">
        <f>R434-Q434</f>
      </c>
      <c r="T434" s="20" t="str">
        <f>IFERROR(INDEX('Cost_Components'!$R$2:$R$27,MATCH(E434,'Cost_Components'!$A$2:$A$27,0)),"")</f>
      </c>
      <c r="U434" s="75" t="str">
        <f>IFERROR(INDEX('Cost_Components'!$Q$2:$Q$27,MATCH(E434,'Cost_Components'!$A$2:$A$27,0)),"")</f>
      </c>
      <c r="V434" s="76" t="str">
        <f>1/(1+'Calculation_Assumptions'!$B$5)^(B434-'Calculation_Assumptions'!$B$2)</f>
      </c>
      <c r="W434" s="77" t="str">
        <f>Q434*V434</f>
      </c>
      <c r="X434" s="78" t="str">
        <f>R434*V434</f>
      </c>
      <c r="Y434" s="79" t="str">
        <f>S434*V434</f>
      </c>
      <c r="Z434" s="80" t="str">
        <f>IFERROR(INDEX('Cost_Components'!$T$2:$T$27,MATCH(E434,'Cost_Components'!$A$2:$A$27,0)),"")</f>
      </c>
      <c r="AA434" s="81" t="str">
        <f>IFERROR(INDEX('Cost_Components'!$U$2:$U$27,MATCH(E434,'Cost_Components'!$A$2:$A$27,0)),"")</f>
      </c>
      <c r="AB434" s="82" t="str">
        <f>IFERROR(INDEX('Cost_Components'!$V$2:$V$27,MATCH(E434,'Cost_Components'!$A$2:$A$27,0)),"")</f>
      </c>
      <c r="AC434" s="83" t="str">
        <f>IFERROR(INDEX('Cost_Components'!$M$2:$M$27,MATCH(E434,'Cost_Components'!$A$2:$A$27,0)),"")</f>
      </c>
      <c r="AD434" s="84" t="str">
        <f>IFERROR(INDEX('Cost_Components'!$N$2:$N$27,MATCH(E434,'Cost_Components'!$A$2:$A$27,0)),"")</f>
      </c>
      <c r="AE434" s="20" t="str">
        <f>IFERROR(INDEX('Cost_Components'!$O$2:$O$27,MATCH(E434,'Cost_Components'!$A$2:$A$27,0)),"")</f>
      </c>
      <c r="AF434" s="85" t="n">
        <v>7077742.36976589</v>
      </c>
      <c r="AG434" s="86" t="n">
        <v>6990953.04348834</v>
      </c>
      <c r="AH434" s="87" t="str">
        <f>IF(H434="shared-count-once",COUNTIFS($A$2:$A$1353,A434,$B$2:$B$1353,B434,$E$2:$E$1353,E434),1)</f>
      </c>
    </row>
    <row r="435">
      <c r="A435" t="s">
        <v>205</v>
      </c>
      <c r="B435" s="59" t="n">
        <v>2042</v>
      </c>
      <c r="C435" t="s">
        <v>205</v>
      </c>
      <c r="D435" t="s">
        <v>180</v>
      </c>
      <c r="E435" s="60" t="s">
        <v>300</v>
      </c>
      <c r="F435" s="61" t="s">
        <v>301</v>
      </c>
      <c r="G435" s="62" t="s">
        <v>206</v>
      </c>
      <c r="H435" s="63" t="s">
        <v>195</v>
      </c>
      <c r="I435" s="64" t="s">
        <v>267</v>
      </c>
      <c r="J435" s="65" t="str">
        <f>IFERROR(INDEX('Cost_Components'!$K$2:$K$27,MATCH(E435,'Cost_Components'!$A$2:$A$27,0)),"")</f>
      </c>
      <c r="K435" s="66" t="str">
        <f>IF(OR(L435="",Z435="",AA435="",AB435=""),"",IF(B435&lt;AA435,L435,IF(B435&gt;AB435,Z435,L435+(Z435-L435)*MIN(MAX((B435-AA435+1)/MAX(AB435-AA435+1,1),0),1))))</f>
      </c>
      <c r="L435" s="67" t="str">
        <f>IFERROR(INDEX('Cost_Components'!$S$2:$S$27,MATCH(E435,'Cost_Components'!$A$2:$A$27,0)),"")</f>
      </c>
      <c r="M435" s="68" t="str">
        <f>IFERROR(INDEX('Cost_Components'!$L$2:$L$27,MATCH(E435,'Cost_Components'!$A$2:$A$27,0)),"")</f>
      </c>
      <c r="N435" s="69" t="str">
        <f>IFERROR(INDEX('Cost_Components'!$P$2:$P$27,MATCH(E435,'Cost_Components'!$A$2:$A$27,0)),"")</f>
      </c>
      <c r="O435" s="70" t="str">
        <f>AF435*J435</f>
      </c>
      <c r="P435" s="71" t="str">
        <f>AG435*J435</f>
      </c>
      <c r="Q435" s="72" t="str">
        <f>P435*L435*M435*N435</f>
      </c>
      <c r="R435" s="73" t="str">
        <f>O435*K435*M435*N435</f>
      </c>
      <c r="S435" s="74" t="str">
        <f>R435-Q435</f>
      </c>
      <c r="T435" s="20" t="str">
        <f>IFERROR(INDEX('Cost_Components'!$R$2:$R$27,MATCH(E435,'Cost_Components'!$A$2:$A$27,0)),"")</f>
      </c>
      <c r="U435" s="75" t="str">
        <f>IFERROR(INDEX('Cost_Components'!$Q$2:$Q$27,MATCH(E435,'Cost_Components'!$A$2:$A$27,0)),"")</f>
      </c>
      <c r="V435" s="76" t="str">
        <f>1/(1+'Calculation_Assumptions'!$B$5)^(B435-'Calculation_Assumptions'!$B$2)</f>
      </c>
      <c r="W435" s="77" t="str">
        <f>Q435*V435</f>
      </c>
      <c r="X435" s="78" t="str">
        <f>R435*V435</f>
      </c>
      <c r="Y435" s="79" t="str">
        <f>S435*V435</f>
      </c>
      <c r="Z435" s="80" t="str">
        <f>IFERROR(INDEX('Cost_Components'!$T$2:$T$27,MATCH(E435,'Cost_Components'!$A$2:$A$27,0)),"")</f>
      </c>
      <c r="AA435" s="81" t="str">
        <f>IFERROR(INDEX('Cost_Components'!$U$2:$U$27,MATCH(E435,'Cost_Components'!$A$2:$A$27,0)),"")</f>
      </c>
      <c r="AB435" s="82" t="str">
        <f>IFERROR(INDEX('Cost_Components'!$V$2:$V$27,MATCH(E435,'Cost_Components'!$A$2:$A$27,0)),"")</f>
      </c>
      <c r="AC435" s="83" t="str">
        <f>IFERROR(INDEX('Cost_Components'!$M$2:$M$27,MATCH(E435,'Cost_Components'!$A$2:$A$27,0)),"")</f>
      </c>
      <c r="AD435" s="84" t="str">
        <f>IFERROR(INDEX('Cost_Components'!$N$2:$N$27,MATCH(E435,'Cost_Components'!$A$2:$A$27,0)),"")</f>
      </c>
      <c r="AE435" s="20" t="str">
        <f>IFERROR(INDEX('Cost_Components'!$O$2:$O$27,MATCH(E435,'Cost_Components'!$A$2:$A$27,0)),"")</f>
      </c>
      <c r="AF435" s="85" t="n">
        <v>7200586.04099985</v>
      </c>
      <c r="AG435" s="86" t="n">
        <v>7104796.47237168</v>
      </c>
      <c r="AH435" s="87" t="str">
        <f>IF(H435="shared-count-once",COUNTIFS($A$2:$A$1353,A435,$B$2:$B$1353,B435,$E$2:$E$1353,E435),1)</f>
      </c>
    </row>
    <row r="436">
      <c r="A436" t="s">
        <v>205</v>
      </c>
      <c r="B436" s="59" t="n">
        <v>2043</v>
      </c>
      <c r="C436" t="s">
        <v>205</v>
      </c>
      <c r="D436" t="s">
        <v>180</v>
      </c>
      <c r="E436" s="60" t="s">
        <v>300</v>
      </c>
      <c r="F436" s="61" t="s">
        <v>301</v>
      </c>
      <c r="G436" s="62" t="s">
        <v>206</v>
      </c>
      <c r="H436" s="63" t="s">
        <v>195</v>
      </c>
      <c r="I436" s="64" t="s">
        <v>267</v>
      </c>
      <c r="J436" s="65" t="str">
        <f>IFERROR(INDEX('Cost_Components'!$K$2:$K$27,MATCH(E436,'Cost_Components'!$A$2:$A$27,0)),"")</f>
      </c>
      <c r="K436" s="66" t="str">
        <f>IF(OR(L436="",Z436="",AA436="",AB436=""),"",IF(B436&lt;AA436,L436,IF(B436&gt;AB436,Z436,L436+(Z436-L436)*MIN(MAX((B436-AA436+1)/MAX(AB436-AA436+1,1),0),1))))</f>
      </c>
      <c r="L436" s="67" t="str">
        <f>IFERROR(INDEX('Cost_Components'!$S$2:$S$27,MATCH(E436,'Cost_Components'!$A$2:$A$27,0)),"")</f>
      </c>
      <c r="M436" s="68" t="str">
        <f>IFERROR(INDEX('Cost_Components'!$L$2:$L$27,MATCH(E436,'Cost_Components'!$A$2:$A$27,0)),"")</f>
      </c>
      <c r="N436" s="69" t="str">
        <f>IFERROR(INDEX('Cost_Components'!$P$2:$P$27,MATCH(E436,'Cost_Components'!$A$2:$A$27,0)),"")</f>
      </c>
      <c r="O436" s="70" t="str">
        <f>AF436*J436</f>
      </c>
      <c r="P436" s="71" t="str">
        <f>AG436*J436</f>
      </c>
      <c r="Q436" s="72" t="str">
        <f>P436*L436*M436*N436</f>
      </c>
      <c r="R436" s="73" t="str">
        <f>O436*K436*M436*N436</f>
      </c>
      <c r="S436" s="74" t="str">
        <f>R436-Q436</f>
      </c>
      <c r="T436" s="20" t="str">
        <f>IFERROR(INDEX('Cost_Components'!$R$2:$R$27,MATCH(E436,'Cost_Components'!$A$2:$A$27,0)),"")</f>
      </c>
      <c r="U436" s="75" t="str">
        <f>IFERROR(INDEX('Cost_Components'!$Q$2:$Q$27,MATCH(E436,'Cost_Components'!$A$2:$A$27,0)),"")</f>
      </c>
      <c r="V436" s="76" t="str">
        <f>1/(1+'Calculation_Assumptions'!$B$5)^(B436-'Calculation_Assumptions'!$B$2)</f>
      </c>
      <c r="W436" s="77" t="str">
        <f>Q436*V436</f>
      </c>
      <c r="X436" s="78" t="str">
        <f>R436*V436</f>
      </c>
      <c r="Y436" s="79" t="str">
        <f>S436*V436</f>
      </c>
      <c r="Z436" s="80" t="str">
        <f>IFERROR(INDEX('Cost_Components'!$T$2:$T$27,MATCH(E436,'Cost_Components'!$A$2:$A$27,0)),"")</f>
      </c>
      <c r="AA436" s="81" t="str">
        <f>IFERROR(INDEX('Cost_Components'!$U$2:$U$27,MATCH(E436,'Cost_Components'!$A$2:$A$27,0)),"")</f>
      </c>
      <c r="AB436" s="82" t="str">
        <f>IFERROR(INDEX('Cost_Components'!$V$2:$V$27,MATCH(E436,'Cost_Components'!$A$2:$A$27,0)),"")</f>
      </c>
      <c r="AC436" s="83" t="str">
        <f>IFERROR(INDEX('Cost_Components'!$M$2:$M$27,MATCH(E436,'Cost_Components'!$A$2:$A$27,0)),"")</f>
      </c>
      <c r="AD436" s="84" t="str">
        <f>IFERROR(INDEX('Cost_Components'!$N$2:$N$27,MATCH(E436,'Cost_Components'!$A$2:$A$27,0)),"")</f>
      </c>
      <c r="AE436" s="20" t="str">
        <f>IFERROR(INDEX('Cost_Components'!$O$2:$O$27,MATCH(E436,'Cost_Components'!$A$2:$A$27,0)),"")</f>
      </c>
      <c r="AF436" s="85" t="n">
        <v>7322923.99875103</v>
      </c>
      <c r="AG436" s="86" t="n">
        <v>7217825.7559417</v>
      </c>
      <c r="AH436" s="87" t="str">
        <f>IF(H436="shared-count-once",COUNTIFS($A$2:$A$1353,A436,$B$2:$B$1353,B436,$E$2:$E$1353,E436),1)</f>
      </c>
    </row>
    <row r="437">
      <c r="A437" t="s">
        <v>205</v>
      </c>
      <c r="B437" s="59" t="n">
        <v>2044</v>
      </c>
      <c r="C437" t="s">
        <v>205</v>
      </c>
      <c r="D437" t="s">
        <v>180</v>
      </c>
      <c r="E437" s="60" t="s">
        <v>300</v>
      </c>
      <c r="F437" s="61" t="s">
        <v>301</v>
      </c>
      <c r="G437" s="62" t="s">
        <v>206</v>
      </c>
      <c r="H437" s="63" t="s">
        <v>195</v>
      </c>
      <c r="I437" s="64" t="s">
        <v>267</v>
      </c>
      <c r="J437" s="65" t="str">
        <f>IFERROR(INDEX('Cost_Components'!$K$2:$K$27,MATCH(E437,'Cost_Components'!$A$2:$A$27,0)),"")</f>
      </c>
      <c r="K437" s="66" t="str">
        <f>IF(OR(L437="",Z437="",AA437="",AB437=""),"",IF(B437&lt;AA437,L437,IF(B437&gt;AB437,Z437,L437+(Z437-L437)*MIN(MAX((B437-AA437+1)/MAX(AB437-AA437+1,1),0),1))))</f>
      </c>
      <c r="L437" s="67" t="str">
        <f>IFERROR(INDEX('Cost_Components'!$S$2:$S$27,MATCH(E437,'Cost_Components'!$A$2:$A$27,0)),"")</f>
      </c>
      <c r="M437" s="68" t="str">
        <f>IFERROR(INDEX('Cost_Components'!$L$2:$L$27,MATCH(E437,'Cost_Components'!$A$2:$A$27,0)),"")</f>
      </c>
      <c r="N437" s="69" t="str">
        <f>IFERROR(INDEX('Cost_Components'!$P$2:$P$27,MATCH(E437,'Cost_Components'!$A$2:$A$27,0)),"")</f>
      </c>
      <c r="O437" s="70" t="str">
        <f>AF437*J437</f>
      </c>
      <c r="P437" s="71" t="str">
        <f>AG437*J437</f>
      </c>
      <c r="Q437" s="72" t="str">
        <f>P437*L437*M437*N437</f>
      </c>
      <c r="R437" s="73" t="str">
        <f>O437*K437*M437*N437</f>
      </c>
      <c r="S437" s="74" t="str">
        <f>R437-Q437</f>
      </c>
      <c r="T437" s="20" t="str">
        <f>IFERROR(INDEX('Cost_Components'!$R$2:$R$27,MATCH(E437,'Cost_Components'!$A$2:$A$27,0)),"")</f>
      </c>
      <c r="U437" s="75" t="str">
        <f>IFERROR(INDEX('Cost_Components'!$Q$2:$Q$27,MATCH(E437,'Cost_Components'!$A$2:$A$27,0)),"")</f>
      </c>
      <c r="V437" s="76" t="str">
        <f>1/(1+'Calculation_Assumptions'!$B$5)^(B437-'Calculation_Assumptions'!$B$2)</f>
      </c>
      <c r="W437" s="77" t="str">
        <f>Q437*V437</f>
      </c>
      <c r="X437" s="78" t="str">
        <f>R437*V437</f>
      </c>
      <c r="Y437" s="79" t="str">
        <f>S437*V437</f>
      </c>
      <c r="Z437" s="80" t="str">
        <f>IFERROR(INDEX('Cost_Components'!$T$2:$T$27,MATCH(E437,'Cost_Components'!$A$2:$A$27,0)),"")</f>
      </c>
      <c r="AA437" s="81" t="str">
        <f>IFERROR(INDEX('Cost_Components'!$U$2:$U$27,MATCH(E437,'Cost_Components'!$A$2:$A$27,0)),"")</f>
      </c>
      <c r="AB437" s="82" t="str">
        <f>IFERROR(INDEX('Cost_Components'!$V$2:$V$27,MATCH(E437,'Cost_Components'!$A$2:$A$27,0)),"")</f>
      </c>
      <c r="AC437" s="83" t="str">
        <f>IFERROR(INDEX('Cost_Components'!$M$2:$M$27,MATCH(E437,'Cost_Components'!$A$2:$A$27,0)),"")</f>
      </c>
      <c r="AD437" s="84" t="str">
        <f>IFERROR(INDEX('Cost_Components'!$N$2:$N$27,MATCH(E437,'Cost_Components'!$A$2:$A$27,0)),"")</f>
      </c>
      <c r="AE437" s="20" t="str">
        <f>IFERROR(INDEX('Cost_Components'!$O$2:$O$27,MATCH(E437,'Cost_Components'!$A$2:$A$27,0)),"")</f>
      </c>
      <c r="AF437" s="85" t="n">
        <v>7440979.4779758</v>
      </c>
      <c r="AG437" s="86" t="n">
        <v>7326275.74827768</v>
      </c>
      <c r="AH437" s="87" t="str">
        <f>IF(H437="shared-count-once",COUNTIFS($A$2:$A$1353,A437,$B$2:$B$1353,B437,$E$2:$E$1353,E437),1)</f>
      </c>
    </row>
    <row r="438">
      <c r="A438" t="s">
        <v>205</v>
      </c>
      <c r="B438" s="59" t="n">
        <v>2045</v>
      </c>
      <c r="C438" t="s">
        <v>205</v>
      </c>
      <c r="D438" t="s">
        <v>180</v>
      </c>
      <c r="E438" s="60" t="s">
        <v>300</v>
      </c>
      <c r="F438" s="61" t="s">
        <v>301</v>
      </c>
      <c r="G438" s="62" t="s">
        <v>206</v>
      </c>
      <c r="H438" s="63" t="s">
        <v>195</v>
      </c>
      <c r="I438" s="64" t="s">
        <v>267</v>
      </c>
      <c r="J438" s="65" t="str">
        <f>IFERROR(INDEX('Cost_Components'!$K$2:$K$27,MATCH(E438,'Cost_Components'!$A$2:$A$27,0)),"")</f>
      </c>
      <c r="K438" s="66" t="str">
        <f>IF(OR(L438="",Z438="",AA438="",AB438=""),"",IF(B438&lt;AA438,L438,IF(B438&gt;AB438,Z438,L438+(Z438-L438)*MIN(MAX((B438-AA438+1)/MAX(AB438-AA438+1,1),0),1))))</f>
      </c>
      <c r="L438" s="67" t="str">
        <f>IFERROR(INDEX('Cost_Components'!$S$2:$S$27,MATCH(E438,'Cost_Components'!$A$2:$A$27,0)),"")</f>
      </c>
      <c r="M438" s="68" t="str">
        <f>IFERROR(INDEX('Cost_Components'!$L$2:$L$27,MATCH(E438,'Cost_Components'!$A$2:$A$27,0)),"")</f>
      </c>
      <c r="N438" s="69" t="str">
        <f>IFERROR(INDEX('Cost_Components'!$P$2:$P$27,MATCH(E438,'Cost_Components'!$A$2:$A$27,0)),"")</f>
      </c>
      <c r="O438" s="70" t="str">
        <f>AF438*J438</f>
      </c>
      <c r="P438" s="71" t="str">
        <f>AG438*J438</f>
      </c>
      <c r="Q438" s="72" t="str">
        <f>P438*L438*M438*N438</f>
      </c>
      <c r="R438" s="73" t="str">
        <f>O438*K438*M438*N438</f>
      </c>
      <c r="S438" s="74" t="str">
        <f>R438-Q438</f>
      </c>
      <c r="T438" s="20" t="str">
        <f>IFERROR(INDEX('Cost_Components'!$R$2:$R$27,MATCH(E438,'Cost_Components'!$A$2:$A$27,0)),"")</f>
      </c>
      <c r="U438" s="75" t="str">
        <f>IFERROR(INDEX('Cost_Components'!$Q$2:$Q$27,MATCH(E438,'Cost_Components'!$A$2:$A$27,0)),"")</f>
      </c>
      <c r="V438" s="76" t="str">
        <f>1/(1+'Calculation_Assumptions'!$B$5)^(B438-'Calculation_Assumptions'!$B$2)</f>
      </c>
      <c r="W438" s="77" t="str">
        <f>Q438*V438</f>
      </c>
      <c r="X438" s="78" t="str">
        <f>R438*V438</f>
      </c>
      <c r="Y438" s="79" t="str">
        <f>S438*V438</f>
      </c>
      <c r="Z438" s="80" t="str">
        <f>IFERROR(INDEX('Cost_Components'!$T$2:$T$27,MATCH(E438,'Cost_Components'!$A$2:$A$27,0)),"")</f>
      </c>
      <c r="AA438" s="81" t="str">
        <f>IFERROR(INDEX('Cost_Components'!$U$2:$U$27,MATCH(E438,'Cost_Components'!$A$2:$A$27,0)),"")</f>
      </c>
      <c r="AB438" s="82" t="str">
        <f>IFERROR(INDEX('Cost_Components'!$V$2:$V$27,MATCH(E438,'Cost_Components'!$A$2:$A$27,0)),"")</f>
      </c>
      <c r="AC438" s="83" t="str">
        <f>IFERROR(INDEX('Cost_Components'!$M$2:$M$27,MATCH(E438,'Cost_Components'!$A$2:$A$27,0)),"")</f>
      </c>
      <c r="AD438" s="84" t="str">
        <f>IFERROR(INDEX('Cost_Components'!$N$2:$N$27,MATCH(E438,'Cost_Components'!$A$2:$A$27,0)),"")</f>
      </c>
      <c r="AE438" s="20" t="str">
        <f>IFERROR(INDEX('Cost_Components'!$O$2:$O$27,MATCH(E438,'Cost_Components'!$A$2:$A$27,0)),"")</f>
      </c>
      <c r="AF438" s="85" t="n">
        <v>7557472.35362557</v>
      </c>
      <c r="AG438" s="86" t="n">
        <v>7432902.55351555</v>
      </c>
      <c r="AH438" s="87" t="str">
        <f>IF(H438="shared-count-once",COUNTIFS($A$2:$A$1353,A438,$B$2:$B$1353,B438,$E$2:$E$1353,E438),1)</f>
      </c>
    </row>
    <row r="439">
      <c r="A439" t="s">
        <v>205</v>
      </c>
      <c r="B439" s="59" t="n">
        <v>2046</v>
      </c>
      <c r="C439" t="s">
        <v>205</v>
      </c>
      <c r="D439" t="s">
        <v>180</v>
      </c>
      <c r="E439" s="60" t="s">
        <v>300</v>
      </c>
      <c r="F439" s="61" t="s">
        <v>301</v>
      </c>
      <c r="G439" s="62" t="s">
        <v>206</v>
      </c>
      <c r="H439" s="63" t="s">
        <v>195</v>
      </c>
      <c r="I439" s="64" t="s">
        <v>267</v>
      </c>
      <c r="J439" s="65" t="str">
        <f>IFERROR(INDEX('Cost_Components'!$K$2:$K$27,MATCH(E439,'Cost_Components'!$A$2:$A$27,0)),"")</f>
      </c>
      <c r="K439" s="66" t="str">
        <f>IF(OR(L439="",Z439="",AA439="",AB439=""),"",IF(B439&lt;AA439,L439,IF(B439&gt;AB439,Z439,L439+(Z439-L439)*MIN(MAX((B439-AA439+1)/MAX(AB439-AA439+1,1),0),1))))</f>
      </c>
      <c r="L439" s="67" t="str">
        <f>IFERROR(INDEX('Cost_Components'!$S$2:$S$27,MATCH(E439,'Cost_Components'!$A$2:$A$27,0)),"")</f>
      </c>
      <c r="M439" s="68" t="str">
        <f>IFERROR(INDEX('Cost_Components'!$L$2:$L$27,MATCH(E439,'Cost_Components'!$A$2:$A$27,0)),"")</f>
      </c>
      <c r="N439" s="69" t="str">
        <f>IFERROR(INDEX('Cost_Components'!$P$2:$P$27,MATCH(E439,'Cost_Components'!$A$2:$A$27,0)),"")</f>
      </c>
      <c r="O439" s="70" t="str">
        <f>AF439*J439</f>
      </c>
      <c r="P439" s="71" t="str">
        <f>AG439*J439</f>
      </c>
      <c r="Q439" s="72" t="str">
        <f>P439*L439*M439*N439</f>
      </c>
      <c r="R439" s="73" t="str">
        <f>O439*K439*M439*N439</f>
      </c>
      <c r="S439" s="74" t="str">
        <f>R439-Q439</f>
      </c>
      <c r="T439" s="20" t="str">
        <f>IFERROR(INDEX('Cost_Components'!$R$2:$R$27,MATCH(E439,'Cost_Components'!$A$2:$A$27,0)),"")</f>
      </c>
      <c r="U439" s="75" t="str">
        <f>IFERROR(INDEX('Cost_Components'!$Q$2:$Q$27,MATCH(E439,'Cost_Components'!$A$2:$A$27,0)),"")</f>
      </c>
      <c r="V439" s="76" t="str">
        <f>1/(1+'Calculation_Assumptions'!$B$5)^(B439-'Calculation_Assumptions'!$B$2)</f>
      </c>
      <c r="W439" s="77" t="str">
        <f>Q439*V439</f>
      </c>
      <c r="X439" s="78" t="str">
        <f>R439*V439</f>
      </c>
      <c r="Y439" s="79" t="str">
        <f>S439*V439</f>
      </c>
      <c r="Z439" s="80" t="str">
        <f>IFERROR(INDEX('Cost_Components'!$T$2:$T$27,MATCH(E439,'Cost_Components'!$A$2:$A$27,0)),"")</f>
      </c>
      <c r="AA439" s="81" t="str">
        <f>IFERROR(INDEX('Cost_Components'!$U$2:$U$27,MATCH(E439,'Cost_Components'!$A$2:$A$27,0)),"")</f>
      </c>
      <c r="AB439" s="82" t="str">
        <f>IFERROR(INDEX('Cost_Components'!$V$2:$V$27,MATCH(E439,'Cost_Components'!$A$2:$A$27,0)),"")</f>
      </c>
      <c r="AC439" s="83" t="str">
        <f>IFERROR(INDEX('Cost_Components'!$M$2:$M$27,MATCH(E439,'Cost_Components'!$A$2:$A$27,0)),"")</f>
      </c>
      <c r="AD439" s="84" t="str">
        <f>IFERROR(INDEX('Cost_Components'!$N$2:$N$27,MATCH(E439,'Cost_Components'!$A$2:$A$27,0)),"")</f>
      </c>
      <c r="AE439" s="20" t="str">
        <f>IFERROR(INDEX('Cost_Components'!$O$2:$O$27,MATCH(E439,'Cost_Components'!$A$2:$A$27,0)),"")</f>
      </c>
      <c r="AF439" s="85" t="n">
        <v>7672249.84505514</v>
      </c>
      <c r="AG439" s="86" t="n">
        <v>7537569.08606469</v>
      </c>
      <c r="AH439" s="87" t="str">
        <f>IF(H439="shared-count-once",COUNTIFS($A$2:$A$1353,A439,$B$2:$B$1353,B439,$E$2:$E$1353,E439),1)</f>
      </c>
    </row>
    <row r="440">
      <c r="A440" t="s">
        <v>205</v>
      </c>
      <c r="B440" s="59" t="n">
        <v>2047</v>
      </c>
      <c r="C440" t="s">
        <v>205</v>
      </c>
      <c r="D440" t="s">
        <v>180</v>
      </c>
      <c r="E440" s="60" t="s">
        <v>300</v>
      </c>
      <c r="F440" s="61" t="s">
        <v>301</v>
      </c>
      <c r="G440" s="62" t="s">
        <v>206</v>
      </c>
      <c r="H440" s="63" t="s">
        <v>195</v>
      </c>
      <c r="I440" s="64" t="s">
        <v>267</v>
      </c>
      <c r="J440" s="65" t="str">
        <f>IFERROR(INDEX('Cost_Components'!$K$2:$K$27,MATCH(E440,'Cost_Components'!$A$2:$A$27,0)),"")</f>
      </c>
      <c r="K440" s="66" t="str">
        <f>IF(OR(L440="",Z440="",AA440="",AB440=""),"",IF(B440&lt;AA440,L440,IF(B440&gt;AB440,Z440,L440+(Z440-L440)*MIN(MAX((B440-AA440+1)/MAX(AB440-AA440+1,1),0),1))))</f>
      </c>
      <c r="L440" s="67" t="str">
        <f>IFERROR(INDEX('Cost_Components'!$S$2:$S$27,MATCH(E440,'Cost_Components'!$A$2:$A$27,0)),"")</f>
      </c>
      <c r="M440" s="68" t="str">
        <f>IFERROR(INDEX('Cost_Components'!$L$2:$L$27,MATCH(E440,'Cost_Components'!$A$2:$A$27,0)),"")</f>
      </c>
      <c r="N440" s="69" t="str">
        <f>IFERROR(INDEX('Cost_Components'!$P$2:$P$27,MATCH(E440,'Cost_Components'!$A$2:$A$27,0)),"")</f>
      </c>
      <c r="O440" s="70" t="str">
        <f>AF440*J440</f>
      </c>
      <c r="P440" s="71" t="str">
        <f>AG440*J440</f>
      </c>
      <c r="Q440" s="72" t="str">
        <f>P440*L440*M440*N440</f>
      </c>
      <c r="R440" s="73" t="str">
        <f>O440*K440*M440*N440</f>
      </c>
      <c r="S440" s="74" t="str">
        <f>R440-Q440</f>
      </c>
      <c r="T440" s="20" t="str">
        <f>IFERROR(INDEX('Cost_Components'!$R$2:$R$27,MATCH(E440,'Cost_Components'!$A$2:$A$27,0)),"")</f>
      </c>
      <c r="U440" s="75" t="str">
        <f>IFERROR(INDEX('Cost_Components'!$Q$2:$Q$27,MATCH(E440,'Cost_Components'!$A$2:$A$27,0)),"")</f>
      </c>
      <c r="V440" s="76" t="str">
        <f>1/(1+'Calculation_Assumptions'!$B$5)^(B440-'Calculation_Assumptions'!$B$2)</f>
      </c>
      <c r="W440" s="77" t="str">
        <f>Q440*V440</f>
      </c>
      <c r="X440" s="78" t="str">
        <f>R440*V440</f>
      </c>
      <c r="Y440" s="79" t="str">
        <f>S440*V440</f>
      </c>
      <c r="Z440" s="80" t="str">
        <f>IFERROR(INDEX('Cost_Components'!$T$2:$T$27,MATCH(E440,'Cost_Components'!$A$2:$A$27,0)),"")</f>
      </c>
      <c r="AA440" s="81" t="str">
        <f>IFERROR(INDEX('Cost_Components'!$U$2:$U$27,MATCH(E440,'Cost_Components'!$A$2:$A$27,0)),"")</f>
      </c>
      <c r="AB440" s="82" t="str">
        <f>IFERROR(INDEX('Cost_Components'!$V$2:$V$27,MATCH(E440,'Cost_Components'!$A$2:$A$27,0)),"")</f>
      </c>
      <c r="AC440" s="83" t="str">
        <f>IFERROR(INDEX('Cost_Components'!$M$2:$M$27,MATCH(E440,'Cost_Components'!$A$2:$A$27,0)),"")</f>
      </c>
      <c r="AD440" s="84" t="str">
        <f>IFERROR(INDEX('Cost_Components'!$N$2:$N$27,MATCH(E440,'Cost_Components'!$A$2:$A$27,0)),"")</f>
      </c>
      <c r="AE440" s="20" t="str">
        <f>IFERROR(INDEX('Cost_Components'!$O$2:$O$27,MATCH(E440,'Cost_Components'!$A$2:$A$27,0)),"")</f>
      </c>
      <c r="AF440" s="85" t="n">
        <v>7785373.51980998</v>
      </c>
      <c r="AG440" s="86" t="n">
        <v>7640350.68929373</v>
      </c>
      <c r="AH440" s="87" t="str">
        <f>IF(H440="shared-count-once",COUNTIFS($A$2:$A$1353,A440,$B$2:$B$1353,B440,$E$2:$E$1353,E440),1)</f>
      </c>
    </row>
    <row r="441">
      <c r="A441" t="s">
        <v>205</v>
      </c>
      <c r="B441" s="59" t="n">
        <v>2048</v>
      </c>
      <c r="C441" t="s">
        <v>205</v>
      </c>
      <c r="D441" t="s">
        <v>180</v>
      </c>
      <c r="E441" s="60" t="s">
        <v>300</v>
      </c>
      <c r="F441" s="61" t="s">
        <v>301</v>
      </c>
      <c r="G441" s="62" t="s">
        <v>206</v>
      </c>
      <c r="H441" s="63" t="s">
        <v>195</v>
      </c>
      <c r="I441" s="64" t="s">
        <v>267</v>
      </c>
      <c r="J441" s="65" t="str">
        <f>IFERROR(INDEX('Cost_Components'!$K$2:$K$27,MATCH(E441,'Cost_Components'!$A$2:$A$27,0)),"")</f>
      </c>
      <c r="K441" s="66" t="str">
        <f>IF(OR(L441="",Z441="",AA441="",AB441=""),"",IF(B441&lt;AA441,L441,IF(B441&gt;AB441,Z441,L441+(Z441-L441)*MIN(MAX((B441-AA441+1)/MAX(AB441-AA441+1,1),0),1))))</f>
      </c>
      <c r="L441" s="67" t="str">
        <f>IFERROR(INDEX('Cost_Components'!$S$2:$S$27,MATCH(E441,'Cost_Components'!$A$2:$A$27,0)),"")</f>
      </c>
      <c r="M441" s="68" t="str">
        <f>IFERROR(INDEX('Cost_Components'!$L$2:$L$27,MATCH(E441,'Cost_Components'!$A$2:$A$27,0)),"")</f>
      </c>
      <c r="N441" s="69" t="str">
        <f>IFERROR(INDEX('Cost_Components'!$P$2:$P$27,MATCH(E441,'Cost_Components'!$A$2:$A$27,0)),"")</f>
      </c>
      <c r="O441" s="70" t="str">
        <f>AF441*J441</f>
      </c>
      <c r="P441" s="71" t="str">
        <f>AG441*J441</f>
      </c>
      <c r="Q441" s="72" t="str">
        <f>P441*L441*M441*N441</f>
      </c>
      <c r="R441" s="73" t="str">
        <f>O441*K441*M441*N441</f>
      </c>
      <c r="S441" s="74" t="str">
        <f>R441-Q441</f>
      </c>
      <c r="T441" s="20" t="str">
        <f>IFERROR(INDEX('Cost_Components'!$R$2:$R$27,MATCH(E441,'Cost_Components'!$A$2:$A$27,0)),"")</f>
      </c>
      <c r="U441" s="75" t="str">
        <f>IFERROR(INDEX('Cost_Components'!$Q$2:$Q$27,MATCH(E441,'Cost_Components'!$A$2:$A$27,0)),"")</f>
      </c>
      <c r="V441" s="76" t="str">
        <f>1/(1+'Calculation_Assumptions'!$B$5)^(B441-'Calculation_Assumptions'!$B$2)</f>
      </c>
      <c r="W441" s="77" t="str">
        <f>Q441*V441</f>
      </c>
      <c r="X441" s="78" t="str">
        <f>R441*V441</f>
      </c>
      <c r="Y441" s="79" t="str">
        <f>S441*V441</f>
      </c>
      <c r="Z441" s="80" t="str">
        <f>IFERROR(INDEX('Cost_Components'!$T$2:$T$27,MATCH(E441,'Cost_Components'!$A$2:$A$27,0)),"")</f>
      </c>
      <c r="AA441" s="81" t="str">
        <f>IFERROR(INDEX('Cost_Components'!$U$2:$U$27,MATCH(E441,'Cost_Components'!$A$2:$A$27,0)),"")</f>
      </c>
      <c r="AB441" s="82" t="str">
        <f>IFERROR(INDEX('Cost_Components'!$V$2:$V$27,MATCH(E441,'Cost_Components'!$A$2:$A$27,0)),"")</f>
      </c>
      <c r="AC441" s="83" t="str">
        <f>IFERROR(INDEX('Cost_Components'!$M$2:$M$27,MATCH(E441,'Cost_Components'!$A$2:$A$27,0)),"")</f>
      </c>
      <c r="AD441" s="84" t="str">
        <f>IFERROR(INDEX('Cost_Components'!$N$2:$N$27,MATCH(E441,'Cost_Components'!$A$2:$A$27,0)),"")</f>
      </c>
      <c r="AE441" s="20" t="str">
        <f>IFERROR(INDEX('Cost_Components'!$O$2:$O$27,MATCH(E441,'Cost_Components'!$A$2:$A$27,0)),"")</f>
      </c>
      <c r="AF441" s="85" t="n">
        <v>7897228.5768617</v>
      </c>
      <c r="AG441" s="86" t="n">
        <v>7741657.53723872</v>
      </c>
      <c r="AH441" s="87" t="str">
        <f>IF(H441="shared-count-once",COUNTIFS($A$2:$A$1353,A441,$B$2:$B$1353,B441,$E$2:$E$1353,E441),1)</f>
      </c>
    </row>
    <row r="442">
      <c r="A442" t="s">
        <v>205</v>
      </c>
      <c r="B442" s="59" t="n">
        <v>2049</v>
      </c>
      <c r="C442" t="s">
        <v>205</v>
      </c>
      <c r="D442" t="s">
        <v>180</v>
      </c>
      <c r="E442" s="60" t="s">
        <v>300</v>
      </c>
      <c r="F442" s="61" t="s">
        <v>301</v>
      </c>
      <c r="G442" s="62" t="s">
        <v>206</v>
      </c>
      <c r="H442" s="63" t="s">
        <v>195</v>
      </c>
      <c r="I442" s="64" t="s">
        <v>267</v>
      </c>
      <c r="J442" s="65" t="str">
        <f>IFERROR(INDEX('Cost_Components'!$K$2:$K$27,MATCH(E442,'Cost_Components'!$A$2:$A$27,0)),"")</f>
      </c>
      <c r="K442" s="66" t="str">
        <f>IF(OR(L442="",Z442="",AA442="",AB442=""),"",IF(B442&lt;AA442,L442,IF(B442&gt;AB442,Z442,L442+(Z442-L442)*MIN(MAX((B442-AA442+1)/MAX(AB442-AA442+1,1),0),1))))</f>
      </c>
      <c r="L442" s="67" t="str">
        <f>IFERROR(INDEX('Cost_Components'!$S$2:$S$27,MATCH(E442,'Cost_Components'!$A$2:$A$27,0)),"")</f>
      </c>
      <c r="M442" s="68" t="str">
        <f>IFERROR(INDEX('Cost_Components'!$L$2:$L$27,MATCH(E442,'Cost_Components'!$A$2:$A$27,0)),"")</f>
      </c>
      <c r="N442" s="69" t="str">
        <f>IFERROR(INDEX('Cost_Components'!$P$2:$P$27,MATCH(E442,'Cost_Components'!$A$2:$A$27,0)),"")</f>
      </c>
      <c r="O442" s="70" t="str">
        <f>AF442*J442</f>
      </c>
      <c r="P442" s="71" t="str">
        <f>AG442*J442</f>
      </c>
      <c r="Q442" s="72" t="str">
        <f>P442*L442*M442*N442</f>
      </c>
      <c r="R442" s="73" t="str">
        <f>O442*K442*M442*N442</f>
      </c>
      <c r="S442" s="74" t="str">
        <f>R442-Q442</f>
      </c>
      <c r="T442" s="20" t="str">
        <f>IFERROR(INDEX('Cost_Components'!$R$2:$R$27,MATCH(E442,'Cost_Components'!$A$2:$A$27,0)),"")</f>
      </c>
      <c r="U442" s="75" t="str">
        <f>IFERROR(INDEX('Cost_Components'!$Q$2:$Q$27,MATCH(E442,'Cost_Components'!$A$2:$A$27,0)),"")</f>
      </c>
      <c r="V442" s="76" t="str">
        <f>1/(1+'Calculation_Assumptions'!$B$5)^(B442-'Calculation_Assumptions'!$B$2)</f>
      </c>
      <c r="W442" s="77" t="str">
        <f>Q442*V442</f>
      </c>
      <c r="X442" s="78" t="str">
        <f>R442*V442</f>
      </c>
      <c r="Y442" s="79" t="str">
        <f>S442*V442</f>
      </c>
      <c r="Z442" s="80" t="str">
        <f>IFERROR(INDEX('Cost_Components'!$T$2:$T$27,MATCH(E442,'Cost_Components'!$A$2:$A$27,0)),"")</f>
      </c>
      <c r="AA442" s="81" t="str">
        <f>IFERROR(INDEX('Cost_Components'!$U$2:$U$27,MATCH(E442,'Cost_Components'!$A$2:$A$27,0)),"")</f>
      </c>
      <c r="AB442" s="82" t="str">
        <f>IFERROR(INDEX('Cost_Components'!$V$2:$V$27,MATCH(E442,'Cost_Components'!$A$2:$A$27,0)),"")</f>
      </c>
      <c r="AC442" s="83" t="str">
        <f>IFERROR(INDEX('Cost_Components'!$M$2:$M$27,MATCH(E442,'Cost_Components'!$A$2:$A$27,0)),"")</f>
      </c>
      <c r="AD442" s="84" t="str">
        <f>IFERROR(INDEX('Cost_Components'!$N$2:$N$27,MATCH(E442,'Cost_Components'!$A$2:$A$27,0)),"")</f>
      </c>
      <c r="AE442" s="20" t="str">
        <f>IFERROR(INDEX('Cost_Components'!$O$2:$O$27,MATCH(E442,'Cost_Components'!$A$2:$A$27,0)),"")</f>
      </c>
      <c r="AF442" s="85" t="n">
        <v>8004524.38539742</v>
      </c>
      <c r="AG442" s="86" t="n">
        <v>7838208.38053693</v>
      </c>
      <c r="AH442" s="87" t="str">
        <f>IF(H442="shared-count-once",COUNTIFS($A$2:$A$1353,A442,$B$2:$B$1353,B442,$E$2:$E$1353,E442),1)</f>
      </c>
    </row>
    <row r="443">
      <c r="A443" t="s">
        <v>205</v>
      </c>
      <c r="B443" s="59" t="n">
        <v>2050</v>
      </c>
      <c r="C443" t="s">
        <v>205</v>
      </c>
      <c r="D443" t="s">
        <v>180</v>
      </c>
      <c r="E443" s="60" t="s">
        <v>300</v>
      </c>
      <c r="F443" s="61" t="s">
        <v>301</v>
      </c>
      <c r="G443" s="62" t="s">
        <v>206</v>
      </c>
      <c r="H443" s="63" t="s">
        <v>195</v>
      </c>
      <c r="I443" s="64" t="s">
        <v>267</v>
      </c>
      <c r="J443" s="65" t="str">
        <f>IFERROR(INDEX('Cost_Components'!$K$2:$K$27,MATCH(E443,'Cost_Components'!$A$2:$A$27,0)),"")</f>
      </c>
      <c r="K443" s="66" t="str">
        <f>IF(OR(L443="",Z443="",AA443="",AB443=""),"",IF(B443&lt;AA443,L443,IF(B443&gt;AB443,Z443,L443+(Z443-L443)*MIN(MAX((B443-AA443+1)/MAX(AB443-AA443+1,1),0),1))))</f>
      </c>
      <c r="L443" s="67" t="str">
        <f>IFERROR(INDEX('Cost_Components'!$S$2:$S$27,MATCH(E443,'Cost_Components'!$A$2:$A$27,0)),"")</f>
      </c>
      <c r="M443" s="68" t="str">
        <f>IFERROR(INDEX('Cost_Components'!$L$2:$L$27,MATCH(E443,'Cost_Components'!$A$2:$A$27,0)),"")</f>
      </c>
      <c r="N443" s="69" t="str">
        <f>IFERROR(INDEX('Cost_Components'!$P$2:$P$27,MATCH(E443,'Cost_Components'!$A$2:$A$27,0)),"")</f>
      </c>
      <c r="O443" s="70" t="str">
        <f>AF443*J443</f>
      </c>
      <c r="P443" s="71" t="str">
        <f>AG443*J443</f>
      </c>
      <c r="Q443" s="72" t="str">
        <f>P443*L443*M443*N443</f>
      </c>
      <c r="R443" s="73" t="str">
        <f>O443*K443*M443*N443</f>
      </c>
      <c r="S443" s="74" t="str">
        <f>R443-Q443</f>
      </c>
      <c r="T443" s="20" t="str">
        <f>IFERROR(INDEX('Cost_Components'!$R$2:$R$27,MATCH(E443,'Cost_Components'!$A$2:$A$27,0)),"")</f>
      </c>
      <c r="U443" s="75" t="str">
        <f>IFERROR(INDEX('Cost_Components'!$Q$2:$Q$27,MATCH(E443,'Cost_Components'!$A$2:$A$27,0)),"")</f>
      </c>
      <c r="V443" s="76" t="str">
        <f>1/(1+'Calculation_Assumptions'!$B$5)^(B443-'Calculation_Assumptions'!$B$2)</f>
      </c>
      <c r="W443" s="77" t="str">
        <f>Q443*V443</f>
      </c>
      <c r="X443" s="78" t="str">
        <f>R443*V443</f>
      </c>
      <c r="Y443" s="79" t="str">
        <f>S443*V443</f>
      </c>
      <c r="Z443" s="80" t="str">
        <f>IFERROR(INDEX('Cost_Components'!$T$2:$T$27,MATCH(E443,'Cost_Components'!$A$2:$A$27,0)),"")</f>
      </c>
      <c r="AA443" s="81" t="str">
        <f>IFERROR(INDEX('Cost_Components'!$U$2:$U$27,MATCH(E443,'Cost_Components'!$A$2:$A$27,0)),"")</f>
      </c>
      <c r="AB443" s="82" t="str">
        <f>IFERROR(INDEX('Cost_Components'!$V$2:$V$27,MATCH(E443,'Cost_Components'!$A$2:$A$27,0)),"")</f>
      </c>
      <c r="AC443" s="83" t="str">
        <f>IFERROR(INDEX('Cost_Components'!$M$2:$M$27,MATCH(E443,'Cost_Components'!$A$2:$A$27,0)),"")</f>
      </c>
      <c r="AD443" s="84" t="str">
        <f>IFERROR(INDEX('Cost_Components'!$N$2:$N$27,MATCH(E443,'Cost_Components'!$A$2:$A$27,0)),"")</f>
      </c>
      <c r="AE443" s="20" t="str">
        <f>IFERROR(INDEX('Cost_Components'!$O$2:$O$27,MATCH(E443,'Cost_Components'!$A$2:$A$27,0)),"")</f>
      </c>
      <c r="AF443" s="85" t="n">
        <v>8109568.41753071</v>
      </c>
      <c r="AG443" s="86" t="n">
        <v>7932343.49493125</v>
      </c>
      <c r="AH443" s="87" t="str">
        <f>IF(H443="shared-count-once",COUNTIFS($A$2:$A$1353,A443,$B$2:$B$1353,B443,$E$2:$E$1353,E443),1)</f>
      </c>
    </row>
    <row r="444">
      <c r="A444" t="s">
        <v>208</v>
      </c>
      <c r="B444" s="59" t="n">
        <v>2025</v>
      </c>
      <c r="C444" t="s">
        <v>208</v>
      </c>
      <c r="D444" t="s">
        <v>212</v>
      </c>
      <c r="E444" s="60" t="s">
        <v>303</v>
      </c>
      <c r="F444" s="61" t="s">
        <v>304</v>
      </c>
      <c r="G444" s="62" t="s">
        <v>209</v>
      </c>
      <c r="H444" s="63" t="s">
        <v>195</v>
      </c>
      <c r="I444" s="64" t="s">
        <v>267</v>
      </c>
      <c r="J444" s="65" t="str">
        <f>IFERROR(INDEX('Cost_Components'!$K$2:$K$27,MATCH(E444,'Cost_Components'!$A$2:$A$27,0)),"")</f>
      </c>
      <c r="K444" s="66" t="str">
        <f>IF(OR(L444="",Z444="",AA444="",AB444=""),"",IF(B444&lt;AA444,L444,IF(B444&gt;AB444,Z444,L444+(Z444-L444)*MIN(MAX((B444-AA444+1)/MAX(AB444-AA444+1,1),0),1))))</f>
      </c>
      <c r="L444" s="67" t="str">
        <f>IFERROR(INDEX('Cost_Components'!$S$2:$S$27,MATCH(E444,'Cost_Components'!$A$2:$A$27,0)),"")</f>
      </c>
      <c r="M444" s="68" t="str">
        <f>IFERROR(INDEX('Cost_Components'!$L$2:$L$27,MATCH(E444,'Cost_Components'!$A$2:$A$27,0)),"")</f>
      </c>
      <c r="N444" s="69" t="str">
        <f>IFERROR(INDEX('Cost_Components'!$P$2:$P$27,MATCH(E444,'Cost_Components'!$A$2:$A$27,0)),"")</f>
      </c>
      <c r="O444" s="70" t="str">
        <f>AF444*J444</f>
      </c>
      <c r="P444" s="71" t="str">
        <f>AG444*J444</f>
      </c>
      <c r="Q444" s="72" t="str">
        <f>P444*L444*M444*N444</f>
      </c>
      <c r="R444" s="73" t="str">
        <f>O444*K444*M444*N444</f>
      </c>
      <c r="S444" s="74" t="str">
        <f>R444-Q444</f>
      </c>
      <c r="T444" s="20" t="str">
        <f>IFERROR(INDEX('Cost_Components'!$R$2:$R$27,MATCH(E444,'Cost_Components'!$A$2:$A$27,0)),"")</f>
      </c>
      <c r="U444" s="75" t="str">
        <f>IFERROR(INDEX('Cost_Components'!$Q$2:$Q$27,MATCH(E444,'Cost_Components'!$A$2:$A$27,0)),"")</f>
      </c>
      <c r="V444" s="76" t="str">
        <f>1/(1+'Calculation_Assumptions'!$B$5)^(B444-'Calculation_Assumptions'!$B$2)</f>
      </c>
      <c r="W444" s="77" t="str">
        <f>Q444*V444</f>
      </c>
      <c r="X444" s="78" t="str">
        <f>R444*V444</f>
      </c>
      <c r="Y444" s="79" t="str">
        <f>S444*V444</f>
      </c>
      <c r="Z444" s="80" t="str">
        <f>IFERROR(INDEX('Cost_Components'!$T$2:$T$27,MATCH(E444,'Cost_Components'!$A$2:$A$27,0)),"")</f>
      </c>
      <c r="AA444" s="81" t="str">
        <f>IFERROR(INDEX('Cost_Components'!$U$2:$U$27,MATCH(E444,'Cost_Components'!$A$2:$A$27,0)),"")</f>
      </c>
      <c r="AB444" s="82" t="str">
        <f>IFERROR(INDEX('Cost_Components'!$V$2:$V$27,MATCH(E444,'Cost_Components'!$A$2:$A$27,0)),"")</f>
      </c>
      <c r="AC444" s="83" t="str">
        <f>IFERROR(INDEX('Cost_Components'!$M$2:$M$27,MATCH(E444,'Cost_Components'!$A$2:$A$27,0)),"")</f>
      </c>
      <c r="AD444" s="84" t="str">
        <f>IFERROR(INDEX('Cost_Components'!$N$2:$N$27,MATCH(E444,'Cost_Components'!$A$2:$A$27,0)),"")</f>
      </c>
      <c r="AE444" s="20" t="str">
        <f>IFERROR(INDEX('Cost_Components'!$O$2:$O$27,MATCH(E444,'Cost_Components'!$A$2:$A$27,0)),"")</f>
      </c>
      <c r="AF444" s="85" t="n">
        <v>779808.55886986</v>
      </c>
      <c r="AG444" s="86" t="n">
        <v>779783.393080781</v>
      </c>
      <c r="AH444" s="87" t="str">
        <f>IF(H444="shared-count-once",COUNTIFS($A$2:$A$1353,A444,$B$2:$B$1353,B444,$E$2:$E$1353,E444),1)</f>
      </c>
    </row>
    <row r="445">
      <c r="A445" t="s">
        <v>208</v>
      </c>
      <c r="B445" s="59" t="n">
        <v>2026</v>
      </c>
      <c r="C445" t="s">
        <v>208</v>
      </c>
      <c r="D445" t="s">
        <v>212</v>
      </c>
      <c r="E445" s="60" t="s">
        <v>303</v>
      </c>
      <c r="F445" s="61" t="s">
        <v>304</v>
      </c>
      <c r="G445" s="62" t="s">
        <v>209</v>
      </c>
      <c r="H445" s="63" t="s">
        <v>195</v>
      </c>
      <c r="I445" s="64" t="s">
        <v>267</v>
      </c>
      <c r="J445" s="65" t="str">
        <f>IFERROR(INDEX('Cost_Components'!$K$2:$K$27,MATCH(E445,'Cost_Components'!$A$2:$A$27,0)),"")</f>
      </c>
      <c r="K445" s="66" t="str">
        <f>IF(OR(L445="",Z445="",AA445="",AB445=""),"",IF(B445&lt;AA445,L445,IF(B445&gt;AB445,Z445,L445+(Z445-L445)*MIN(MAX((B445-AA445+1)/MAX(AB445-AA445+1,1),0),1))))</f>
      </c>
      <c r="L445" s="67" t="str">
        <f>IFERROR(INDEX('Cost_Components'!$S$2:$S$27,MATCH(E445,'Cost_Components'!$A$2:$A$27,0)),"")</f>
      </c>
      <c r="M445" s="68" t="str">
        <f>IFERROR(INDEX('Cost_Components'!$L$2:$L$27,MATCH(E445,'Cost_Components'!$A$2:$A$27,0)),"")</f>
      </c>
      <c r="N445" s="69" t="str">
        <f>IFERROR(INDEX('Cost_Components'!$P$2:$P$27,MATCH(E445,'Cost_Components'!$A$2:$A$27,0)),"")</f>
      </c>
      <c r="O445" s="70" t="str">
        <f>AF445*J445</f>
      </c>
      <c r="P445" s="71" t="str">
        <f>AG445*J445</f>
      </c>
      <c r="Q445" s="72" t="str">
        <f>P445*L445*M445*N445</f>
      </c>
      <c r="R445" s="73" t="str">
        <f>O445*K445*M445*N445</f>
      </c>
      <c r="S445" s="74" t="str">
        <f>R445-Q445</f>
      </c>
      <c r="T445" s="20" t="str">
        <f>IFERROR(INDEX('Cost_Components'!$R$2:$R$27,MATCH(E445,'Cost_Components'!$A$2:$A$27,0)),"")</f>
      </c>
      <c r="U445" s="75" t="str">
        <f>IFERROR(INDEX('Cost_Components'!$Q$2:$Q$27,MATCH(E445,'Cost_Components'!$A$2:$A$27,0)),"")</f>
      </c>
      <c r="V445" s="76" t="str">
        <f>1/(1+'Calculation_Assumptions'!$B$5)^(B445-'Calculation_Assumptions'!$B$2)</f>
      </c>
      <c r="W445" s="77" t="str">
        <f>Q445*V445</f>
      </c>
      <c r="X445" s="78" t="str">
        <f>R445*V445</f>
      </c>
      <c r="Y445" s="79" t="str">
        <f>S445*V445</f>
      </c>
      <c r="Z445" s="80" t="str">
        <f>IFERROR(INDEX('Cost_Components'!$T$2:$T$27,MATCH(E445,'Cost_Components'!$A$2:$A$27,0)),"")</f>
      </c>
      <c r="AA445" s="81" t="str">
        <f>IFERROR(INDEX('Cost_Components'!$U$2:$U$27,MATCH(E445,'Cost_Components'!$A$2:$A$27,0)),"")</f>
      </c>
      <c r="AB445" s="82" t="str">
        <f>IFERROR(INDEX('Cost_Components'!$V$2:$V$27,MATCH(E445,'Cost_Components'!$A$2:$A$27,0)),"")</f>
      </c>
      <c r="AC445" s="83" t="str">
        <f>IFERROR(INDEX('Cost_Components'!$M$2:$M$27,MATCH(E445,'Cost_Components'!$A$2:$A$27,0)),"")</f>
      </c>
      <c r="AD445" s="84" t="str">
        <f>IFERROR(INDEX('Cost_Components'!$N$2:$N$27,MATCH(E445,'Cost_Components'!$A$2:$A$27,0)),"")</f>
      </c>
      <c r="AE445" s="20" t="str">
        <f>IFERROR(INDEX('Cost_Components'!$O$2:$O$27,MATCH(E445,'Cost_Components'!$A$2:$A$27,0)),"")</f>
      </c>
      <c r="AF445" s="85" t="n">
        <v>780112.278042872</v>
      </c>
      <c r="AG445" s="86" t="n">
        <v>780040.473687521</v>
      </c>
      <c r="AH445" s="87" t="str">
        <f>IF(H445="shared-count-once",COUNTIFS($A$2:$A$1353,A445,$B$2:$B$1353,B445,$E$2:$E$1353,E445),1)</f>
      </c>
    </row>
    <row r="446">
      <c r="A446" t="s">
        <v>208</v>
      </c>
      <c r="B446" s="59" t="n">
        <v>2027</v>
      </c>
      <c r="C446" t="s">
        <v>208</v>
      </c>
      <c r="D446" t="s">
        <v>212</v>
      </c>
      <c r="E446" s="60" t="s">
        <v>303</v>
      </c>
      <c r="F446" s="61" t="s">
        <v>304</v>
      </c>
      <c r="G446" s="62" t="s">
        <v>209</v>
      </c>
      <c r="H446" s="63" t="s">
        <v>195</v>
      </c>
      <c r="I446" s="64" t="s">
        <v>267</v>
      </c>
      <c r="J446" s="65" t="str">
        <f>IFERROR(INDEX('Cost_Components'!$K$2:$K$27,MATCH(E446,'Cost_Components'!$A$2:$A$27,0)),"")</f>
      </c>
      <c r="K446" s="66" t="str">
        <f>IF(OR(L446="",Z446="",AA446="",AB446=""),"",IF(B446&lt;AA446,L446,IF(B446&gt;AB446,Z446,L446+(Z446-L446)*MIN(MAX((B446-AA446+1)/MAX(AB446-AA446+1,1),0),1))))</f>
      </c>
      <c r="L446" s="67" t="str">
        <f>IFERROR(INDEX('Cost_Components'!$S$2:$S$27,MATCH(E446,'Cost_Components'!$A$2:$A$27,0)),"")</f>
      </c>
      <c r="M446" s="68" t="str">
        <f>IFERROR(INDEX('Cost_Components'!$L$2:$L$27,MATCH(E446,'Cost_Components'!$A$2:$A$27,0)),"")</f>
      </c>
      <c r="N446" s="69" t="str">
        <f>IFERROR(INDEX('Cost_Components'!$P$2:$P$27,MATCH(E446,'Cost_Components'!$A$2:$A$27,0)),"")</f>
      </c>
      <c r="O446" s="70" t="str">
        <f>AF446*J446</f>
      </c>
      <c r="P446" s="71" t="str">
        <f>AG446*J446</f>
      </c>
      <c r="Q446" s="72" t="str">
        <f>P446*L446*M446*N446</f>
      </c>
      <c r="R446" s="73" t="str">
        <f>O446*K446*M446*N446</f>
      </c>
      <c r="S446" s="74" t="str">
        <f>R446-Q446</f>
      </c>
      <c r="T446" s="20" t="str">
        <f>IFERROR(INDEX('Cost_Components'!$R$2:$R$27,MATCH(E446,'Cost_Components'!$A$2:$A$27,0)),"")</f>
      </c>
      <c r="U446" s="75" t="str">
        <f>IFERROR(INDEX('Cost_Components'!$Q$2:$Q$27,MATCH(E446,'Cost_Components'!$A$2:$A$27,0)),"")</f>
      </c>
      <c r="V446" s="76" t="str">
        <f>1/(1+'Calculation_Assumptions'!$B$5)^(B446-'Calculation_Assumptions'!$B$2)</f>
      </c>
      <c r="W446" s="77" t="str">
        <f>Q446*V446</f>
      </c>
      <c r="X446" s="78" t="str">
        <f>R446*V446</f>
      </c>
      <c r="Y446" s="79" t="str">
        <f>S446*V446</f>
      </c>
      <c r="Z446" s="80" t="str">
        <f>IFERROR(INDEX('Cost_Components'!$T$2:$T$27,MATCH(E446,'Cost_Components'!$A$2:$A$27,0)),"")</f>
      </c>
      <c r="AA446" s="81" t="str">
        <f>IFERROR(INDEX('Cost_Components'!$U$2:$U$27,MATCH(E446,'Cost_Components'!$A$2:$A$27,0)),"")</f>
      </c>
      <c r="AB446" s="82" t="str">
        <f>IFERROR(INDEX('Cost_Components'!$V$2:$V$27,MATCH(E446,'Cost_Components'!$A$2:$A$27,0)),"")</f>
      </c>
      <c r="AC446" s="83" t="str">
        <f>IFERROR(INDEX('Cost_Components'!$M$2:$M$27,MATCH(E446,'Cost_Components'!$A$2:$A$27,0)),"")</f>
      </c>
      <c r="AD446" s="84" t="str">
        <f>IFERROR(INDEX('Cost_Components'!$N$2:$N$27,MATCH(E446,'Cost_Components'!$A$2:$A$27,0)),"")</f>
      </c>
      <c r="AE446" s="20" t="str">
        <f>IFERROR(INDEX('Cost_Components'!$O$2:$O$27,MATCH(E446,'Cost_Components'!$A$2:$A$27,0)),"")</f>
      </c>
      <c r="AF446" s="85" t="n">
        <v>781930.121372517</v>
      </c>
      <c r="AG446" s="86" t="n">
        <v>781793.224118119</v>
      </c>
      <c r="AH446" s="87" t="str">
        <f>IF(H446="shared-count-once",COUNTIFS($A$2:$A$1353,A446,$B$2:$B$1353,B446,$E$2:$E$1353,E446),1)</f>
      </c>
    </row>
    <row r="447">
      <c r="A447" t="s">
        <v>208</v>
      </c>
      <c r="B447" s="59" t="n">
        <v>2028</v>
      </c>
      <c r="C447" t="s">
        <v>208</v>
      </c>
      <c r="D447" t="s">
        <v>212</v>
      </c>
      <c r="E447" s="60" t="s">
        <v>303</v>
      </c>
      <c r="F447" s="61" t="s">
        <v>304</v>
      </c>
      <c r="G447" s="62" t="s">
        <v>209</v>
      </c>
      <c r="H447" s="63" t="s">
        <v>195</v>
      </c>
      <c r="I447" s="64" t="s">
        <v>267</v>
      </c>
      <c r="J447" s="65" t="str">
        <f>IFERROR(INDEX('Cost_Components'!$K$2:$K$27,MATCH(E447,'Cost_Components'!$A$2:$A$27,0)),"")</f>
      </c>
      <c r="K447" s="66" t="str">
        <f>IF(OR(L447="",Z447="",AA447="",AB447=""),"",IF(B447&lt;AA447,L447,IF(B447&gt;AB447,Z447,L447+(Z447-L447)*MIN(MAX((B447-AA447+1)/MAX(AB447-AA447+1,1),0),1))))</f>
      </c>
      <c r="L447" s="67" t="str">
        <f>IFERROR(INDEX('Cost_Components'!$S$2:$S$27,MATCH(E447,'Cost_Components'!$A$2:$A$27,0)),"")</f>
      </c>
      <c r="M447" s="68" t="str">
        <f>IFERROR(INDEX('Cost_Components'!$L$2:$L$27,MATCH(E447,'Cost_Components'!$A$2:$A$27,0)),"")</f>
      </c>
      <c r="N447" s="69" t="str">
        <f>IFERROR(INDEX('Cost_Components'!$P$2:$P$27,MATCH(E447,'Cost_Components'!$A$2:$A$27,0)),"")</f>
      </c>
      <c r="O447" s="70" t="str">
        <f>AF447*J447</f>
      </c>
      <c r="P447" s="71" t="str">
        <f>AG447*J447</f>
      </c>
      <c r="Q447" s="72" t="str">
        <f>P447*L447*M447*N447</f>
      </c>
      <c r="R447" s="73" t="str">
        <f>O447*K447*M447*N447</f>
      </c>
      <c r="S447" s="74" t="str">
        <f>R447-Q447</f>
      </c>
      <c r="T447" s="20" t="str">
        <f>IFERROR(INDEX('Cost_Components'!$R$2:$R$27,MATCH(E447,'Cost_Components'!$A$2:$A$27,0)),"")</f>
      </c>
      <c r="U447" s="75" t="str">
        <f>IFERROR(INDEX('Cost_Components'!$Q$2:$Q$27,MATCH(E447,'Cost_Components'!$A$2:$A$27,0)),"")</f>
      </c>
      <c r="V447" s="76" t="str">
        <f>1/(1+'Calculation_Assumptions'!$B$5)^(B447-'Calculation_Assumptions'!$B$2)</f>
      </c>
      <c r="W447" s="77" t="str">
        <f>Q447*V447</f>
      </c>
      <c r="X447" s="78" t="str">
        <f>R447*V447</f>
      </c>
      <c r="Y447" s="79" t="str">
        <f>S447*V447</f>
      </c>
      <c r="Z447" s="80" t="str">
        <f>IFERROR(INDEX('Cost_Components'!$T$2:$T$27,MATCH(E447,'Cost_Components'!$A$2:$A$27,0)),"")</f>
      </c>
      <c r="AA447" s="81" t="str">
        <f>IFERROR(INDEX('Cost_Components'!$U$2:$U$27,MATCH(E447,'Cost_Components'!$A$2:$A$27,0)),"")</f>
      </c>
      <c r="AB447" s="82" t="str">
        <f>IFERROR(INDEX('Cost_Components'!$V$2:$V$27,MATCH(E447,'Cost_Components'!$A$2:$A$27,0)),"")</f>
      </c>
      <c r="AC447" s="83" t="str">
        <f>IFERROR(INDEX('Cost_Components'!$M$2:$M$27,MATCH(E447,'Cost_Components'!$A$2:$A$27,0)),"")</f>
      </c>
      <c r="AD447" s="84" t="str">
        <f>IFERROR(INDEX('Cost_Components'!$N$2:$N$27,MATCH(E447,'Cost_Components'!$A$2:$A$27,0)),"")</f>
      </c>
      <c r="AE447" s="20" t="str">
        <f>IFERROR(INDEX('Cost_Components'!$O$2:$O$27,MATCH(E447,'Cost_Components'!$A$2:$A$27,0)),"")</f>
      </c>
      <c r="AF447" s="85" t="n">
        <v>783449.241092326</v>
      </c>
      <c r="AG447" s="86" t="n">
        <v>783231.313089594</v>
      </c>
      <c r="AH447" s="87" t="str">
        <f>IF(H447="shared-count-once",COUNTIFS($A$2:$A$1353,A447,$B$2:$B$1353,B447,$E$2:$E$1353,E447),1)</f>
      </c>
    </row>
    <row r="448">
      <c r="A448" t="s">
        <v>208</v>
      </c>
      <c r="B448" s="59" t="n">
        <v>2029</v>
      </c>
      <c r="C448" t="s">
        <v>208</v>
      </c>
      <c r="D448" t="s">
        <v>212</v>
      </c>
      <c r="E448" s="60" t="s">
        <v>303</v>
      </c>
      <c r="F448" s="61" t="s">
        <v>304</v>
      </c>
      <c r="G448" s="62" t="s">
        <v>209</v>
      </c>
      <c r="H448" s="63" t="s">
        <v>195</v>
      </c>
      <c r="I448" s="64" t="s">
        <v>267</v>
      </c>
      <c r="J448" s="65" t="str">
        <f>IFERROR(INDEX('Cost_Components'!$K$2:$K$27,MATCH(E448,'Cost_Components'!$A$2:$A$27,0)),"")</f>
      </c>
      <c r="K448" s="66" t="str">
        <f>IF(OR(L448="",Z448="",AA448="",AB448=""),"",IF(B448&lt;AA448,L448,IF(B448&gt;AB448,Z448,L448+(Z448-L448)*MIN(MAX((B448-AA448+1)/MAX(AB448-AA448+1,1),0),1))))</f>
      </c>
      <c r="L448" s="67" t="str">
        <f>IFERROR(INDEX('Cost_Components'!$S$2:$S$27,MATCH(E448,'Cost_Components'!$A$2:$A$27,0)),"")</f>
      </c>
      <c r="M448" s="68" t="str">
        <f>IFERROR(INDEX('Cost_Components'!$L$2:$L$27,MATCH(E448,'Cost_Components'!$A$2:$A$27,0)),"")</f>
      </c>
      <c r="N448" s="69" t="str">
        <f>IFERROR(INDEX('Cost_Components'!$P$2:$P$27,MATCH(E448,'Cost_Components'!$A$2:$A$27,0)),"")</f>
      </c>
      <c r="O448" s="70" t="str">
        <f>AF448*J448</f>
      </c>
      <c r="P448" s="71" t="str">
        <f>AG448*J448</f>
      </c>
      <c r="Q448" s="72" t="str">
        <f>P448*L448*M448*N448</f>
      </c>
      <c r="R448" s="73" t="str">
        <f>O448*K448*M448*N448</f>
      </c>
      <c r="S448" s="74" t="str">
        <f>R448-Q448</f>
      </c>
      <c r="T448" s="20" t="str">
        <f>IFERROR(INDEX('Cost_Components'!$R$2:$R$27,MATCH(E448,'Cost_Components'!$A$2:$A$27,0)),"")</f>
      </c>
      <c r="U448" s="75" t="str">
        <f>IFERROR(INDEX('Cost_Components'!$Q$2:$Q$27,MATCH(E448,'Cost_Components'!$A$2:$A$27,0)),"")</f>
      </c>
      <c r="V448" s="76" t="str">
        <f>1/(1+'Calculation_Assumptions'!$B$5)^(B448-'Calculation_Assumptions'!$B$2)</f>
      </c>
      <c r="W448" s="77" t="str">
        <f>Q448*V448</f>
      </c>
      <c r="X448" s="78" t="str">
        <f>R448*V448</f>
      </c>
      <c r="Y448" s="79" t="str">
        <f>S448*V448</f>
      </c>
      <c r="Z448" s="80" t="str">
        <f>IFERROR(INDEX('Cost_Components'!$T$2:$T$27,MATCH(E448,'Cost_Components'!$A$2:$A$27,0)),"")</f>
      </c>
      <c r="AA448" s="81" t="str">
        <f>IFERROR(INDEX('Cost_Components'!$U$2:$U$27,MATCH(E448,'Cost_Components'!$A$2:$A$27,0)),"")</f>
      </c>
      <c r="AB448" s="82" t="str">
        <f>IFERROR(INDEX('Cost_Components'!$V$2:$V$27,MATCH(E448,'Cost_Components'!$A$2:$A$27,0)),"")</f>
      </c>
      <c r="AC448" s="83" t="str">
        <f>IFERROR(INDEX('Cost_Components'!$M$2:$M$27,MATCH(E448,'Cost_Components'!$A$2:$A$27,0)),"")</f>
      </c>
      <c r="AD448" s="84" t="str">
        <f>IFERROR(INDEX('Cost_Components'!$N$2:$N$27,MATCH(E448,'Cost_Components'!$A$2:$A$27,0)),"")</f>
      </c>
      <c r="AE448" s="20" t="str">
        <f>IFERROR(INDEX('Cost_Components'!$O$2:$O$27,MATCH(E448,'Cost_Components'!$A$2:$A$27,0)),"")</f>
      </c>
      <c r="AF448" s="85" t="n">
        <v>784546.252397195</v>
      </c>
      <c r="AG448" s="86" t="n">
        <v>784232.620093967</v>
      </c>
      <c r="AH448" s="87" t="str">
        <f>IF(H448="shared-count-once",COUNTIFS($A$2:$A$1353,A448,$B$2:$B$1353,B448,$E$2:$E$1353,E448),1)</f>
      </c>
    </row>
    <row r="449">
      <c r="A449" t="s">
        <v>208</v>
      </c>
      <c r="B449" s="59" t="n">
        <v>2030</v>
      </c>
      <c r="C449" t="s">
        <v>208</v>
      </c>
      <c r="D449" t="s">
        <v>212</v>
      </c>
      <c r="E449" s="60" t="s">
        <v>303</v>
      </c>
      <c r="F449" s="61" t="s">
        <v>304</v>
      </c>
      <c r="G449" s="62" t="s">
        <v>209</v>
      </c>
      <c r="H449" s="63" t="s">
        <v>195</v>
      </c>
      <c r="I449" s="64" t="s">
        <v>267</v>
      </c>
      <c r="J449" s="65" t="str">
        <f>IFERROR(INDEX('Cost_Components'!$K$2:$K$27,MATCH(E449,'Cost_Components'!$A$2:$A$27,0)),"")</f>
      </c>
      <c r="K449" s="66" t="str">
        <f>IF(OR(L449="",Z449="",AA449="",AB449=""),"",IF(B449&lt;AA449,L449,IF(B449&gt;AB449,Z449,L449+(Z449-L449)*MIN(MAX((B449-AA449+1)/MAX(AB449-AA449+1,1),0),1))))</f>
      </c>
      <c r="L449" s="67" t="str">
        <f>IFERROR(INDEX('Cost_Components'!$S$2:$S$27,MATCH(E449,'Cost_Components'!$A$2:$A$27,0)),"")</f>
      </c>
      <c r="M449" s="68" t="str">
        <f>IFERROR(INDEX('Cost_Components'!$L$2:$L$27,MATCH(E449,'Cost_Components'!$A$2:$A$27,0)),"")</f>
      </c>
      <c r="N449" s="69" t="str">
        <f>IFERROR(INDEX('Cost_Components'!$P$2:$P$27,MATCH(E449,'Cost_Components'!$A$2:$A$27,0)),"")</f>
      </c>
      <c r="O449" s="70" t="str">
        <f>AF449*J449</f>
      </c>
      <c r="P449" s="71" t="str">
        <f>AG449*J449</f>
      </c>
      <c r="Q449" s="72" t="str">
        <f>P449*L449*M449*N449</f>
      </c>
      <c r="R449" s="73" t="str">
        <f>O449*K449*M449*N449</f>
      </c>
      <c r="S449" s="74" t="str">
        <f>R449-Q449</f>
      </c>
      <c r="T449" s="20" t="str">
        <f>IFERROR(INDEX('Cost_Components'!$R$2:$R$27,MATCH(E449,'Cost_Components'!$A$2:$A$27,0)),"")</f>
      </c>
      <c r="U449" s="75" t="str">
        <f>IFERROR(INDEX('Cost_Components'!$Q$2:$Q$27,MATCH(E449,'Cost_Components'!$A$2:$A$27,0)),"")</f>
      </c>
      <c r="V449" s="76" t="str">
        <f>1/(1+'Calculation_Assumptions'!$B$5)^(B449-'Calculation_Assumptions'!$B$2)</f>
      </c>
      <c r="W449" s="77" t="str">
        <f>Q449*V449</f>
      </c>
      <c r="X449" s="78" t="str">
        <f>R449*V449</f>
      </c>
      <c r="Y449" s="79" t="str">
        <f>S449*V449</f>
      </c>
      <c r="Z449" s="80" t="str">
        <f>IFERROR(INDEX('Cost_Components'!$T$2:$T$27,MATCH(E449,'Cost_Components'!$A$2:$A$27,0)),"")</f>
      </c>
      <c r="AA449" s="81" t="str">
        <f>IFERROR(INDEX('Cost_Components'!$U$2:$U$27,MATCH(E449,'Cost_Components'!$A$2:$A$27,0)),"")</f>
      </c>
      <c r="AB449" s="82" t="str">
        <f>IFERROR(INDEX('Cost_Components'!$V$2:$V$27,MATCH(E449,'Cost_Components'!$A$2:$A$27,0)),"")</f>
      </c>
      <c r="AC449" s="83" t="str">
        <f>IFERROR(INDEX('Cost_Components'!$M$2:$M$27,MATCH(E449,'Cost_Components'!$A$2:$A$27,0)),"")</f>
      </c>
      <c r="AD449" s="84" t="str">
        <f>IFERROR(INDEX('Cost_Components'!$N$2:$N$27,MATCH(E449,'Cost_Components'!$A$2:$A$27,0)),"")</f>
      </c>
      <c r="AE449" s="20" t="str">
        <f>IFERROR(INDEX('Cost_Components'!$O$2:$O$27,MATCH(E449,'Cost_Components'!$A$2:$A$27,0)),"")</f>
      </c>
      <c r="AF449" s="85" t="n">
        <v>786271.155035065</v>
      </c>
      <c r="AG449" s="86" t="n">
        <v>785851.071188409</v>
      </c>
      <c r="AH449" s="87" t="str">
        <f>IF(H449="shared-count-once",COUNTIFS($A$2:$A$1353,A449,$B$2:$B$1353,B449,$E$2:$E$1353,E449),1)</f>
      </c>
    </row>
    <row r="450">
      <c r="A450" t="s">
        <v>208</v>
      </c>
      <c r="B450" s="59" t="n">
        <v>2031</v>
      </c>
      <c r="C450" t="s">
        <v>208</v>
      </c>
      <c r="D450" t="s">
        <v>212</v>
      </c>
      <c r="E450" s="60" t="s">
        <v>303</v>
      </c>
      <c r="F450" s="61" t="s">
        <v>304</v>
      </c>
      <c r="G450" s="62" t="s">
        <v>209</v>
      </c>
      <c r="H450" s="63" t="s">
        <v>195</v>
      </c>
      <c r="I450" s="64" t="s">
        <v>267</v>
      </c>
      <c r="J450" s="65" t="str">
        <f>IFERROR(INDEX('Cost_Components'!$K$2:$K$27,MATCH(E450,'Cost_Components'!$A$2:$A$27,0)),"")</f>
      </c>
      <c r="K450" s="66" t="str">
        <f>IF(OR(L450="",Z450="",AA450="",AB450=""),"",IF(B450&lt;AA450,L450,IF(B450&gt;AB450,Z450,L450+(Z450-L450)*MIN(MAX((B450-AA450+1)/MAX(AB450-AA450+1,1),0),1))))</f>
      </c>
      <c r="L450" s="67" t="str">
        <f>IFERROR(INDEX('Cost_Components'!$S$2:$S$27,MATCH(E450,'Cost_Components'!$A$2:$A$27,0)),"")</f>
      </c>
      <c r="M450" s="68" t="str">
        <f>IFERROR(INDEX('Cost_Components'!$L$2:$L$27,MATCH(E450,'Cost_Components'!$A$2:$A$27,0)),"")</f>
      </c>
      <c r="N450" s="69" t="str">
        <f>IFERROR(INDEX('Cost_Components'!$P$2:$P$27,MATCH(E450,'Cost_Components'!$A$2:$A$27,0)),"")</f>
      </c>
      <c r="O450" s="70" t="str">
        <f>AF450*J450</f>
      </c>
      <c r="P450" s="71" t="str">
        <f>AG450*J450</f>
      </c>
      <c r="Q450" s="72" t="str">
        <f>P450*L450*M450*N450</f>
      </c>
      <c r="R450" s="73" t="str">
        <f>O450*K450*M450*N450</f>
      </c>
      <c r="S450" s="74" t="str">
        <f>R450-Q450</f>
      </c>
      <c r="T450" s="20" t="str">
        <f>IFERROR(INDEX('Cost_Components'!$R$2:$R$27,MATCH(E450,'Cost_Components'!$A$2:$A$27,0)),"")</f>
      </c>
      <c r="U450" s="75" t="str">
        <f>IFERROR(INDEX('Cost_Components'!$Q$2:$Q$27,MATCH(E450,'Cost_Components'!$A$2:$A$27,0)),"")</f>
      </c>
      <c r="V450" s="76" t="str">
        <f>1/(1+'Calculation_Assumptions'!$B$5)^(B450-'Calculation_Assumptions'!$B$2)</f>
      </c>
      <c r="W450" s="77" t="str">
        <f>Q450*V450</f>
      </c>
      <c r="X450" s="78" t="str">
        <f>R450*V450</f>
      </c>
      <c r="Y450" s="79" t="str">
        <f>S450*V450</f>
      </c>
      <c r="Z450" s="80" t="str">
        <f>IFERROR(INDEX('Cost_Components'!$T$2:$T$27,MATCH(E450,'Cost_Components'!$A$2:$A$27,0)),"")</f>
      </c>
      <c r="AA450" s="81" t="str">
        <f>IFERROR(INDEX('Cost_Components'!$U$2:$U$27,MATCH(E450,'Cost_Components'!$A$2:$A$27,0)),"")</f>
      </c>
      <c r="AB450" s="82" t="str">
        <f>IFERROR(INDEX('Cost_Components'!$V$2:$V$27,MATCH(E450,'Cost_Components'!$A$2:$A$27,0)),"")</f>
      </c>
      <c r="AC450" s="83" t="str">
        <f>IFERROR(INDEX('Cost_Components'!$M$2:$M$27,MATCH(E450,'Cost_Components'!$A$2:$A$27,0)),"")</f>
      </c>
      <c r="AD450" s="84" t="str">
        <f>IFERROR(INDEX('Cost_Components'!$N$2:$N$27,MATCH(E450,'Cost_Components'!$A$2:$A$27,0)),"")</f>
      </c>
      <c r="AE450" s="20" t="str">
        <f>IFERROR(INDEX('Cost_Components'!$O$2:$O$27,MATCH(E450,'Cost_Components'!$A$2:$A$27,0)),"")</f>
      </c>
      <c r="AF450" s="85" t="n">
        <v>789194.860835147</v>
      </c>
      <c r="AG450" s="86" t="n">
        <v>788657.972568027</v>
      </c>
      <c r="AH450" s="87" t="str">
        <f>IF(H450="shared-count-once",COUNTIFS($A$2:$A$1353,A450,$B$2:$B$1353,B450,$E$2:$E$1353,E450),1)</f>
      </c>
    </row>
    <row r="451">
      <c r="A451" t="s">
        <v>208</v>
      </c>
      <c r="B451" s="59" t="n">
        <v>2032</v>
      </c>
      <c r="C451" t="s">
        <v>208</v>
      </c>
      <c r="D451" t="s">
        <v>212</v>
      </c>
      <c r="E451" s="60" t="s">
        <v>303</v>
      </c>
      <c r="F451" s="61" t="s">
        <v>304</v>
      </c>
      <c r="G451" s="62" t="s">
        <v>209</v>
      </c>
      <c r="H451" s="63" t="s">
        <v>195</v>
      </c>
      <c r="I451" s="64" t="s">
        <v>267</v>
      </c>
      <c r="J451" s="65" t="str">
        <f>IFERROR(INDEX('Cost_Components'!$K$2:$K$27,MATCH(E451,'Cost_Components'!$A$2:$A$27,0)),"")</f>
      </c>
      <c r="K451" s="66" t="str">
        <f>IF(OR(L451="",Z451="",AA451="",AB451=""),"",IF(B451&lt;AA451,L451,IF(B451&gt;AB451,Z451,L451+(Z451-L451)*MIN(MAX((B451-AA451+1)/MAX(AB451-AA451+1,1),0),1))))</f>
      </c>
      <c r="L451" s="67" t="str">
        <f>IFERROR(INDEX('Cost_Components'!$S$2:$S$27,MATCH(E451,'Cost_Components'!$A$2:$A$27,0)),"")</f>
      </c>
      <c r="M451" s="68" t="str">
        <f>IFERROR(INDEX('Cost_Components'!$L$2:$L$27,MATCH(E451,'Cost_Components'!$A$2:$A$27,0)),"")</f>
      </c>
      <c r="N451" s="69" t="str">
        <f>IFERROR(INDEX('Cost_Components'!$P$2:$P$27,MATCH(E451,'Cost_Components'!$A$2:$A$27,0)),"")</f>
      </c>
      <c r="O451" s="70" t="str">
        <f>AF451*J451</f>
      </c>
      <c r="P451" s="71" t="str">
        <f>AG451*J451</f>
      </c>
      <c r="Q451" s="72" t="str">
        <f>P451*L451*M451*N451</f>
      </c>
      <c r="R451" s="73" t="str">
        <f>O451*K451*M451*N451</f>
      </c>
      <c r="S451" s="74" t="str">
        <f>R451-Q451</f>
      </c>
      <c r="T451" s="20" t="str">
        <f>IFERROR(INDEX('Cost_Components'!$R$2:$R$27,MATCH(E451,'Cost_Components'!$A$2:$A$27,0)),"")</f>
      </c>
      <c r="U451" s="75" t="str">
        <f>IFERROR(INDEX('Cost_Components'!$Q$2:$Q$27,MATCH(E451,'Cost_Components'!$A$2:$A$27,0)),"")</f>
      </c>
      <c r="V451" s="76" t="str">
        <f>1/(1+'Calculation_Assumptions'!$B$5)^(B451-'Calculation_Assumptions'!$B$2)</f>
      </c>
      <c r="W451" s="77" t="str">
        <f>Q451*V451</f>
      </c>
      <c r="X451" s="78" t="str">
        <f>R451*V451</f>
      </c>
      <c r="Y451" s="79" t="str">
        <f>S451*V451</f>
      </c>
      <c r="Z451" s="80" t="str">
        <f>IFERROR(INDEX('Cost_Components'!$T$2:$T$27,MATCH(E451,'Cost_Components'!$A$2:$A$27,0)),"")</f>
      </c>
      <c r="AA451" s="81" t="str">
        <f>IFERROR(INDEX('Cost_Components'!$U$2:$U$27,MATCH(E451,'Cost_Components'!$A$2:$A$27,0)),"")</f>
      </c>
      <c r="AB451" s="82" t="str">
        <f>IFERROR(INDEX('Cost_Components'!$V$2:$V$27,MATCH(E451,'Cost_Components'!$A$2:$A$27,0)),"")</f>
      </c>
      <c r="AC451" s="83" t="str">
        <f>IFERROR(INDEX('Cost_Components'!$M$2:$M$27,MATCH(E451,'Cost_Components'!$A$2:$A$27,0)),"")</f>
      </c>
      <c r="AD451" s="84" t="str">
        <f>IFERROR(INDEX('Cost_Components'!$N$2:$N$27,MATCH(E451,'Cost_Components'!$A$2:$A$27,0)),"")</f>
      </c>
      <c r="AE451" s="20" t="str">
        <f>IFERROR(INDEX('Cost_Components'!$O$2:$O$27,MATCH(E451,'Cost_Components'!$A$2:$A$27,0)),"")</f>
      </c>
      <c r="AF451" s="85" t="n">
        <v>792915.752365259</v>
      </c>
      <c r="AG451" s="86" t="n">
        <v>792252.163195315</v>
      </c>
      <c r="AH451" s="87" t="str">
        <f>IF(H451="shared-count-once",COUNTIFS($A$2:$A$1353,A451,$B$2:$B$1353,B451,$E$2:$E$1353,E451),1)</f>
      </c>
    </row>
    <row r="452">
      <c r="A452" t="s">
        <v>208</v>
      </c>
      <c r="B452" s="59" t="n">
        <v>2033</v>
      </c>
      <c r="C452" t="s">
        <v>208</v>
      </c>
      <c r="D452" t="s">
        <v>212</v>
      </c>
      <c r="E452" s="60" t="s">
        <v>303</v>
      </c>
      <c r="F452" s="61" t="s">
        <v>304</v>
      </c>
      <c r="G452" s="62" t="s">
        <v>209</v>
      </c>
      <c r="H452" s="63" t="s">
        <v>195</v>
      </c>
      <c r="I452" s="64" t="s">
        <v>267</v>
      </c>
      <c r="J452" s="65" t="str">
        <f>IFERROR(INDEX('Cost_Components'!$K$2:$K$27,MATCH(E452,'Cost_Components'!$A$2:$A$27,0)),"")</f>
      </c>
      <c r="K452" s="66" t="str">
        <f>IF(OR(L452="",Z452="",AA452="",AB452=""),"",IF(B452&lt;AA452,L452,IF(B452&gt;AB452,Z452,L452+(Z452-L452)*MIN(MAX((B452-AA452+1)/MAX(AB452-AA452+1,1),0),1))))</f>
      </c>
      <c r="L452" s="67" t="str">
        <f>IFERROR(INDEX('Cost_Components'!$S$2:$S$27,MATCH(E452,'Cost_Components'!$A$2:$A$27,0)),"")</f>
      </c>
      <c r="M452" s="68" t="str">
        <f>IFERROR(INDEX('Cost_Components'!$L$2:$L$27,MATCH(E452,'Cost_Components'!$A$2:$A$27,0)),"")</f>
      </c>
      <c r="N452" s="69" t="str">
        <f>IFERROR(INDEX('Cost_Components'!$P$2:$P$27,MATCH(E452,'Cost_Components'!$A$2:$A$27,0)),"")</f>
      </c>
      <c r="O452" s="70" t="str">
        <f>AF452*J452</f>
      </c>
      <c r="P452" s="71" t="str">
        <f>AG452*J452</f>
      </c>
      <c r="Q452" s="72" t="str">
        <f>P452*L452*M452*N452</f>
      </c>
      <c r="R452" s="73" t="str">
        <f>O452*K452*M452*N452</f>
      </c>
      <c r="S452" s="74" t="str">
        <f>R452-Q452</f>
      </c>
      <c r="T452" s="20" t="str">
        <f>IFERROR(INDEX('Cost_Components'!$R$2:$R$27,MATCH(E452,'Cost_Components'!$A$2:$A$27,0)),"")</f>
      </c>
      <c r="U452" s="75" t="str">
        <f>IFERROR(INDEX('Cost_Components'!$Q$2:$Q$27,MATCH(E452,'Cost_Components'!$A$2:$A$27,0)),"")</f>
      </c>
      <c r="V452" s="76" t="str">
        <f>1/(1+'Calculation_Assumptions'!$B$5)^(B452-'Calculation_Assumptions'!$B$2)</f>
      </c>
      <c r="W452" s="77" t="str">
        <f>Q452*V452</f>
      </c>
      <c r="X452" s="78" t="str">
        <f>R452*V452</f>
      </c>
      <c r="Y452" s="79" t="str">
        <f>S452*V452</f>
      </c>
      <c r="Z452" s="80" t="str">
        <f>IFERROR(INDEX('Cost_Components'!$T$2:$T$27,MATCH(E452,'Cost_Components'!$A$2:$A$27,0)),"")</f>
      </c>
      <c r="AA452" s="81" t="str">
        <f>IFERROR(INDEX('Cost_Components'!$U$2:$U$27,MATCH(E452,'Cost_Components'!$A$2:$A$27,0)),"")</f>
      </c>
      <c r="AB452" s="82" t="str">
        <f>IFERROR(INDEX('Cost_Components'!$V$2:$V$27,MATCH(E452,'Cost_Components'!$A$2:$A$27,0)),"")</f>
      </c>
      <c r="AC452" s="83" t="str">
        <f>IFERROR(INDEX('Cost_Components'!$M$2:$M$27,MATCH(E452,'Cost_Components'!$A$2:$A$27,0)),"")</f>
      </c>
      <c r="AD452" s="84" t="str">
        <f>IFERROR(INDEX('Cost_Components'!$N$2:$N$27,MATCH(E452,'Cost_Components'!$A$2:$A$27,0)),"")</f>
      </c>
      <c r="AE452" s="20" t="str">
        <f>IFERROR(INDEX('Cost_Components'!$O$2:$O$27,MATCH(E452,'Cost_Components'!$A$2:$A$27,0)),"")</f>
      </c>
      <c r="AF452" s="85" t="n">
        <v>796228.426166534</v>
      </c>
      <c r="AG452" s="86" t="n">
        <v>795429.785850317</v>
      </c>
      <c r="AH452" s="87" t="str">
        <f>IF(H452="shared-count-once",COUNTIFS($A$2:$A$1353,A452,$B$2:$B$1353,B452,$E$2:$E$1353,E452),1)</f>
      </c>
    </row>
    <row r="453">
      <c r="A453" t="s">
        <v>208</v>
      </c>
      <c r="B453" s="59" t="n">
        <v>2034</v>
      </c>
      <c r="C453" t="s">
        <v>208</v>
      </c>
      <c r="D453" t="s">
        <v>212</v>
      </c>
      <c r="E453" s="60" t="s">
        <v>303</v>
      </c>
      <c r="F453" s="61" t="s">
        <v>304</v>
      </c>
      <c r="G453" s="62" t="s">
        <v>209</v>
      </c>
      <c r="H453" s="63" t="s">
        <v>195</v>
      </c>
      <c r="I453" s="64" t="s">
        <v>267</v>
      </c>
      <c r="J453" s="65" t="str">
        <f>IFERROR(INDEX('Cost_Components'!$K$2:$K$27,MATCH(E453,'Cost_Components'!$A$2:$A$27,0)),"")</f>
      </c>
      <c r="K453" s="66" t="str">
        <f>IF(OR(L453="",Z453="",AA453="",AB453=""),"",IF(B453&lt;AA453,L453,IF(B453&gt;AB453,Z453,L453+(Z453-L453)*MIN(MAX((B453-AA453+1)/MAX(AB453-AA453+1,1),0),1))))</f>
      </c>
      <c r="L453" s="67" t="str">
        <f>IFERROR(INDEX('Cost_Components'!$S$2:$S$27,MATCH(E453,'Cost_Components'!$A$2:$A$27,0)),"")</f>
      </c>
      <c r="M453" s="68" t="str">
        <f>IFERROR(INDEX('Cost_Components'!$L$2:$L$27,MATCH(E453,'Cost_Components'!$A$2:$A$27,0)),"")</f>
      </c>
      <c r="N453" s="69" t="str">
        <f>IFERROR(INDEX('Cost_Components'!$P$2:$P$27,MATCH(E453,'Cost_Components'!$A$2:$A$27,0)),"")</f>
      </c>
      <c r="O453" s="70" t="str">
        <f>AF453*J453</f>
      </c>
      <c r="P453" s="71" t="str">
        <f>AG453*J453</f>
      </c>
      <c r="Q453" s="72" t="str">
        <f>P453*L453*M453*N453</f>
      </c>
      <c r="R453" s="73" t="str">
        <f>O453*K453*M453*N453</f>
      </c>
      <c r="S453" s="74" t="str">
        <f>R453-Q453</f>
      </c>
      <c r="T453" s="20" t="str">
        <f>IFERROR(INDEX('Cost_Components'!$R$2:$R$27,MATCH(E453,'Cost_Components'!$A$2:$A$27,0)),"")</f>
      </c>
      <c r="U453" s="75" t="str">
        <f>IFERROR(INDEX('Cost_Components'!$Q$2:$Q$27,MATCH(E453,'Cost_Components'!$A$2:$A$27,0)),"")</f>
      </c>
      <c r="V453" s="76" t="str">
        <f>1/(1+'Calculation_Assumptions'!$B$5)^(B453-'Calculation_Assumptions'!$B$2)</f>
      </c>
      <c r="W453" s="77" t="str">
        <f>Q453*V453</f>
      </c>
      <c r="X453" s="78" t="str">
        <f>R453*V453</f>
      </c>
      <c r="Y453" s="79" t="str">
        <f>S453*V453</f>
      </c>
      <c r="Z453" s="80" t="str">
        <f>IFERROR(INDEX('Cost_Components'!$T$2:$T$27,MATCH(E453,'Cost_Components'!$A$2:$A$27,0)),"")</f>
      </c>
      <c r="AA453" s="81" t="str">
        <f>IFERROR(INDEX('Cost_Components'!$U$2:$U$27,MATCH(E453,'Cost_Components'!$A$2:$A$27,0)),"")</f>
      </c>
      <c r="AB453" s="82" t="str">
        <f>IFERROR(INDEX('Cost_Components'!$V$2:$V$27,MATCH(E453,'Cost_Components'!$A$2:$A$27,0)),"")</f>
      </c>
      <c r="AC453" s="83" t="str">
        <f>IFERROR(INDEX('Cost_Components'!$M$2:$M$27,MATCH(E453,'Cost_Components'!$A$2:$A$27,0)),"")</f>
      </c>
      <c r="AD453" s="84" t="str">
        <f>IFERROR(INDEX('Cost_Components'!$N$2:$N$27,MATCH(E453,'Cost_Components'!$A$2:$A$27,0)),"")</f>
      </c>
      <c r="AE453" s="20" t="str">
        <f>IFERROR(INDEX('Cost_Components'!$O$2:$O$27,MATCH(E453,'Cost_Components'!$A$2:$A$27,0)),"")</f>
      </c>
      <c r="AF453" s="85" t="n">
        <v>795813.464118239</v>
      </c>
      <c r="AG453" s="86" t="n">
        <v>794876.378496577</v>
      </c>
      <c r="AH453" s="87" t="str">
        <f>IF(H453="shared-count-once",COUNTIFS($A$2:$A$1353,A453,$B$2:$B$1353,B453,$E$2:$E$1353,E453),1)</f>
      </c>
    </row>
    <row r="454">
      <c r="A454" t="s">
        <v>208</v>
      </c>
      <c r="B454" s="59" t="n">
        <v>2035</v>
      </c>
      <c r="C454" t="s">
        <v>208</v>
      </c>
      <c r="D454" t="s">
        <v>212</v>
      </c>
      <c r="E454" s="60" t="s">
        <v>303</v>
      </c>
      <c r="F454" s="61" t="s">
        <v>304</v>
      </c>
      <c r="G454" s="62" t="s">
        <v>209</v>
      </c>
      <c r="H454" s="63" t="s">
        <v>195</v>
      </c>
      <c r="I454" s="64" t="s">
        <v>267</v>
      </c>
      <c r="J454" s="65" t="str">
        <f>IFERROR(INDEX('Cost_Components'!$K$2:$K$27,MATCH(E454,'Cost_Components'!$A$2:$A$27,0)),"")</f>
      </c>
      <c r="K454" s="66" t="str">
        <f>IF(OR(L454="",Z454="",AA454="",AB454=""),"",IF(B454&lt;AA454,L454,IF(B454&gt;AB454,Z454,L454+(Z454-L454)*MIN(MAX((B454-AA454+1)/MAX(AB454-AA454+1,1),0),1))))</f>
      </c>
      <c r="L454" s="67" t="str">
        <f>IFERROR(INDEX('Cost_Components'!$S$2:$S$27,MATCH(E454,'Cost_Components'!$A$2:$A$27,0)),"")</f>
      </c>
      <c r="M454" s="68" t="str">
        <f>IFERROR(INDEX('Cost_Components'!$L$2:$L$27,MATCH(E454,'Cost_Components'!$A$2:$A$27,0)),"")</f>
      </c>
      <c r="N454" s="69" t="str">
        <f>IFERROR(INDEX('Cost_Components'!$P$2:$P$27,MATCH(E454,'Cost_Components'!$A$2:$A$27,0)),"")</f>
      </c>
      <c r="O454" s="70" t="str">
        <f>AF454*J454</f>
      </c>
      <c r="P454" s="71" t="str">
        <f>AG454*J454</f>
      </c>
      <c r="Q454" s="72" t="str">
        <f>P454*L454*M454*N454</f>
      </c>
      <c r="R454" s="73" t="str">
        <f>O454*K454*M454*N454</f>
      </c>
      <c r="S454" s="74" t="str">
        <f>R454-Q454</f>
      </c>
      <c r="T454" s="20" t="str">
        <f>IFERROR(INDEX('Cost_Components'!$R$2:$R$27,MATCH(E454,'Cost_Components'!$A$2:$A$27,0)),"")</f>
      </c>
      <c r="U454" s="75" t="str">
        <f>IFERROR(INDEX('Cost_Components'!$Q$2:$Q$27,MATCH(E454,'Cost_Components'!$A$2:$A$27,0)),"")</f>
      </c>
      <c r="V454" s="76" t="str">
        <f>1/(1+'Calculation_Assumptions'!$B$5)^(B454-'Calculation_Assumptions'!$B$2)</f>
      </c>
      <c r="W454" s="77" t="str">
        <f>Q454*V454</f>
      </c>
      <c r="X454" s="78" t="str">
        <f>R454*V454</f>
      </c>
      <c r="Y454" s="79" t="str">
        <f>S454*V454</f>
      </c>
      <c r="Z454" s="80" t="str">
        <f>IFERROR(INDEX('Cost_Components'!$T$2:$T$27,MATCH(E454,'Cost_Components'!$A$2:$A$27,0)),"")</f>
      </c>
      <c r="AA454" s="81" t="str">
        <f>IFERROR(INDEX('Cost_Components'!$U$2:$U$27,MATCH(E454,'Cost_Components'!$A$2:$A$27,0)),"")</f>
      </c>
      <c r="AB454" s="82" t="str">
        <f>IFERROR(INDEX('Cost_Components'!$V$2:$V$27,MATCH(E454,'Cost_Components'!$A$2:$A$27,0)),"")</f>
      </c>
      <c r="AC454" s="83" t="str">
        <f>IFERROR(INDEX('Cost_Components'!$M$2:$M$27,MATCH(E454,'Cost_Components'!$A$2:$A$27,0)),"")</f>
      </c>
      <c r="AD454" s="84" t="str">
        <f>IFERROR(INDEX('Cost_Components'!$N$2:$N$27,MATCH(E454,'Cost_Components'!$A$2:$A$27,0)),"")</f>
      </c>
      <c r="AE454" s="20" t="str">
        <f>IFERROR(INDEX('Cost_Components'!$O$2:$O$27,MATCH(E454,'Cost_Components'!$A$2:$A$27,0)),"")</f>
      </c>
      <c r="AF454" s="85" t="n">
        <v>795337.29375019</v>
      </c>
      <c r="AG454" s="86" t="n">
        <v>794257.71251772</v>
      </c>
      <c r="AH454" s="87" t="str">
        <f>IF(H454="shared-count-once",COUNTIFS($A$2:$A$1353,A454,$B$2:$B$1353,B454,$E$2:$E$1353,E454),1)</f>
      </c>
    </row>
    <row r="455">
      <c r="A455" t="s">
        <v>208</v>
      </c>
      <c r="B455" s="59" t="n">
        <v>2036</v>
      </c>
      <c r="C455" t="s">
        <v>208</v>
      </c>
      <c r="D455" t="s">
        <v>212</v>
      </c>
      <c r="E455" s="60" t="s">
        <v>303</v>
      </c>
      <c r="F455" s="61" t="s">
        <v>304</v>
      </c>
      <c r="G455" s="62" t="s">
        <v>209</v>
      </c>
      <c r="H455" s="63" t="s">
        <v>195</v>
      </c>
      <c r="I455" s="64" t="s">
        <v>267</v>
      </c>
      <c r="J455" s="65" t="str">
        <f>IFERROR(INDEX('Cost_Components'!$K$2:$K$27,MATCH(E455,'Cost_Components'!$A$2:$A$27,0)),"")</f>
      </c>
      <c r="K455" s="66" t="str">
        <f>IF(OR(L455="",Z455="",AA455="",AB455=""),"",IF(B455&lt;AA455,L455,IF(B455&gt;AB455,Z455,L455+(Z455-L455)*MIN(MAX((B455-AA455+1)/MAX(AB455-AA455+1,1),0),1))))</f>
      </c>
      <c r="L455" s="67" t="str">
        <f>IFERROR(INDEX('Cost_Components'!$S$2:$S$27,MATCH(E455,'Cost_Components'!$A$2:$A$27,0)),"")</f>
      </c>
      <c r="M455" s="68" t="str">
        <f>IFERROR(INDEX('Cost_Components'!$L$2:$L$27,MATCH(E455,'Cost_Components'!$A$2:$A$27,0)),"")</f>
      </c>
      <c r="N455" s="69" t="str">
        <f>IFERROR(INDEX('Cost_Components'!$P$2:$P$27,MATCH(E455,'Cost_Components'!$A$2:$A$27,0)),"")</f>
      </c>
      <c r="O455" s="70" t="str">
        <f>AF455*J455</f>
      </c>
      <c r="P455" s="71" t="str">
        <f>AG455*J455</f>
      </c>
      <c r="Q455" s="72" t="str">
        <f>P455*L455*M455*N455</f>
      </c>
      <c r="R455" s="73" t="str">
        <f>O455*K455*M455*N455</f>
      </c>
      <c r="S455" s="74" t="str">
        <f>R455-Q455</f>
      </c>
      <c r="T455" s="20" t="str">
        <f>IFERROR(INDEX('Cost_Components'!$R$2:$R$27,MATCH(E455,'Cost_Components'!$A$2:$A$27,0)),"")</f>
      </c>
      <c r="U455" s="75" t="str">
        <f>IFERROR(INDEX('Cost_Components'!$Q$2:$Q$27,MATCH(E455,'Cost_Components'!$A$2:$A$27,0)),"")</f>
      </c>
      <c r="V455" s="76" t="str">
        <f>1/(1+'Calculation_Assumptions'!$B$5)^(B455-'Calculation_Assumptions'!$B$2)</f>
      </c>
      <c r="W455" s="77" t="str">
        <f>Q455*V455</f>
      </c>
      <c r="X455" s="78" t="str">
        <f>R455*V455</f>
      </c>
      <c r="Y455" s="79" t="str">
        <f>S455*V455</f>
      </c>
      <c r="Z455" s="80" t="str">
        <f>IFERROR(INDEX('Cost_Components'!$T$2:$T$27,MATCH(E455,'Cost_Components'!$A$2:$A$27,0)),"")</f>
      </c>
      <c r="AA455" s="81" t="str">
        <f>IFERROR(INDEX('Cost_Components'!$U$2:$U$27,MATCH(E455,'Cost_Components'!$A$2:$A$27,0)),"")</f>
      </c>
      <c r="AB455" s="82" t="str">
        <f>IFERROR(INDEX('Cost_Components'!$V$2:$V$27,MATCH(E455,'Cost_Components'!$A$2:$A$27,0)),"")</f>
      </c>
      <c r="AC455" s="83" t="str">
        <f>IFERROR(INDEX('Cost_Components'!$M$2:$M$27,MATCH(E455,'Cost_Components'!$A$2:$A$27,0)),"")</f>
      </c>
      <c r="AD455" s="84" t="str">
        <f>IFERROR(INDEX('Cost_Components'!$N$2:$N$27,MATCH(E455,'Cost_Components'!$A$2:$A$27,0)),"")</f>
      </c>
      <c r="AE455" s="20" t="str">
        <f>IFERROR(INDEX('Cost_Components'!$O$2:$O$27,MATCH(E455,'Cost_Components'!$A$2:$A$27,0)),"")</f>
      </c>
      <c r="AF455" s="85" t="n">
        <v>795432.841956265</v>
      </c>
      <c r="AG455" s="86" t="n">
        <v>794206.317918489</v>
      </c>
      <c r="AH455" s="87" t="str">
        <f>IF(H455="shared-count-once",COUNTIFS($A$2:$A$1353,A455,$B$2:$B$1353,B455,$E$2:$E$1353,E455),1)</f>
      </c>
    </row>
    <row r="456">
      <c r="A456" t="s">
        <v>208</v>
      </c>
      <c r="B456" s="59" t="n">
        <v>2037</v>
      </c>
      <c r="C456" t="s">
        <v>208</v>
      </c>
      <c r="D456" t="s">
        <v>212</v>
      </c>
      <c r="E456" s="60" t="s">
        <v>303</v>
      </c>
      <c r="F456" s="61" t="s">
        <v>304</v>
      </c>
      <c r="G456" s="62" t="s">
        <v>209</v>
      </c>
      <c r="H456" s="63" t="s">
        <v>195</v>
      </c>
      <c r="I456" s="64" t="s">
        <v>267</v>
      </c>
      <c r="J456" s="65" t="str">
        <f>IFERROR(INDEX('Cost_Components'!$K$2:$K$27,MATCH(E456,'Cost_Components'!$A$2:$A$27,0)),"")</f>
      </c>
      <c r="K456" s="66" t="str">
        <f>IF(OR(L456="",Z456="",AA456="",AB456=""),"",IF(B456&lt;AA456,L456,IF(B456&gt;AB456,Z456,L456+(Z456-L456)*MIN(MAX((B456-AA456+1)/MAX(AB456-AA456+1,1),0),1))))</f>
      </c>
      <c r="L456" s="67" t="str">
        <f>IFERROR(INDEX('Cost_Components'!$S$2:$S$27,MATCH(E456,'Cost_Components'!$A$2:$A$27,0)),"")</f>
      </c>
      <c r="M456" s="68" t="str">
        <f>IFERROR(INDEX('Cost_Components'!$L$2:$L$27,MATCH(E456,'Cost_Components'!$A$2:$A$27,0)),"")</f>
      </c>
      <c r="N456" s="69" t="str">
        <f>IFERROR(INDEX('Cost_Components'!$P$2:$P$27,MATCH(E456,'Cost_Components'!$A$2:$A$27,0)),"")</f>
      </c>
      <c r="O456" s="70" t="str">
        <f>AF456*J456</f>
      </c>
      <c r="P456" s="71" t="str">
        <f>AG456*J456</f>
      </c>
      <c r="Q456" s="72" t="str">
        <f>P456*L456*M456*N456</f>
      </c>
      <c r="R456" s="73" t="str">
        <f>O456*K456*M456*N456</f>
      </c>
      <c r="S456" s="74" t="str">
        <f>R456-Q456</f>
      </c>
      <c r="T456" s="20" t="str">
        <f>IFERROR(INDEX('Cost_Components'!$R$2:$R$27,MATCH(E456,'Cost_Components'!$A$2:$A$27,0)),"")</f>
      </c>
      <c r="U456" s="75" t="str">
        <f>IFERROR(INDEX('Cost_Components'!$Q$2:$Q$27,MATCH(E456,'Cost_Components'!$A$2:$A$27,0)),"")</f>
      </c>
      <c r="V456" s="76" t="str">
        <f>1/(1+'Calculation_Assumptions'!$B$5)^(B456-'Calculation_Assumptions'!$B$2)</f>
      </c>
      <c r="W456" s="77" t="str">
        <f>Q456*V456</f>
      </c>
      <c r="X456" s="78" t="str">
        <f>R456*V456</f>
      </c>
      <c r="Y456" s="79" t="str">
        <f>S456*V456</f>
      </c>
      <c r="Z456" s="80" t="str">
        <f>IFERROR(INDEX('Cost_Components'!$T$2:$T$27,MATCH(E456,'Cost_Components'!$A$2:$A$27,0)),"")</f>
      </c>
      <c r="AA456" s="81" t="str">
        <f>IFERROR(INDEX('Cost_Components'!$U$2:$U$27,MATCH(E456,'Cost_Components'!$A$2:$A$27,0)),"")</f>
      </c>
      <c r="AB456" s="82" t="str">
        <f>IFERROR(INDEX('Cost_Components'!$V$2:$V$27,MATCH(E456,'Cost_Components'!$A$2:$A$27,0)),"")</f>
      </c>
      <c r="AC456" s="83" t="str">
        <f>IFERROR(INDEX('Cost_Components'!$M$2:$M$27,MATCH(E456,'Cost_Components'!$A$2:$A$27,0)),"")</f>
      </c>
      <c r="AD456" s="84" t="str">
        <f>IFERROR(INDEX('Cost_Components'!$N$2:$N$27,MATCH(E456,'Cost_Components'!$A$2:$A$27,0)),"")</f>
      </c>
      <c r="AE456" s="20" t="str">
        <f>IFERROR(INDEX('Cost_Components'!$O$2:$O$27,MATCH(E456,'Cost_Components'!$A$2:$A$27,0)),"")</f>
      </c>
      <c r="AF456" s="85" t="n">
        <v>795713.563400572</v>
      </c>
      <c r="AG456" s="86" t="n">
        <v>794335.652188085</v>
      </c>
      <c r="AH456" s="87" t="str">
        <f>IF(H456="shared-count-once",COUNTIFS($A$2:$A$1353,A456,$B$2:$B$1353,B456,$E$2:$E$1353,E456),1)</f>
      </c>
    </row>
    <row r="457">
      <c r="A457" t="s">
        <v>208</v>
      </c>
      <c r="B457" s="59" t="n">
        <v>2038</v>
      </c>
      <c r="C457" t="s">
        <v>208</v>
      </c>
      <c r="D457" t="s">
        <v>212</v>
      </c>
      <c r="E457" s="60" t="s">
        <v>303</v>
      </c>
      <c r="F457" s="61" t="s">
        <v>304</v>
      </c>
      <c r="G457" s="62" t="s">
        <v>209</v>
      </c>
      <c r="H457" s="63" t="s">
        <v>195</v>
      </c>
      <c r="I457" s="64" t="s">
        <v>267</v>
      </c>
      <c r="J457" s="65" t="str">
        <f>IFERROR(INDEX('Cost_Components'!$K$2:$K$27,MATCH(E457,'Cost_Components'!$A$2:$A$27,0)),"")</f>
      </c>
      <c r="K457" s="66" t="str">
        <f>IF(OR(L457="",Z457="",AA457="",AB457=""),"",IF(B457&lt;AA457,L457,IF(B457&gt;AB457,Z457,L457+(Z457-L457)*MIN(MAX((B457-AA457+1)/MAX(AB457-AA457+1,1),0),1))))</f>
      </c>
      <c r="L457" s="67" t="str">
        <f>IFERROR(INDEX('Cost_Components'!$S$2:$S$27,MATCH(E457,'Cost_Components'!$A$2:$A$27,0)),"")</f>
      </c>
      <c r="M457" s="68" t="str">
        <f>IFERROR(INDEX('Cost_Components'!$L$2:$L$27,MATCH(E457,'Cost_Components'!$A$2:$A$27,0)),"")</f>
      </c>
      <c r="N457" s="69" t="str">
        <f>IFERROR(INDEX('Cost_Components'!$P$2:$P$27,MATCH(E457,'Cost_Components'!$A$2:$A$27,0)),"")</f>
      </c>
      <c r="O457" s="70" t="str">
        <f>AF457*J457</f>
      </c>
      <c r="P457" s="71" t="str">
        <f>AG457*J457</f>
      </c>
      <c r="Q457" s="72" t="str">
        <f>P457*L457*M457*N457</f>
      </c>
      <c r="R457" s="73" t="str">
        <f>O457*K457*M457*N457</f>
      </c>
      <c r="S457" s="74" t="str">
        <f>R457-Q457</f>
      </c>
      <c r="T457" s="20" t="str">
        <f>IFERROR(INDEX('Cost_Components'!$R$2:$R$27,MATCH(E457,'Cost_Components'!$A$2:$A$27,0)),"")</f>
      </c>
      <c r="U457" s="75" t="str">
        <f>IFERROR(INDEX('Cost_Components'!$Q$2:$Q$27,MATCH(E457,'Cost_Components'!$A$2:$A$27,0)),"")</f>
      </c>
      <c r="V457" s="76" t="str">
        <f>1/(1+'Calculation_Assumptions'!$B$5)^(B457-'Calculation_Assumptions'!$B$2)</f>
      </c>
      <c r="W457" s="77" t="str">
        <f>Q457*V457</f>
      </c>
      <c r="X457" s="78" t="str">
        <f>R457*V457</f>
      </c>
      <c r="Y457" s="79" t="str">
        <f>S457*V457</f>
      </c>
      <c r="Z457" s="80" t="str">
        <f>IFERROR(INDEX('Cost_Components'!$T$2:$T$27,MATCH(E457,'Cost_Components'!$A$2:$A$27,0)),"")</f>
      </c>
      <c r="AA457" s="81" t="str">
        <f>IFERROR(INDEX('Cost_Components'!$U$2:$U$27,MATCH(E457,'Cost_Components'!$A$2:$A$27,0)),"")</f>
      </c>
      <c r="AB457" s="82" t="str">
        <f>IFERROR(INDEX('Cost_Components'!$V$2:$V$27,MATCH(E457,'Cost_Components'!$A$2:$A$27,0)),"")</f>
      </c>
      <c r="AC457" s="83" t="str">
        <f>IFERROR(INDEX('Cost_Components'!$M$2:$M$27,MATCH(E457,'Cost_Components'!$A$2:$A$27,0)),"")</f>
      </c>
      <c r="AD457" s="84" t="str">
        <f>IFERROR(INDEX('Cost_Components'!$N$2:$N$27,MATCH(E457,'Cost_Components'!$A$2:$A$27,0)),"")</f>
      </c>
      <c r="AE457" s="20" t="str">
        <f>IFERROR(INDEX('Cost_Components'!$O$2:$O$27,MATCH(E457,'Cost_Components'!$A$2:$A$27,0)),"")</f>
      </c>
      <c r="AF457" s="85" t="n">
        <v>796426.618103445</v>
      </c>
      <c r="AG457" s="86" t="n">
        <v>794892.967244092</v>
      </c>
      <c r="AH457" s="87" t="str">
        <f>IF(H457="shared-count-once",COUNTIFS($A$2:$A$1353,A457,$B$2:$B$1353,B457,$E$2:$E$1353,E457),1)</f>
      </c>
    </row>
    <row r="458">
      <c r="A458" t="s">
        <v>208</v>
      </c>
      <c r="B458" s="59" t="n">
        <v>2039</v>
      </c>
      <c r="C458" t="s">
        <v>208</v>
      </c>
      <c r="D458" t="s">
        <v>212</v>
      </c>
      <c r="E458" s="60" t="s">
        <v>303</v>
      </c>
      <c r="F458" s="61" t="s">
        <v>304</v>
      </c>
      <c r="G458" s="62" t="s">
        <v>209</v>
      </c>
      <c r="H458" s="63" t="s">
        <v>195</v>
      </c>
      <c r="I458" s="64" t="s">
        <v>267</v>
      </c>
      <c r="J458" s="65" t="str">
        <f>IFERROR(INDEX('Cost_Components'!$K$2:$K$27,MATCH(E458,'Cost_Components'!$A$2:$A$27,0)),"")</f>
      </c>
      <c r="K458" s="66" t="str">
        <f>IF(OR(L458="",Z458="",AA458="",AB458=""),"",IF(B458&lt;AA458,L458,IF(B458&gt;AB458,Z458,L458+(Z458-L458)*MIN(MAX((B458-AA458+1)/MAX(AB458-AA458+1,1),0),1))))</f>
      </c>
      <c r="L458" s="67" t="str">
        <f>IFERROR(INDEX('Cost_Components'!$S$2:$S$27,MATCH(E458,'Cost_Components'!$A$2:$A$27,0)),"")</f>
      </c>
      <c r="M458" s="68" t="str">
        <f>IFERROR(INDEX('Cost_Components'!$L$2:$L$27,MATCH(E458,'Cost_Components'!$A$2:$A$27,0)),"")</f>
      </c>
      <c r="N458" s="69" t="str">
        <f>IFERROR(INDEX('Cost_Components'!$P$2:$P$27,MATCH(E458,'Cost_Components'!$A$2:$A$27,0)),"")</f>
      </c>
      <c r="O458" s="70" t="str">
        <f>AF458*J458</f>
      </c>
      <c r="P458" s="71" t="str">
        <f>AG458*J458</f>
      </c>
      <c r="Q458" s="72" t="str">
        <f>P458*L458*M458*N458</f>
      </c>
      <c r="R458" s="73" t="str">
        <f>O458*K458*M458*N458</f>
      </c>
      <c r="S458" s="74" t="str">
        <f>R458-Q458</f>
      </c>
      <c r="T458" s="20" t="str">
        <f>IFERROR(INDEX('Cost_Components'!$R$2:$R$27,MATCH(E458,'Cost_Components'!$A$2:$A$27,0)),"")</f>
      </c>
      <c r="U458" s="75" t="str">
        <f>IFERROR(INDEX('Cost_Components'!$Q$2:$Q$27,MATCH(E458,'Cost_Components'!$A$2:$A$27,0)),"")</f>
      </c>
      <c r="V458" s="76" t="str">
        <f>1/(1+'Calculation_Assumptions'!$B$5)^(B458-'Calculation_Assumptions'!$B$2)</f>
      </c>
      <c r="W458" s="77" t="str">
        <f>Q458*V458</f>
      </c>
      <c r="X458" s="78" t="str">
        <f>R458*V458</f>
      </c>
      <c r="Y458" s="79" t="str">
        <f>S458*V458</f>
      </c>
      <c r="Z458" s="80" t="str">
        <f>IFERROR(INDEX('Cost_Components'!$T$2:$T$27,MATCH(E458,'Cost_Components'!$A$2:$A$27,0)),"")</f>
      </c>
      <c r="AA458" s="81" t="str">
        <f>IFERROR(INDEX('Cost_Components'!$U$2:$U$27,MATCH(E458,'Cost_Components'!$A$2:$A$27,0)),"")</f>
      </c>
      <c r="AB458" s="82" t="str">
        <f>IFERROR(INDEX('Cost_Components'!$V$2:$V$27,MATCH(E458,'Cost_Components'!$A$2:$A$27,0)),"")</f>
      </c>
      <c r="AC458" s="83" t="str">
        <f>IFERROR(INDEX('Cost_Components'!$M$2:$M$27,MATCH(E458,'Cost_Components'!$A$2:$A$27,0)),"")</f>
      </c>
      <c r="AD458" s="84" t="str">
        <f>IFERROR(INDEX('Cost_Components'!$N$2:$N$27,MATCH(E458,'Cost_Components'!$A$2:$A$27,0)),"")</f>
      </c>
      <c r="AE458" s="20" t="str">
        <f>IFERROR(INDEX('Cost_Components'!$O$2:$O$27,MATCH(E458,'Cost_Components'!$A$2:$A$27,0)),"")</f>
      </c>
      <c r="AF458" s="85" t="n">
        <v>791088.335083394</v>
      </c>
      <c r="AG458" s="86" t="n">
        <v>789411.742429264</v>
      </c>
      <c r="AH458" s="87" t="str">
        <f>IF(H458="shared-count-once",COUNTIFS($A$2:$A$1353,A458,$B$2:$B$1353,B458,$E$2:$E$1353,E458),1)</f>
      </c>
    </row>
    <row r="459">
      <c r="A459" t="s">
        <v>208</v>
      </c>
      <c r="B459" s="59" t="n">
        <v>2040</v>
      </c>
      <c r="C459" t="s">
        <v>208</v>
      </c>
      <c r="D459" t="s">
        <v>212</v>
      </c>
      <c r="E459" s="60" t="s">
        <v>303</v>
      </c>
      <c r="F459" s="61" t="s">
        <v>304</v>
      </c>
      <c r="G459" s="62" t="s">
        <v>209</v>
      </c>
      <c r="H459" s="63" t="s">
        <v>195</v>
      </c>
      <c r="I459" s="64" t="s">
        <v>267</v>
      </c>
      <c r="J459" s="65" t="str">
        <f>IFERROR(INDEX('Cost_Components'!$K$2:$K$27,MATCH(E459,'Cost_Components'!$A$2:$A$27,0)),"")</f>
      </c>
      <c r="K459" s="66" t="str">
        <f>IF(OR(L459="",Z459="",AA459="",AB459=""),"",IF(B459&lt;AA459,L459,IF(B459&gt;AB459,Z459,L459+(Z459-L459)*MIN(MAX((B459-AA459+1)/MAX(AB459-AA459+1,1),0),1))))</f>
      </c>
      <c r="L459" s="67" t="str">
        <f>IFERROR(INDEX('Cost_Components'!$S$2:$S$27,MATCH(E459,'Cost_Components'!$A$2:$A$27,0)),"")</f>
      </c>
      <c r="M459" s="68" t="str">
        <f>IFERROR(INDEX('Cost_Components'!$L$2:$L$27,MATCH(E459,'Cost_Components'!$A$2:$A$27,0)),"")</f>
      </c>
      <c r="N459" s="69" t="str">
        <f>IFERROR(INDEX('Cost_Components'!$P$2:$P$27,MATCH(E459,'Cost_Components'!$A$2:$A$27,0)),"")</f>
      </c>
      <c r="O459" s="70" t="str">
        <f>AF459*J459</f>
      </c>
      <c r="P459" s="71" t="str">
        <f>AG459*J459</f>
      </c>
      <c r="Q459" s="72" t="str">
        <f>P459*L459*M459*N459</f>
      </c>
      <c r="R459" s="73" t="str">
        <f>O459*K459*M459*N459</f>
      </c>
      <c r="S459" s="74" t="str">
        <f>R459-Q459</f>
      </c>
      <c r="T459" s="20" t="str">
        <f>IFERROR(INDEX('Cost_Components'!$R$2:$R$27,MATCH(E459,'Cost_Components'!$A$2:$A$27,0)),"")</f>
      </c>
      <c r="U459" s="75" t="str">
        <f>IFERROR(INDEX('Cost_Components'!$Q$2:$Q$27,MATCH(E459,'Cost_Components'!$A$2:$A$27,0)),"")</f>
      </c>
      <c r="V459" s="76" t="str">
        <f>1/(1+'Calculation_Assumptions'!$B$5)^(B459-'Calculation_Assumptions'!$B$2)</f>
      </c>
      <c r="W459" s="77" t="str">
        <f>Q459*V459</f>
      </c>
      <c r="X459" s="78" t="str">
        <f>R459*V459</f>
      </c>
      <c r="Y459" s="79" t="str">
        <f>S459*V459</f>
      </c>
      <c r="Z459" s="80" t="str">
        <f>IFERROR(INDEX('Cost_Components'!$T$2:$T$27,MATCH(E459,'Cost_Components'!$A$2:$A$27,0)),"")</f>
      </c>
      <c r="AA459" s="81" t="str">
        <f>IFERROR(INDEX('Cost_Components'!$U$2:$U$27,MATCH(E459,'Cost_Components'!$A$2:$A$27,0)),"")</f>
      </c>
      <c r="AB459" s="82" t="str">
        <f>IFERROR(INDEX('Cost_Components'!$V$2:$V$27,MATCH(E459,'Cost_Components'!$A$2:$A$27,0)),"")</f>
      </c>
      <c r="AC459" s="83" t="str">
        <f>IFERROR(INDEX('Cost_Components'!$M$2:$M$27,MATCH(E459,'Cost_Components'!$A$2:$A$27,0)),"")</f>
      </c>
      <c r="AD459" s="84" t="str">
        <f>IFERROR(INDEX('Cost_Components'!$N$2:$N$27,MATCH(E459,'Cost_Components'!$A$2:$A$27,0)),"")</f>
      </c>
      <c r="AE459" s="20" t="str">
        <f>IFERROR(INDEX('Cost_Components'!$O$2:$O$27,MATCH(E459,'Cost_Components'!$A$2:$A$27,0)),"")</f>
      </c>
      <c r="AF459" s="85" t="n">
        <v>787507.781833388</v>
      </c>
      <c r="AG459" s="86" t="n">
        <v>785686.389962096</v>
      </c>
      <c r="AH459" s="87" t="str">
        <f>IF(H459="shared-count-once",COUNTIFS($A$2:$A$1353,A459,$B$2:$B$1353,B459,$E$2:$E$1353,E459),1)</f>
      </c>
    </row>
    <row r="460">
      <c r="A460" t="s">
        <v>208</v>
      </c>
      <c r="B460" s="59" t="n">
        <v>2041</v>
      </c>
      <c r="C460" t="s">
        <v>208</v>
      </c>
      <c r="D460" t="s">
        <v>212</v>
      </c>
      <c r="E460" s="60" t="s">
        <v>303</v>
      </c>
      <c r="F460" s="61" t="s">
        <v>304</v>
      </c>
      <c r="G460" s="62" t="s">
        <v>209</v>
      </c>
      <c r="H460" s="63" t="s">
        <v>195</v>
      </c>
      <c r="I460" s="64" t="s">
        <v>267</v>
      </c>
      <c r="J460" s="65" t="str">
        <f>IFERROR(INDEX('Cost_Components'!$K$2:$K$27,MATCH(E460,'Cost_Components'!$A$2:$A$27,0)),"")</f>
      </c>
      <c r="K460" s="66" t="str">
        <f>IF(OR(L460="",Z460="",AA460="",AB460=""),"",IF(B460&lt;AA460,L460,IF(B460&gt;AB460,Z460,L460+(Z460-L460)*MIN(MAX((B460-AA460+1)/MAX(AB460-AA460+1,1),0),1))))</f>
      </c>
      <c r="L460" s="67" t="str">
        <f>IFERROR(INDEX('Cost_Components'!$S$2:$S$27,MATCH(E460,'Cost_Components'!$A$2:$A$27,0)),"")</f>
      </c>
      <c r="M460" s="68" t="str">
        <f>IFERROR(INDEX('Cost_Components'!$L$2:$L$27,MATCH(E460,'Cost_Components'!$A$2:$A$27,0)),"")</f>
      </c>
      <c r="N460" s="69" t="str">
        <f>IFERROR(INDEX('Cost_Components'!$P$2:$P$27,MATCH(E460,'Cost_Components'!$A$2:$A$27,0)),"")</f>
      </c>
      <c r="O460" s="70" t="str">
        <f>AF460*J460</f>
      </c>
      <c r="P460" s="71" t="str">
        <f>AG460*J460</f>
      </c>
      <c r="Q460" s="72" t="str">
        <f>P460*L460*M460*N460</f>
      </c>
      <c r="R460" s="73" t="str">
        <f>O460*K460*M460*N460</f>
      </c>
      <c r="S460" s="74" t="str">
        <f>R460-Q460</f>
      </c>
      <c r="T460" s="20" t="str">
        <f>IFERROR(INDEX('Cost_Components'!$R$2:$R$27,MATCH(E460,'Cost_Components'!$A$2:$A$27,0)),"")</f>
      </c>
      <c r="U460" s="75" t="str">
        <f>IFERROR(INDEX('Cost_Components'!$Q$2:$Q$27,MATCH(E460,'Cost_Components'!$A$2:$A$27,0)),"")</f>
      </c>
      <c r="V460" s="76" t="str">
        <f>1/(1+'Calculation_Assumptions'!$B$5)^(B460-'Calculation_Assumptions'!$B$2)</f>
      </c>
      <c r="W460" s="77" t="str">
        <f>Q460*V460</f>
      </c>
      <c r="X460" s="78" t="str">
        <f>R460*V460</f>
      </c>
      <c r="Y460" s="79" t="str">
        <f>S460*V460</f>
      </c>
      <c r="Z460" s="80" t="str">
        <f>IFERROR(INDEX('Cost_Components'!$T$2:$T$27,MATCH(E460,'Cost_Components'!$A$2:$A$27,0)),"")</f>
      </c>
      <c r="AA460" s="81" t="str">
        <f>IFERROR(INDEX('Cost_Components'!$U$2:$U$27,MATCH(E460,'Cost_Components'!$A$2:$A$27,0)),"")</f>
      </c>
      <c r="AB460" s="82" t="str">
        <f>IFERROR(INDEX('Cost_Components'!$V$2:$V$27,MATCH(E460,'Cost_Components'!$A$2:$A$27,0)),"")</f>
      </c>
      <c r="AC460" s="83" t="str">
        <f>IFERROR(INDEX('Cost_Components'!$M$2:$M$27,MATCH(E460,'Cost_Components'!$A$2:$A$27,0)),"")</f>
      </c>
      <c r="AD460" s="84" t="str">
        <f>IFERROR(INDEX('Cost_Components'!$N$2:$N$27,MATCH(E460,'Cost_Components'!$A$2:$A$27,0)),"")</f>
      </c>
      <c r="AE460" s="20" t="str">
        <f>IFERROR(INDEX('Cost_Components'!$O$2:$O$27,MATCH(E460,'Cost_Components'!$A$2:$A$27,0)),"")</f>
      </c>
      <c r="AF460" s="85" t="n">
        <v>784921.952684034</v>
      </c>
      <c r="AG460" s="86" t="n">
        <v>782955.571298593</v>
      </c>
      <c r="AH460" s="87" t="str">
        <f>IF(H460="shared-count-once",COUNTIFS($A$2:$A$1353,A460,$B$2:$B$1353,B460,$E$2:$E$1353,E460),1)</f>
      </c>
    </row>
    <row r="461">
      <c r="A461" t="s">
        <v>208</v>
      </c>
      <c r="B461" s="59" t="n">
        <v>2042</v>
      </c>
      <c r="C461" t="s">
        <v>208</v>
      </c>
      <c r="D461" t="s">
        <v>212</v>
      </c>
      <c r="E461" s="60" t="s">
        <v>303</v>
      </c>
      <c r="F461" s="61" t="s">
        <v>304</v>
      </c>
      <c r="G461" s="62" t="s">
        <v>209</v>
      </c>
      <c r="H461" s="63" t="s">
        <v>195</v>
      </c>
      <c r="I461" s="64" t="s">
        <v>267</v>
      </c>
      <c r="J461" s="65" t="str">
        <f>IFERROR(INDEX('Cost_Components'!$K$2:$K$27,MATCH(E461,'Cost_Components'!$A$2:$A$27,0)),"")</f>
      </c>
      <c r="K461" s="66" t="str">
        <f>IF(OR(L461="",Z461="",AA461="",AB461=""),"",IF(B461&lt;AA461,L461,IF(B461&gt;AB461,Z461,L461+(Z461-L461)*MIN(MAX((B461-AA461+1)/MAX(AB461-AA461+1,1),0),1))))</f>
      </c>
      <c r="L461" s="67" t="str">
        <f>IFERROR(INDEX('Cost_Components'!$S$2:$S$27,MATCH(E461,'Cost_Components'!$A$2:$A$27,0)),"")</f>
      </c>
      <c r="M461" s="68" t="str">
        <f>IFERROR(INDEX('Cost_Components'!$L$2:$L$27,MATCH(E461,'Cost_Components'!$A$2:$A$27,0)),"")</f>
      </c>
      <c r="N461" s="69" t="str">
        <f>IFERROR(INDEX('Cost_Components'!$P$2:$P$27,MATCH(E461,'Cost_Components'!$A$2:$A$27,0)),"")</f>
      </c>
      <c r="O461" s="70" t="str">
        <f>AF461*J461</f>
      </c>
      <c r="P461" s="71" t="str">
        <f>AG461*J461</f>
      </c>
      <c r="Q461" s="72" t="str">
        <f>P461*L461*M461*N461</f>
      </c>
      <c r="R461" s="73" t="str">
        <f>O461*K461*M461*N461</f>
      </c>
      <c r="S461" s="74" t="str">
        <f>R461-Q461</f>
      </c>
      <c r="T461" s="20" t="str">
        <f>IFERROR(INDEX('Cost_Components'!$R$2:$R$27,MATCH(E461,'Cost_Components'!$A$2:$A$27,0)),"")</f>
      </c>
      <c r="U461" s="75" t="str">
        <f>IFERROR(INDEX('Cost_Components'!$Q$2:$Q$27,MATCH(E461,'Cost_Components'!$A$2:$A$27,0)),"")</f>
      </c>
      <c r="V461" s="76" t="str">
        <f>1/(1+'Calculation_Assumptions'!$B$5)^(B461-'Calculation_Assumptions'!$B$2)</f>
      </c>
      <c r="W461" s="77" t="str">
        <f>Q461*V461</f>
      </c>
      <c r="X461" s="78" t="str">
        <f>R461*V461</f>
      </c>
      <c r="Y461" s="79" t="str">
        <f>S461*V461</f>
      </c>
      <c r="Z461" s="80" t="str">
        <f>IFERROR(INDEX('Cost_Components'!$T$2:$T$27,MATCH(E461,'Cost_Components'!$A$2:$A$27,0)),"")</f>
      </c>
      <c r="AA461" s="81" t="str">
        <f>IFERROR(INDEX('Cost_Components'!$U$2:$U$27,MATCH(E461,'Cost_Components'!$A$2:$A$27,0)),"")</f>
      </c>
      <c r="AB461" s="82" t="str">
        <f>IFERROR(INDEX('Cost_Components'!$V$2:$V$27,MATCH(E461,'Cost_Components'!$A$2:$A$27,0)),"")</f>
      </c>
      <c r="AC461" s="83" t="str">
        <f>IFERROR(INDEX('Cost_Components'!$M$2:$M$27,MATCH(E461,'Cost_Components'!$A$2:$A$27,0)),"")</f>
      </c>
      <c r="AD461" s="84" t="str">
        <f>IFERROR(INDEX('Cost_Components'!$N$2:$N$27,MATCH(E461,'Cost_Components'!$A$2:$A$27,0)),"")</f>
      </c>
      <c r="AE461" s="20" t="str">
        <f>IFERROR(INDEX('Cost_Components'!$O$2:$O$27,MATCH(E461,'Cost_Components'!$A$2:$A$27,0)),"")</f>
      </c>
      <c r="AF461" s="85" t="n">
        <v>783161.584064708</v>
      </c>
      <c r="AG461" s="86" t="n">
        <v>781049.51355789</v>
      </c>
      <c r="AH461" s="87" t="str">
        <f>IF(H461="shared-count-once",COUNTIFS($A$2:$A$1353,A461,$B$2:$B$1353,B461,$E$2:$E$1353,E461),1)</f>
      </c>
    </row>
    <row r="462">
      <c r="A462" t="s">
        <v>208</v>
      </c>
      <c r="B462" s="59" t="n">
        <v>2043</v>
      </c>
      <c r="C462" t="s">
        <v>208</v>
      </c>
      <c r="D462" t="s">
        <v>212</v>
      </c>
      <c r="E462" s="60" t="s">
        <v>303</v>
      </c>
      <c r="F462" s="61" t="s">
        <v>304</v>
      </c>
      <c r="G462" s="62" t="s">
        <v>209</v>
      </c>
      <c r="H462" s="63" t="s">
        <v>195</v>
      </c>
      <c r="I462" s="64" t="s">
        <v>267</v>
      </c>
      <c r="J462" s="65" t="str">
        <f>IFERROR(INDEX('Cost_Components'!$K$2:$K$27,MATCH(E462,'Cost_Components'!$A$2:$A$27,0)),"")</f>
      </c>
      <c r="K462" s="66" t="str">
        <f>IF(OR(L462="",Z462="",AA462="",AB462=""),"",IF(B462&lt;AA462,L462,IF(B462&gt;AB462,Z462,L462+(Z462-L462)*MIN(MAX((B462-AA462+1)/MAX(AB462-AA462+1,1),0),1))))</f>
      </c>
      <c r="L462" s="67" t="str">
        <f>IFERROR(INDEX('Cost_Components'!$S$2:$S$27,MATCH(E462,'Cost_Components'!$A$2:$A$27,0)),"")</f>
      </c>
      <c r="M462" s="68" t="str">
        <f>IFERROR(INDEX('Cost_Components'!$L$2:$L$27,MATCH(E462,'Cost_Components'!$A$2:$A$27,0)),"")</f>
      </c>
      <c r="N462" s="69" t="str">
        <f>IFERROR(INDEX('Cost_Components'!$P$2:$P$27,MATCH(E462,'Cost_Components'!$A$2:$A$27,0)),"")</f>
      </c>
      <c r="O462" s="70" t="str">
        <f>AF462*J462</f>
      </c>
      <c r="P462" s="71" t="str">
        <f>AG462*J462</f>
      </c>
      <c r="Q462" s="72" t="str">
        <f>P462*L462*M462*N462</f>
      </c>
      <c r="R462" s="73" t="str">
        <f>O462*K462*M462*N462</f>
      </c>
      <c r="S462" s="74" t="str">
        <f>R462-Q462</f>
      </c>
      <c r="T462" s="20" t="str">
        <f>IFERROR(INDEX('Cost_Components'!$R$2:$R$27,MATCH(E462,'Cost_Components'!$A$2:$A$27,0)),"")</f>
      </c>
      <c r="U462" s="75" t="str">
        <f>IFERROR(INDEX('Cost_Components'!$Q$2:$Q$27,MATCH(E462,'Cost_Components'!$A$2:$A$27,0)),"")</f>
      </c>
      <c r="V462" s="76" t="str">
        <f>1/(1+'Calculation_Assumptions'!$B$5)^(B462-'Calculation_Assumptions'!$B$2)</f>
      </c>
      <c r="W462" s="77" t="str">
        <f>Q462*V462</f>
      </c>
      <c r="X462" s="78" t="str">
        <f>R462*V462</f>
      </c>
      <c r="Y462" s="79" t="str">
        <f>S462*V462</f>
      </c>
      <c r="Z462" s="80" t="str">
        <f>IFERROR(INDEX('Cost_Components'!$T$2:$T$27,MATCH(E462,'Cost_Components'!$A$2:$A$27,0)),"")</f>
      </c>
      <c r="AA462" s="81" t="str">
        <f>IFERROR(INDEX('Cost_Components'!$U$2:$U$27,MATCH(E462,'Cost_Components'!$A$2:$A$27,0)),"")</f>
      </c>
      <c r="AB462" s="82" t="str">
        <f>IFERROR(INDEX('Cost_Components'!$V$2:$V$27,MATCH(E462,'Cost_Components'!$A$2:$A$27,0)),"")</f>
      </c>
      <c r="AC462" s="83" t="str">
        <f>IFERROR(INDEX('Cost_Components'!$M$2:$M$27,MATCH(E462,'Cost_Components'!$A$2:$A$27,0)),"")</f>
      </c>
      <c r="AD462" s="84" t="str">
        <f>IFERROR(INDEX('Cost_Components'!$N$2:$N$27,MATCH(E462,'Cost_Components'!$A$2:$A$27,0)),"")</f>
      </c>
      <c r="AE462" s="20" t="str">
        <f>IFERROR(INDEX('Cost_Components'!$O$2:$O$27,MATCH(E462,'Cost_Components'!$A$2:$A$27,0)),"")</f>
      </c>
      <c r="AF462" s="85" t="n">
        <v>783315.46039384</v>
      </c>
      <c r="AG462" s="86" t="n">
        <v>781053.475801929</v>
      </c>
      <c r="AH462" s="87" t="str">
        <f>IF(H462="shared-count-once",COUNTIFS($A$2:$A$1353,A462,$B$2:$B$1353,B462,$E$2:$E$1353,E462),1)</f>
      </c>
    </row>
    <row r="463">
      <c r="A463" t="s">
        <v>208</v>
      </c>
      <c r="B463" s="59" t="n">
        <v>2044</v>
      </c>
      <c r="C463" t="s">
        <v>208</v>
      </c>
      <c r="D463" t="s">
        <v>212</v>
      </c>
      <c r="E463" s="60" t="s">
        <v>303</v>
      </c>
      <c r="F463" s="61" t="s">
        <v>304</v>
      </c>
      <c r="G463" s="62" t="s">
        <v>209</v>
      </c>
      <c r="H463" s="63" t="s">
        <v>195</v>
      </c>
      <c r="I463" s="64" t="s">
        <v>267</v>
      </c>
      <c r="J463" s="65" t="str">
        <f>IFERROR(INDEX('Cost_Components'!$K$2:$K$27,MATCH(E463,'Cost_Components'!$A$2:$A$27,0)),"")</f>
      </c>
      <c r="K463" s="66" t="str">
        <f>IF(OR(L463="",Z463="",AA463="",AB463=""),"",IF(B463&lt;AA463,L463,IF(B463&gt;AB463,Z463,L463+(Z463-L463)*MIN(MAX((B463-AA463+1)/MAX(AB463-AA463+1,1),0),1))))</f>
      </c>
      <c r="L463" s="67" t="str">
        <f>IFERROR(INDEX('Cost_Components'!$S$2:$S$27,MATCH(E463,'Cost_Components'!$A$2:$A$27,0)),"")</f>
      </c>
      <c r="M463" s="68" t="str">
        <f>IFERROR(INDEX('Cost_Components'!$L$2:$L$27,MATCH(E463,'Cost_Components'!$A$2:$A$27,0)),"")</f>
      </c>
      <c r="N463" s="69" t="str">
        <f>IFERROR(INDEX('Cost_Components'!$P$2:$P$27,MATCH(E463,'Cost_Components'!$A$2:$A$27,0)),"")</f>
      </c>
      <c r="O463" s="70" t="str">
        <f>AF463*J463</f>
      </c>
      <c r="P463" s="71" t="str">
        <f>AG463*J463</f>
      </c>
      <c r="Q463" s="72" t="str">
        <f>P463*L463*M463*N463</f>
      </c>
      <c r="R463" s="73" t="str">
        <f>O463*K463*M463*N463</f>
      </c>
      <c r="S463" s="74" t="str">
        <f>R463-Q463</f>
      </c>
      <c r="T463" s="20" t="str">
        <f>IFERROR(INDEX('Cost_Components'!$R$2:$R$27,MATCH(E463,'Cost_Components'!$A$2:$A$27,0)),"")</f>
      </c>
      <c r="U463" s="75" t="str">
        <f>IFERROR(INDEX('Cost_Components'!$Q$2:$Q$27,MATCH(E463,'Cost_Components'!$A$2:$A$27,0)),"")</f>
      </c>
      <c r="V463" s="76" t="str">
        <f>1/(1+'Calculation_Assumptions'!$B$5)^(B463-'Calculation_Assumptions'!$B$2)</f>
      </c>
      <c r="W463" s="77" t="str">
        <f>Q463*V463</f>
      </c>
      <c r="X463" s="78" t="str">
        <f>R463*V463</f>
      </c>
      <c r="Y463" s="79" t="str">
        <f>S463*V463</f>
      </c>
      <c r="Z463" s="80" t="str">
        <f>IFERROR(INDEX('Cost_Components'!$T$2:$T$27,MATCH(E463,'Cost_Components'!$A$2:$A$27,0)),"")</f>
      </c>
      <c r="AA463" s="81" t="str">
        <f>IFERROR(INDEX('Cost_Components'!$U$2:$U$27,MATCH(E463,'Cost_Components'!$A$2:$A$27,0)),"")</f>
      </c>
      <c r="AB463" s="82" t="str">
        <f>IFERROR(INDEX('Cost_Components'!$V$2:$V$27,MATCH(E463,'Cost_Components'!$A$2:$A$27,0)),"")</f>
      </c>
      <c r="AC463" s="83" t="str">
        <f>IFERROR(INDEX('Cost_Components'!$M$2:$M$27,MATCH(E463,'Cost_Components'!$A$2:$A$27,0)),"")</f>
      </c>
      <c r="AD463" s="84" t="str">
        <f>IFERROR(INDEX('Cost_Components'!$N$2:$N$27,MATCH(E463,'Cost_Components'!$A$2:$A$27,0)),"")</f>
      </c>
      <c r="AE463" s="20" t="str">
        <f>IFERROR(INDEX('Cost_Components'!$O$2:$O$27,MATCH(E463,'Cost_Components'!$A$2:$A$27,0)),"")</f>
      </c>
      <c r="AF463" s="85" t="n">
        <v>774782.281993792</v>
      </c>
      <c r="AG463" s="86" t="n">
        <v>772406.583523927</v>
      </c>
      <c r="AH463" s="87" t="str">
        <f>IF(H463="shared-count-once",COUNTIFS($A$2:$A$1353,A463,$B$2:$B$1353,B463,$E$2:$E$1353,E463),1)</f>
      </c>
    </row>
    <row r="464">
      <c r="A464" t="s">
        <v>208</v>
      </c>
      <c r="B464" s="59" t="n">
        <v>2045</v>
      </c>
      <c r="C464" t="s">
        <v>208</v>
      </c>
      <c r="D464" t="s">
        <v>212</v>
      </c>
      <c r="E464" s="60" t="s">
        <v>303</v>
      </c>
      <c r="F464" s="61" t="s">
        <v>304</v>
      </c>
      <c r="G464" s="62" t="s">
        <v>209</v>
      </c>
      <c r="H464" s="63" t="s">
        <v>195</v>
      </c>
      <c r="I464" s="64" t="s">
        <v>267</v>
      </c>
      <c r="J464" s="65" t="str">
        <f>IFERROR(INDEX('Cost_Components'!$K$2:$K$27,MATCH(E464,'Cost_Components'!$A$2:$A$27,0)),"")</f>
      </c>
      <c r="K464" s="66" t="str">
        <f>IF(OR(L464="",Z464="",AA464="",AB464=""),"",IF(B464&lt;AA464,L464,IF(B464&gt;AB464,Z464,L464+(Z464-L464)*MIN(MAX((B464-AA464+1)/MAX(AB464-AA464+1,1),0),1))))</f>
      </c>
      <c r="L464" s="67" t="str">
        <f>IFERROR(INDEX('Cost_Components'!$S$2:$S$27,MATCH(E464,'Cost_Components'!$A$2:$A$27,0)),"")</f>
      </c>
      <c r="M464" s="68" t="str">
        <f>IFERROR(INDEX('Cost_Components'!$L$2:$L$27,MATCH(E464,'Cost_Components'!$A$2:$A$27,0)),"")</f>
      </c>
      <c r="N464" s="69" t="str">
        <f>IFERROR(INDEX('Cost_Components'!$P$2:$P$27,MATCH(E464,'Cost_Components'!$A$2:$A$27,0)),"")</f>
      </c>
      <c r="O464" s="70" t="str">
        <f>AF464*J464</f>
      </c>
      <c r="P464" s="71" t="str">
        <f>AG464*J464</f>
      </c>
      <c r="Q464" s="72" t="str">
        <f>P464*L464*M464*N464</f>
      </c>
      <c r="R464" s="73" t="str">
        <f>O464*K464*M464*N464</f>
      </c>
      <c r="S464" s="74" t="str">
        <f>R464-Q464</f>
      </c>
      <c r="T464" s="20" t="str">
        <f>IFERROR(INDEX('Cost_Components'!$R$2:$R$27,MATCH(E464,'Cost_Components'!$A$2:$A$27,0)),"")</f>
      </c>
      <c r="U464" s="75" t="str">
        <f>IFERROR(INDEX('Cost_Components'!$Q$2:$Q$27,MATCH(E464,'Cost_Components'!$A$2:$A$27,0)),"")</f>
      </c>
      <c r="V464" s="76" t="str">
        <f>1/(1+'Calculation_Assumptions'!$B$5)^(B464-'Calculation_Assumptions'!$B$2)</f>
      </c>
      <c r="W464" s="77" t="str">
        <f>Q464*V464</f>
      </c>
      <c r="X464" s="78" t="str">
        <f>R464*V464</f>
      </c>
      <c r="Y464" s="79" t="str">
        <f>S464*V464</f>
      </c>
      <c r="Z464" s="80" t="str">
        <f>IFERROR(INDEX('Cost_Components'!$T$2:$T$27,MATCH(E464,'Cost_Components'!$A$2:$A$27,0)),"")</f>
      </c>
      <c r="AA464" s="81" t="str">
        <f>IFERROR(INDEX('Cost_Components'!$U$2:$U$27,MATCH(E464,'Cost_Components'!$A$2:$A$27,0)),"")</f>
      </c>
      <c r="AB464" s="82" t="str">
        <f>IFERROR(INDEX('Cost_Components'!$V$2:$V$27,MATCH(E464,'Cost_Components'!$A$2:$A$27,0)),"")</f>
      </c>
      <c r="AC464" s="83" t="str">
        <f>IFERROR(INDEX('Cost_Components'!$M$2:$M$27,MATCH(E464,'Cost_Components'!$A$2:$A$27,0)),"")</f>
      </c>
      <c r="AD464" s="84" t="str">
        <f>IFERROR(INDEX('Cost_Components'!$N$2:$N$27,MATCH(E464,'Cost_Components'!$A$2:$A$27,0)),"")</f>
      </c>
      <c r="AE464" s="20" t="str">
        <f>IFERROR(INDEX('Cost_Components'!$O$2:$O$27,MATCH(E464,'Cost_Components'!$A$2:$A$27,0)),"")</f>
      </c>
      <c r="AF464" s="85" t="n">
        <v>767514.591887972</v>
      </c>
      <c r="AG464" s="86" t="n">
        <v>765028.493496705</v>
      </c>
      <c r="AH464" s="87" t="str">
        <f>IF(H464="shared-count-once",COUNTIFS($A$2:$A$1353,A464,$B$2:$B$1353,B464,$E$2:$E$1353,E464),1)</f>
      </c>
    </row>
    <row r="465">
      <c r="A465" t="s">
        <v>208</v>
      </c>
      <c r="B465" s="59" t="n">
        <v>2046</v>
      </c>
      <c r="C465" t="s">
        <v>208</v>
      </c>
      <c r="D465" t="s">
        <v>212</v>
      </c>
      <c r="E465" s="60" t="s">
        <v>303</v>
      </c>
      <c r="F465" s="61" t="s">
        <v>304</v>
      </c>
      <c r="G465" s="62" t="s">
        <v>209</v>
      </c>
      <c r="H465" s="63" t="s">
        <v>195</v>
      </c>
      <c r="I465" s="64" t="s">
        <v>267</v>
      </c>
      <c r="J465" s="65" t="str">
        <f>IFERROR(INDEX('Cost_Components'!$K$2:$K$27,MATCH(E465,'Cost_Components'!$A$2:$A$27,0)),"")</f>
      </c>
      <c r="K465" s="66" t="str">
        <f>IF(OR(L465="",Z465="",AA465="",AB465=""),"",IF(B465&lt;AA465,L465,IF(B465&gt;AB465,Z465,L465+(Z465-L465)*MIN(MAX((B465-AA465+1)/MAX(AB465-AA465+1,1),0),1))))</f>
      </c>
      <c r="L465" s="67" t="str">
        <f>IFERROR(INDEX('Cost_Components'!$S$2:$S$27,MATCH(E465,'Cost_Components'!$A$2:$A$27,0)),"")</f>
      </c>
      <c r="M465" s="68" t="str">
        <f>IFERROR(INDEX('Cost_Components'!$L$2:$L$27,MATCH(E465,'Cost_Components'!$A$2:$A$27,0)),"")</f>
      </c>
      <c r="N465" s="69" t="str">
        <f>IFERROR(INDEX('Cost_Components'!$P$2:$P$27,MATCH(E465,'Cost_Components'!$A$2:$A$27,0)),"")</f>
      </c>
      <c r="O465" s="70" t="str">
        <f>AF465*J465</f>
      </c>
      <c r="P465" s="71" t="str">
        <f>AG465*J465</f>
      </c>
      <c r="Q465" s="72" t="str">
        <f>P465*L465*M465*N465</f>
      </c>
      <c r="R465" s="73" t="str">
        <f>O465*K465*M465*N465</f>
      </c>
      <c r="S465" s="74" t="str">
        <f>R465-Q465</f>
      </c>
      <c r="T465" s="20" t="str">
        <f>IFERROR(INDEX('Cost_Components'!$R$2:$R$27,MATCH(E465,'Cost_Components'!$A$2:$A$27,0)),"")</f>
      </c>
      <c r="U465" s="75" t="str">
        <f>IFERROR(INDEX('Cost_Components'!$Q$2:$Q$27,MATCH(E465,'Cost_Components'!$A$2:$A$27,0)),"")</f>
      </c>
      <c r="V465" s="76" t="str">
        <f>1/(1+'Calculation_Assumptions'!$B$5)^(B465-'Calculation_Assumptions'!$B$2)</f>
      </c>
      <c r="W465" s="77" t="str">
        <f>Q465*V465</f>
      </c>
      <c r="X465" s="78" t="str">
        <f>R465*V465</f>
      </c>
      <c r="Y465" s="79" t="str">
        <f>S465*V465</f>
      </c>
      <c r="Z465" s="80" t="str">
        <f>IFERROR(INDEX('Cost_Components'!$T$2:$T$27,MATCH(E465,'Cost_Components'!$A$2:$A$27,0)),"")</f>
      </c>
      <c r="AA465" s="81" t="str">
        <f>IFERROR(INDEX('Cost_Components'!$U$2:$U$27,MATCH(E465,'Cost_Components'!$A$2:$A$27,0)),"")</f>
      </c>
      <c r="AB465" s="82" t="str">
        <f>IFERROR(INDEX('Cost_Components'!$V$2:$V$27,MATCH(E465,'Cost_Components'!$A$2:$A$27,0)),"")</f>
      </c>
      <c r="AC465" s="83" t="str">
        <f>IFERROR(INDEX('Cost_Components'!$M$2:$M$27,MATCH(E465,'Cost_Components'!$A$2:$A$27,0)),"")</f>
      </c>
      <c r="AD465" s="84" t="str">
        <f>IFERROR(INDEX('Cost_Components'!$N$2:$N$27,MATCH(E465,'Cost_Components'!$A$2:$A$27,0)),"")</f>
      </c>
      <c r="AE465" s="20" t="str">
        <f>IFERROR(INDEX('Cost_Components'!$O$2:$O$27,MATCH(E465,'Cost_Components'!$A$2:$A$27,0)),"")</f>
      </c>
      <c r="AF465" s="85" t="n">
        <v>761003.39813757</v>
      </c>
      <c r="AG465" s="86" t="n">
        <v>758412.157996352</v>
      </c>
      <c r="AH465" s="87" t="str">
        <f>IF(H465="shared-count-once",COUNTIFS($A$2:$A$1353,A465,$B$2:$B$1353,B465,$E$2:$E$1353,E465),1)</f>
      </c>
    </row>
    <row r="466">
      <c r="A466" t="s">
        <v>208</v>
      </c>
      <c r="B466" s="59" t="n">
        <v>2047</v>
      </c>
      <c r="C466" t="s">
        <v>208</v>
      </c>
      <c r="D466" t="s">
        <v>212</v>
      </c>
      <c r="E466" s="60" t="s">
        <v>303</v>
      </c>
      <c r="F466" s="61" t="s">
        <v>304</v>
      </c>
      <c r="G466" s="62" t="s">
        <v>209</v>
      </c>
      <c r="H466" s="63" t="s">
        <v>195</v>
      </c>
      <c r="I466" s="64" t="s">
        <v>267</v>
      </c>
      <c r="J466" s="65" t="str">
        <f>IFERROR(INDEX('Cost_Components'!$K$2:$K$27,MATCH(E466,'Cost_Components'!$A$2:$A$27,0)),"")</f>
      </c>
      <c r="K466" s="66" t="str">
        <f>IF(OR(L466="",Z466="",AA466="",AB466=""),"",IF(B466&lt;AA466,L466,IF(B466&gt;AB466,Z466,L466+(Z466-L466)*MIN(MAX((B466-AA466+1)/MAX(AB466-AA466+1,1),0),1))))</f>
      </c>
      <c r="L466" s="67" t="str">
        <f>IFERROR(INDEX('Cost_Components'!$S$2:$S$27,MATCH(E466,'Cost_Components'!$A$2:$A$27,0)),"")</f>
      </c>
      <c r="M466" s="68" t="str">
        <f>IFERROR(INDEX('Cost_Components'!$L$2:$L$27,MATCH(E466,'Cost_Components'!$A$2:$A$27,0)),"")</f>
      </c>
      <c r="N466" s="69" t="str">
        <f>IFERROR(INDEX('Cost_Components'!$P$2:$P$27,MATCH(E466,'Cost_Components'!$A$2:$A$27,0)),"")</f>
      </c>
      <c r="O466" s="70" t="str">
        <f>AF466*J466</f>
      </c>
      <c r="P466" s="71" t="str">
        <f>AG466*J466</f>
      </c>
      <c r="Q466" s="72" t="str">
        <f>P466*L466*M466*N466</f>
      </c>
      <c r="R466" s="73" t="str">
        <f>O466*K466*M466*N466</f>
      </c>
      <c r="S466" s="74" t="str">
        <f>R466-Q466</f>
      </c>
      <c r="T466" s="20" t="str">
        <f>IFERROR(INDEX('Cost_Components'!$R$2:$R$27,MATCH(E466,'Cost_Components'!$A$2:$A$27,0)),"")</f>
      </c>
      <c r="U466" s="75" t="str">
        <f>IFERROR(INDEX('Cost_Components'!$Q$2:$Q$27,MATCH(E466,'Cost_Components'!$A$2:$A$27,0)),"")</f>
      </c>
      <c r="V466" s="76" t="str">
        <f>1/(1+'Calculation_Assumptions'!$B$5)^(B466-'Calculation_Assumptions'!$B$2)</f>
      </c>
      <c r="W466" s="77" t="str">
        <f>Q466*V466</f>
      </c>
      <c r="X466" s="78" t="str">
        <f>R466*V466</f>
      </c>
      <c r="Y466" s="79" t="str">
        <f>S466*V466</f>
      </c>
      <c r="Z466" s="80" t="str">
        <f>IFERROR(INDEX('Cost_Components'!$T$2:$T$27,MATCH(E466,'Cost_Components'!$A$2:$A$27,0)),"")</f>
      </c>
      <c r="AA466" s="81" t="str">
        <f>IFERROR(INDEX('Cost_Components'!$U$2:$U$27,MATCH(E466,'Cost_Components'!$A$2:$A$27,0)),"")</f>
      </c>
      <c r="AB466" s="82" t="str">
        <f>IFERROR(INDEX('Cost_Components'!$V$2:$V$27,MATCH(E466,'Cost_Components'!$A$2:$A$27,0)),"")</f>
      </c>
      <c r="AC466" s="83" t="str">
        <f>IFERROR(INDEX('Cost_Components'!$M$2:$M$27,MATCH(E466,'Cost_Components'!$A$2:$A$27,0)),"")</f>
      </c>
      <c r="AD466" s="84" t="str">
        <f>IFERROR(INDEX('Cost_Components'!$N$2:$N$27,MATCH(E466,'Cost_Components'!$A$2:$A$27,0)),"")</f>
      </c>
      <c r="AE466" s="20" t="str">
        <f>IFERROR(INDEX('Cost_Components'!$O$2:$O$27,MATCH(E466,'Cost_Components'!$A$2:$A$27,0)),"")</f>
      </c>
      <c r="AF466" s="85" t="n">
        <v>755280.106561565</v>
      </c>
      <c r="AG466" s="86" t="n">
        <v>752587.863064363</v>
      </c>
      <c r="AH466" s="87" t="str">
        <f>IF(H466="shared-count-once",COUNTIFS($A$2:$A$1353,A466,$B$2:$B$1353,B466,$E$2:$E$1353,E466),1)</f>
      </c>
    </row>
    <row r="467">
      <c r="A467" t="s">
        <v>208</v>
      </c>
      <c r="B467" s="59" t="n">
        <v>2048</v>
      </c>
      <c r="C467" t="s">
        <v>208</v>
      </c>
      <c r="D467" t="s">
        <v>212</v>
      </c>
      <c r="E467" s="60" t="s">
        <v>303</v>
      </c>
      <c r="F467" s="61" t="s">
        <v>304</v>
      </c>
      <c r="G467" s="62" t="s">
        <v>209</v>
      </c>
      <c r="H467" s="63" t="s">
        <v>195</v>
      </c>
      <c r="I467" s="64" t="s">
        <v>267</v>
      </c>
      <c r="J467" s="65" t="str">
        <f>IFERROR(INDEX('Cost_Components'!$K$2:$K$27,MATCH(E467,'Cost_Components'!$A$2:$A$27,0)),"")</f>
      </c>
      <c r="K467" s="66" t="str">
        <f>IF(OR(L467="",Z467="",AA467="",AB467=""),"",IF(B467&lt;AA467,L467,IF(B467&gt;AB467,Z467,L467+(Z467-L467)*MIN(MAX((B467-AA467+1)/MAX(AB467-AA467+1,1),0),1))))</f>
      </c>
      <c r="L467" s="67" t="str">
        <f>IFERROR(INDEX('Cost_Components'!$S$2:$S$27,MATCH(E467,'Cost_Components'!$A$2:$A$27,0)),"")</f>
      </c>
      <c r="M467" s="68" t="str">
        <f>IFERROR(INDEX('Cost_Components'!$L$2:$L$27,MATCH(E467,'Cost_Components'!$A$2:$A$27,0)),"")</f>
      </c>
      <c r="N467" s="69" t="str">
        <f>IFERROR(INDEX('Cost_Components'!$P$2:$P$27,MATCH(E467,'Cost_Components'!$A$2:$A$27,0)),"")</f>
      </c>
      <c r="O467" s="70" t="str">
        <f>AF467*J467</f>
      </c>
      <c r="P467" s="71" t="str">
        <f>AG467*J467</f>
      </c>
      <c r="Q467" s="72" t="str">
        <f>P467*L467*M467*N467</f>
      </c>
      <c r="R467" s="73" t="str">
        <f>O467*K467*M467*N467</f>
      </c>
      <c r="S467" s="74" t="str">
        <f>R467-Q467</f>
      </c>
      <c r="T467" s="20" t="str">
        <f>IFERROR(INDEX('Cost_Components'!$R$2:$R$27,MATCH(E467,'Cost_Components'!$A$2:$A$27,0)),"")</f>
      </c>
      <c r="U467" s="75" t="str">
        <f>IFERROR(INDEX('Cost_Components'!$Q$2:$Q$27,MATCH(E467,'Cost_Components'!$A$2:$A$27,0)),"")</f>
      </c>
      <c r="V467" s="76" t="str">
        <f>1/(1+'Calculation_Assumptions'!$B$5)^(B467-'Calculation_Assumptions'!$B$2)</f>
      </c>
      <c r="W467" s="77" t="str">
        <f>Q467*V467</f>
      </c>
      <c r="X467" s="78" t="str">
        <f>R467*V467</f>
      </c>
      <c r="Y467" s="79" t="str">
        <f>S467*V467</f>
      </c>
      <c r="Z467" s="80" t="str">
        <f>IFERROR(INDEX('Cost_Components'!$T$2:$T$27,MATCH(E467,'Cost_Components'!$A$2:$A$27,0)),"")</f>
      </c>
      <c r="AA467" s="81" t="str">
        <f>IFERROR(INDEX('Cost_Components'!$U$2:$U$27,MATCH(E467,'Cost_Components'!$A$2:$A$27,0)),"")</f>
      </c>
      <c r="AB467" s="82" t="str">
        <f>IFERROR(INDEX('Cost_Components'!$V$2:$V$27,MATCH(E467,'Cost_Components'!$A$2:$A$27,0)),"")</f>
      </c>
      <c r="AC467" s="83" t="str">
        <f>IFERROR(INDEX('Cost_Components'!$M$2:$M$27,MATCH(E467,'Cost_Components'!$A$2:$A$27,0)),"")</f>
      </c>
      <c r="AD467" s="84" t="str">
        <f>IFERROR(INDEX('Cost_Components'!$N$2:$N$27,MATCH(E467,'Cost_Components'!$A$2:$A$27,0)),"")</f>
      </c>
      <c r="AE467" s="20" t="str">
        <f>IFERROR(INDEX('Cost_Components'!$O$2:$O$27,MATCH(E467,'Cost_Components'!$A$2:$A$27,0)),"")</f>
      </c>
      <c r="AF467" s="85" t="n">
        <v>752176.666073623</v>
      </c>
      <c r="AG467" s="86" t="n">
        <v>749377.162912068</v>
      </c>
      <c r="AH467" s="87" t="str">
        <f>IF(H467="shared-count-once",COUNTIFS($A$2:$A$1353,A467,$B$2:$B$1353,B467,$E$2:$E$1353,E467),1)</f>
      </c>
    </row>
    <row r="468">
      <c r="A468" t="s">
        <v>208</v>
      </c>
      <c r="B468" s="59" t="n">
        <v>2049</v>
      </c>
      <c r="C468" t="s">
        <v>208</v>
      </c>
      <c r="D468" t="s">
        <v>212</v>
      </c>
      <c r="E468" s="60" t="s">
        <v>303</v>
      </c>
      <c r="F468" s="61" t="s">
        <v>304</v>
      </c>
      <c r="G468" s="62" t="s">
        <v>209</v>
      </c>
      <c r="H468" s="63" t="s">
        <v>195</v>
      </c>
      <c r="I468" s="64" t="s">
        <v>267</v>
      </c>
      <c r="J468" s="65" t="str">
        <f>IFERROR(INDEX('Cost_Components'!$K$2:$K$27,MATCH(E468,'Cost_Components'!$A$2:$A$27,0)),"")</f>
      </c>
      <c r="K468" s="66" t="str">
        <f>IF(OR(L468="",Z468="",AA468="",AB468=""),"",IF(B468&lt;AA468,L468,IF(B468&gt;AB468,Z468,L468+(Z468-L468)*MIN(MAX((B468-AA468+1)/MAX(AB468-AA468+1,1),0),1))))</f>
      </c>
      <c r="L468" s="67" t="str">
        <f>IFERROR(INDEX('Cost_Components'!$S$2:$S$27,MATCH(E468,'Cost_Components'!$A$2:$A$27,0)),"")</f>
      </c>
      <c r="M468" s="68" t="str">
        <f>IFERROR(INDEX('Cost_Components'!$L$2:$L$27,MATCH(E468,'Cost_Components'!$A$2:$A$27,0)),"")</f>
      </c>
      <c r="N468" s="69" t="str">
        <f>IFERROR(INDEX('Cost_Components'!$P$2:$P$27,MATCH(E468,'Cost_Components'!$A$2:$A$27,0)),"")</f>
      </c>
      <c r="O468" s="70" t="str">
        <f>AF468*J468</f>
      </c>
      <c r="P468" s="71" t="str">
        <f>AG468*J468</f>
      </c>
      <c r="Q468" s="72" t="str">
        <f>P468*L468*M468*N468</f>
      </c>
      <c r="R468" s="73" t="str">
        <f>O468*K468*M468*N468</f>
      </c>
      <c r="S468" s="74" t="str">
        <f>R468-Q468</f>
      </c>
      <c r="T468" s="20" t="str">
        <f>IFERROR(INDEX('Cost_Components'!$R$2:$R$27,MATCH(E468,'Cost_Components'!$A$2:$A$27,0)),"")</f>
      </c>
      <c r="U468" s="75" t="str">
        <f>IFERROR(INDEX('Cost_Components'!$Q$2:$Q$27,MATCH(E468,'Cost_Components'!$A$2:$A$27,0)),"")</f>
      </c>
      <c r="V468" s="76" t="str">
        <f>1/(1+'Calculation_Assumptions'!$B$5)^(B468-'Calculation_Assumptions'!$B$2)</f>
      </c>
      <c r="W468" s="77" t="str">
        <f>Q468*V468</f>
      </c>
      <c r="X468" s="78" t="str">
        <f>R468*V468</f>
      </c>
      <c r="Y468" s="79" t="str">
        <f>S468*V468</f>
      </c>
      <c r="Z468" s="80" t="str">
        <f>IFERROR(INDEX('Cost_Components'!$T$2:$T$27,MATCH(E468,'Cost_Components'!$A$2:$A$27,0)),"")</f>
      </c>
      <c r="AA468" s="81" t="str">
        <f>IFERROR(INDEX('Cost_Components'!$U$2:$U$27,MATCH(E468,'Cost_Components'!$A$2:$A$27,0)),"")</f>
      </c>
      <c r="AB468" s="82" t="str">
        <f>IFERROR(INDEX('Cost_Components'!$V$2:$V$27,MATCH(E468,'Cost_Components'!$A$2:$A$27,0)),"")</f>
      </c>
      <c r="AC468" s="83" t="str">
        <f>IFERROR(INDEX('Cost_Components'!$M$2:$M$27,MATCH(E468,'Cost_Components'!$A$2:$A$27,0)),"")</f>
      </c>
      <c r="AD468" s="84" t="str">
        <f>IFERROR(INDEX('Cost_Components'!$N$2:$N$27,MATCH(E468,'Cost_Components'!$A$2:$A$27,0)),"")</f>
      </c>
      <c r="AE468" s="20" t="str">
        <f>IFERROR(INDEX('Cost_Components'!$O$2:$O$27,MATCH(E468,'Cost_Components'!$A$2:$A$27,0)),"")</f>
      </c>
      <c r="AF468" s="85" t="n">
        <v>744041.53793725</v>
      </c>
      <c r="AG468" s="86" t="n">
        <v>741169.665357036</v>
      </c>
      <c r="AH468" s="87" t="str">
        <f>IF(H468="shared-count-once",COUNTIFS($A$2:$A$1353,A468,$B$2:$B$1353,B468,$E$2:$E$1353,E468),1)</f>
      </c>
    </row>
    <row r="469">
      <c r="A469" t="s">
        <v>208</v>
      </c>
      <c r="B469" s="59" t="n">
        <v>2050</v>
      </c>
      <c r="C469" t="s">
        <v>208</v>
      </c>
      <c r="D469" t="s">
        <v>212</v>
      </c>
      <c r="E469" s="60" t="s">
        <v>303</v>
      </c>
      <c r="F469" s="61" t="s">
        <v>304</v>
      </c>
      <c r="G469" s="62" t="s">
        <v>209</v>
      </c>
      <c r="H469" s="63" t="s">
        <v>195</v>
      </c>
      <c r="I469" s="64" t="s">
        <v>267</v>
      </c>
      <c r="J469" s="65" t="str">
        <f>IFERROR(INDEX('Cost_Components'!$K$2:$K$27,MATCH(E469,'Cost_Components'!$A$2:$A$27,0)),"")</f>
      </c>
      <c r="K469" s="66" t="str">
        <f>IF(OR(L469="",Z469="",AA469="",AB469=""),"",IF(B469&lt;AA469,L469,IF(B469&gt;AB469,Z469,L469+(Z469-L469)*MIN(MAX((B469-AA469+1)/MAX(AB469-AA469+1,1),0),1))))</f>
      </c>
      <c r="L469" s="67" t="str">
        <f>IFERROR(INDEX('Cost_Components'!$S$2:$S$27,MATCH(E469,'Cost_Components'!$A$2:$A$27,0)),"")</f>
      </c>
      <c r="M469" s="68" t="str">
        <f>IFERROR(INDEX('Cost_Components'!$L$2:$L$27,MATCH(E469,'Cost_Components'!$A$2:$A$27,0)),"")</f>
      </c>
      <c r="N469" s="69" t="str">
        <f>IFERROR(INDEX('Cost_Components'!$P$2:$P$27,MATCH(E469,'Cost_Components'!$A$2:$A$27,0)),"")</f>
      </c>
      <c r="O469" s="70" t="str">
        <f>AF469*J469</f>
      </c>
      <c r="P469" s="71" t="str">
        <f>AG469*J469</f>
      </c>
      <c r="Q469" s="72" t="str">
        <f>P469*L469*M469*N469</f>
      </c>
      <c r="R469" s="73" t="str">
        <f>O469*K469*M469*N469</f>
      </c>
      <c r="S469" s="74" t="str">
        <f>R469-Q469</f>
      </c>
      <c r="T469" s="20" t="str">
        <f>IFERROR(INDEX('Cost_Components'!$R$2:$R$27,MATCH(E469,'Cost_Components'!$A$2:$A$27,0)),"")</f>
      </c>
      <c r="U469" s="75" t="str">
        <f>IFERROR(INDEX('Cost_Components'!$Q$2:$Q$27,MATCH(E469,'Cost_Components'!$A$2:$A$27,0)),"")</f>
      </c>
      <c r="V469" s="76" t="str">
        <f>1/(1+'Calculation_Assumptions'!$B$5)^(B469-'Calculation_Assumptions'!$B$2)</f>
      </c>
      <c r="W469" s="77" t="str">
        <f>Q469*V469</f>
      </c>
      <c r="X469" s="78" t="str">
        <f>R469*V469</f>
      </c>
      <c r="Y469" s="79" t="str">
        <f>S469*V469</f>
      </c>
      <c r="Z469" s="80" t="str">
        <f>IFERROR(INDEX('Cost_Components'!$T$2:$T$27,MATCH(E469,'Cost_Components'!$A$2:$A$27,0)),"")</f>
      </c>
      <c r="AA469" s="81" t="str">
        <f>IFERROR(INDEX('Cost_Components'!$U$2:$U$27,MATCH(E469,'Cost_Components'!$A$2:$A$27,0)),"")</f>
      </c>
      <c r="AB469" s="82" t="str">
        <f>IFERROR(INDEX('Cost_Components'!$V$2:$V$27,MATCH(E469,'Cost_Components'!$A$2:$A$27,0)),"")</f>
      </c>
      <c r="AC469" s="83" t="str">
        <f>IFERROR(INDEX('Cost_Components'!$M$2:$M$27,MATCH(E469,'Cost_Components'!$A$2:$A$27,0)),"")</f>
      </c>
      <c r="AD469" s="84" t="str">
        <f>IFERROR(INDEX('Cost_Components'!$N$2:$N$27,MATCH(E469,'Cost_Components'!$A$2:$A$27,0)),"")</f>
      </c>
      <c r="AE469" s="20" t="str">
        <f>IFERROR(INDEX('Cost_Components'!$O$2:$O$27,MATCH(E469,'Cost_Components'!$A$2:$A$27,0)),"")</f>
      </c>
      <c r="AF469" s="85" t="n">
        <v>736900.300144229</v>
      </c>
      <c r="AG469" s="86" t="n">
        <v>733959.82012224</v>
      </c>
      <c r="AH469" s="87" t="str">
        <f>IF(H469="shared-count-once",COUNTIFS($A$2:$A$1353,A469,$B$2:$B$1353,B469,$E$2:$E$1353,E469),1)</f>
      </c>
    </row>
    <row r="470">
      <c r="A470" t="s">
        <v>215</v>
      </c>
      <c r="B470" s="59" t="n">
        <v>2025</v>
      </c>
      <c r="C470" t="s">
        <v>215</v>
      </c>
      <c r="D470" t="s">
        <v>212</v>
      </c>
      <c r="E470" s="60" t="s">
        <v>306</v>
      </c>
      <c r="F470" s="61" t="s">
        <v>307</v>
      </c>
      <c r="G470" s="62" t="s">
        <v>216</v>
      </c>
      <c r="H470" s="63" t="s">
        <v>195</v>
      </c>
      <c r="I470" s="64" t="s">
        <v>267</v>
      </c>
      <c r="J470" s="65" t="str">
        <f>IFERROR(INDEX('Cost_Components'!$K$2:$K$27,MATCH(E470,'Cost_Components'!$A$2:$A$27,0)),"")</f>
      </c>
      <c r="K470" s="66" t="str">
        <f>IF(OR(L470="",Z470="",AA470="",AB470=""),"",IF(B470&lt;AA470,L470,IF(B470&gt;AB470,Z470,L470+(Z470-L470)*MIN(MAX((B470-AA470+1)/MAX(AB470-AA470+1,1),0),1))))</f>
      </c>
      <c r="L470" s="67" t="str">
        <f>IFERROR(INDEX('Cost_Components'!$S$2:$S$27,MATCH(E470,'Cost_Components'!$A$2:$A$27,0)),"")</f>
      </c>
      <c r="M470" s="68" t="str">
        <f>IFERROR(INDEX('Cost_Components'!$L$2:$L$27,MATCH(E470,'Cost_Components'!$A$2:$A$27,0)),"")</f>
      </c>
      <c r="N470" s="69" t="str">
        <f>IFERROR(INDEX('Cost_Components'!$P$2:$P$27,MATCH(E470,'Cost_Components'!$A$2:$A$27,0)),"")</f>
      </c>
      <c r="O470" s="70" t="str">
        <f>AF470*J470</f>
      </c>
      <c r="P470" s="71" t="str">
        <f>AG470*J470</f>
      </c>
      <c r="Q470" s="72" t="str">
        <f>P470*L470*M470*N470</f>
      </c>
      <c r="R470" s="73" t="str">
        <f>O470*K470*M470*N470</f>
      </c>
      <c r="S470" s="74" t="str">
        <f>R470-Q470</f>
      </c>
      <c r="T470" s="20" t="str">
        <f>IFERROR(INDEX('Cost_Components'!$R$2:$R$27,MATCH(E470,'Cost_Components'!$A$2:$A$27,0)),"")</f>
      </c>
      <c r="U470" s="75" t="str">
        <f>IFERROR(INDEX('Cost_Components'!$Q$2:$Q$27,MATCH(E470,'Cost_Components'!$A$2:$A$27,0)),"")</f>
      </c>
      <c r="V470" s="76" t="str">
        <f>1/(1+'Calculation_Assumptions'!$B$5)^(B470-'Calculation_Assumptions'!$B$2)</f>
      </c>
      <c r="W470" s="77" t="str">
        <f>Q470*V470</f>
      </c>
      <c r="X470" s="78" t="str">
        <f>R470*V470</f>
      </c>
      <c r="Y470" s="79" t="str">
        <f>S470*V470</f>
      </c>
      <c r="Z470" s="80" t="str">
        <f>IFERROR(INDEX('Cost_Components'!$T$2:$T$27,MATCH(E470,'Cost_Components'!$A$2:$A$27,0)),"")</f>
      </c>
      <c r="AA470" s="81" t="str">
        <f>IFERROR(INDEX('Cost_Components'!$U$2:$U$27,MATCH(E470,'Cost_Components'!$A$2:$A$27,0)),"")</f>
      </c>
      <c r="AB470" s="82" t="str">
        <f>IFERROR(INDEX('Cost_Components'!$V$2:$V$27,MATCH(E470,'Cost_Components'!$A$2:$A$27,0)),"")</f>
      </c>
      <c r="AC470" s="83" t="str">
        <f>IFERROR(INDEX('Cost_Components'!$M$2:$M$27,MATCH(E470,'Cost_Components'!$A$2:$A$27,0)),"")</f>
      </c>
      <c r="AD470" s="84" t="str">
        <f>IFERROR(INDEX('Cost_Components'!$N$2:$N$27,MATCH(E470,'Cost_Components'!$A$2:$A$27,0)),"")</f>
      </c>
      <c r="AE470" s="20" t="str">
        <f>IFERROR(INDEX('Cost_Components'!$O$2:$O$27,MATCH(E470,'Cost_Components'!$A$2:$A$27,0)),"")</f>
      </c>
      <c r="AF470" s="85" t="n">
        <v>814861.53980949</v>
      </c>
      <c r="AG470" s="86" t="n">
        <v>814857.427728063</v>
      </c>
      <c r="AH470" s="87" t="str">
        <f>IF(H470="shared-count-once",COUNTIFS($A$2:$A$1353,A470,$B$2:$B$1353,B470,$E$2:$E$1353,E470),1)</f>
      </c>
    </row>
    <row r="471">
      <c r="A471" t="s">
        <v>215</v>
      </c>
      <c r="B471" s="59" t="n">
        <v>2026</v>
      </c>
      <c r="C471" t="s">
        <v>215</v>
      </c>
      <c r="D471" t="s">
        <v>212</v>
      </c>
      <c r="E471" s="60" t="s">
        <v>306</v>
      </c>
      <c r="F471" s="61" t="s">
        <v>307</v>
      </c>
      <c r="G471" s="62" t="s">
        <v>216</v>
      </c>
      <c r="H471" s="63" t="s">
        <v>195</v>
      </c>
      <c r="I471" s="64" t="s">
        <v>267</v>
      </c>
      <c r="J471" s="65" t="str">
        <f>IFERROR(INDEX('Cost_Components'!$K$2:$K$27,MATCH(E471,'Cost_Components'!$A$2:$A$27,0)),"")</f>
      </c>
      <c r="K471" s="66" t="str">
        <f>IF(OR(L471="",Z471="",AA471="",AB471=""),"",IF(B471&lt;AA471,L471,IF(B471&gt;AB471,Z471,L471+(Z471-L471)*MIN(MAX((B471-AA471+1)/MAX(AB471-AA471+1,1),0),1))))</f>
      </c>
      <c r="L471" s="67" t="str">
        <f>IFERROR(INDEX('Cost_Components'!$S$2:$S$27,MATCH(E471,'Cost_Components'!$A$2:$A$27,0)),"")</f>
      </c>
      <c r="M471" s="68" t="str">
        <f>IFERROR(INDEX('Cost_Components'!$L$2:$L$27,MATCH(E471,'Cost_Components'!$A$2:$A$27,0)),"")</f>
      </c>
      <c r="N471" s="69" t="str">
        <f>IFERROR(INDEX('Cost_Components'!$P$2:$P$27,MATCH(E471,'Cost_Components'!$A$2:$A$27,0)),"")</f>
      </c>
      <c r="O471" s="70" t="str">
        <f>AF471*J471</f>
      </c>
      <c r="P471" s="71" t="str">
        <f>AG471*J471</f>
      </c>
      <c r="Q471" s="72" t="str">
        <f>P471*L471*M471*N471</f>
      </c>
      <c r="R471" s="73" t="str">
        <f>O471*K471*M471*N471</f>
      </c>
      <c r="S471" s="74" t="str">
        <f>R471-Q471</f>
      </c>
      <c r="T471" s="20" t="str">
        <f>IFERROR(INDEX('Cost_Components'!$R$2:$R$27,MATCH(E471,'Cost_Components'!$A$2:$A$27,0)),"")</f>
      </c>
      <c r="U471" s="75" t="str">
        <f>IFERROR(INDEX('Cost_Components'!$Q$2:$Q$27,MATCH(E471,'Cost_Components'!$A$2:$A$27,0)),"")</f>
      </c>
      <c r="V471" s="76" t="str">
        <f>1/(1+'Calculation_Assumptions'!$B$5)^(B471-'Calculation_Assumptions'!$B$2)</f>
      </c>
      <c r="W471" s="77" t="str">
        <f>Q471*V471</f>
      </c>
      <c r="X471" s="78" t="str">
        <f>R471*V471</f>
      </c>
      <c r="Y471" s="79" t="str">
        <f>S471*V471</f>
      </c>
      <c r="Z471" s="80" t="str">
        <f>IFERROR(INDEX('Cost_Components'!$T$2:$T$27,MATCH(E471,'Cost_Components'!$A$2:$A$27,0)),"")</f>
      </c>
      <c r="AA471" s="81" t="str">
        <f>IFERROR(INDEX('Cost_Components'!$U$2:$U$27,MATCH(E471,'Cost_Components'!$A$2:$A$27,0)),"")</f>
      </c>
      <c r="AB471" s="82" t="str">
        <f>IFERROR(INDEX('Cost_Components'!$V$2:$V$27,MATCH(E471,'Cost_Components'!$A$2:$A$27,0)),"")</f>
      </c>
      <c r="AC471" s="83" t="str">
        <f>IFERROR(INDEX('Cost_Components'!$M$2:$M$27,MATCH(E471,'Cost_Components'!$A$2:$A$27,0)),"")</f>
      </c>
      <c r="AD471" s="84" t="str">
        <f>IFERROR(INDEX('Cost_Components'!$N$2:$N$27,MATCH(E471,'Cost_Components'!$A$2:$A$27,0)),"")</f>
      </c>
      <c r="AE471" s="20" t="str">
        <f>IFERROR(INDEX('Cost_Components'!$O$2:$O$27,MATCH(E471,'Cost_Components'!$A$2:$A$27,0)),"")</f>
      </c>
      <c r="AF471" s="85" t="n">
        <v>814146.026408996</v>
      </c>
      <c r="AG471" s="86" t="n">
        <v>814134.268823925</v>
      </c>
      <c r="AH471" s="87" t="str">
        <f>IF(H471="shared-count-once",COUNTIFS($A$2:$A$1353,A471,$B$2:$B$1353,B471,$E$2:$E$1353,E471),1)</f>
      </c>
    </row>
    <row r="472">
      <c r="A472" t="s">
        <v>215</v>
      </c>
      <c r="B472" s="59" t="n">
        <v>2027</v>
      </c>
      <c r="C472" t="s">
        <v>215</v>
      </c>
      <c r="D472" t="s">
        <v>212</v>
      </c>
      <c r="E472" s="60" t="s">
        <v>306</v>
      </c>
      <c r="F472" s="61" t="s">
        <v>307</v>
      </c>
      <c r="G472" s="62" t="s">
        <v>216</v>
      </c>
      <c r="H472" s="63" t="s">
        <v>195</v>
      </c>
      <c r="I472" s="64" t="s">
        <v>267</v>
      </c>
      <c r="J472" s="65" t="str">
        <f>IFERROR(INDEX('Cost_Components'!$K$2:$K$27,MATCH(E472,'Cost_Components'!$A$2:$A$27,0)),"")</f>
      </c>
      <c r="K472" s="66" t="str">
        <f>IF(OR(L472="",Z472="",AA472="",AB472=""),"",IF(B472&lt;AA472,L472,IF(B472&gt;AB472,Z472,L472+(Z472-L472)*MIN(MAX((B472-AA472+1)/MAX(AB472-AA472+1,1),0),1))))</f>
      </c>
      <c r="L472" s="67" t="str">
        <f>IFERROR(INDEX('Cost_Components'!$S$2:$S$27,MATCH(E472,'Cost_Components'!$A$2:$A$27,0)),"")</f>
      </c>
      <c r="M472" s="68" t="str">
        <f>IFERROR(INDEX('Cost_Components'!$L$2:$L$27,MATCH(E472,'Cost_Components'!$A$2:$A$27,0)),"")</f>
      </c>
      <c r="N472" s="69" t="str">
        <f>IFERROR(INDEX('Cost_Components'!$P$2:$P$27,MATCH(E472,'Cost_Components'!$A$2:$A$27,0)),"")</f>
      </c>
      <c r="O472" s="70" t="str">
        <f>AF472*J472</f>
      </c>
      <c r="P472" s="71" t="str">
        <f>AG472*J472</f>
      </c>
      <c r="Q472" s="72" t="str">
        <f>P472*L472*M472*N472</f>
      </c>
      <c r="R472" s="73" t="str">
        <f>O472*K472*M472*N472</f>
      </c>
      <c r="S472" s="74" t="str">
        <f>R472-Q472</f>
      </c>
      <c r="T472" s="20" t="str">
        <f>IFERROR(INDEX('Cost_Components'!$R$2:$R$27,MATCH(E472,'Cost_Components'!$A$2:$A$27,0)),"")</f>
      </c>
      <c r="U472" s="75" t="str">
        <f>IFERROR(INDEX('Cost_Components'!$Q$2:$Q$27,MATCH(E472,'Cost_Components'!$A$2:$A$27,0)),"")</f>
      </c>
      <c r="V472" s="76" t="str">
        <f>1/(1+'Calculation_Assumptions'!$B$5)^(B472-'Calculation_Assumptions'!$B$2)</f>
      </c>
      <c r="W472" s="77" t="str">
        <f>Q472*V472</f>
      </c>
      <c r="X472" s="78" t="str">
        <f>R472*V472</f>
      </c>
      <c r="Y472" s="79" t="str">
        <f>S472*V472</f>
      </c>
      <c r="Z472" s="80" t="str">
        <f>IFERROR(INDEX('Cost_Components'!$T$2:$T$27,MATCH(E472,'Cost_Components'!$A$2:$A$27,0)),"")</f>
      </c>
      <c r="AA472" s="81" t="str">
        <f>IFERROR(INDEX('Cost_Components'!$U$2:$U$27,MATCH(E472,'Cost_Components'!$A$2:$A$27,0)),"")</f>
      </c>
      <c r="AB472" s="82" t="str">
        <f>IFERROR(INDEX('Cost_Components'!$V$2:$V$27,MATCH(E472,'Cost_Components'!$A$2:$A$27,0)),"")</f>
      </c>
      <c r="AC472" s="83" t="str">
        <f>IFERROR(INDEX('Cost_Components'!$M$2:$M$27,MATCH(E472,'Cost_Components'!$A$2:$A$27,0)),"")</f>
      </c>
      <c r="AD472" s="84" t="str">
        <f>IFERROR(INDEX('Cost_Components'!$N$2:$N$27,MATCH(E472,'Cost_Components'!$A$2:$A$27,0)),"")</f>
      </c>
      <c r="AE472" s="20" t="str">
        <f>IFERROR(INDEX('Cost_Components'!$O$2:$O$27,MATCH(E472,'Cost_Components'!$A$2:$A$27,0)),"")</f>
      </c>
      <c r="AF472" s="85" t="n">
        <v>815068.838802406</v>
      </c>
      <c r="AG472" s="86" t="n">
        <v>815046.40369598</v>
      </c>
      <c r="AH472" s="87" t="str">
        <f>IF(H472="shared-count-once",COUNTIFS($A$2:$A$1353,A472,$B$2:$B$1353,B472,$E$2:$E$1353,E472),1)</f>
      </c>
    </row>
    <row r="473">
      <c r="A473" t="s">
        <v>215</v>
      </c>
      <c r="B473" s="59" t="n">
        <v>2028</v>
      </c>
      <c r="C473" t="s">
        <v>215</v>
      </c>
      <c r="D473" t="s">
        <v>212</v>
      </c>
      <c r="E473" s="60" t="s">
        <v>306</v>
      </c>
      <c r="F473" s="61" t="s">
        <v>307</v>
      </c>
      <c r="G473" s="62" t="s">
        <v>216</v>
      </c>
      <c r="H473" s="63" t="s">
        <v>195</v>
      </c>
      <c r="I473" s="64" t="s">
        <v>267</v>
      </c>
      <c r="J473" s="65" t="str">
        <f>IFERROR(INDEX('Cost_Components'!$K$2:$K$27,MATCH(E473,'Cost_Components'!$A$2:$A$27,0)),"")</f>
      </c>
      <c r="K473" s="66" t="str">
        <f>IF(OR(L473="",Z473="",AA473="",AB473=""),"",IF(B473&lt;AA473,L473,IF(B473&gt;AB473,Z473,L473+(Z473-L473)*MIN(MAX((B473-AA473+1)/MAX(AB473-AA473+1,1),0),1))))</f>
      </c>
      <c r="L473" s="67" t="str">
        <f>IFERROR(INDEX('Cost_Components'!$S$2:$S$27,MATCH(E473,'Cost_Components'!$A$2:$A$27,0)),"")</f>
      </c>
      <c r="M473" s="68" t="str">
        <f>IFERROR(INDEX('Cost_Components'!$L$2:$L$27,MATCH(E473,'Cost_Components'!$A$2:$A$27,0)),"")</f>
      </c>
      <c r="N473" s="69" t="str">
        <f>IFERROR(INDEX('Cost_Components'!$P$2:$P$27,MATCH(E473,'Cost_Components'!$A$2:$A$27,0)),"")</f>
      </c>
      <c r="O473" s="70" t="str">
        <f>AF473*J473</f>
      </c>
      <c r="P473" s="71" t="str">
        <f>AG473*J473</f>
      </c>
      <c r="Q473" s="72" t="str">
        <f>P473*L473*M473*N473</f>
      </c>
      <c r="R473" s="73" t="str">
        <f>O473*K473*M473*N473</f>
      </c>
      <c r="S473" s="74" t="str">
        <f>R473-Q473</f>
      </c>
      <c r="T473" s="20" t="str">
        <f>IFERROR(INDEX('Cost_Components'!$R$2:$R$27,MATCH(E473,'Cost_Components'!$A$2:$A$27,0)),"")</f>
      </c>
      <c r="U473" s="75" t="str">
        <f>IFERROR(INDEX('Cost_Components'!$Q$2:$Q$27,MATCH(E473,'Cost_Components'!$A$2:$A$27,0)),"")</f>
      </c>
      <c r="V473" s="76" t="str">
        <f>1/(1+'Calculation_Assumptions'!$B$5)^(B473-'Calculation_Assumptions'!$B$2)</f>
      </c>
      <c r="W473" s="77" t="str">
        <f>Q473*V473</f>
      </c>
      <c r="X473" s="78" t="str">
        <f>R473*V473</f>
      </c>
      <c r="Y473" s="79" t="str">
        <f>S473*V473</f>
      </c>
      <c r="Z473" s="80" t="str">
        <f>IFERROR(INDEX('Cost_Components'!$T$2:$T$27,MATCH(E473,'Cost_Components'!$A$2:$A$27,0)),"")</f>
      </c>
      <c r="AA473" s="81" t="str">
        <f>IFERROR(INDEX('Cost_Components'!$U$2:$U$27,MATCH(E473,'Cost_Components'!$A$2:$A$27,0)),"")</f>
      </c>
      <c r="AB473" s="82" t="str">
        <f>IFERROR(INDEX('Cost_Components'!$V$2:$V$27,MATCH(E473,'Cost_Components'!$A$2:$A$27,0)),"")</f>
      </c>
      <c r="AC473" s="83" t="str">
        <f>IFERROR(INDEX('Cost_Components'!$M$2:$M$27,MATCH(E473,'Cost_Components'!$A$2:$A$27,0)),"")</f>
      </c>
      <c r="AD473" s="84" t="str">
        <f>IFERROR(INDEX('Cost_Components'!$N$2:$N$27,MATCH(E473,'Cost_Components'!$A$2:$A$27,0)),"")</f>
      </c>
      <c r="AE473" s="20" t="str">
        <f>IFERROR(INDEX('Cost_Components'!$O$2:$O$27,MATCH(E473,'Cost_Components'!$A$2:$A$27,0)),"")</f>
      </c>
      <c r="AF473" s="85" t="n">
        <v>817026.283316181</v>
      </c>
      <c r="AG473" s="86" t="n">
        <v>816990.516938807</v>
      </c>
      <c r="AH473" s="87" t="str">
        <f>IF(H473="shared-count-once",COUNTIFS($A$2:$A$1353,A473,$B$2:$B$1353,B473,$E$2:$E$1353,E473),1)</f>
      </c>
    </row>
    <row r="474">
      <c r="A474" t="s">
        <v>215</v>
      </c>
      <c r="B474" s="59" t="n">
        <v>2029</v>
      </c>
      <c r="C474" t="s">
        <v>215</v>
      </c>
      <c r="D474" t="s">
        <v>212</v>
      </c>
      <c r="E474" s="60" t="s">
        <v>306</v>
      </c>
      <c r="F474" s="61" t="s">
        <v>307</v>
      </c>
      <c r="G474" s="62" t="s">
        <v>216</v>
      </c>
      <c r="H474" s="63" t="s">
        <v>195</v>
      </c>
      <c r="I474" s="64" t="s">
        <v>267</v>
      </c>
      <c r="J474" s="65" t="str">
        <f>IFERROR(INDEX('Cost_Components'!$K$2:$K$27,MATCH(E474,'Cost_Components'!$A$2:$A$27,0)),"")</f>
      </c>
      <c r="K474" s="66" t="str">
        <f>IF(OR(L474="",Z474="",AA474="",AB474=""),"",IF(B474&lt;AA474,L474,IF(B474&gt;AB474,Z474,L474+(Z474-L474)*MIN(MAX((B474-AA474+1)/MAX(AB474-AA474+1,1),0),1))))</f>
      </c>
      <c r="L474" s="67" t="str">
        <f>IFERROR(INDEX('Cost_Components'!$S$2:$S$27,MATCH(E474,'Cost_Components'!$A$2:$A$27,0)),"")</f>
      </c>
      <c r="M474" s="68" t="str">
        <f>IFERROR(INDEX('Cost_Components'!$L$2:$L$27,MATCH(E474,'Cost_Components'!$A$2:$A$27,0)),"")</f>
      </c>
      <c r="N474" s="69" t="str">
        <f>IFERROR(INDEX('Cost_Components'!$P$2:$P$27,MATCH(E474,'Cost_Components'!$A$2:$A$27,0)),"")</f>
      </c>
      <c r="O474" s="70" t="str">
        <f>AF474*J474</f>
      </c>
      <c r="P474" s="71" t="str">
        <f>AG474*J474</f>
      </c>
      <c r="Q474" s="72" t="str">
        <f>P474*L474*M474*N474</f>
      </c>
      <c r="R474" s="73" t="str">
        <f>O474*K474*M474*N474</f>
      </c>
      <c r="S474" s="74" t="str">
        <f>R474-Q474</f>
      </c>
      <c r="T474" s="20" t="str">
        <f>IFERROR(INDEX('Cost_Components'!$R$2:$R$27,MATCH(E474,'Cost_Components'!$A$2:$A$27,0)),"")</f>
      </c>
      <c r="U474" s="75" t="str">
        <f>IFERROR(INDEX('Cost_Components'!$Q$2:$Q$27,MATCH(E474,'Cost_Components'!$A$2:$A$27,0)),"")</f>
      </c>
      <c r="V474" s="76" t="str">
        <f>1/(1+'Calculation_Assumptions'!$B$5)^(B474-'Calculation_Assumptions'!$B$2)</f>
      </c>
      <c r="W474" s="77" t="str">
        <f>Q474*V474</f>
      </c>
      <c r="X474" s="78" t="str">
        <f>R474*V474</f>
      </c>
      <c r="Y474" s="79" t="str">
        <f>S474*V474</f>
      </c>
      <c r="Z474" s="80" t="str">
        <f>IFERROR(INDEX('Cost_Components'!$T$2:$T$27,MATCH(E474,'Cost_Components'!$A$2:$A$27,0)),"")</f>
      </c>
      <c r="AA474" s="81" t="str">
        <f>IFERROR(INDEX('Cost_Components'!$U$2:$U$27,MATCH(E474,'Cost_Components'!$A$2:$A$27,0)),"")</f>
      </c>
      <c r="AB474" s="82" t="str">
        <f>IFERROR(INDEX('Cost_Components'!$V$2:$V$27,MATCH(E474,'Cost_Components'!$A$2:$A$27,0)),"")</f>
      </c>
      <c r="AC474" s="83" t="str">
        <f>IFERROR(INDEX('Cost_Components'!$M$2:$M$27,MATCH(E474,'Cost_Components'!$A$2:$A$27,0)),"")</f>
      </c>
      <c r="AD474" s="84" t="str">
        <f>IFERROR(INDEX('Cost_Components'!$N$2:$N$27,MATCH(E474,'Cost_Components'!$A$2:$A$27,0)),"")</f>
      </c>
      <c r="AE474" s="20" t="str">
        <f>IFERROR(INDEX('Cost_Components'!$O$2:$O$27,MATCH(E474,'Cost_Components'!$A$2:$A$27,0)),"")</f>
      </c>
      <c r="AF474" s="85" t="n">
        <v>818185.922892034</v>
      </c>
      <c r="AG474" s="86" t="n">
        <v>818134.424832171</v>
      </c>
      <c r="AH474" s="87" t="str">
        <f>IF(H474="shared-count-once",COUNTIFS($A$2:$A$1353,A474,$B$2:$B$1353,B474,$E$2:$E$1353,E474),1)</f>
      </c>
    </row>
    <row r="475">
      <c r="A475" t="s">
        <v>215</v>
      </c>
      <c r="B475" s="59" t="n">
        <v>2030</v>
      </c>
      <c r="C475" t="s">
        <v>215</v>
      </c>
      <c r="D475" t="s">
        <v>212</v>
      </c>
      <c r="E475" s="60" t="s">
        <v>306</v>
      </c>
      <c r="F475" s="61" t="s">
        <v>307</v>
      </c>
      <c r="G475" s="62" t="s">
        <v>216</v>
      </c>
      <c r="H475" s="63" t="s">
        <v>195</v>
      </c>
      <c r="I475" s="64" t="s">
        <v>267</v>
      </c>
      <c r="J475" s="65" t="str">
        <f>IFERROR(INDEX('Cost_Components'!$K$2:$K$27,MATCH(E475,'Cost_Components'!$A$2:$A$27,0)),"")</f>
      </c>
      <c r="K475" s="66" t="str">
        <f>IF(OR(L475="",Z475="",AA475="",AB475=""),"",IF(B475&lt;AA475,L475,IF(B475&gt;AB475,Z475,L475+(Z475-L475)*MIN(MAX((B475-AA475+1)/MAX(AB475-AA475+1,1),0),1))))</f>
      </c>
      <c r="L475" s="67" t="str">
        <f>IFERROR(INDEX('Cost_Components'!$S$2:$S$27,MATCH(E475,'Cost_Components'!$A$2:$A$27,0)),"")</f>
      </c>
      <c r="M475" s="68" t="str">
        <f>IFERROR(INDEX('Cost_Components'!$L$2:$L$27,MATCH(E475,'Cost_Components'!$A$2:$A$27,0)),"")</f>
      </c>
      <c r="N475" s="69" t="str">
        <f>IFERROR(INDEX('Cost_Components'!$P$2:$P$27,MATCH(E475,'Cost_Components'!$A$2:$A$27,0)),"")</f>
      </c>
      <c r="O475" s="70" t="str">
        <f>AF475*J475</f>
      </c>
      <c r="P475" s="71" t="str">
        <f>AG475*J475</f>
      </c>
      <c r="Q475" s="72" t="str">
        <f>P475*L475*M475*N475</f>
      </c>
      <c r="R475" s="73" t="str">
        <f>O475*K475*M475*N475</f>
      </c>
      <c r="S475" s="74" t="str">
        <f>R475-Q475</f>
      </c>
      <c r="T475" s="20" t="str">
        <f>IFERROR(INDEX('Cost_Components'!$R$2:$R$27,MATCH(E475,'Cost_Components'!$A$2:$A$27,0)),"")</f>
      </c>
      <c r="U475" s="75" t="str">
        <f>IFERROR(INDEX('Cost_Components'!$Q$2:$Q$27,MATCH(E475,'Cost_Components'!$A$2:$A$27,0)),"")</f>
      </c>
      <c r="V475" s="76" t="str">
        <f>1/(1+'Calculation_Assumptions'!$B$5)^(B475-'Calculation_Assumptions'!$B$2)</f>
      </c>
      <c r="W475" s="77" t="str">
        <f>Q475*V475</f>
      </c>
      <c r="X475" s="78" t="str">
        <f>R475*V475</f>
      </c>
      <c r="Y475" s="79" t="str">
        <f>S475*V475</f>
      </c>
      <c r="Z475" s="80" t="str">
        <f>IFERROR(INDEX('Cost_Components'!$T$2:$T$27,MATCH(E475,'Cost_Components'!$A$2:$A$27,0)),"")</f>
      </c>
      <c r="AA475" s="81" t="str">
        <f>IFERROR(INDEX('Cost_Components'!$U$2:$U$27,MATCH(E475,'Cost_Components'!$A$2:$A$27,0)),"")</f>
      </c>
      <c r="AB475" s="82" t="str">
        <f>IFERROR(INDEX('Cost_Components'!$V$2:$V$27,MATCH(E475,'Cost_Components'!$A$2:$A$27,0)),"")</f>
      </c>
      <c r="AC475" s="83" t="str">
        <f>IFERROR(INDEX('Cost_Components'!$M$2:$M$27,MATCH(E475,'Cost_Components'!$A$2:$A$27,0)),"")</f>
      </c>
      <c r="AD475" s="84" t="str">
        <f>IFERROR(INDEX('Cost_Components'!$N$2:$N$27,MATCH(E475,'Cost_Components'!$A$2:$A$27,0)),"")</f>
      </c>
      <c r="AE475" s="20" t="str">
        <f>IFERROR(INDEX('Cost_Components'!$O$2:$O$27,MATCH(E475,'Cost_Components'!$A$2:$A$27,0)),"")</f>
      </c>
      <c r="AF475" s="85" t="n">
        <v>819546.275345311</v>
      </c>
      <c r="AG475" s="86" t="n">
        <v>819477.312158002</v>
      </c>
      <c r="AH475" s="87" t="str">
        <f>IF(H475="shared-count-once",COUNTIFS($A$2:$A$1353,A475,$B$2:$B$1353,B475,$E$2:$E$1353,E475),1)</f>
      </c>
    </row>
    <row r="476">
      <c r="A476" t="s">
        <v>215</v>
      </c>
      <c r="B476" s="59" t="n">
        <v>2031</v>
      </c>
      <c r="C476" t="s">
        <v>215</v>
      </c>
      <c r="D476" t="s">
        <v>212</v>
      </c>
      <c r="E476" s="60" t="s">
        <v>306</v>
      </c>
      <c r="F476" s="61" t="s">
        <v>307</v>
      </c>
      <c r="G476" s="62" t="s">
        <v>216</v>
      </c>
      <c r="H476" s="63" t="s">
        <v>195</v>
      </c>
      <c r="I476" s="64" t="s">
        <v>267</v>
      </c>
      <c r="J476" s="65" t="str">
        <f>IFERROR(INDEX('Cost_Components'!$K$2:$K$27,MATCH(E476,'Cost_Components'!$A$2:$A$27,0)),"")</f>
      </c>
      <c r="K476" s="66" t="str">
        <f>IF(OR(L476="",Z476="",AA476="",AB476=""),"",IF(B476&lt;AA476,L476,IF(B476&gt;AB476,Z476,L476+(Z476-L476)*MIN(MAX((B476-AA476+1)/MAX(AB476-AA476+1,1),0),1))))</f>
      </c>
      <c r="L476" s="67" t="str">
        <f>IFERROR(INDEX('Cost_Components'!$S$2:$S$27,MATCH(E476,'Cost_Components'!$A$2:$A$27,0)),"")</f>
      </c>
      <c r="M476" s="68" t="str">
        <f>IFERROR(INDEX('Cost_Components'!$L$2:$L$27,MATCH(E476,'Cost_Components'!$A$2:$A$27,0)),"")</f>
      </c>
      <c r="N476" s="69" t="str">
        <f>IFERROR(INDEX('Cost_Components'!$P$2:$P$27,MATCH(E476,'Cost_Components'!$A$2:$A$27,0)),"")</f>
      </c>
      <c r="O476" s="70" t="str">
        <f>AF476*J476</f>
      </c>
      <c r="P476" s="71" t="str">
        <f>AG476*J476</f>
      </c>
      <c r="Q476" s="72" t="str">
        <f>P476*L476*M476*N476</f>
      </c>
      <c r="R476" s="73" t="str">
        <f>O476*K476*M476*N476</f>
      </c>
      <c r="S476" s="74" t="str">
        <f>R476-Q476</f>
      </c>
      <c r="T476" s="20" t="str">
        <f>IFERROR(INDEX('Cost_Components'!$R$2:$R$27,MATCH(E476,'Cost_Components'!$A$2:$A$27,0)),"")</f>
      </c>
      <c r="U476" s="75" t="str">
        <f>IFERROR(INDEX('Cost_Components'!$Q$2:$Q$27,MATCH(E476,'Cost_Components'!$A$2:$A$27,0)),"")</f>
      </c>
      <c r="V476" s="76" t="str">
        <f>1/(1+'Calculation_Assumptions'!$B$5)^(B476-'Calculation_Assumptions'!$B$2)</f>
      </c>
      <c r="W476" s="77" t="str">
        <f>Q476*V476</f>
      </c>
      <c r="X476" s="78" t="str">
        <f>R476*V476</f>
      </c>
      <c r="Y476" s="79" t="str">
        <f>S476*V476</f>
      </c>
      <c r="Z476" s="80" t="str">
        <f>IFERROR(INDEX('Cost_Components'!$T$2:$T$27,MATCH(E476,'Cost_Components'!$A$2:$A$27,0)),"")</f>
      </c>
      <c r="AA476" s="81" t="str">
        <f>IFERROR(INDEX('Cost_Components'!$U$2:$U$27,MATCH(E476,'Cost_Components'!$A$2:$A$27,0)),"")</f>
      </c>
      <c r="AB476" s="82" t="str">
        <f>IFERROR(INDEX('Cost_Components'!$V$2:$V$27,MATCH(E476,'Cost_Components'!$A$2:$A$27,0)),"")</f>
      </c>
      <c r="AC476" s="83" t="str">
        <f>IFERROR(INDEX('Cost_Components'!$M$2:$M$27,MATCH(E476,'Cost_Components'!$A$2:$A$27,0)),"")</f>
      </c>
      <c r="AD476" s="84" t="str">
        <f>IFERROR(INDEX('Cost_Components'!$N$2:$N$27,MATCH(E476,'Cost_Components'!$A$2:$A$27,0)),"")</f>
      </c>
      <c r="AE476" s="20" t="str">
        <f>IFERROR(INDEX('Cost_Components'!$O$2:$O$27,MATCH(E476,'Cost_Components'!$A$2:$A$27,0)),"")</f>
      </c>
      <c r="AF476" s="85" t="n">
        <v>821439.329930587</v>
      </c>
      <c r="AG476" s="86" t="n">
        <v>821351.265680467</v>
      </c>
      <c r="AH476" s="87" t="str">
        <f>IF(H476="shared-count-once",COUNTIFS($A$2:$A$1353,A476,$B$2:$B$1353,B476,$E$2:$E$1353,E476),1)</f>
      </c>
    </row>
    <row r="477">
      <c r="A477" t="s">
        <v>215</v>
      </c>
      <c r="B477" s="59" t="n">
        <v>2032</v>
      </c>
      <c r="C477" t="s">
        <v>215</v>
      </c>
      <c r="D477" t="s">
        <v>212</v>
      </c>
      <c r="E477" s="60" t="s">
        <v>306</v>
      </c>
      <c r="F477" s="61" t="s">
        <v>307</v>
      </c>
      <c r="G477" s="62" t="s">
        <v>216</v>
      </c>
      <c r="H477" s="63" t="s">
        <v>195</v>
      </c>
      <c r="I477" s="64" t="s">
        <v>267</v>
      </c>
      <c r="J477" s="65" t="str">
        <f>IFERROR(INDEX('Cost_Components'!$K$2:$K$27,MATCH(E477,'Cost_Components'!$A$2:$A$27,0)),"")</f>
      </c>
      <c r="K477" s="66" t="str">
        <f>IF(OR(L477="",Z477="",AA477="",AB477=""),"",IF(B477&lt;AA477,L477,IF(B477&gt;AB477,Z477,L477+(Z477-L477)*MIN(MAX((B477-AA477+1)/MAX(AB477-AA477+1,1),0),1))))</f>
      </c>
      <c r="L477" s="67" t="str">
        <f>IFERROR(INDEX('Cost_Components'!$S$2:$S$27,MATCH(E477,'Cost_Components'!$A$2:$A$27,0)),"")</f>
      </c>
      <c r="M477" s="68" t="str">
        <f>IFERROR(INDEX('Cost_Components'!$L$2:$L$27,MATCH(E477,'Cost_Components'!$A$2:$A$27,0)),"")</f>
      </c>
      <c r="N477" s="69" t="str">
        <f>IFERROR(INDEX('Cost_Components'!$P$2:$P$27,MATCH(E477,'Cost_Components'!$A$2:$A$27,0)),"")</f>
      </c>
      <c r="O477" s="70" t="str">
        <f>AF477*J477</f>
      </c>
      <c r="P477" s="71" t="str">
        <f>AG477*J477</f>
      </c>
      <c r="Q477" s="72" t="str">
        <f>P477*L477*M477*N477</f>
      </c>
      <c r="R477" s="73" t="str">
        <f>O477*K477*M477*N477</f>
      </c>
      <c r="S477" s="74" t="str">
        <f>R477-Q477</f>
      </c>
      <c r="T477" s="20" t="str">
        <f>IFERROR(INDEX('Cost_Components'!$R$2:$R$27,MATCH(E477,'Cost_Components'!$A$2:$A$27,0)),"")</f>
      </c>
      <c r="U477" s="75" t="str">
        <f>IFERROR(INDEX('Cost_Components'!$Q$2:$Q$27,MATCH(E477,'Cost_Components'!$A$2:$A$27,0)),"")</f>
      </c>
      <c r="V477" s="76" t="str">
        <f>1/(1+'Calculation_Assumptions'!$B$5)^(B477-'Calculation_Assumptions'!$B$2)</f>
      </c>
      <c r="W477" s="77" t="str">
        <f>Q477*V477</f>
      </c>
      <c r="X477" s="78" t="str">
        <f>R477*V477</f>
      </c>
      <c r="Y477" s="79" t="str">
        <f>S477*V477</f>
      </c>
      <c r="Z477" s="80" t="str">
        <f>IFERROR(INDEX('Cost_Components'!$T$2:$T$27,MATCH(E477,'Cost_Components'!$A$2:$A$27,0)),"")</f>
      </c>
      <c r="AA477" s="81" t="str">
        <f>IFERROR(INDEX('Cost_Components'!$U$2:$U$27,MATCH(E477,'Cost_Components'!$A$2:$A$27,0)),"")</f>
      </c>
      <c r="AB477" s="82" t="str">
        <f>IFERROR(INDEX('Cost_Components'!$V$2:$V$27,MATCH(E477,'Cost_Components'!$A$2:$A$27,0)),"")</f>
      </c>
      <c r="AC477" s="83" t="str">
        <f>IFERROR(INDEX('Cost_Components'!$M$2:$M$27,MATCH(E477,'Cost_Components'!$A$2:$A$27,0)),"")</f>
      </c>
      <c r="AD477" s="84" t="str">
        <f>IFERROR(INDEX('Cost_Components'!$N$2:$N$27,MATCH(E477,'Cost_Components'!$A$2:$A$27,0)),"")</f>
      </c>
      <c r="AE477" s="20" t="str">
        <f>IFERROR(INDEX('Cost_Components'!$O$2:$O$27,MATCH(E477,'Cost_Components'!$A$2:$A$27,0)),"")</f>
      </c>
      <c r="AF477" s="85" t="n">
        <v>824172.07272915</v>
      </c>
      <c r="AG477" s="86" t="n">
        <v>824063.322687065</v>
      </c>
      <c r="AH477" s="87" t="str">
        <f>IF(H477="shared-count-once",COUNTIFS($A$2:$A$1353,A477,$B$2:$B$1353,B477,$E$2:$E$1353,E477),1)</f>
      </c>
    </row>
    <row r="478">
      <c r="A478" t="s">
        <v>215</v>
      </c>
      <c r="B478" s="59" t="n">
        <v>2033</v>
      </c>
      <c r="C478" t="s">
        <v>215</v>
      </c>
      <c r="D478" t="s">
        <v>212</v>
      </c>
      <c r="E478" s="60" t="s">
        <v>306</v>
      </c>
      <c r="F478" s="61" t="s">
        <v>307</v>
      </c>
      <c r="G478" s="62" t="s">
        <v>216</v>
      </c>
      <c r="H478" s="63" t="s">
        <v>195</v>
      </c>
      <c r="I478" s="64" t="s">
        <v>267</v>
      </c>
      <c r="J478" s="65" t="str">
        <f>IFERROR(INDEX('Cost_Components'!$K$2:$K$27,MATCH(E478,'Cost_Components'!$A$2:$A$27,0)),"")</f>
      </c>
      <c r="K478" s="66" t="str">
        <f>IF(OR(L478="",Z478="",AA478="",AB478=""),"",IF(B478&lt;AA478,L478,IF(B478&gt;AB478,Z478,L478+(Z478-L478)*MIN(MAX((B478-AA478+1)/MAX(AB478-AA478+1,1),0),1))))</f>
      </c>
      <c r="L478" s="67" t="str">
        <f>IFERROR(INDEX('Cost_Components'!$S$2:$S$27,MATCH(E478,'Cost_Components'!$A$2:$A$27,0)),"")</f>
      </c>
      <c r="M478" s="68" t="str">
        <f>IFERROR(INDEX('Cost_Components'!$L$2:$L$27,MATCH(E478,'Cost_Components'!$A$2:$A$27,0)),"")</f>
      </c>
      <c r="N478" s="69" t="str">
        <f>IFERROR(INDEX('Cost_Components'!$P$2:$P$27,MATCH(E478,'Cost_Components'!$A$2:$A$27,0)),"")</f>
      </c>
      <c r="O478" s="70" t="str">
        <f>AF478*J478</f>
      </c>
      <c r="P478" s="71" t="str">
        <f>AG478*J478</f>
      </c>
      <c r="Q478" s="72" t="str">
        <f>P478*L478*M478*N478</f>
      </c>
      <c r="R478" s="73" t="str">
        <f>O478*K478*M478*N478</f>
      </c>
      <c r="S478" s="74" t="str">
        <f>R478-Q478</f>
      </c>
      <c r="T478" s="20" t="str">
        <f>IFERROR(INDEX('Cost_Components'!$R$2:$R$27,MATCH(E478,'Cost_Components'!$A$2:$A$27,0)),"")</f>
      </c>
      <c r="U478" s="75" t="str">
        <f>IFERROR(INDEX('Cost_Components'!$Q$2:$Q$27,MATCH(E478,'Cost_Components'!$A$2:$A$27,0)),"")</f>
      </c>
      <c r="V478" s="76" t="str">
        <f>1/(1+'Calculation_Assumptions'!$B$5)^(B478-'Calculation_Assumptions'!$B$2)</f>
      </c>
      <c r="W478" s="77" t="str">
        <f>Q478*V478</f>
      </c>
      <c r="X478" s="78" t="str">
        <f>R478*V478</f>
      </c>
      <c r="Y478" s="79" t="str">
        <f>S478*V478</f>
      </c>
      <c r="Z478" s="80" t="str">
        <f>IFERROR(INDEX('Cost_Components'!$T$2:$T$27,MATCH(E478,'Cost_Components'!$A$2:$A$27,0)),"")</f>
      </c>
      <c r="AA478" s="81" t="str">
        <f>IFERROR(INDEX('Cost_Components'!$U$2:$U$27,MATCH(E478,'Cost_Components'!$A$2:$A$27,0)),"")</f>
      </c>
      <c r="AB478" s="82" t="str">
        <f>IFERROR(INDEX('Cost_Components'!$V$2:$V$27,MATCH(E478,'Cost_Components'!$A$2:$A$27,0)),"")</f>
      </c>
      <c r="AC478" s="83" t="str">
        <f>IFERROR(INDEX('Cost_Components'!$M$2:$M$27,MATCH(E478,'Cost_Components'!$A$2:$A$27,0)),"")</f>
      </c>
      <c r="AD478" s="84" t="str">
        <f>IFERROR(INDEX('Cost_Components'!$N$2:$N$27,MATCH(E478,'Cost_Components'!$A$2:$A$27,0)),"")</f>
      </c>
      <c r="AE478" s="20" t="str">
        <f>IFERROR(INDEX('Cost_Components'!$O$2:$O$27,MATCH(E478,'Cost_Components'!$A$2:$A$27,0)),"")</f>
      </c>
      <c r="AF478" s="85" t="n">
        <v>827588.712316943</v>
      </c>
      <c r="AG478" s="86" t="n">
        <v>827457.794774075</v>
      </c>
      <c r="AH478" s="87" t="str">
        <f>IF(H478="shared-count-once",COUNTIFS($A$2:$A$1353,A478,$B$2:$B$1353,B478,$E$2:$E$1353,E478),1)</f>
      </c>
    </row>
    <row r="479">
      <c r="A479" t="s">
        <v>215</v>
      </c>
      <c r="B479" s="59" t="n">
        <v>2034</v>
      </c>
      <c r="C479" t="s">
        <v>215</v>
      </c>
      <c r="D479" t="s">
        <v>212</v>
      </c>
      <c r="E479" s="60" t="s">
        <v>306</v>
      </c>
      <c r="F479" s="61" t="s">
        <v>307</v>
      </c>
      <c r="G479" s="62" t="s">
        <v>216</v>
      </c>
      <c r="H479" s="63" t="s">
        <v>195</v>
      </c>
      <c r="I479" s="64" t="s">
        <v>267</v>
      </c>
      <c r="J479" s="65" t="str">
        <f>IFERROR(INDEX('Cost_Components'!$K$2:$K$27,MATCH(E479,'Cost_Components'!$A$2:$A$27,0)),"")</f>
      </c>
      <c r="K479" s="66" t="str">
        <f>IF(OR(L479="",Z479="",AA479="",AB479=""),"",IF(B479&lt;AA479,L479,IF(B479&gt;AB479,Z479,L479+(Z479-L479)*MIN(MAX((B479-AA479+1)/MAX(AB479-AA479+1,1),0),1))))</f>
      </c>
      <c r="L479" s="67" t="str">
        <f>IFERROR(INDEX('Cost_Components'!$S$2:$S$27,MATCH(E479,'Cost_Components'!$A$2:$A$27,0)),"")</f>
      </c>
      <c r="M479" s="68" t="str">
        <f>IFERROR(INDEX('Cost_Components'!$L$2:$L$27,MATCH(E479,'Cost_Components'!$A$2:$A$27,0)),"")</f>
      </c>
      <c r="N479" s="69" t="str">
        <f>IFERROR(INDEX('Cost_Components'!$P$2:$P$27,MATCH(E479,'Cost_Components'!$A$2:$A$27,0)),"")</f>
      </c>
      <c r="O479" s="70" t="str">
        <f>AF479*J479</f>
      </c>
      <c r="P479" s="71" t="str">
        <f>AG479*J479</f>
      </c>
      <c r="Q479" s="72" t="str">
        <f>P479*L479*M479*N479</f>
      </c>
      <c r="R479" s="73" t="str">
        <f>O479*K479*M479*N479</f>
      </c>
      <c r="S479" s="74" t="str">
        <f>R479-Q479</f>
      </c>
      <c r="T479" s="20" t="str">
        <f>IFERROR(INDEX('Cost_Components'!$R$2:$R$27,MATCH(E479,'Cost_Components'!$A$2:$A$27,0)),"")</f>
      </c>
      <c r="U479" s="75" t="str">
        <f>IFERROR(INDEX('Cost_Components'!$Q$2:$Q$27,MATCH(E479,'Cost_Components'!$A$2:$A$27,0)),"")</f>
      </c>
      <c r="V479" s="76" t="str">
        <f>1/(1+'Calculation_Assumptions'!$B$5)^(B479-'Calculation_Assumptions'!$B$2)</f>
      </c>
      <c r="W479" s="77" t="str">
        <f>Q479*V479</f>
      </c>
      <c r="X479" s="78" t="str">
        <f>R479*V479</f>
      </c>
      <c r="Y479" s="79" t="str">
        <f>S479*V479</f>
      </c>
      <c r="Z479" s="80" t="str">
        <f>IFERROR(INDEX('Cost_Components'!$T$2:$T$27,MATCH(E479,'Cost_Components'!$A$2:$A$27,0)),"")</f>
      </c>
      <c r="AA479" s="81" t="str">
        <f>IFERROR(INDEX('Cost_Components'!$U$2:$U$27,MATCH(E479,'Cost_Components'!$A$2:$A$27,0)),"")</f>
      </c>
      <c r="AB479" s="82" t="str">
        <f>IFERROR(INDEX('Cost_Components'!$V$2:$V$27,MATCH(E479,'Cost_Components'!$A$2:$A$27,0)),"")</f>
      </c>
      <c r="AC479" s="83" t="str">
        <f>IFERROR(INDEX('Cost_Components'!$M$2:$M$27,MATCH(E479,'Cost_Components'!$A$2:$A$27,0)),"")</f>
      </c>
      <c r="AD479" s="84" t="str">
        <f>IFERROR(INDEX('Cost_Components'!$N$2:$N$27,MATCH(E479,'Cost_Components'!$A$2:$A$27,0)),"")</f>
      </c>
      <c r="AE479" s="20" t="str">
        <f>IFERROR(INDEX('Cost_Components'!$O$2:$O$27,MATCH(E479,'Cost_Components'!$A$2:$A$27,0)),"")</f>
      </c>
      <c r="AF479" s="85" t="n">
        <v>830429.876564142</v>
      </c>
      <c r="AG479" s="86" t="n">
        <v>830275.560324906</v>
      </c>
      <c r="AH479" s="87" t="str">
        <f>IF(H479="shared-count-once",COUNTIFS($A$2:$A$1353,A479,$B$2:$B$1353,B479,$E$2:$E$1353,E479),1)</f>
      </c>
    </row>
    <row r="480">
      <c r="A480" t="s">
        <v>215</v>
      </c>
      <c r="B480" s="59" t="n">
        <v>2035</v>
      </c>
      <c r="C480" t="s">
        <v>215</v>
      </c>
      <c r="D480" t="s">
        <v>212</v>
      </c>
      <c r="E480" s="60" t="s">
        <v>306</v>
      </c>
      <c r="F480" s="61" t="s">
        <v>307</v>
      </c>
      <c r="G480" s="62" t="s">
        <v>216</v>
      </c>
      <c r="H480" s="63" t="s">
        <v>195</v>
      </c>
      <c r="I480" s="64" t="s">
        <v>267</v>
      </c>
      <c r="J480" s="65" t="str">
        <f>IFERROR(INDEX('Cost_Components'!$K$2:$K$27,MATCH(E480,'Cost_Components'!$A$2:$A$27,0)),"")</f>
      </c>
      <c r="K480" s="66" t="str">
        <f>IF(OR(L480="",Z480="",AA480="",AB480=""),"",IF(B480&lt;AA480,L480,IF(B480&gt;AB480,Z480,L480+(Z480-L480)*MIN(MAX((B480-AA480+1)/MAX(AB480-AA480+1,1),0),1))))</f>
      </c>
      <c r="L480" s="67" t="str">
        <f>IFERROR(INDEX('Cost_Components'!$S$2:$S$27,MATCH(E480,'Cost_Components'!$A$2:$A$27,0)),"")</f>
      </c>
      <c r="M480" s="68" t="str">
        <f>IFERROR(INDEX('Cost_Components'!$L$2:$L$27,MATCH(E480,'Cost_Components'!$A$2:$A$27,0)),"")</f>
      </c>
      <c r="N480" s="69" t="str">
        <f>IFERROR(INDEX('Cost_Components'!$P$2:$P$27,MATCH(E480,'Cost_Components'!$A$2:$A$27,0)),"")</f>
      </c>
      <c r="O480" s="70" t="str">
        <f>AF480*J480</f>
      </c>
      <c r="P480" s="71" t="str">
        <f>AG480*J480</f>
      </c>
      <c r="Q480" s="72" t="str">
        <f>P480*L480*M480*N480</f>
      </c>
      <c r="R480" s="73" t="str">
        <f>O480*K480*M480*N480</f>
      </c>
      <c r="S480" s="74" t="str">
        <f>R480-Q480</f>
      </c>
      <c r="T480" s="20" t="str">
        <f>IFERROR(INDEX('Cost_Components'!$R$2:$R$27,MATCH(E480,'Cost_Components'!$A$2:$A$27,0)),"")</f>
      </c>
      <c r="U480" s="75" t="str">
        <f>IFERROR(INDEX('Cost_Components'!$Q$2:$Q$27,MATCH(E480,'Cost_Components'!$A$2:$A$27,0)),"")</f>
      </c>
      <c r="V480" s="76" t="str">
        <f>1/(1+'Calculation_Assumptions'!$B$5)^(B480-'Calculation_Assumptions'!$B$2)</f>
      </c>
      <c r="W480" s="77" t="str">
        <f>Q480*V480</f>
      </c>
      <c r="X480" s="78" t="str">
        <f>R480*V480</f>
      </c>
      <c r="Y480" s="79" t="str">
        <f>S480*V480</f>
      </c>
      <c r="Z480" s="80" t="str">
        <f>IFERROR(INDEX('Cost_Components'!$T$2:$T$27,MATCH(E480,'Cost_Components'!$A$2:$A$27,0)),"")</f>
      </c>
      <c r="AA480" s="81" t="str">
        <f>IFERROR(INDEX('Cost_Components'!$U$2:$U$27,MATCH(E480,'Cost_Components'!$A$2:$A$27,0)),"")</f>
      </c>
      <c r="AB480" s="82" t="str">
        <f>IFERROR(INDEX('Cost_Components'!$V$2:$V$27,MATCH(E480,'Cost_Components'!$A$2:$A$27,0)),"")</f>
      </c>
      <c r="AC480" s="83" t="str">
        <f>IFERROR(INDEX('Cost_Components'!$M$2:$M$27,MATCH(E480,'Cost_Components'!$A$2:$A$27,0)),"")</f>
      </c>
      <c r="AD480" s="84" t="str">
        <f>IFERROR(INDEX('Cost_Components'!$N$2:$N$27,MATCH(E480,'Cost_Components'!$A$2:$A$27,0)),"")</f>
      </c>
      <c r="AE480" s="20" t="str">
        <f>IFERROR(INDEX('Cost_Components'!$O$2:$O$27,MATCH(E480,'Cost_Components'!$A$2:$A$27,0)),"")</f>
      </c>
      <c r="AF480" s="85" t="n">
        <v>829842.28846393</v>
      </c>
      <c r="AG480" s="86" t="n">
        <v>829664.484720266</v>
      </c>
      <c r="AH480" s="87" t="str">
        <f>IF(H480="shared-count-once",COUNTIFS($A$2:$A$1353,A480,$B$2:$B$1353,B480,$E$2:$E$1353,E480),1)</f>
      </c>
    </row>
    <row r="481">
      <c r="A481" t="s">
        <v>215</v>
      </c>
      <c r="B481" s="59" t="n">
        <v>2036</v>
      </c>
      <c r="C481" t="s">
        <v>215</v>
      </c>
      <c r="D481" t="s">
        <v>212</v>
      </c>
      <c r="E481" s="60" t="s">
        <v>306</v>
      </c>
      <c r="F481" s="61" t="s">
        <v>307</v>
      </c>
      <c r="G481" s="62" t="s">
        <v>216</v>
      </c>
      <c r="H481" s="63" t="s">
        <v>195</v>
      </c>
      <c r="I481" s="64" t="s">
        <v>267</v>
      </c>
      <c r="J481" s="65" t="str">
        <f>IFERROR(INDEX('Cost_Components'!$K$2:$K$27,MATCH(E481,'Cost_Components'!$A$2:$A$27,0)),"")</f>
      </c>
      <c r="K481" s="66" t="str">
        <f>IF(OR(L481="",Z481="",AA481="",AB481=""),"",IF(B481&lt;AA481,L481,IF(B481&gt;AB481,Z481,L481+(Z481-L481)*MIN(MAX((B481-AA481+1)/MAX(AB481-AA481+1,1),0),1))))</f>
      </c>
      <c r="L481" s="67" t="str">
        <f>IFERROR(INDEX('Cost_Components'!$S$2:$S$27,MATCH(E481,'Cost_Components'!$A$2:$A$27,0)),"")</f>
      </c>
      <c r="M481" s="68" t="str">
        <f>IFERROR(INDEX('Cost_Components'!$L$2:$L$27,MATCH(E481,'Cost_Components'!$A$2:$A$27,0)),"")</f>
      </c>
      <c r="N481" s="69" t="str">
        <f>IFERROR(INDEX('Cost_Components'!$P$2:$P$27,MATCH(E481,'Cost_Components'!$A$2:$A$27,0)),"")</f>
      </c>
      <c r="O481" s="70" t="str">
        <f>AF481*J481</f>
      </c>
      <c r="P481" s="71" t="str">
        <f>AG481*J481</f>
      </c>
      <c r="Q481" s="72" t="str">
        <f>P481*L481*M481*N481</f>
      </c>
      <c r="R481" s="73" t="str">
        <f>O481*K481*M481*N481</f>
      </c>
      <c r="S481" s="74" t="str">
        <f>R481-Q481</f>
      </c>
      <c r="T481" s="20" t="str">
        <f>IFERROR(INDEX('Cost_Components'!$R$2:$R$27,MATCH(E481,'Cost_Components'!$A$2:$A$27,0)),"")</f>
      </c>
      <c r="U481" s="75" t="str">
        <f>IFERROR(INDEX('Cost_Components'!$Q$2:$Q$27,MATCH(E481,'Cost_Components'!$A$2:$A$27,0)),"")</f>
      </c>
      <c r="V481" s="76" t="str">
        <f>1/(1+'Calculation_Assumptions'!$B$5)^(B481-'Calculation_Assumptions'!$B$2)</f>
      </c>
      <c r="W481" s="77" t="str">
        <f>Q481*V481</f>
      </c>
      <c r="X481" s="78" t="str">
        <f>R481*V481</f>
      </c>
      <c r="Y481" s="79" t="str">
        <f>S481*V481</f>
      </c>
      <c r="Z481" s="80" t="str">
        <f>IFERROR(INDEX('Cost_Components'!$T$2:$T$27,MATCH(E481,'Cost_Components'!$A$2:$A$27,0)),"")</f>
      </c>
      <c r="AA481" s="81" t="str">
        <f>IFERROR(INDEX('Cost_Components'!$U$2:$U$27,MATCH(E481,'Cost_Components'!$A$2:$A$27,0)),"")</f>
      </c>
      <c r="AB481" s="82" t="str">
        <f>IFERROR(INDEX('Cost_Components'!$V$2:$V$27,MATCH(E481,'Cost_Components'!$A$2:$A$27,0)),"")</f>
      </c>
      <c r="AC481" s="83" t="str">
        <f>IFERROR(INDEX('Cost_Components'!$M$2:$M$27,MATCH(E481,'Cost_Components'!$A$2:$A$27,0)),"")</f>
      </c>
      <c r="AD481" s="84" t="str">
        <f>IFERROR(INDEX('Cost_Components'!$N$2:$N$27,MATCH(E481,'Cost_Components'!$A$2:$A$27,0)),"")</f>
      </c>
      <c r="AE481" s="20" t="str">
        <f>IFERROR(INDEX('Cost_Components'!$O$2:$O$27,MATCH(E481,'Cost_Components'!$A$2:$A$27,0)),"")</f>
      </c>
      <c r="AF481" s="85" t="n">
        <v>829312.208991998</v>
      </c>
      <c r="AG481" s="86" t="n">
        <v>829110.320762237</v>
      </c>
      <c r="AH481" s="87" t="str">
        <f>IF(H481="shared-count-once",COUNTIFS($A$2:$A$1353,A481,$B$2:$B$1353,B481,$E$2:$E$1353,E481),1)</f>
      </c>
    </row>
    <row r="482">
      <c r="A482" t="s">
        <v>215</v>
      </c>
      <c r="B482" s="59" t="n">
        <v>2037</v>
      </c>
      <c r="C482" t="s">
        <v>215</v>
      </c>
      <c r="D482" t="s">
        <v>212</v>
      </c>
      <c r="E482" s="60" t="s">
        <v>306</v>
      </c>
      <c r="F482" s="61" t="s">
        <v>307</v>
      </c>
      <c r="G482" s="62" t="s">
        <v>216</v>
      </c>
      <c r="H482" s="63" t="s">
        <v>195</v>
      </c>
      <c r="I482" s="64" t="s">
        <v>267</v>
      </c>
      <c r="J482" s="65" t="str">
        <f>IFERROR(INDEX('Cost_Components'!$K$2:$K$27,MATCH(E482,'Cost_Components'!$A$2:$A$27,0)),"")</f>
      </c>
      <c r="K482" s="66" t="str">
        <f>IF(OR(L482="",Z482="",AA482="",AB482=""),"",IF(B482&lt;AA482,L482,IF(B482&gt;AB482,Z482,L482+(Z482-L482)*MIN(MAX((B482-AA482+1)/MAX(AB482-AA482+1,1),0),1))))</f>
      </c>
      <c r="L482" s="67" t="str">
        <f>IFERROR(INDEX('Cost_Components'!$S$2:$S$27,MATCH(E482,'Cost_Components'!$A$2:$A$27,0)),"")</f>
      </c>
      <c r="M482" s="68" t="str">
        <f>IFERROR(INDEX('Cost_Components'!$L$2:$L$27,MATCH(E482,'Cost_Components'!$A$2:$A$27,0)),"")</f>
      </c>
      <c r="N482" s="69" t="str">
        <f>IFERROR(INDEX('Cost_Components'!$P$2:$P$27,MATCH(E482,'Cost_Components'!$A$2:$A$27,0)),"")</f>
      </c>
      <c r="O482" s="70" t="str">
        <f>AF482*J482</f>
      </c>
      <c r="P482" s="71" t="str">
        <f>AG482*J482</f>
      </c>
      <c r="Q482" s="72" t="str">
        <f>P482*L482*M482*N482</f>
      </c>
      <c r="R482" s="73" t="str">
        <f>O482*K482*M482*N482</f>
      </c>
      <c r="S482" s="74" t="str">
        <f>R482-Q482</f>
      </c>
      <c r="T482" s="20" t="str">
        <f>IFERROR(INDEX('Cost_Components'!$R$2:$R$27,MATCH(E482,'Cost_Components'!$A$2:$A$27,0)),"")</f>
      </c>
      <c r="U482" s="75" t="str">
        <f>IFERROR(INDEX('Cost_Components'!$Q$2:$Q$27,MATCH(E482,'Cost_Components'!$A$2:$A$27,0)),"")</f>
      </c>
      <c r="V482" s="76" t="str">
        <f>1/(1+'Calculation_Assumptions'!$B$5)^(B482-'Calculation_Assumptions'!$B$2)</f>
      </c>
      <c r="W482" s="77" t="str">
        <f>Q482*V482</f>
      </c>
      <c r="X482" s="78" t="str">
        <f>R482*V482</f>
      </c>
      <c r="Y482" s="79" t="str">
        <f>S482*V482</f>
      </c>
      <c r="Z482" s="80" t="str">
        <f>IFERROR(INDEX('Cost_Components'!$T$2:$T$27,MATCH(E482,'Cost_Components'!$A$2:$A$27,0)),"")</f>
      </c>
      <c r="AA482" s="81" t="str">
        <f>IFERROR(INDEX('Cost_Components'!$U$2:$U$27,MATCH(E482,'Cost_Components'!$A$2:$A$27,0)),"")</f>
      </c>
      <c r="AB482" s="82" t="str">
        <f>IFERROR(INDEX('Cost_Components'!$V$2:$V$27,MATCH(E482,'Cost_Components'!$A$2:$A$27,0)),"")</f>
      </c>
      <c r="AC482" s="83" t="str">
        <f>IFERROR(INDEX('Cost_Components'!$M$2:$M$27,MATCH(E482,'Cost_Components'!$A$2:$A$27,0)),"")</f>
      </c>
      <c r="AD482" s="84" t="str">
        <f>IFERROR(INDEX('Cost_Components'!$N$2:$N$27,MATCH(E482,'Cost_Components'!$A$2:$A$27,0)),"")</f>
      </c>
      <c r="AE482" s="20" t="str">
        <f>IFERROR(INDEX('Cost_Components'!$O$2:$O$27,MATCH(E482,'Cost_Components'!$A$2:$A$27,0)),"")</f>
      </c>
      <c r="AF482" s="85" t="n">
        <v>828891.074322966</v>
      </c>
      <c r="AG482" s="86" t="n">
        <v>828664.43987636</v>
      </c>
      <c r="AH482" s="87" t="str">
        <f>IF(H482="shared-count-once",COUNTIFS($A$2:$A$1353,A482,$B$2:$B$1353,B482,$E$2:$E$1353,E482),1)</f>
      </c>
    </row>
    <row r="483">
      <c r="A483" t="s">
        <v>215</v>
      </c>
      <c r="B483" s="59" t="n">
        <v>2038</v>
      </c>
      <c r="C483" t="s">
        <v>215</v>
      </c>
      <c r="D483" t="s">
        <v>212</v>
      </c>
      <c r="E483" s="60" t="s">
        <v>306</v>
      </c>
      <c r="F483" s="61" t="s">
        <v>307</v>
      </c>
      <c r="G483" s="62" t="s">
        <v>216</v>
      </c>
      <c r="H483" s="63" t="s">
        <v>195</v>
      </c>
      <c r="I483" s="64" t="s">
        <v>267</v>
      </c>
      <c r="J483" s="65" t="str">
        <f>IFERROR(INDEX('Cost_Components'!$K$2:$K$27,MATCH(E483,'Cost_Components'!$A$2:$A$27,0)),"")</f>
      </c>
      <c r="K483" s="66" t="str">
        <f>IF(OR(L483="",Z483="",AA483="",AB483=""),"",IF(B483&lt;AA483,L483,IF(B483&gt;AB483,Z483,L483+(Z483-L483)*MIN(MAX((B483-AA483+1)/MAX(AB483-AA483+1,1),0),1))))</f>
      </c>
      <c r="L483" s="67" t="str">
        <f>IFERROR(INDEX('Cost_Components'!$S$2:$S$27,MATCH(E483,'Cost_Components'!$A$2:$A$27,0)),"")</f>
      </c>
      <c r="M483" s="68" t="str">
        <f>IFERROR(INDEX('Cost_Components'!$L$2:$L$27,MATCH(E483,'Cost_Components'!$A$2:$A$27,0)),"")</f>
      </c>
      <c r="N483" s="69" t="str">
        <f>IFERROR(INDEX('Cost_Components'!$P$2:$P$27,MATCH(E483,'Cost_Components'!$A$2:$A$27,0)),"")</f>
      </c>
      <c r="O483" s="70" t="str">
        <f>AF483*J483</f>
      </c>
      <c r="P483" s="71" t="str">
        <f>AG483*J483</f>
      </c>
      <c r="Q483" s="72" t="str">
        <f>P483*L483*M483*N483</f>
      </c>
      <c r="R483" s="73" t="str">
        <f>O483*K483*M483*N483</f>
      </c>
      <c r="S483" s="74" t="str">
        <f>R483-Q483</f>
      </c>
      <c r="T483" s="20" t="str">
        <f>IFERROR(INDEX('Cost_Components'!$R$2:$R$27,MATCH(E483,'Cost_Components'!$A$2:$A$27,0)),"")</f>
      </c>
      <c r="U483" s="75" t="str">
        <f>IFERROR(INDEX('Cost_Components'!$Q$2:$Q$27,MATCH(E483,'Cost_Components'!$A$2:$A$27,0)),"")</f>
      </c>
      <c r="V483" s="76" t="str">
        <f>1/(1+'Calculation_Assumptions'!$B$5)^(B483-'Calculation_Assumptions'!$B$2)</f>
      </c>
      <c r="W483" s="77" t="str">
        <f>Q483*V483</f>
      </c>
      <c r="X483" s="78" t="str">
        <f>R483*V483</f>
      </c>
      <c r="Y483" s="79" t="str">
        <f>S483*V483</f>
      </c>
      <c r="Z483" s="80" t="str">
        <f>IFERROR(INDEX('Cost_Components'!$T$2:$T$27,MATCH(E483,'Cost_Components'!$A$2:$A$27,0)),"")</f>
      </c>
      <c r="AA483" s="81" t="str">
        <f>IFERROR(INDEX('Cost_Components'!$U$2:$U$27,MATCH(E483,'Cost_Components'!$A$2:$A$27,0)),"")</f>
      </c>
      <c r="AB483" s="82" t="str">
        <f>IFERROR(INDEX('Cost_Components'!$V$2:$V$27,MATCH(E483,'Cost_Components'!$A$2:$A$27,0)),"")</f>
      </c>
      <c r="AC483" s="83" t="str">
        <f>IFERROR(INDEX('Cost_Components'!$M$2:$M$27,MATCH(E483,'Cost_Components'!$A$2:$A$27,0)),"")</f>
      </c>
      <c r="AD483" s="84" t="str">
        <f>IFERROR(INDEX('Cost_Components'!$N$2:$N$27,MATCH(E483,'Cost_Components'!$A$2:$A$27,0)),"")</f>
      </c>
      <c r="AE483" s="20" t="str">
        <f>IFERROR(INDEX('Cost_Components'!$O$2:$O$27,MATCH(E483,'Cost_Components'!$A$2:$A$27,0)),"")</f>
      </c>
      <c r="AF483" s="85" t="n">
        <v>828804.4107831</v>
      </c>
      <c r="AG483" s="86" t="n">
        <v>828552.367883504</v>
      </c>
      <c r="AH483" s="87" t="str">
        <f>IF(H483="shared-count-once",COUNTIFS($A$2:$A$1353,A483,$B$2:$B$1353,B483,$E$2:$E$1353,E483),1)</f>
      </c>
    </row>
    <row r="484">
      <c r="A484" t="s">
        <v>215</v>
      </c>
      <c r="B484" s="59" t="n">
        <v>2039</v>
      </c>
      <c r="C484" t="s">
        <v>215</v>
      </c>
      <c r="D484" t="s">
        <v>212</v>
      </c>
      <c r="E484" s="60" t="s">
        <v>306</v>
      </c>
      <c r="F484" s="61" t="s">
        <v>307</v>
      </c>
      <c r="G484" s="62" t="s">
        <v>216</v>
      </c>
      <c r="H484" s="63" t="s">
        <v>195</v>
      </c>
      <c r="I484" s="64" t="s">
        <v>267</v>
      </c>
      <c r="J484" s="65" t="str">
        <f>IFERROR(INDEX('Cost_Components'!$K$2:$K$27,MATCH(E484,'Cost_Components'!$A$2:$A$27,0)),"")</f>
      </c>
      <c r="K484" s="66" t="str">
        <f>IF(OR(L484="",Z484="",AA484="",AB484=""),"",IF(B484&lt;AA484,L484,IF(B484&gt;AB484,Z484,L484+(Z484-L484)*MIN(MAX((B484-AA484+1)/MAX(AB484-AA484+1,1),0),1))))</f>
      </c>
      <c r="L484" s="67" t="str">
        <f>IFERROR(INDEX('Cost_Components'!$S$2:$S$27,MATCH(E484,'Cost_Components'!$A$2:$A$27,0)),"")</f>
      </c>
      <c r="M484" s="68" t="str">
        <f>IFERROR(INDEX('Cost_Components'!$L$2:$L$27,MATCH(E484,'Cost_Components'!$A$2:$A$27,0)),"")</f>
      </c>
      <c r="N484" s="69" t="str">
        <f>IFERROR(INDEX('Cost_Components'!$P$2:$P$27,MATCH(E484,'Cost_Components'!$A$2:$A$27,0)),"")</f>
      </c>
      <c r="O484" s="70" t="str">
        <f>AF484*J484</f>
      </c>
      <c r="P484" s="71" t="str">
        <f>AG484*J484</f>
      </c>
      <c r="Q484" s="72" t="str">
        <f>P484*L484*M484*N484</f>
      </c>
      <c r="R484" s="73" t="str">
        <f>O484*K484*M484*N484</f>
      </c>
      <c r="S484" s="74" t="str">
        <f>R484-Q484</f>
      </c>
      <c r="T484" s="20" t="str">
        <f>IFERROR(INDEX('Cost_Components'!$R$2:$R$27,MATCH(E484,'Cost_Components'!$A$2:$A$27,0)),"")</f>
      </c>
      <c r="U484" s="75" t="str">
        <f>IFERROR(INDEX('Cost_Components'!$Q$2:$Q$27,MATCH(E484,'Cost_Components'!$A$2:$A$27,0)),"")</f>
      </c>
      <c r="V484" s="76" t="str">
        <f>1/(1+'Calculation_Assumptions'!$B$5)^(B484-'Calculation_Assumptions'!$B$2)</f>
      </c>
      <c r="W484" s="77" t="str">
        <f>Q484*V484</f>
      </c>
      <c r="X484" s="78" t="str">
        <f>R484*V484</f>
      </c>
      <c r="Y484" s="79" t="str">
        <f>S484*V484</f>
      </c>
      <c r="Z484" s="80" t="str">
        <f>IFERROR(INDEX('Cost_Components'!$T$2:$T$27,MATCH(E484,'Cost_Components'!$A$2:$A$27,0)),"")</f>
      </c>
      <c r="AA484" s="81" t="str">
        <f>IFERROR(INDEX('Cost_Components'!$U$2:$U$27,MATCH(E484,'Cost_Components'!$A$2:$A$27,0)),"")</f>
      </c>
      <c r="AB484" s="82" t="str">
        <f>IFERROR(INDEX('Cost_Components'!$V$2:$V$27,MATCH(E484,'Cost_Components'!$A$2:$A$27,0)),"")</f>
      </c>
      <c r="AC484" s="83" t="str">
        <f>IFERROR(INDEX('Cost_Components'!$M$2:$M$27,MATCH(E484,'Cost_Components'!$A$2:$A$27,0)),"")</f>
      </c>
      <c r="AD484" s="84" t="str">
        <f>IFERROR(INDEX('Cost_Components'!$N$2:$N$27,MATCH(E484,'Cost_Components'!$A$2:$A$27,0)),"")</f>
      </c>
      <c r="AE484" s="20" t="str">
        <f>IFERROR(INDEX('Cost_Components'!$O$2:$O$27,MATCH(E484,'Cost_Components'!$A$2:$A$27,0)),"")</f>
      </c>
      <c r="AF484" s="85" t="n">
        <v>829057.741789423</v>
      </c>
      <c r="AG484" s="86" t="n">
        <v>828779.869131263</v>
      </c>
      <c r="AH484" s="87" t="str">
        <f>IF(H484="shared-count-once",COUNTIFS($A$2:$A$1353,A484,$B$2:$B$1353,B484,$E$2:$E$1353,E484),1)</f>
      </c>
    </row>
    <row r="485">
      <c r="A485" t="s">
        <v>215</v>
      </c>
      <c r="B485" s="59" t="n">
        <v>2040</v>
      </c>
      <c r="C485" t="s">
        <v>215</v>
      </c>
      <c r="D485" t="s">
        <v>212</v>
      </c>
      <c r="E485" s="60" t="s">
        <v>306</v>
      </c>
      <c r="F485" s="61" t="s">
        <v>307</v>
      </c>
      <c r="G485" s="62" t="s">
        <v>216</v>
      </c>
      <c r="H485" s="63" t="s">
        <v>195</v>
      </c>
      <c r="I485" s="64" t="s">
        <v>267</v>
      </c>
      <c r="J485" s="65" t="str">
        <f>IFERROR(INDEX('Cost_Components'!$K$2:$K$27,MATCH(E485,'Cost_Components'!$A$2:$A$27,0)),"")</f>
      </c>
      <c r="K485" s="66" t="str">
        <f>IF(OR(L485="",Z485="",AA485="",AB485=""),"",IF(B485&lt;AA485,L485,IF(B485&gt;AB485,Z485,L485+(Z485-L485)*MIN(MAX((B485-AA485+1)/MAX(AB485-AA485+1,1),0),1))))</f>
      </c>
      <c r="L485" s="67" t="str">
        <f>IFERROR(INDEX('Cost_Components'!$S$2:$S$27,MATCH(E485,'Cost_Components'!$A$2:$A$27,0)),"")</f>
      </c>
      <c r="M485" s="68" t="str">
        <f>IFERROR(INDEX('Cost_Components'!$L$2:$L$27,MATCH(E485,'Cost_Components'!$A$2:$A$27,0)),"")</f>
      </c>
      <c r="N485" s="69" t="str">
        <f>IFERROR(INDEX('Cost_Components'!$P$2:$P$27,MATCH(E485,'Cost_Components'!$A$2:$A$27,0)),"")</f>
      </c>
      <c r="O485" s="70" t="str">
        <f>AF485*J485</f>
      </c>
      <c r="P485" s="71" t="str">
        <f>AG485*J485</f>
      </c>
      <c r="Q485" s="72" t="str">
        <f>P485*L485*M485*N485</f>
      </c>
      <c r="R485" s="73" t="str">
        <f>O485*K485*M485*N485</f>
      </c>
      <c r="S485" s="74" t="str">
        <f>R485-Q485</f>
      </c>
      <c r="T485" s="20" t="str">
        <f>IFERROR(INDEX('Cost_Components'!$R$2:$R$27,MATCH(E485,'Cost_Components'!$A$2:$A$27,0)),"")</f>
      </c>
      <c r="U485" s="75" t="str">
        <f>IFERROR(INDEX('Cost_Components'!$Q$2:$Q$27,MATCH(E485,'Cost_Components'!$A$2:$A$27,0)),"")</f>
      </c>
      <c r="V485" s="76" t="str">
        <f>1/(1+'Calculation_Assumptions'!$B$5)^(B485-'Calculation_Assumptions'!$B$2)</f>
      </c>
      <c r="W485" s="77" t="str">
        <f>Q485*V485</f>
      </c>
      <c r="X485" s="78" t="str">
        <f>R485*V485</f>
      </c>
      <c r="Y485" s="79" t="str">
        <f>S485*V485</f>
      </c>
      <c r="Z485" s="80" t="str">
        <f>IFERROR(INDEX('Cost_Components'!$T$2:$T$27,MATCH(E485,'Cost_Components'!$A$2:$A$27,0)),"")</f>
      </c>
      <c r="AA485" s="81" t="str">
        <f>IFERROR(INDEX('Cost_Components'!$U$2:$U$27,MATCH(E485,'Cost_Components'!$A$2:$A$27,0)),"")</f>
      </c>
      <c r="AB485" s="82" t="str">
        <f>IFERROR(INDEX('Cost_Components'!$V$2:$V$27,MATCH(E485,'Cost_Components'!$A$2:$A$27,0)),"")</f>
      </c>
      <c r="AC485" s="83" t="str">
        <f>IFERROR(INDEX('Cost_Components'!$M$2:$M$27,MATCH(E485,'Cost_Components'!$A$2:$A$27,0)),"")</f>
      </c>
      <c r="AD485" s="84" t="str">
        <f>IFERROR(INDEX('Cost_Components'!$N$2:$N$27,MATCH(E485,'Cost_Components'!$A$2:$A$27,0)),"")</f>
      </c>
      <c r="AE485" s="20" t="str">
        <f>IFERROR(INDEX('Cost_Components'!$O$2:$O$27,MATCH(E485,'Cost_Components'!$A$2:$A$27,0)),"")</f>
      </c>
      <c r="AF485" s="85" t="n">
        <v>823492.99782797</v>
      </c>
      <c r="AG485" s="86" t="n">
        <v>823191.745208456</v>
      </c>
      <c r="AH485" s="87" t="str">
        <f>IF(H485="shared-count-once",COUNTIFS($A$2:$A$1353,A485,$B$2:$B$1353,B485,$E$2:$E$1353,E485),1)</f>
      </c>
    </row>
    <row r="486">
      <c r="A486" t="s">
        <v>215</v>
      </c>
      <c r="B486" s="59" t="n">
        <v>2041</v>
      </c>
      <c r="C486" t="s">
        <v>215</v>
      </c>
      <c r="D486" t="s">
        <v>212</v>
      </c>
      <c r="E486" s="60" t="s">
        <v>306</v>
      </c>
      <c r="F486" s="61" t="s">
        <v>307</v>
      </c>
      <c r="G486" s="62" t="s">
        <v>216</v>
      </c>
      <c r="H486" s="63" t="s">
        <v>195</v>
      </c>
      <c r="I486" s="64" t="s">
        <v>267</v>
      </c>
      <c r="J486" s="65" t="str">
        <f>IFERROR(INDEX('Cost_Components'!$K$2:$K$27,MATCH(E486,'Cost_Components'!$A$2:$A$27,0)),"")</f>
      </c>
      <c r="K486" s="66" t="str">
        <f>IF(OR(L486="",Z486="",AA486="",AB486=""),"",IF(B486&lt;AA486,L486,IF(B486&gt;AB486,Z486,L486+(Z486-L486)*MIN(MAX((B486-AA486+1)/MAX(AB486-AA486+1,1),0),1))))</f>
      </c>
      <c r="L486" s="67" t="str">
        <f>IFERROR(INDEX('Cost_Components'!$S$2:$S$27,MATCH(E486,'Cost_Components'!$A$2:$A$27,0)),"")</f>
      </c>
      <c r="M486" s="68" t="str">
        <f>IFERROR(INDEX('Cost_Components'!$L$2:$L$27,MATCH(E486,'Cost_Components'!$A$2:$A$27,0)),"")</f>
      </c>
      <c r="N486" s="69" t="str">
        <f>IFERROR(INDEX('Cost_Components'!$P$2:$P$27,MATCH(E486,'Cost_Components'!$A$2:$A$27,0)),"")</f>
      </c>
      <c r="O486" s="70" t="str">
        <f>AF486*J486</f>
      </c>
      <c r="P486" s="71" t="str">
        <f>AG486*J486</f>
      </c>
      <c r="Q486" s="72" t="str">
        <f>P486*L486*M486*N486</f>
      </c>
      <c r="R486" s="73" t="str">
        <f>O486*K486*M486*N486</f>
      </c>
      <c r="S486" s="74" t="str">
        <f>R486-Q486</f>
      </c>
      <c r="T486" s="20" t="str">
        <f>IFERROR(INDEX('Cost_Components'!$R$2:$R$27,MATCH(E486,'Cost_Components'!$A$2:$A$27,0)),"")</f>
      </c>
      <c r="U486" s="75" t="str">
        <f>IFERROR(INDEX('Cost_Components'!$Q$2:$Q$27,MATCH(E486,'Cost_Components'!$A$2:$A$27,0)),"")</f>
      </c>
      <c r="V486" s="76" t="str">
        <f>1/(1+'Calculation_Assumptions'!$B$5)^(B486-'Calculation_Assumptions'!$B$2)</f>
      </c>
      <c r="W486" s="77" t="str">
        <f>Q486*V486</f>
      </c>
      <c r="X486" s="78" t="str">
        <f>R486*V486</f>
      </c>
      <c r="Y486" s="79" t="str">
        <f>S486*V486</f>
      </c>
      <c r="Z486" s="80" t="str">
        <f>IFERROR(INDEX('Cost_Components'!$T$2:$T$27,MATCH(E486,'Cost_Components'!$A$2:$A$27,0)),"")</f>
      </c>
      <c r="AA486" s="81" t="str">
        <f>IFERROR(INDEX('Cost_Components'!$U$2:$U$27,MATCH(E486,'Cost_Components'!$A$2:$A$27,0)),"")</f>
      </c>
      <c r="AB486" s="82" t="str">
        <f>IFERROR(INDEX('Cost_Components'!$V$2:$V$27,MATCH(E486,'Cost_Components'!$A$2:$A$27,0)),"")</f>
      </c>
      <c r="AC486" s="83" t="str">
        <f>IFERROR(INDEX('Cost_Components'!$M$2:$M$27,MATCH(E486,'Cost_Components'!$A$2:$A$27,0)),"")</f>
      </c>
      <c r="AD486" s="84" t="str">
        <f>IFERROR(INDEX('Cost_Components'!$N$2:$N$27,MATCH(E486,'Cost_Components'!$A$2:$A$27,0)),"")</f>
      </c>
      <c r="AE486" s="20" t="str">
        <f>IFERROR(INDEX('Cost_Components'!$O$2:$O$27,MATCH(E486,'Cost_Components'!$A$2:$A$27,0)),"")</f>
      </c>
      <c r="AF486" s="85" t="n">
        <v>819744.997992002</v>
      </c>
      <c r="AG486" s="86" t="n">
        <v>819420.087329932</v>
      </c>
      <c r="AH486" s="87" t="str">
        <f>IF(H486="shared-count-once",COUNTIFS($A$2:$A$1353,A486,$B$2:$B$1353,B486,$E$2:$E$1353,E486),1)</f>
      </c>
    </row>
    <row r="487">
      <c r="A487" t="s">
        <v>215</v>
      </c>
      <c r="B487" s="59" t="n">
        <v>2042</v>
      </c>
      <c r="C487" t="s">
        <v>215</v>
      </c>
      <c r="D487" t="s">
        <v>212</v>
      </c>
      <c r="E487" s="60" t="s">
        <v>306</v>
      </c>
      <c r="F487" s="61" t="s">
        <v>307</v>
      </c>
      <c r="G487" s="62" t="s">
        <v>216</v>
      </c>
      <c r="H487" s="63" t="s">
        <v>195</v>
      </c>
      <c r="I487" s="64" t="s">
        <v>267</v>
      </c>
      <c r="J487" s="65" t="str">
        <f>IFERROR(INDEX('Cost_Components'!$K$2:$K$27,MATCH(E487,'Cost_Components'!$A$2:$A$27,0)),"")</f>
      </c>
      <c r="K487" s="66" t="str">
        <f>IF(OR(L487="",Z487="",AA487="",AB487=""),"",IF(B487&lt;AA487,L487,IF(B487&gt;AB487,Z487,L487+(Z487-L487)*MIN(MAX((B487-AA487+1)/MAX(AB487-AA487+1,1),0),1))))</f>
      </c>
      <c r="L487" s="67" t="str">
        <f>IFERROR(INDEX('Cost_Components'!$S$2:$S$27,MATCH(E487,'Cost_Components'!$A$2:$A$27,0)),"")</f>
      </c>
      <c r="M487" s="68" t="str">
        <f>IFERROR(INDEX('Cost_Components'!$L$2:$L$27,MATCH(E487,'Cost_Components'!$A$2:$A$27,0)),"")</f>
      </c>
      <c r="N487" s="69" t="str">
        <f>IFERROR(INDEX('Cost_Components'!$P$2:$P$27,MATCH(E487,'Cost_Components'!$A$2:$A$27,0)),"")</f>
      </c>
      <c r="O487" s="70" t="str">
        <f>AF487*J487</f>
      </c>
      <c r="P487" s="71" t="str">
        <f>AG487*J487</f>
      </c>
      <c r="Q487" s="72" t="str">
        <f>P487*L487*M487*N487</f>
      </c>
      <c r="R487" s="73" t="str">
        <f>O487*K487*M487*N487</f>
      </c>
      <c r="S487" s="74" t="str">
        <f>R487-Q487</f>
      </c>
      <c r="T487" s="20" t="str">
        <f>IFERROR(INDEX('Cost_Components'!$R$2:$R$27,MATCH(E487,'Cost_Components'!$A$2:$A$27,0)),"")</f>
      </c>
      <c r="U487" s="75" t="str">
        <f>IFERROR(INDEX('Cost_Components'!$Q$2:$Q$27,MATCH(E487,'Cost_Components'!$A$2:$A$27,0)),"")</f>
      </c>
      <c r="V487" s="76" t="str">
        <f>1/(1+'Calculation_Assumptions'!$B$5)^(B487-'Calculation_Assumptions'!$B$2)</f>
      </c>
      <c r="W487" s="77" t="str">
        <f>Q487*V487</f>
      </c>
      <c r="X487" s="78" t="str">
        <f>R487*V487</f>
      </c>
      <c r="Y487" s="79" t="str">
        <f>S487*V487</f>
      </c>
      <c r="Z487" s="80" t="str">
        <f>IFERROR(INDEX('Cost_Components'!$T$2:$T$27,MATCH(E487,'Cost_Components'!$A$2:$A$27,0)),"")</f>
      </c>
      <c r="AA487" s="81" t="str">
        <f>IFERROR(INDEX('Cost_Components'!$U$2:$U$27,MATCH(E487,'Cost_Components'!$A$2:$A$27,0)),"")</f>
      </c>
      <c r="AB487" s="82" t="str">
        <f>IFERROR(INDEX('Cost_Components'!$V$2:$V$27,MATCH(E487,'Cost_Components'!$A$2:$A$27,0)),"")</f>
      </c>
      <c r="AC487" s="83" t="str">
        <f>IFERROR(INDEX('Cost_Components'!$M$2:$M$27,MATCH(E487,'Cost_Components'!$A$2:$A$27,0)),"")</f>
      </c>
      <c r="AD487" s="84" t="str">
        <f>IFERROR(INDEX('Cost_Components'!$N$2:$N$27,MATCH(E487,'Cost_Components'!$A$2:$A$27,0)),"")</f>
      </c>
      <c r="AE487" s="20" t="str">
        <f>IFERROR(INDEX('Cost_Components'!$O$2:$O$27,MATCH(E487,'Cost_Components'!$A$2:$A$27,0)),"")</f>
      </c>
      <c r="AF487" s="85" t="n">
        <v>816709.713739791</v>
      </c>
      <c r="AG487" s="86" t="n">
        <v>816361.181284443</v>
      </c>
      <c r="AH487" s="87" t="str">
        <f>IF(H487="shared-count-once",COUNTIFS($A$2:$A$1353,A487,$B$2:$B$1353,B487,$E$2:$E$1353,E487),1)</f>
      </c>
    </row>
    <row r="488">
      <c r="A488" t="s">
        <v>215</v>
      </c>
      <c r="B488" s="59" t="n">
        <v>2043</v>
      </c>
      <c r="C488" t="s">
        <v>215</v>
      </c>
      <c r="D488" t="s">
        <v>212</v>
      </c>
      <c r="E488" s="60" t="s">
        <v>306</v>
      </c>
      <c r="F488" s="61" t="s">
        <v>307</v>
      </c>
      <c r="G488" s="62" t="s">
        <v>216</v>
      </c>
      <c r="H488" s="63" t="s">
        <v>195</v>
      </c>
      <c r="I488" s="64" t="s">
        <v>267</v>
      </c>
      <c r="J488" s="65" t="str">
        <f>IFERROR(INDEX('Cost_Components'!$K$2:$K$27,MATCH(E488,'Cost_Components'!$A$2:$A$27,0)),"")</f>
      </c>
      <c r="K488" s="66" t="str">
        <f>IF(OR(L488="",Z488="",AA488="",AB488=""),"",IF(B488&lt;AA488,L488,IF(B488&gt;AB488,Z488,L488+(Z488-L488)*MIN(MAX((B488-AA488+1)/MAX(AB488-AA488+1,1),0),1))))</f>
      </c>
      <c r="L488" s="67" t="str">
        <f>IFERROR(INDEX('Cost_Components'!$S$2:$S$27,MATCH(E488,'Cost_Components'!$A$2:$A$27,0)),"")</f>
      </c>
      <c r="M488" s="68" t="str">
        <f>IFERROR(INDEX('Cost_Components'!$L$2:$L$27,MATCH(E488,'Cost_Components'!$A$2:$A$27,0)),"")</f>
      </c>
      <c r="N488" s="69" t="str">
        <f>IFERROR(INDEX('Cost_Components'!$P$2:$P$27,MATCH(E488,'Cost_Components'!$A$2:$A$27,0)),"")</f>
      </c>
      <c r="O488" s="70" t="str">
        <f>AF488*J488</f>
      </c>
      <c r="P488" s="71" t="str">
        <f>AG488*J488</f>
      </c>
      <c r="Q488" s="72" t="str">
        <f>P488*L488*M488*N488</f>
      </c>
      <c r="R488" s="73" t="str">
        <f>O488*K488*M488*N488</f>
      </c>
      <c r="S488" s="74" t="str">
        <f>R488-Q488</f>
      </c>
      <c r="T488" s="20" t="str">
        <f>IFERROR(INDEX('Cost_Components'!$R$2:$R$27,MATCH(E488,'Cost_Components'!$A$2:$A$27,0)),"")</f>
      </c>
      <c r="U488" s="75" t="str">
        <f>IFERROR(INDEX('Cost_Components'!$Q$2:$Q$27,MATCH(E488,'Cost_Components'!$A$2:$A$27,0)),"")</f>
      </c>
      <c r="V488" s="76" t="str">
        <f>1/(1+'Calculation_Assumptions'!$B$5)^(B488-'Calculation_Assumptions'!$B$2)</f>
      </c>
      <c r="W488" s="77" t="str">
        <f>Q488*V488</f>
      </c>
      <c r="X488" s="78" t="str">
        <f>R488*V488</f>
      </c>
      <c r="Y488" s="79" t="str">
        <f>S488*V488</f>
      </c>
      <c r="Z488" s="80" t="str">
        <f>IFERROR(INDEX('Cost_Components'!$T$2:$T$27,MATCH(E488,'Cost_Components'!$A$2:$A$27,0)),"")</f>
      </c>
      <c r="AA488" s="81" t="str">
        <f>IFERROR(INDEX('Cost_Components'!$U$2:$U$27,MATCH(E488,'Cost_Components'!$A$2:$A$27,0)),"")</f>
      </c>
      <c r="AB488" s="82" t="str">
        <f>IFERROR(INDEX('Cost_Components'!$V$2:$V$27,MATCH(E488,'Cost_Components'!$A$2:$A$27,0)),"")</f>
      </c>
      <c r="AC488" s="83" t="str">
        <f>IFERROR(INDEX('Cost_Components'!$M$2:$M$27,MATCH(E488,'Cost_Components'!$A$2:$A$27,0)),"")</f>
      </c>
      <c r="AD488" s="84" t="str">
        <f>IFERROR(INDEX('Cost_Components'!$N$2:$N$27,MATCH(E488,'Cost_Components'!$A$2:$A$27,0)),"")</f>
      </c>
      <c r="AE488" s="20" t="str">
        <f>IFERROR(INDEX('Cost_Components'!$O$2:$O$27,MATCH(E488,'Cost_Components'!$A$2:$A$27,0)),"")</f>
      </c>
      <c r="AF488" s="85" t="n">
        <v>814687.579397395</v>
      </c>
      <c r="AG488" s="86" t="n">
        <v>814315.335878567</v>
      </c>
      <c r="AH488" s="87" t="str">
        <f>IF(H488="shared-count-once",COUNTIFS($A$2:$A$1353,A488,$B$2:$B$1353,B488,$E$2:$E$1353,E488),1)</f>
      </c>
    </row>
    <row r="489">
      <c r="A489" t="s">
        <v>215</v>
      </c>
      <c r="B489" s="59" t="n">
        <v>2044</v>
      </c>
      <c r="C489" t="s">
        <v>215</v>
      </c>
      <c r="D489" t="s">
        <v>212</v>
      </c>
      <c r="E489" s="60" t="s">
        <v>306</v>
      </c>
      <c r="F489" s="61" t="s">
        <v>307</v>
      </c>
      <c r="G489" s="62" t="s">
        <v>216</v>
      </c>
      <c r="H489" s="63" t="s">
        <v>195</v>
      </c>
      <c r="I489" s="64" t="s">
        <v>267</v>
      </c>
      <c r="J489" s="65" t="str">
        <f>IFERROR(INDEX('Cost_Components'!$K$2:$K$27,MATCH(E489,'Cost_Components'!$A$2:$A$27,0)),"")</f>
      </c>
      <c r="K489" s="66" t="str">
        <f>IF(OR(L489="",Z489="",AA489="",AB489=""),"",IF(B489&lt;AA489,L489,IF(B489&gt;AB489,Z489,L489+(Z489-L489)*MIN(MAX((B489-AA489+1)/MAX(AB489-AA489+1,1),0),1))))</f>
      </c>
      <c r="L489" s="67" t="str">
        <f>IFERROR(INDEX('Cost_Components'!$S$2:$S$27,MATCH(E489,'Cost_Components'!$A$2:$A$27,0)),"")</f>
      </c>
      <c r="M489" s="68" t="str">
        <f>IFERROR(INDEX('Cost_Components'!$L$2:$L$27,MATCH(E489,'Cost_Components'!$A$2:$A$27,0)),"")</f>
      </c>
      <c r="N489" s="69" t="str">
        <f>IFERROR(INDEX('Cost_Components'!$P$2:$P$27,MATCH(E489,'Cost_Components'!$A$2:$A$27,0)),"")</f>
      </c>
      <c r="O489" s="70" t="str">
        <f>AF489*J489</f>
      </c>
      <c r="P489" s="71" t="str">
        <f>AG489*J489</f>
      </c>
      <c r="Q489" s="72" t="str">
        <f>P489*L489*M489*N489</f>
      </c>
      <c r="R489" s="73" t="str">
        <f>O489*K489*M489*N489</f>
      </c>
      <c r="S489" s="74" t="str">
        <f>R489-Q489</f>
      </c>
      <c r="T489" s="20" t="str">
        <f>IFERROR(INDEX('Cost_Components'!$R$2:$R$27,MATCH(E489,'Cost_Components'!$A$2:$A$27,0)),"")</f>
      </c>
      <c r="U489" s="75" t="str">
        <f>IFERROR(INDEX('Cost_Components'!$Q$2:$Q$27,MATCH(E489,'Cost_Components'!$A$2:$A$27,0)),"")</f>
      </c>
      <c r="V489" s="76" t="str">
        <f>1/(1+'Calculation_Assumptions'!$B$5)^(B489-'Calculation_Assumptions'!$B$2)</f>
      </c>
      <c r="W489" s="77" t="str">
        <f>Q489*V489</f>
      </c>
      <c r="X489" s="78" t="str">
        <f>R489*V489</f>
      </c>
      <c r="Y489" s="79" t="str">
        <f>S489*V489</f>
      </c>
      <c r="Z489" s="80" t="str">
        <f>IFERROR(INDEX('Cost_Components'!$T$2:$T$27,MATCH(E489,'Cost_Components'!$A$2:$A$27,0)),"")</f>
      </c>
      <c r="AA489" s="81" t="str">
        <f>IFERROR(INDEX('Cost_Components'!$U$2:$U$27,MATCH(E489,'Cost_Components'!$A$2:$A$27,0)),"")</f>
      </c>
      <c r="AB489" s="82" t="str">
        <f>IFERROR(INDEX('Cost_Components'!$V$2:$V$27,MATCH(E489,'Cost_Components'!$A$2:$A$27,0)),"")</f>
      </c>
      <c r="AC489" s="83" t="str">
        <f>IFERROR(INDEX('Cost_Components'!$M$2:$M$27,MATCH(E489,'Cost_Components'!$A$2:$A$27,0)),"")</f>
      </c>
      <c r="AD489" s="84" t="str">
        <f>IFERROR(INDEX('Cost_Components'!$N$2:$N$27,MATCH(E489,'Cost_Components'!$A$2:$A$27,0)),"")</f>
      </c>
      <c r="AE489" s="20" t="str">
        <f>IFERROR(INDEX('Cost_Components'!$O$2:$O$27,MATCH(E489,'Cost_Components'!$A$2:$A$27,0)),"")</f>
      </c>
      <c r="AF489" s="85" t="n">
        <v>814481.32492085</v>
      </c>
      <c r="AG489" s="86" t="n">
        <v>814084.929618606</v>
      </c>
      <c r="AH489" s="87" t="str">
        <f>IF(H489="shared-count-once",COUNTIFS($A$2:$A$1353,A489,$B$2:$B$1353,B489,$E$2:$E$1353,E489),1)</f>
      </c>
    </row>
    <row r="490">
      <c r="A490" t="s">
        <v>215</v>
      </c>
      <c r="B490" s="59" t="n">
        <v>2045</v>
      </c>
      <c r="C490" t="s">
        <v>215</v>
      </c>
      <c r="D490" t="s">
        <v>212</v>
      </c>
      <c r="E490" s="60" t="s">
        <v>306</v>
      </c>
      <c r="F490" s="61" t="s">
        <v>307</v>
      </c>
      <c r="G490" s="62" t="s">
        <v>216</v>
      </c>
      <c r="H490" s="63" t="s">
        <v>195</v>
      </c>
      <c r="I490" s="64" t="s">
        <v>267</v>
      </c>
      <c r="J490" s="65" t="str">
        <f>IFERROR(INDEX('Cost_Components'!$K$2:$K$27,MATCH(E490,'Cost_Components'!$A$2:$A$27,0)),"")</f>
      </c>
      <c r="K490" s="66" t="str">
        <f>IF(OR(L490="",Z490="",AA490="",AB490=""),"",IF(B490&lt;AA490,L490,IF(B490&gt;AB490,Z490,L490+(Z490-L490)*MIN(MAX((B490-AA490+1)/MAX(AB490-AA490+1,1),0),1))))</f>
      </c>
      <c r="L490" s="67" t="str">
        <f>IFERROR(INDEX('Cost_Components'!$S$2:$S$27,MATCH(E490,'Cost_Components'!$A$2:$A$27,0)),"")</f>
      </c>
      <c r="M490" s="68" t="str">
        <f>IFERROR(INDEX('Cost_Components'!$L$2:$L$27,MATCH(E490,'Cost_Components'!$A$2:$A$27,0)),"")</f>
      </c>
      <c r="N490" s="69" t="str">
        <f>IFERROR(INDEX('Cost_Components'!$P$2:$P$27,MATCH(E490,'Cost_Components'!$A$2:$A$27,0)),"")</f>
      </c>
      <c r="O490" s="70" t="str">
        <f>AF490*J490</f>
      </c>
      <c r="P490" s="71" t="str">
        <f>AG490*J490</f>
      </c>
      <c r="Q490" s="72" t="str">
        <f>P490*L490*M490*N490</f>
      </c>
      <c r="R490" s="73" t="str">
        <f>O490*K490*M490*N490</f>
      </c>
      <c r="S490" s="74" t="str">
        <f>R490-Q490</f>
      </c>
      <c r="T490" s="20" t="str">
        <f>IFERROR(INDEX('Cost_Components'!$R$2:$R$27,MATCH(E490,'Cost_Components'!$A$2:$A$27,0)),"")</f>
      </c>
      <c r="U490" s="75" t="str">
        <f>IFERROR(INDEX('Cost_Components'!$Q$2:$Q$27,MATCH(E490,'Cost_Components'!$A$2:$A$27,0)),"")</f>
      </c>
      <c r="V490" s="76" t="str">
        <f>1/(1+'Calculation_Assumptions'!$B$5)^(B490-'Calculation_Assumptions'!$B$2)</f>
      </c>
      <c r="W490" s="77" t="str">
        <f>Q490*V490</f>
      </c>
      <c r="X490" s="78" t="str">
        <f>R490*V490</f>
      </c>
      <c r="Y490" s="79" t="str">
        <f>S490*V490</f>
      </c>
      <c r="Z490" s="80" t="str">
        <f>IFERROR(INDEX('Cost_Components'!$T$2:$T$27,MATCH(E490,'Cost_Components'!$A$2:$A$27,0)),"")</f>
      </c>
      <c r="AA490" s="81" t="str">
        <f>IFERROR(INDEX('Cost_Components'!$U$2:$U$27,MATCH(E490,'Cost_Components'!$A$2:$A$27,0)),"")</f>
      </c>
      <c r="AB490" s="82" t="str">
        <f>IFERROR(INDEX('Cost_Components'!$V$2:$V$27,MATCH(E490,'Cost_Components'!$A$2:$A$27,0)),"")</f>
      </c>
      <c r="AC490" s="83" t="str">
        <f>IFERROR(INDEX('Cost_Components'!$M$2:$M$27,MATCH(E490,'Cost_Components'!$A$2:$A$27,0)),"")</f>
      </c>
      <c r="AD490" s="84" t="str">
        <f>IFERROR(INDEX('Cost_Components'!$N$2:$N$27,MATCH(E490,'Cost_Components'!$A$2:$A$27,0)),"")</f>
      </c>
      <c r="AE490" s="20" t="str">
        <f>IFERROR(INDEX('Cost_Components'!$O$2:$O$27,MATCH(E490,'Cost_Components'!$A$2:$A$27,0)),"")</f>
      </c>
      <c r="AF490" s="85" t="n">
        <v>805720.357309296</v>
      </c>
      <c r="AG490" s="86" t="n">
        <v>805305.922795679</v>
      </c>
      <c r="AH490" s="87" t="str">
        <f>IF(H490="shared-count-once",COUNTIFS($A$2:$A$1353,A490,$B$2:$B$1353,B490,$E$2:$E$1353,E490),1)</f>
      </c>
    </row>
    <row r="491">
      <c r="A491" t="s">
        <v>215</v>
      </c>
      <c r="B491" s="59" t="n">
        <v>2046</v>
      </c>
      <c r="C491" t="s">
        <v>215</v>
      </c>
      <c r="D491" t="s">
        <v>212</v>
      </c>
      <c r="E491" s="60" t="s">
        <v>306</v>
      </c>
      <c r="F491" s="61" t="s">
        <v>307</v>
      </c>
      <c r="G491" s="62" t="s">
        <v>216</v>
      </c>
      <c r="H491" s="63" t="s">
        <v>195</v>
      </c>
      <c r="I491" s="64" t="s">
        <v>267</v>
      </c>
      <c r="J491" s="65" t="str">
        <f>IFERROR(INDEX('Cost_Components'!$K$2:$K$27,MATCH(E491,'Cost_Components'!$A$2:$A$27,0)),"")</f>
      </c>
      <c r="K491" s="66" t="str">
        <f>IF(OR(L491="",Z491="",AA491="",AB491=""),"",IF(B491&lt;AA491,L491,IF(B491&gt;AB491,Z491,L491+(Z491-L491)*MIN(MAX((B491-AA491+1)/MAX(AB491-AA491+1,1),0),1))))</f>
      </c>
      <c r="L491" s="67" t="str">
        <f>IFERROR(INDEX('Cost_Components'!$S$2:$S$27,MATCH(E491,'Cost_Components'!$A$2:$A$27,0)),"")</f>
      </c>
      <c r="M491" s="68" t="str">
        <f>IFERROR(INDEX('Cost_Components'!$L$2:$L$27,MATCH(E491,'Cost_Components'!$A$2:$A$27,0)),"")</f>
      </c>
      <c r="N491" s="69" t="str">
        <f>IFERROR(INDEX('Cost_Components'!$P$2:$P$27,MATCH(E491,'Cost_Components'!$A$2:$A$27,0)),"")</f>
      </c>
      <c r="O491" s="70" t="str">
        <f>AF491*J491</f>
      </c>
      <c r="P491" s="71" t="str">
        <f>AG491*J491</f>
      </c>
      <c r="Q491" s="72" t="str">
        <f>P491*L491*M491*N491</f>
      </c>
      <c r="R491" s="73" t="str">
        <f>O491*K491*M491*N491</f>
      </c>
      <c r="S491" s="74" t="str">
        <f>R491-Q491</f>
      </c>
      <c r="T491" s="20" t="str">
        <f>IFERROR(INDEX('Cost_Components'!$R$2:$R$27,MATCH(E491,'Cost_Components'!$A$2:$A$27,0)),"")</f>
      </c>
      <c r="U491" s="75" t="str">
        <f>IFERROR(INDEX('Cost_Components'!$Q$2:$Q$27,MATCH(E491,'Cost_Components'!$A$2:$A$27,0)),"")</f>
      </c>
      <c r="V491" s="76" t="str">
        <f>1/(1+'Calculation_Assumptions'!$B$5)^(B491-'Calculation_Assumptions'!$B$2)</f>
      </c>
      <c r="W491" s="77" t="str">
        <f>Q491*V491</f>
      </c>
      <c r="X491" s="78" t="str">
        <f>R491*V491</f>
      </c>
      <c r="Y491" s="79" t="str">
        <f>S491*V491</f>
      </c>
      <c r="Z491" s="80" t="str">
        <f>IFERROR(INDEX('Cost_Components'!$T$2:$T$27,MATCH(E491,'Cost_Components'!$A$2:$A$27,0)),"")</f>
      </c>
      <c r="AA491" s="81" t="str">
        <f>IFERROR(INDEX('Cost_Components'!$U$2:$U$27,MATCH(E491,'Cost_Components'!$A$2:$A$27,0)),"")</f>
      </c>
      <c r="AB491" s="82" t="str">
        <f>IFERROR(INDEX('Cost_Components'!$V$2:$V$27,MATCH(E491,'Cost_Components'!$A$2:$A$27,0)),"")</f>
      </c>
      <c r="AC491" s="83" t="str">
        <f>IFERROR(INDEX('Cost_Components'!$M$2:$M$27,MATCH(E491,'Cost_Components'!$A$2:$A$27,0)),"")</f>
      </c>
      <c r="AD491" s="84" t="str">
        <f>IFERROR(INDEX('Cost_Components'!$N$2:$N$27,MATCH(E491,'Cost_Components'!$A$2:$A$27,0)),"")</f>
      </c>
      <c r="AE491" s="20" t="str">
        <f>IFERROR(INDEX('Cost_Components'!$O$2:$O$27,MATCH(E491,'Cost_Components'!$A$2:$A$27,0)),"")</f>
      </c>
      <c r="AF491" s="85" t="n">
        <v>798264.927114064</v>
      </c>
      <c r="AG491" s="86" t="n">
        <v>797833.003280589</v>
      </c>
      <c r="AH491" s="87" t="str">
        <f>IF(H491="shared-count-once",COUNTIFS($A$2:$A$1353,A491,$B$2:$B$1353,B491,$E$2:$E$1353,E491),1)</f>
      </c>
    </row>
    <row r="492">
      <c r="A492" t="s">
        <v>215</v>
      </c>
      <c r="B492" s="59" t="n">
        <v>2047</v>
      </c>
      <c r="C492" t="s">
        <v>215</v>
      </c>
      <c r="D492" t="s">
        <v>212</v>
      </c>
      <c r="E492" s="60" t="s">
        <v>306</v>
      </c>
      <c r="F492" s="61" t="s">
        <v>307</v>
      </c>
      <c r="G492" s="62" t="s">
        <v>216</v>
      </c>
      <c r="H492" s="63" t="s">
        <v>195</v>
      </c>
      <c r="I492" s="64" t="s">
        <v>267</v>
      </c>
      <c r="J492" s="65" t="str">
        <f>IFERROR(INDEX('Cost_Components'!$K$2:$K$27,MATCH(E492,'Cost_Components'!$A$2:$A$27,0)),"")</f>
      </c>
      <c r="K492" s="66" t="str">
        <f>IF(OR(L492="",Z492="",AA492="",AB492=""),"",IF(B492&lt;AA492,L492,IF(B492&gt;AB492,Z492,L492+(Z492-L492)*MIN(MAX((B492-AA492+1)/MAX(AB492-AA492+1,1),0),1))))</f>
      </c>
      <c r="L492" s="67" t="str">
        <f>IFERROR(INDEX('Cost_Components'!$S$2:$S$27,MATCH(E492,'Cost_Components'!$A$2:$A$27,0)),"")</f>
      </c>
      <c r="M492" s="68" t="str">
        <f>IFERROR(INDEX('Cost_Components'!$L$2:$L$27,MATCH(E492,'Cost_Components'!$A$2:$A$27,0)),"")</f>
      </c>
      <c r="N492" s="69" t="str">
        <f>IFERROR(INDEX('Cost_Components'!$P$2:$P$27,MATCH(E492,'Cost_Components'!$A$2:$A$27,0)),"")</f>
      </c>
      <c r="O492" s="70" t="str">
        <f>AF492*J492</f>
      </c>
      <c r="P492" s="71" t="str">
        <f>AG492*J492</f>
      </c>
      <c r="Q492" s="72" t="str">
        <f>P492*L492*M492*N492</f>
      </c>
      <c r="R492" s="73" t="str">
        <f>O492*K492*M492*N492</f>
      </c>
      <c r="S492" s="74" t="str">
        <f>R492-Q492</f>
      </c>
      <c r="T492" s="20" t="str">
        <f>IFERROR(INDEX('Cost_Components'!$R$2:$R$27,MATCH(E492,'Cost_Components'!$A$2:$A$27,0)),"")</f>
      </c>
      <c r="U492" s="75" t="str">
        <f>IFERROR(INDEX('Cost_Components'!$Q$2:$Q$27,MATCH(E492,'Cost_Components'!$A$2:$A$27,0)),"")</f>
      </c>
      <c r="V492" s="76" t="str">
        <f>1/(1+'Calculation_Assumptions'!$B$5)^(B492-'Calculation_Assumptions'!$B$2)</f>
      </c>
      <c r="W492" s="77" t="str">
        <f>Q492*V492</f>
      </c>
      <c r="X492" s="78" t="str">
        <f>R492*V492</f>
      </c>
      <c r="Y492" s="79" t="str">
        <f>S492*V492</f>
      </c>
      <c r="Z492" s="80" t="str">
        <f>IFERROR(INDEX('Cost_Components'!$T$2:$T$27,MATCH(E492,'Cost_Components'!$A$2:$A$27,0)),"")</f>
      </c>
      <c r="AA492" s="81" t="str">
        <f>IFERROR(INDEX('Cost_Components'!$U$2:$U$27,MATCH(E492,'Cost_Components'!$A$2:$A$27,0)),"")</f>
      </c>
      <c r="AB492" s="82" t="str">
        <f>IFERROR(INDEX('Cost_Components'!$V$2:$V$27,MATCH(E492,'Cost_Components'!$A$2:$A$27,0)),"")</f>
      </c>
      <c r="AC492" s="83" t="str">
        <f>IFERROR(INDEX('Cost_Components'!$M$2:$M$27,MATCH(E492,'Cost_Components'!$A$2:$A$27,0)),"")</f>
      </c>
      <c r="AD492" s="84" t="str">
        <f>IFERROR(INDEX('Cost_Components'!$N$2:$N$27,MATCH(E492,'Cost_Components'!$A$2:$A$27,0)),"")</f>
      </c>
      <c r="AE492" s="20" t="str">
        <f>IFERROR(INDEX('Cost_Components'!$O$2:$O$27,MATCH(E492,'Cost_Components'!$A$2:$A$27,0)),"")</f>
      </c>
      <c r="AF492" s="85" t="n">
        <v>791437.559159767</v>
      </c>
      <c r="AG492" s="86" t="n">
        <v>790988.996687497</v>
      </c>
      <c r="AH492" s="87" t="str">
        <f>IF(H492="shared-count-once",COUNTIFS($A$2:$A$1353,A492,$B$2:$B$1353,B492,$E$2:$E$1353,E492),1)</f>
      </c>
    </row>
    <row r="493">
      <c r="A493" t="s">
        <v>215</v>
      </c>
      <c r="B493" s="59" t="n">
        <v>2048</v>
      </c>
      <c r="C493" t="s">
        <v>215</v>
      </c>
      <c r="D493" t="s">
        <v>212</v>
      </c>
      <c r="E493" s="60" t="s">
        <v>306</v>
      </c>
      <c r="F493" s="61" t="s">
        <v>307</v>
      </c>
      <c r="G493" s="62" t="s">
        <v>216</v>
      </c>
      <c r="H493" s="63" t="s">
        <v>195</v>
      </c>
      <c r="I493" s="64" t="s">
        <v>267</v>
      </c>
      <c r="J493" s="65" t="str">
        <f>IFERROR(INDEX('Cost_Components'!$K$2:$K$27,MATCH(E493,'Cost_Components'!$A$2:$A$27,0)),"")</f>
      </c>
      <c r="K493" s="66" t="str">
        <f>IF(OR(L493="",Z493="",AA493="",AB493=""),"",IF(B493&lt;AA493,L493,IF(B493&gt;AB493,Z493,L493+(Z493-L493)*MIN(MAX((B493-AA493+1)/MAX(AB493-AA493+1,1),0),1))))</f>
      </c>
      <c r="L493" s="67" t="str">
        <f>IFERROR(INDEX('Cost_Components'!$S$2:$S$27,MATCH(E493,'Cost_Components'!$A$2:$A$27,0)),"")</f>
      </c>
      <c r="M493" s="68" t="str">
        <f>IFERROR(INDEX('Cost_Components'!$L$2:$L$27,MATCH(E493,'Cost_Components'!$A$2:$A$27,0)),"")</f>
      </c>
      <c r="N493" s="69" t="str">
        <f>IFERROR(INDEX('Cost_Components'!$P$2:$P$27,MATCH(E493,'Cost_Components'!$A$2:$A$27,0)),"")</f>
      </c>
      <c r="O493" s="70" t="str">
        <f>AF493*J493</f>
      </c>
      <c r="P493" s="71" t="str">
        <f>AG493*J493</f>
      </c>
      <c r="Q493" s="72" t="str">
        <f>P493*L493*M493*N493</f>
      </c>
      <c r="R493" s="73" t="str">
        <f>O493*K493*M493*N493</f>
      </c>
      <c r="S493" s="74" t="str">
        <f>R493-Q493</f>
      </c>
      <c r="T493" s="20" t="str">
        <f>IFERROR(INDEX('Cost_Components'!$R$2:$R$27,MATCH(E493,'Cost_Components'!$A$2:$A$27,0)),"")</f>
      </c>
      <c r="U493" s="75" t="str">
        <f>IFERROR(INDEX('Cost_Components'!$Q$2:$Q$27,MATCH(E493,'Cost_Components'!$A$2:$A$27,0)),"")</f>
      </c>
      <c r="V493" s="76" t="str">
        <f>1/(1+'Calculation_Assumptions'!$B$5)^(B493-'Calculation_Assumptions'!$B$2)</f>
      </c>
      <c r="W493" s="77" t="str">
        <f>Q493*V493</f>
      </c>
      <c r="X493" s="78" t="str">
        <f>R493*V493</f>
      </c>
      <c r="Y493" s="79" t="str">
        <f>S493*V493</f>
      </c>
      <c r="Z493" s="80" t="str">
        <f>IFERROR(INDEX('Cost_Components'!$T$2:$T$27,MATCH(E493,'Cost_Components'!$A$2:$A$27,0)),"")</f>
      </c>
      <c r="AA493" s="81" t="str">
        <f>IFERROR(INDEX('Cost_Components'!$U$2:$U$27,MATCH(E493,'Cost_Components'!$A$2:$A$27,0)),"")</f>
      </c>
      <c r="AB493" s="82" t="str">
        <f>IFERROR(INDEX('Cost_Components'!$V$2:$V$27,MATCH(E493,'Cost_Components'!$A$2:$A$27,0)),"")</f>
      </c>
      <c r="AC493" s="83" t="str">
        <f>IFERROR(INDEX('Cost_Components'!$M$2:$M$27,MATCH(E493,'Cost_Components'!$A$2:$A$27,0)),"")</f>
      </c>
      <c r="AD493" s="84" t="str">
        <f>IFERROR(INDEX('Cost_Components'!$N$2:$N$27,MATCH(E493,'Cost_Components'!$A$2:$A$27,0)),"")</f>
      </c>
      <c r="AE493" s="20" t="str">
        <f>IFERROR(INDEX('Cost_Components'!$O$2:$O$27,MATCH(E493,'Cost_Components'!$A$2:$A$27,0)),"")</f>
      </c>
      <c r="AF493" s="85" t="n">
        <v>785557.702072869</v>
      </c>
      <c r="AG493" s="86" t="n">
        <v>785093.120897151</v>
      </c>
      <c r="AH493" s="87" t="str">
        <f>IF(H493="shared-count-once",COUNTIFS($A$2:$A$1353,A493,$B$2:$B$1353,B493,$E$2:$E$1353,E493),1)</f>
      </c>
    </row>
    <row r="494">
      <c r="A494" t="s">
        <v>215</v>
      </c>
      <c r="B494" s="59" t="n">
        <v>2049</v>
      </c>
      <c r="C494" t="s">
        <v>215</v>
      </c>
      <c r="D494" t="s">
        <v>212</v>
      </c>
      <c r="E494" s="60" t="s">
        <v>306</v>
      </c>
      <c r="F494" s="61" t="s">
        <v>307</v>
      </c>
      <c r="G494" s="62" t="s">
        <v>216</v>
      </c>
      <c r="H494" s="63" t="s">
        <v>195</v>
      </c>
      <c r="I494" s="64" t="s">
        <v>267</v>
      </c>
      <c r="J494" s="65" t="str">
        <f>IFERROR(INDEX('Cost_Components'!$K$2:$K$27,MATCH(E494,'Cost_Components'!$A$2:$A$27,0)),"")</f>
      </c>
      <c r="K494" s="66" t="str">
        <f>IF(OR(L494="",Z494="",AA494="",AB494=""),"",IF(B494&lt;AA494,L494,IF(B494&gt;AB494,Z494,L494+(Z494-L494)*MIN(MAX((B494-AA494+1)/MAX(AB494-AA494+1,1),0),1))))</f>
      </c>
      <c r="L494" s="67" t="str">
        <f>IFERROR(INDEX('Cost_Components'!$S$2:$S$27,MATCH(E494,'Cost_Components'!$A$2:$A$27,0)),"")</f>
      </c>
      <c r="M494" s="68" t="str">
        <f>IFERROR(INDEX('Cost_Components'!$L$2:$L$27,MATCH(E494,'Cost_Components'!$A$2:$A$27,0)),"")</f>
      </c>
      <c r="N494" s="69" t="str">
        <f>IFERROR(INDEX('Cost_Components'!$P$2:$P$27,MATCH(E494,'Cost_Components'!$A$2:$A$27,0)),"")</f>
      </c>
      <c r="O494" s="70" t="str">
        <f>AF494*J494</f>
      </c>
      <c r="P494" s="71" t="str">
        <f>AG494*J494</f>
      </c>
      <c r="Q494" s="72" t="str">
        <f>P494*L494*M494*N494</f>
      </c>
      <c r="R494" s="73" t="str">
        <f>O494*K494*M494*N494</f>
      </c>
      <c r="S494" s="74" t="str">
        <f>R494-Q494</f>
      </c>
      <c r="T494" s="20" t="str">
        <f>IFERROR(INDEX('Cost_Components'!$R$2:$R$27,MATCH(E494,'Cost_Components'!$A$2:$A$27,0)),"")</f>
      </c>
      <c r="U494" s="75" t="str">
        <f>IFERROR(INDEX('Cost_Components'!$Q$2:$Q$27,MATCH(E494,'Cost_Components'!$A$2:$A$27,0)),"")</f>
      </c>
      <c r="V494" s="76" t="str">
        <f>1/(1+'Calculation_Assumptions'!$B$5)^(B494-'Calculation_Assumptions'!$B$2)</f>
      </c>
      <c r="W494" s="77" t="str">
        <f>Q494*V494</f>
      </c>
      <c r="X494" s="78" t="str">
        <f>R494*V494</f>
      </c>
      <c r="Y494" s="79" t="str">
        <f>S494*V494</f>
      </c>
      <c r="Z494" s="80" t="str">
        <f>IFERROR(INDEX('Cost_Components'!$T$2:$T$27,MATCH(E494,'Cost_Components'!$A$2:$A$27,0)),"")</f>
      </c>
      <c r="AA494" s="81" t="str">
        <f>IFERROR(INDEX('Cost_Components'!$U$2:$U$27,MATCH(E494,'Cost_Components'!$A$2:$A$27,0)),"")</f>
      </c>
      <c r="AB494" s="82" t="str">
        <f>IFERROR(INDEX('Cost_Components'!$V$2:$V$27,MATCH(E494,'Cost_Components'!$A$2:$A$27,0)),"")</f>
      </c>
      <c r="AC494" s="83" t="str">
        <f>IFERROR(INDEX('Cost_Components'!$M$2:$M$27,MATCH(E494,'Cost_Components'!$A$2:$A$27,0)),"")</f>
      </c>
      <c r="AD494" s="84" t="str">
        <f>IFERROR(INDEX('Cost_Components'!$N$2:$N$27,MATCH(E494,'Cost_Components'!$A$2:$A$27,0)),"")</f>
      </c>
      <c r="AE494" s="20" t="str">
        <f>IFERROR(INDEX('Cost_Components'!$O$2:$O$27,MATCH(E494,'Cost_Components'!$A$2:$A$27,0)),"")</f>
      </c>
      <c r="AF494" s="85" t="n">
        <v>782217.266859668</v>
      </c>
      <c r="AG494" s="86" t="n">
        <v>781735.799042148</v>
      </c>
      <c r="AH494" s="87" t="str">
        <f>IF(H494="shared-count-once",COUNTIFS($A$2:$A$1353,A494,$B$2:$B$1353,B494,$E$2:$E$1353,E494),1)</f>
      </c>
    </row>
    <row r="495">
      <c r="A495" t="s">
        <v>215</v>
      </c>
      <c r="B495" s="59" t="n">
        <v>2050</v>
      </c>
      <c r="C495" t="s">
        <v>215</v>
      </c>
      <c r="D495" t="s">
        <v>212</v>
      </c>
      <c r="E495" s="60" t="s">
        <v>306</v>
      </c>
      <c r="F495" s="61" t="s">
        <v>307</v>
      </c>
      <c r="G495" s="62" t="s">
        <v>216</v>
      </c>
      <c r="H495" s="63" t="s">
        <v>195</v>
      </c>
      <c r="I495" s="64" t="s">
        <v>267</v>
      </c>
      <c r="J495" s="65" t="str">
        <f>IFERROR(INDEX('Cost_Components'!$K$2:$K$27,MATCH(E495,'Cost_Components'!$A$2:$A$27,0)),"")</f>
      </c>
      <c r="K495" s="66" t="str">
        <f>IF(OR(L495="",Z495="",AA495="",AB495=""),"",IF(B495&lt;AA495,L495,IF(B495&gt;AB495,Z495,L495+(Z495-L495)*MIN(MAX((B495-AA495+1)/MAX(AB495-AA495+1,1),0),1))))</f>
      </c>
      <c r="L495" s="67" t="str">
        <f>IFERROR(INDEX('Cost_Components'!$S$2:$S$27,MATCH(E495,'Cost_Components'!$A$2:$A$27,0)),"")</f>
      </c>
      <c r="M495" s="68" t="str">
        <f>IFERROR(INDEX('Cost_Components'!$L$2:$L$27,MATCH(E495,'Cost_Components'!$A$2:$A$27,0)),"")</f>
      </c>
      <c r="N495" s="69" t="str">
        <f>IFERROR(INDEX('Cost_Components'!$P$2:$P$27,MATCH(E495,'Cost_Components'!$A$2:$A$27,0)),"")</f>
      </c>
      <c r="O495" s="70" t="str">
        <f>AF495*J495</f>
      </c>
      <c r="P495" s="71" t="str">
        <f>AG495*J495</f>
      </c>
      <c r="Q495" s="72" t="str">
        <f>P495*L495*M495*N495</f>
      </c>
      <c r="R495" s="73" t="str">
        <f>O495*K495*M495*N495</f>
      </c>
      <c r="S495" s="74" t="str">
        <f>R495-Q495</f>
      </c>
      <c r="T495" s="20" t="str">
        <f>IFERROR(INDEX('Cost_Components'!$R$2:$R$27,MATCH(E495,'Cost_Components'!$A$2:$A$27,0)),"")</f>
      </c>
      <c r="U495" s="75" t="str">
        <f>IFERROR(INDEX('Cost_Components'!$Q$2:$Q$27,MATCH(E495,'Cost_Components'!$A$2:$A$27,0)),"")</f>
      </c>
      <c r="V495" s="76" t="str">
        <f>1/(1+'Calculation_Assumptions'!$B$5)^(B495-'Calculation_Assumptions'!$B$2)</f>
      </c>
      <c r="W495" s="77" t="str">
        <f>Q495*V495</f>
      </c>
      <c r="X495" s="78" t="str">
        <f>R495*V495</f>
      </c>
      <c r="Y495" s="79" t="str">
        <f>S495*V495</f>
      </c>
      <c r="Z495" s="80" t="str">
        <f>IFERROR(INDEX('Cost_Components'!$T$2:$T$27,MATCH(E495,'Cost_Components'!$A$2:$A$27,0)),"")</f>
      </c>
      <c r="AA495" s="81" t="str">
        <f>IFERROR(INDEX('Cost_Components'!$U$2:$U$27,MATCH(E495,'Cost_Components'!$A$2:$A$27,0)),"")</f>
      </c>
      <c r="AB495" s="82" t="str">
        <f>IFERROR(INDEX('Cost_Components'!$V$2:$V$27,MATCH(E495,'Cost_Components'!$A$2:$A$27,0)),"")</f>
      </c>
      <c r="AC495" s="83" t="str">
        <f>IFERROR(INDEX('Cost_Components'!$M$2:$M$27,MATCH(E495,'Cost_Components'!$A$2:$A$27,0)),"")</f>
      </c>
      <c r="AD495" s="84" t="str">
        <f>IFERROR(INDEX('Cost_Components'!$N$2:$N$27,MATCH(E495,'Cost_Components'!$A$2:$A$27,0)),"")</f>
      </c>
      <c r="AE495" s="20" t="str">
        <f>IFERROR(INDEX('Cost_Components'!$O$2:$O$27,MATCH(E495,'Cost_Components'!$A$2:$A$27,0)),"")</f>
      </c>
      <c r="AF495" s="85" t="n">
        <v>773914.834385966</v>
      </c>
      <c r="AG495" s="86" t="n">
        <v>773422.174403826</v>
      </c>
      <c r="AH495" s="87" t="str">
        <f>IF(H495="shared-count-once",COUNTIFS($A$2:$A$1353,A495,$B$2:$B$1353,B495,$E$2:$E$1353,E495),1)</f>
      </c>
    </row>
    <row r="496">
      <c r="A496" t="s">
        <v>220</v>
      </c>
      <c r="B496" s="59" t="n">
        <v>2025</v>
      </c>
      <c r="C496" t="s">
        <v>220</v>
      </c>
      <c r="D496" t="s">
        <v>176</v>
      </c>
      <c r="E496" s="60" t="s">
        <v>309</v>
      </c>
      <c r="F496" s="61" t="s">
        <v>310</v>
      </c>
      <c r="G496" s="62" t="s">
        <v>221</v>
      </c>
      <c r="H496" s="63" t="s">
        <v>195</v>
      </c>
      <c r="I496" s="64" t="s">
        <v>170</v>
      </c>
      <c r="J496" s="65" t="str">
        <f>IFERROR(INDEX('Cost_Components'!$K$2:$K$27,MATCH(E496,'Cost_Components'!$A$2:$A$27,0)),"")</f>
      </c>
      <c r="K496" s="66" t="str">
        <f>IF(OR(L496="",Z496="",AA496="",AB496=""),"",IF(B496&lt;AA496,L496,IF(B496&gt;AB496,Z496,L496+(Z496-L496)*MIN(MAX((B496-AA496+1)/MAX(AB496-AA496+1,1),0),1))))</f>
      </c>
      <c r="L496" s="67" t="str">
        <f>IFERROR(INDEX('Cost_Components'!$S$2:$S$27,MATCH(E496,'Cost_Components'!$A$2:$A$27,0)),"")</f>
      </c>
      <c r="M496" s="68" t="str">
        <f>IFERROR(INDEX('Cost_Components'!$L$2:$L$27,MATCH(E496,'Cost_Components'!$A$2:$A$27,0)),"")</f>
      </c>
      <c r="N496" s="69" t="str">
        <f>IFERROR(INDEX('Cost_Components'!$P$2:$P$27,MATCH(E496,'Cost_Components'!$A$2:$A$27,0)),"")</f>
      </c>
      <c r="O496" s="70" t="str">
        <f>AF496*J496</f>
      </c>
      <c r="P496" s="71" t="str">
        <f>AG496*J496</f>
      </c>
      <c r="Q496" s="72" t="str">
        <f>P496*L496*M496*N496</f>
      </c>
      <c r="R496" s="73" t="str">
        <f>O496*K496*M496*N496</f>
      </c>
      <c r="S496" s="74" t="str">
        <f>R496-Q496</f>
      </c>
      <c r="T496" s="20" t="str">
        <f>IFERROR(INDEX('Cost_Components'!$R$2:$R$27,MATCH(E496,'Cost_Components'!$A$2:$A$27,0)),"")</f>
      </c>
      <c r="U496" s="75" t="str">
        <f>IFERROR(INDEX('Cost_Components'!$Q$2:$Q$27,MATCH(E496,'Cost_Components'!$A$2:$A$27,0)),"")</f>
      </c>
      <c r="V496" s="76" t="str">
        <f>1/(1+'Calculation_Assumptions'!$B$5)^(B496-'Calculation_Assumptions'!$B$2)</f>
      </c>
      <c r="W496" s="77" t="str">
        <f>Q496*V496</f>
      </c>
      <c r="X496" s="78" t="str">
        <f>R496*V496</f>
      </c>
      <c r="Y496" s="79" t="str">
        <f>S496*V496</f>
      </c>
      <c r="Z496" s="80" t="str">
        <f>IFERROR(INDEX('Cost_Components'!$T$2:$T$27,MATCH(E496,'Cost_Components'!$A$2:$A$27,0)),"")</f>
      </c>
      <c r="AA496" s="81" t="str">
        <f>IFERROR(INDEX('Cost_Components'!$U$2:$U$27,MATCH(E496,'Cost_Components'!$A$2:$A$27,0)),"")</f>
      </c>
      <c r="AB496" s="82" t="str">
        <f>IFERROR(INDEX('Cost_Components'!$V$2:$V$27,MATCH(E496,'Cost_Components'!$A$2:$A$27,0)),"")</f>
      </c>
      <c r="AC496" s="83" t="str">
        <f>IFERROR(INDEX('Cost_Components'!$M$2:$M$27,MATCH(E496,'Cost_Components'!$A$2:$A$27,0)),"")</f>
      </c>
      <c r="AD496" s="84" t="str">
        <f>IFERROR(INDEX('Cost_Components'!$N$2:$N$27,MATCH(E496,'Cost_Components'!$A$2:$A$27,0)),"")</f>
      </c>
      <c r="AE496" s="20" t="str">
        <f>IFERROR(INDEX('Cost_Components'!$O$2:$O$27,MATCH(E496,'Cost_Components'!$A$2:$A$27,0)),"")</f>
      </c>
      <c r="AF496" s="85" t="n">
        <v>270359.450224046</v>
      </c>
      <c r="AG496" s="86" t="n">
        <v>270359.450224046</v>
      </c>
      <c r="AH496" s="87" t="str">
        <f>IF(H496="shared-count-once",COUNTIFS($A$2:$A$1353,A496,$B$2:$B$1353,B496,$E$2:$E$1353,E496),1)</f>
      </c>
    </row>
    <row r="497">
      <c r="A497" t="s">
        <v>220</v>
      </c>
      <c r="B497" s="59" t="n">
        <v>2026</v>
      </c>
      <c r="C497" t="s">
        <v>220</v>
      </c>
      <c r="D497" t="s">
        <v>176</v>
      </c>
      <c r="E497" s="60" t="s">
        <v>309</v>
      </c>
      <c r="F497" s="61" t="s">
        <v>310</v>
      </c>
      <c r="G497" s="62" t="s">
        <v>221</v>
      </c>
      <c r="H497" s="63" t="s">
        <v>195</v>
      </c>
      <c r="I497" s="64" t="s">
        <v>170</v>
      </c>
      <c r="J497" s="65" t="str">
        <f>IFERROR(INDEX('Cost_Components'!$K$2:$K$27,MATCH(E497,'Cost_Components'!$A$2:$A$27,0)),"")</f>
      </c>
      <c r="K497" s="66" t="str">
        <f>IF(OR(L497="",Z497="",AA497="",AB497=""),"",IF(B497&lt;AA497,L497,IF(B497&gt;AB497,Z497,L497+(Z497-L497)*MIN(MAX((B497-AA497+1)/MAX(AB497-AA497+1,1),0),1))))</f>
      </c>
      <c r="L497" s="67" t="str">
        <f>IFERROR(INDEX('Cost_Components'!$S$2:$S$27,MATCH(E497,'Cost_Components'!$A$2:$A$27,0)),"")</f>
      </c>
      <c r="M497" s="68" t="str">
        <f>IFERROR(INDEX('Cost_Components'!$L$2:$L$27,MATCH(E497,'Cost_Components'!$A$2:$A$27,0)),"")</f>
      </c>
      <c r="N497" s="69" t="str">
        <f>IFERROR(INDEX('Cost_Components'!$P$2:$P$27,MATCH(E497,'Cost_Components'!$A$2:$A$27,0)),"")</f>
      </c>
      <c r="O497" s="70" t="str">
        <f>AF497*J497</f>
      </c>
      <c r="P497" s="71" t="str">
        <f>AG497*J497</f>
      </c>
      <c r="Q497" s="72" t="str">
        <f>P497*L497*M497*N497</f>
      </c>
      <c r="R497" s="73" t="str">
        <f>O497*K497*M497*N497</f>
      </c>
      <c r="S497" s="74" t="str">
        <f>R497-Q497</f>
      </c>
      <c r="T497" s="20" t="str">
        <f>IFERROR(INDEX('Cost_Components'!$R$2:$R$27,MATCH(E497,'Cost_Components'!$A$2:$A$27,0)),"")</f>
      </c>
      <c r="U497" s="75" t="str">
        <f>IFERROR(INDEX('Cost_Components'!$Q$2:$Q$27,MATCH(E497,'Cost_Components'!$A$2:$A$27,0)),"")</f>
      </c>
      <c r="V497" s="76" t="str">
        <f>1/(1+'Calculation_Assumptions'!$B$5)^(B497-'Calculation_Assumptions'!$B$2)</f>
      </c>
      <c r="W497" s="77" t="str">
        <f>Q497*V497</f>
      </c>
      <c r="X497" s="78" t="str">
        <f>R497*V497</f>
      </c>
      <c r="Y497" s="79" t="str">
        <f>S497*V497</f>
      </c>
      <c r="Z497" s="80" t="str">
        <f>IFERROR(INDEX('Cost_Components'!$T$2:$T$27,MATCH(E497,'Cost_Components'!$A$2:$A$27,0)),"")</f>
      </c>
      <c r="AA497" s="81" t="str">
        <f>IFERROR(INDEX('Cost_Components'!$U$2:$U$27,MATCH(E497,'Cost_Components'!$A$2:$A$27,0)),"")</f>
      </c>
      <c r="AB497" s="82" t="str">
        <f>IFERROR(INDEX('Cost_Components'!$V$2:$V$27,MATCH(E497,'Cost_Components'!$A$2:$A$27,0)),"")</f>
      </c>
      <c r="AC497" s="83" t="str">
        <f>IFERROR(INDEX('Cost_Components'!$M$2:$M$27,MATCH(E497,'Cost_Components'!$A$2:$A$27,0)),"")</f>
      </c>
      <c r="AD497" s="84" t="str">
        <f>IFERROR(INDEX('Cost_Components'!$N$2:$N$27,MATCH(E497,'Cost_Components'!$A$2:$A$27,0)),"")</f>
      </c>
      <c r="AE497" s="20" t="str">
        <f>IFERROR(INDEX('Cost_Components'!$O$2:$O$27,MATCH(E497,'Cost_Components'!$A$2:$A$27,0)),"")</f>
      </c>
      <c r="AF497" s="85" t="n">
        <v>271554.609623422</v>
      </c>
      <c r="AG497" s="86" t="n">
        <v>271553.962125425</v>
      </c>
      <c r="AH497" s="87" t="str">
        <f>IF(H497="shared-count-once",COUNTIFS($A$2:$A$1353,A497,$B$2:$B$1353,B497,$E$2:$E$1353,E497),1)</f>
      </c>
    </row>
    <row r="498">
      <c r="A498" t="s">
        <v>220</v>
      </c>
      <c r="B498" s="59" t="n">
        <v>2027</v>
      </c>
      <c r="C498" t="s">
        <v>220</v>
      </c>
      <c r="D498" t="s">
        <v>176</v>
      </c>
      <c r="E498" s="60" t="s">
        <v>309</v>
      </c>
      <c r="F498" s="61" t="s">
        <v>310</v>
      </c>
      <c r="G498" s="62" t="s">
        <v>221</v>
      </c>
      <c r="H498" s="63" t="s">
        <v>195</v>
      </c>
      <c r="I498" s="64" t="s">
        <v>170</v>
      </c>
      <c r="J498" s="65" t="str">
        <f>IFERROR(INDEX('Cost_Components'!$K$2:$K$27,MATCH(E498,'Cost_Components'!$A$2:$A$27,0)),"")</f>
      </c>
      <c r="K498" s="66" t="str">
        <f>IF(OR(L498="",Z498="",AA498="",AB498=""),"",IF(B498&lt;AA498,L498,IF(B498&gt;AB498,Z498,L498+(Z498-L498)*MIN(MAX((B498-AA498+1)/MAX(AB498-AA498+1,1),0),1))))</f>
      </c>
      <c r="L498" s="67" t="str">
        <f>IFERROR(INDEX('Cost_Components'!$S$2:$S$27,MATCH(E498,'Cost_Components'!$A$2:$A$27,0)),"")</f>
      </c>
      <c r="M498" s="68" t="str">
        <f>IFERROR(INDEX('Cost_Components'!$L$2:$L$27,MATCH(E498,'Cost_Components'!$A$2:$A$27,0)),"")</f>
      </c>
      <c r="N498" s="69" t="str">
        <f>IFERROR(INDEX('Cost_Components'!$P$2:$P$27,MATCH(E498,'Cost_Components'!$A$2:$A$27,0)),"")</f>
      </c>
      <c r="O498" s="70" t="str">
        <f>AF498*J498</f>
      </c>
      <c r="P498" s="71" t="str">
        <f>AG498*J498</f>
      </c>
      <c r="Q498" s="72" t="str">
        <f>P498*L498*M498*N498</f>
      </c>
      <c r="R498" s="73" t="str">
        <f>O498*K498*M498*N498</f>
      </c>
      <c r="S498" s="74" t="str">
        <f>R498-Q498</f>
      </c>
      <c r="T498" s="20" t="str">
        <f>IFERROR(INDEX('Cost_Components'!$R$2:$R$27,MATCH(E498,'Cost_Components'!$A$2:$A$27,0)),"")</f>
      </c>
      <c r="U498" s="75" t="str">
        <f>IFERROR(INDEX('Cost_Components'!$Q$2:$Q$27,MATCH(E498,'Cost_Components'!$A$2:$A$27,0)),"")</f>
      </c>
      <c r="V498" s="76" t="str">
        <f>1/(1+'Calculation_Assumptions'!$B$5)^(B498-'Calculation_Assumptions'!$B$2)</f>
      </c>
      <c r="W498" s="77" t="str">
        <f>Q498*V498</f>
      </c>
      <c r="X498" s="78" t="str">
        <f>R498*V498</f>
      </c>
      <c r="Y498" s="79" t="str">
        <f>S498*V498</f>
      </c>
      <c r="Z498" s="80" t="str">
        <f>IFERROR(INDEX('Cost_Components'!$T$2:$T$27,MATCH(E498,'Cost_Components'!$A$2:$A$27,0)),"")</f>
      </c>
      <c r="AA498" s="81" t="str">
        <f>IFERROR(INDEX('Cost_Components'!$U$2:$U$27,MATCH(E498,'Cost_Components'!$A$2:$A$27,0)),"")</f>
      </c>
      <c r="AB498" s="82" t="str">
        <f>IFERROR(INDEX('Cost_Components'!$V$2:$V$27,MATCH(E498,'Cost_Components'!$A$2:$A$27,0)),"")</f>
      </c>
      <c r="AC498" s="83" t="str">
        <f>IFERROR(INDEX('Cost_Components'!$M$2:$M$27,MATCH(E498,'Cost_Components'!$A$2:$A$27,0)),"")</f>
      </c>
      <c r="AD498" s="84" t="str">
        <f>IFERROR(INDEX('Cost_Components'!$N$2:$N$27,MATCH(E498,'Cost_Components'!$A$2:$A$27,0)),"")</f>
      </c>
      <c r="AE498" s="20" t="str">
        <f>IFERROR(INDEX('Cost_Components'!$O$2:$O$27,MATCH(E498,'Cost_Components'!$A$2:$A$27,0)),"")</f>
      </c>
      <c r="AF498" s="85" t="n">
        <v>266845.911684858</v>
      </c>
      <c r="AG498" s="86" t="n">
        <v>266844.13310635</v>
      </c>
      <c r="AH498" s="87" t="str">
        <f>IF(H498="shared-count-once",COUNTIFS($A$2:$A$1353,A498,$B$2:$B$1353,B498,$E$2:$E$1353,E498),1)</f>
      </c>
    </row>
    <row r="499">
      <c r="A499" t="s">
        <v>220</v>
      </c>
      <c r="B499" s="59" t="n">
        <v>2028</v>
      </c>
      <c r="C499" t="s">
        <v>220</v>
      </c>
      <c r="D499" t="s">
        <v>176</v>
      </c>
      <c r="E499" s="60" t="s">
        <v>309</v>
      </c>
      <c r="F499" s="61" t="s">
        <v>310</v>
      </c>
      <c r="G499" s="62" t="s">
        <v>221</v>
      </c>
      <c r="H499" s="63" t="s">
        <v>195</v>
      </c>
      <c r="I499" s="64" t="s">
        <v>170</v>
      </c>
      <c r="J499" s="65" t="str">
        <f>IFERROR(INDEX('Cost_Components'!$K$2:$K$27,MATCH(E499,'Cost_Components'!$A$2:$A$27,0)),"")</f>
      </c>
      <c r="K499" s="66" t="str">
        <f>IF(OR(L499="",Z499="",AA499="",AB499=""),"",IF(B499&lt;AA499,L499,IF(B499&gt;AB499,Z499,L499+(Z499-L499)*MIN(MAX((B499-AA499+1)/MAX(AB499-AA499+1,1),0),1))))</f>
      </c>
      <c r="L499" s="67" t="str">
        <f>IFERROR(INDEX('Cost_Components'!$S$2:$S$27,MATCH(E499,'Cost_Components'!$A$2:$A$27,0)),"")</f>
      </c>
      <c r="M499" s="68" t="str">
        <f>IFERROR(INDEX('Cost_Components'!$L$2:$L$27,MATCH(E499,'Cost_Components'!$A$2:$A$27,0)),"")</f>
      </c>
      <c r="N499" s="69" t="str">
        <f>IFERROR(INDEX('Cost_Components'!$P$2:$P$27,MATCH(E499,'Cost_Components'!$A$2:$A$27,0)),"")</f>
      </c>
      <c r="O499" s="70" t="str">
        <f>AF499*J499</f>
      </c>
      <c r="P499" s="71" t="str">
        <f>AG499*J499</f>
      </c>
      <c r="Q499" s="72" t="str">
        <f>P499*L499*M499*N499</f>
      </c>
      <c r="R499" s="73" t="str">
        <f>O499*K499*M499*N499</f>
      </c>
      <c r="S499" s="74" t="str">
        <f>R499-Q499</f>
      </c>
      <c r="T499" s="20" t="str">
        <f>IFERROR(INDEX('Cost_Components'!$R$2:$R$27,MATCH(E499,'Cost_Components'!$A$2:$A$27,0)),"")</f>
      </c>
      <c r="U499" s="75" t="str">
        <f>IFERROR(INDEX('Cost_Components'!$Q$2:$Q$27,MATCH(E499,'Cost_Components'!$A$2:$A$27,0)),"")</f>
      </c>
      <c r="V499" s="76" t="str">
        <f>1/(1+'Calculation_Assumptions'!$B$5)^(B499-'Calculation_Assumptions'!$B$2)</f>
      </c>
      <c r="W499" s="77" t="str">
        <f>Q499*V499</f>
      </c>
      <c r="X499" s="78" t="str">
        <f>R499*V499</f>
      </c>
      <c r="Y499" s="79" t="str">
        <f>S499*V499</f>
      </c>
      <c r="Z499" s="80" t="str">
        <f>IFERROR(INDEX('Cost_Components'!$T$2:$T$27,MATCH(E499,'Cost_Components'!$A$2:$A$27,0)),"")</f>
      </c>
      <c r="AA499" s="81" t="str">
        <f>IFERROR(INDEX('Cost_Components'!$U$2:$U$27,MATCH(E499,'Cost_Components'!$A$2:$A$27,0)),"")</f>
      </c>
      <c r="AB499" s="82" t="str">
        <f>IFERROR(INDEX('Cost_Components'!$V$2:$V$27,MATCH(E499,'Cost_Components'!$A$2:$A$27,0)),"")</f>
      </c>
      <c r="AC499" s="83" t="str">
        <f>IFERROR(INDEX('Cost_Components'!$M$2:$M$27,MATCH(E499,'Cost_Components'!$A$2:$A$27,0)),"")</f>
      </c>
      <c r="AD499" s="84" t="str">
        <f>IFERROR(INDEX('Cost_Components'!$N$2:$N$27,MATCH(E499,'Cost_Components'!$A$2:$A$27,0)),"")</f>
      </c>
      <c r="AE499" s="20" t="str">
        <f>IFERROR(INDEX('Cost_Components'!$O$2:$O$27,MATCH(E499,'Cost_Components'!$A$2:$A$27,0)),"")</f>
      </c>
      <c r="AF499" s="85" t="n">
        <v>266857.96287962</v>
      </c>
      <c r="AG499" s="86" t="n">
        <v>266854.627850337</v>
      </c>
      <c r="AH499" s="87" t="str">
        <f>IF(H499="shared-count-once",COUNTIFS($A$2:$A$1353,A499,$B$2:$B$1353,B499,$E$2:$E$1353,E499),1)</f>
      </c>
    </row>
    <row r="500">
      <c r="A500" t="s">
        <v>220</v>
      </c>
      <c r="B500" s="59" t="n">
        <v>2029</v>
      </c>
      <c r="C500" t="s">
        <v>220</v>
      </c>
      <c r="D500" t="s">
        <v>176</v>
      </c>
      <c r="E500" s="60" t="s">
        <v>309</v>
      </c>
      <c r="F500" s="61" t="s">
        <v>310</v>
      </c>
      <c r="G500" s="62" t="s">
        <v>221</v>
      </c>
      <c r="H500" s="63" t="s">
        <v>195</v>
      </c>
      <c r="I500" s="64" t="s">
        <v>170</v>
      </c>
      <c r="J500" s="65" t="str">
        <f>IFERROR(INDEX('Cost_Components'!$K$2:$K$27,MATCH(E500,'Cost_Components'!$A$2:$A$27,0)),"")</f>
      </c>
      <c r="K500" s="66" t="str">
        <f>IF(OR(L500="",Z500="",AA500="",AB500=""),"",IF(B500&lt;AA500,L500,IF(B500&gt;AB500,Z500,L500+(Z500-L500)*MIN(MAX((B500-AA500+1)/MAX(AB500-AA500+1,1),0),1))))</f>
      </c>
      <c r="L500" s="67" t="str">
        <f>IFERROR(INDEX('Cost_Components'!$S$2:$S$27,MATCH(E500,'Cost_Components'!$A$2:$A$27,0)),"")</f>
      </c>
      <c r="M500" s="68" t="str">
        <f>IFERROR(INDEX('Cost_Components'!$L$2:$L$27,MATCH(E500,'Cost_Components'!$A$2:$A$27,0)),"")</f>
      </c>
      <c r="N500" s="69" t="str">
        <f>IFERROR(INDEX('Cost_Components'!$P$2:$P$27,MATCH(E500,'Cost_Components'!$A$2:$A$27,0)),"")</f>
      </c>
      <c r="O500" s="70" t="str">
        <f>AF500*J500</f>
      </c>
      <c r="P500" s="71" t="str">
        <f>AG500*J500</f>
      </c>
      <c r="Q500" s="72" t="str">
        <f>P500*L500*M500*N500</f>
      </c>
      <c r="R500" s="73" t="str">
        <f>O500*K500*M500*N500</f>
      </c>
      <c r="S500" s="74" t="str">
        <f>R500-Q500</f>
      </c>
      <c r="T500" s="20" t="str">
        <f>IFERROR(INDEX('Cost_Components'!$R$2:$R$27,MATCH(E500,'Cost_Components'!$A$2:$A$27,0)),"")</f>
      </c>
      <c r="U500" s="75" t="str">
        <f>IFERROR(INDEX('Cost_Components'!$Q$2:$Q$27,MATCH(E500,'Cost_Components'!$A$2:$A$27,0)),"")</f>
      </c>
      <c r="V500" s="76" t="str">
        <f>1/(1+'Calculation_Assumptions'!$B$5)^(B500-'Calculation_Assumptions'!$B$2)</f>
      </c>
      <c r="W500" s="77" t="str">
        <f>Q500*V500</f>
      </c>
      <c r="X500" s="78" t="str">
        <f>R500*V500</f>
      </c>
      <c r="Y500" s="79" t="str">
        <f>S500*V500</f>
      </c>
      <c r="Z500" s="80" t="str">
        <f>IFERROR(INDEX('Cost_Components'!$T$2:$T$27,MATCH(E500,'Cost_Components'!$A$2:$A$27,0)),"")</f>
      </c>
      <c r="AA500" s="81" t="str">
        <f>IFERROR(INDEX('Cost_Components'!$U$2:$U$27,MATCH(E500,'Cost_Components'!$A$2:$A$27,0)),"")</f>
      </c>
      <c r="AB500" s="82" t="str">
        <f>IFERROR(INDEX('Cost_Components'!$V$2:$V$27,MATCH(E500,'Cost_Components'!$A$2:$A$27,0)),"")</f>
      </c>
      <c r="AC500" s="83" t="str">
        <f>IFERROR(INDEX('Cost_Components'!$M$2:$M$27,MATCH(E500,'Cost_Components'!$A$2:$A$27,0)),"")</f>
      </c>
      <c r="AD500" s="84" t="str">
        <f>IFERROR(INDEX('Cost_Components'!$N$2:$N$27,MATCH(E500,'Cost_Components'!$A$2:$A$27,0)),"")</f>
      </c>
      <c r="AE500" s="20" t="str">
        <f>IFERROR(INDEX('Cost_Components'!$O$2:$O$27,MATCH(E500,'Cost_Components'!$A$2:$A$27,0)),"")</f>
      </c>
      <c r="AF500" s="85" t="n">
        <v>265067.073699851</v>
      </c>
      <c r="AG500" s="86" t="n">
        <v>265061.892172885</v>
      </c>
      <c r="AH500" s="87" t="str">
        <f>IF(H500="shared-count-once",COUNTIFS($A$2:$A$1353,A500,$B$2:$B$1353,B500,$E$2:$E$1353,E500),1)</f>
      </c>
    </row>
    <row r="501">
      <c r="A501" t="s">
        <v>220</v>
      </c>
      <c r="B501" s="59" t="n">
        <v>2030</v>
      </c>
      <c r="C501" t="s">
        <v>220</v>
      </c>
      <c r="D501" t="s">
        <v>176</v>
      </c>
      <c r="E501" s="60" t="s">
        <v>309</v>
      </c>
      <c r="F501" s="61" t="s">
        <v>310</v>
      </c>
      <c r="G501" s="62" t="s">
        <v>221</v>
      </c>
      <c r="H501" s="63" t="s">
        <v>195</v>
      </c>
      <c r="I501" s="64" t="s">
        <v>170</v>
      </c>
      <c r="J501" s="65" t="str">
        <f>IFERROR(INDEX('Cost_Components'!$K$2:$K$27,MATCH(E501,'Cost_Components'!$A$2:$A$27,0)),"")</f>
      </c>
      <c r="K501" s="66" t="str">
        <f>IF(OR(L501="",Z501="",AA501="",AB501=""),"",IF(B501&lt;AA501,L501,IF(B501&gt;AB501,Z501,L501+(Z501-L501)*MIN(MAX((B501-AA501+1)/MAX(AB501-AA501+1,1),0),1))))</f>
      </c>
      <c r="L501" s="67" t="str">
        <f>IFERROR(INDEX('Cost_Components'!$S$2:$S$27,MATCH(E501,'Cost_Components'!$A$2:$A$27,0)),"")</f>
      </c>
      <c r="M501" s="68" t="str">
        <f>IFERROR(INDEX('Cost_Components'!$L$2:$L$27,MATCH(E501,'Cost_Components'!$A$2:$A$27,0)),"")</f>
      </c>
      <c r="N501" s="69" t="str">
        <f>IFERROR(INDEX('Cost_Components'!$P$2:$P$27,MATCH(E501,'Cost_Components'!$A$2:$A$27,0)),"")</f>
      </c>
      <c r="O501" s="70" t="str">
        <f>AF501*J501</f>
      </c>
      <c r="P501" s="71" t="str">
        <f>AG501*J501</f>
      </c>
      <c r="Q501" s="72" t="str">
        <f>P501*L501*M501*N501</f>
      </c>
      <c r="R501" s="73" t="str">
        <f>O501*K501*M501*N501</f>
      </c>
      <c r="S501" s="74" t="str">
        <f>R501-Q501</f>
      </c>
      <c r="T501" s="20" t="str">
        <f>IFERROR(INDEX('Cost_Components'!$R$2:$R$27,MATCH(E501,'Cost_Components'!$A$2:$A$27,0)),"")</f>
      </c>
      <c r="U501" s="75" t="str">
        <f>IFERROR(INDEX('Cost_Components'!$Q$2:$Q$27,MATCH(E501,'Cost_Components'!$A$2:$A$27,0)),"")</f>
      </c>
      <c r="V501" s="76" t="str">
        <f>1/(1+'Calculation_Assumptions'!$B$5)^(B501-'Calculation_Assumptions'!$B$2)</f>
      </c>
      <c r="W501" s="77" t="str">
        <f>Q501*V501</f>
      </c>
      <c r="X501" s="78" t="str">
        <f>R501*V501</f>
      </c>
      <c r="Y501" s="79" t="str">
        <f>S501*V501</f>
      </c>
      <c r="Z501" s="80" t="str">
        <f>IFERROR(INDEX('Cost_Components'!$T$2:$T$27,MATCH(E501,'Cost_Components'!$A$2:$A$27,0)),"")</f>
      </c>
      <c r="AA501" s="81" t="str">
        <f>IFERROR(INDEX('Cost_Components'!$U$2:$U$27,MATCH(E501,'Cost_Components'!$A$2:$A$27,0)),"")</f>
      </c>
      <c r="AB501" s="82" t="str">
        <f>IFERROR(INDEX('Cost_Components'!$V$2:$V$27,MATCH(E501,'Cost_Components'!$A$2:$A$27,0)),"")</f>
      </c>
      <c r="AC501" s="83" t="str">
        <f>IFERROR(INDEX('Cost_Components'!$M$2:$M$27,MATCH(E501,'Cost_Components'!$A$2:$A$27,0)),"")</f>
      </c>
      <c r="AD501" s="84" t="str">
        <f>IFERROR(INDEX('Cost_Components'!$N$2:$N$27,MATCH(E501,'Cost_Components'!$A$2:$A$27,0)),"")</f>
      </c>
      <c r="AE501" s="20" t="str">
        <f>IFERROR(INDEX('Cost_Components'!$O$2:$O$27,MATCH(E501,'Cost_Components'!$A$2:$A$27,0)),"")</f>
      </c>
      <c r="AF501" s="85" t="n">
        <v>265056.9560056</v>
      </c>
      <c r="AG501" s="86" t="n">
        <v>265049.622930217</v>
      </c>
      <c r="AH501" s="87" t="str">
        <f>IF(H501="shared-count-once",COUNTIFS($A$2:$A$1353,A501,$B$2:$B$1353,B501,$E$2:$E$1353,E501),1)</f>
      </c>
    </row>
    <row r="502">
      <c r="A502" t="s">
        <v>220</v>
      </c>
      <c r="B502" s="59" t="n">
        <v>2031</v>
      </c>
      <c r="C502" t="s">
        <v>220</v>
      </c>
      <c r="D502" t="s">
        <v>176</v>
      </c>
      <c r="E502" s="60" t="s">
        <v>309</v>
      </c>
      <c r="F502" s="61" t="s">
        <v>310</v>
      </c>
      <c r="G502" s="62" t="s">
        <v>221</v>
      </c>
      <c r="H502" s="63" t="s">
        <v>195</v>
      </c>
      <c r="I502" s="64" t="s">
        <v>170</v>
      </c>
      <c r="J502" s="65" t="str">
        <f>IFERROR(INDEX('Cost_Components'!$K$2:$K$27,MATCH(E502,'Cost_Components'!$A$2:$A$27,0)),"")</f>
      </c>
      <c r="K502" s="66" t="str">
        <f>IF(OR(L502="",Z502="",AA502="",AB502=""),"",IF(B502&lt;AA502,L502,IF(B502&gt;AB502,Z502,L502+(Z502-L502)*MIN(MAX((B502-AA502+1)/MAX(AB502-AA502+1,1),0),1))))</f>
      </c>
      <c r="L502" s="67" t="str">
        <f>IFERROR(INDEX('Cost_Components'!$S$2:$S$27,MATCH(E502,'Cost_Components'!$A$2:$A$27,0)),"")</f>
      </c>
      <c r="M502" s="68" t="str">
        <f>IFERROR(INDEX('Cost_Components'!$L$2:$L$27,MATCH(E502,'Cost_Components'!$A$2:$A$27,0)),"")</f>
      </c>
      <c r="N502" s="69" t="str">
        <f>IFERROR(INDEX('Cost_Components'!$P$2:$P$27,MATCH(E502,'Cost_Components'!$A$2:$A$27,0)),"")</f>
      </c>
      <c r="O502" s="70" t="str">
        <f>AF502*J502</f>
      </c>
      <c r="P502" s="71" t="str">
        <f>AG502*J502</f>
      </c>
      <c r="Q502" s="72" t="str">
        <f>P502*L502*M502*N502</f>
      </c>
      <c r="R502" s="73" t="str">
        <f>O502*K502*M502*N502</f>
      </c>
      <c r="S502" s="74" t="str">
        <f>R502-Q502</f>
      </c>
      <c r="T502" s="20" t="str">
        <f>IFERROR(INDEX('Cost_Components'!$R$2:$R$27,MATCH(E502,'Cost_Components'!$A$2:$A$27,0)),"")</f>
      </c>
      <c r="U502" s="75" t="str">
        <f>IFERROR(INDEX('Cost_Components'!$Q$2:$Q$27,MATCH(E502,'Cost_Components'!$A$2:$A$27,0)),"")</f>
      </c>
      <c r="V502" s="76" t="str">
        <f>1/(1+'Calculation_Assumptions'!$B$5)^(B502-'Calculation_Assumptions'!$B$2)</f>
      </c>
      <c r="W502" s="77" t="str">
        <f>Q502*V502</f>
      </c>
      <c r="X502" s="78" t="str">
        <f>R502*V502</f>
      </c>
      <c r="Y502" s="79" t="str">
        <f>S502*V502</f>
      </c>
      <c r="Z502" s="80" t="str">
        <f>IFERROR(INDEX('Cost_Components'!$T$2:$T$27,MATCH(E502,'Cost_Components'!$A$2:$A$27,0)),"")</f>
      </c>
      <c r="AA502" s="81" t="str">
        <f>IFERROR(INDEX('Cost_Components'!$U$2:$U$27,MATCH(E502,'Cost_Components'!$A$2:$A$27,0)),"")</f>
      </c>
      <c r="AB502" s="82" t="str">
        <f>IFERROR(INDEX('Cost_Components'!$V$2:$V$27,MATCH(E502,'Cost_Components'!$A$2:$A$27,0)),"")</f>
      </c>
      <c r="AC502" s="83" t="str">
        <f>IFERROR(INDEX('Cost_Components'!$M$2:$M$27,MATCH(E502,'Cost_Components'!$A$2:$A$27,0)),"")</f>
      </c>
      <c r="AD502" s="84" t="str">
        <f>IFERROR(INDEX('Cost_Components'!$N$2:$N$27,MATCH(E502,'Cost_Components'!$A$2:$A$27,0)),"")</f>
      </c>
      <c r="AE502" s="20" t="str">
        <f>IFERROR(INDEX('Cost_Components'!$O$2:$O$27,MATCH(E502,'Cost_Components'!$A$2:$A$27,0)),"")</f>
      </c>
      <c r="AF502" s="85" t="n">
        <v>264046.999409302</v>
      </c>
      <c r="AG502" s="86" t="n">
        <v>264037.296187815</v>
      </c>
      <c r="AH502" s="87" t="str">
        <f>IF(H502="shared-count-once",COUNTIFS($A$2:$A$1353,A502,$B$2:$B$1353,B502,$E$2:$E$1353,E502),1)</f>
      </c>
    </row>
    <row r="503">
      <c r="A503" t="s">
        <v>220</v>
      </c>
      <c r="B503" s="59" t="n">
        <v>2032</v>
      </c>
      <c r="C503" t="s">
        <v>220</v>
      </c>
      <c r="D503" t="s">
        <v>176</v>
      </c>
      <c r="E503" s="60" t="s">
        <v>309</v>
      </c>
      <c r="F503" s="61" t="s">
        <v>310</v>
      </c>
      <c r="G503" s="62" t="s">
        <v>221</v>
      </c>
      <c r="H503" s="63" t="s">
        <v>195</v>
      </c>
      <c r="I503" s="64" t="s">
        <v>170</v>
      </c>
      <c r="J503" s="65" t="str">
        <f>IFERROR(INDEX('Cost_Components'!$K$2:$K$27,MATCH(E503,'Cost_Components'!$A$2:$A$27,0)),"")</f>
      </c>
      <c r="K503" s="66" t="str">
        <f>IF(OR(L503="",Z503="",AA503="",AB503=""),"",IF(B503&lt;AA503,L503,IF(B503&gt;AB503,Z503,L503+(Z503-L503)*MIN(MAX((B503-AA503+1)/MAX(AB503-AA503+1,1),0),1))))</f>
      </c>
      <c r="L503" s="67" t="str">
        <f>IFERROR(INDEX('Cost_Components'!$S$2:$S$27,MATCH(E503,'Cost_Components'!$A$2:$A$27,0)),"")</f>
      </c>
      <c r="M503" s="68" t="str">
        <f>IFERROR(INDEX('Cost_Components'!$L$2:$L$27,MATCH(E503,'Cost_Components'!$A$2:$A$27,0)),"")</f>
      </c>
      <c r="N503" s="69" t="str">
        <f>IFERROR(INDEX('Cost_Components'!$P$2:$P$27,MATCH(E503,'Cost_Components'!$A$2:$A$27,0)),"")</f>
      </c>
      <c r="O503" s="70" t="str">
        <f>AF503*J503</f>
      </c>
      <c r="P503" s="71" t="str">
        <f>AG503*J503</f>
      </c>
      <c r="Q503" s="72" t="str">
        <f>P503*L503*M503*N503</f>
      </c>
      <c r="R503" s="73" t="str">
        <f>O503*K503*M503*N503</f>
      </c>
      <c r="S503" s="74" t="str">
        <f>R503-Q503</f>
      </c>
      <c r="T503" s="20" t="str">
        <f>IFERROR(INDEX('Cost_Components'!$R$2:$R$27,MATCH(E503,'Cost_Components'!$A$2:$A$27,0)),"")</f>
      </c>
      <c r="U503" s="75" t="str">
        <f>IFERROR(INDEX('Cost_Components'!$Q$2:$Q$27,MATCH(E503,'Cost_Components'!$A$2:$A$27,0)),"")</f>
      </c>
      <c r="V503" s="76" t="str">
        <f>1/(1+'Calculation_Assumptions'!$B$5)^(B503-'Calculation_Assumptions'!$B$2)</f>
      </c>
      <c r="W503" s="77" t="str">
        <f>Q503*V503</f>
      </c>
      <c r="X503" s="78" t="str">
        <f>R503*V503</f>
      </c>
      <c r="Y503" s="79" t="str">
        <f>S503*V503</f>
      </c>
      <c r="Z503" s="80" t="str">
        <f>IFERROR(INDEX('Cost_Components'!$T$2:$T$27,MATCH(E503,'Cost_Components'!$A$2:$A$27,0)),"")</f>
      </c>
      <c r="AA503" s="81" t="str">
        <f>IFERROR(INDEX('Cost_Components'!$U$2:$U$27,MATCH(E503,'Cost_Components'!$A$2:$A$27,0)),"")</f>
      </c>
      <c r="AB503" s="82" t="str">
        <f>IFERROR(INDEX('Cost_Components'!$V$2:$V$27,MATCH(E503,'Cost_Components'!$A$2:$A$27,0)),"")</f>
      </c>
      <c r="AC503" s="83" t="str">
        <f>IFERROR(INDEX('Cost_Components'!$M$2:$M$27,MATCH(E503,'Cost_Components'!$A$2:$A$27,0)),"")</f>
      </c>
      <c r="AD503" s="84" t="str">
        <f>IFERROR(INDEX('Cost_Components'!$N$2:$N$27,MATCH(E503,'Cost_Components'!$A$2:$A$27,0)),"")</f>
      </c>
      <c r="AE503" s="20" t="str">
        <f>IFERROR(INDEX('Cost_Components'!$O$2:$O$27,MATCH(E503,'Cost_Components'!$A$2:$A$27,0)),"")</f>
      </c>
      <c r="AF503" s="85" t="n">
        <v>263835.883957235</v>
      </c>
      <c r="AG503" s="86" t="n">
        <v>263823.615502871</v>
      </c>
      <c r="AH503" s="87" t="str">
        <f>IF(H503="shared-count-once",COUNTIFS($A$2:$A$1353,A503,$B$2:$B$1353,B503,$E$2:$E$1353,E503),1)</f>
      </c>
    </row>
    <row r="504">
      <c r="A504" t="s">
        <v>220</v>
      </c>
      <c r="B504" s="59" t="n">
        <v>2033</v>
      </c>
      <c r="C504" t="s">
        <v>220</v>
      </c>
      <c r="D504" t="s">
        <v>176</v>
      </c>
      <c r="E504" s="60" t="s">
        <v>309</v>
      </c>
      <c r="F504" s="61" t="s">
        <v>310</v>
      </c>
      <c r="G504" s="62" t="s">
        <v>221</v>
      </c>
      <c r="H504" s="63" t="s">
        <v>195</v>
      </c>
      <c r="I504" s="64" t="s">
        <v>170</v>
      </c>
      <c r="J504" s="65" t="str">
        <f>IFERROR(INDEX('Cost_Components'!$K$2:$K$27,MATCH(E504,'Cost_Components'!$A$2:$A$27,0)),"")</f>
      </c>
      <c r="K504" s="66" t="str">
        <f>IF(OR(L504="",Z504="",AA504="",AB504=""),"",IF(B504&lt;AA504,L504,IF(B504&gt;AB504,Z504,L504+(Z504-L504)*MIN(MAX((B504-AA504+1)/MAX(AB504-AA504+1,1),0),1))))</f>
      </c>
      <c r="L504" s="67" t="str">
        <f>IFERROR(INDEX('Cost_Components'!$S$2:$S$27,MATCH(E504,'Cost_Components'!$A$2:$A$27,0)),"")</f>
      </c>
      <c r="M504" s="68" t="str">
        <f>IFERROR(INDEX('Cost_Components'!$L$2:$L$27,MATCH(E504,'Cost_Components'!$A$2:$A$27,0)),"")</f>
      </c>
      <c r="N504" s="69" t="str">
        <f>IFERROR(INDEX('Cost_Components'!$P$2:$P$27,MATCH(E504,'Cost_Components'!$A$2:$A$27,0)),"")</f>
      </c>
      <c r="O504" s="70" t="str">
        <f>AF504*J504</f>
      </c>
      <c r="P504" s="71" t="str">
        <f>AG504*J504</f>
      </c>
      <c r="Q504" s="72" t="str">
        <f>P504*L504*M504*N504</f>
      </c>
      <c r="R504" s="73" t="str">
        <f>O504*K504*M504*N504</f>
      </c>
      <c r="S504" s="74" t="str">
        <f>R504-Q504</f>
      </c>
      <c r="T504" s="20" t="str">
        <f>IFERROR(INDEX('Cost_Components'!$R$2:$R$27,MATCH(E504,'Cost_Components'!$A$2:$A$27,0)),"")</f>
      </c>
      <c r="U504" s="75" t="str">
        <f>IFERROR(INDEX('Cost_Components'!$Q$2:$Q$27,MATCH(E504,'Cost_Components'!$A$2:$A$27,0)),"")</f>
      </c>
      <c r="V504" s="76" t="str">
        <f>1/(1+'Calculation_Assumptions'!$B$5)^(B504-'Calculation_Assumptions'!$B$2)</f>
      </c>
      <c r="W504" s="77" t="str">
        <f>Q504*V504</f>
      </c>
      <c r="X504" s="78" t="str">
        <f>R504*V504</f>
      </c>
      <c r="Y504" s="79" t="str">
        <f>S504*V504</f>
      </c>
      <c r="Z504" s="80" t="str">
        <f>IFERROR(INDEX('Cost_Components'!$T$2:$T$27,MATCH(E504,'Cost_Components'!$A$2:$A$27,0)),"")</f>
      </c>
      <c r="AA504" s="81" t="str">
        <f>IFERROR(INDEX('Cost_Components'!$U$2:$U$27,MATCH(E504,'Cost_Components'!$A$2:$A$27,0)),"")</f>
      </c>
      <c r="AB504" s="82" t="str">
        <f>IFERROR(INDEX('Cost_Components'!$V$2:$V$27,MATCH(E504,'Cost_Components'!$A$2:$A$27,0)),"")</f>
      </c>
      <c r="AC504" s="83" t="str">
        <f>IFERROR(INDEX('Cost_Components'!$M$2:$M$27,MATCH(E504,'Cost_Components'!$A$2:$A$27,0)),"")</f>
      </c>
      <c r="AD504" s="84" t="str">
        <f>IFERROR(INDEX('Cost_Components'!$N$2:$N$27,MATCH(E504,'Cost_Components'!$A$2:$A$27,0)),"")</f>
      </c>
      <c r="AE504" s="20" t="str">
        <f>IFERROR(INDEX('Cost_Components'!$O$2:$O$27,MATCH(E504,'Cost_Components'!$A$2:$A$27,0)),"")</f>
      </c>
      <c r="AF504" s="85" t="n">
        <v>263421.60351854</v>
      </c>
      <c r="AG504" s="86" t="n">
        <v>263406.588007275</v>
      </c>
      <c r="AH504" s="87" t="str">
        <f>IF(H504="shared-count-once",COUNTIFS($A$2:$A$1353,A504,$B$2:$B$1353,B504,$E$2:$E$1353,E504),1)</f>
      </c>
    </row>
    <row r="505">
      <c r="A505" t="s">
        <v>220</v>
      </c>
      <c r="B505" s="59" t="n">
        <v>2034</v>
      </c>
      <c r="C505" t="s">
        <v>220</v>
      </c>
      <c r="D505" t="s">
        <v>176</v>
      </c>
      <c r="E505" s="60" t="s">
        <v>309</v>
      </c>
      <c r="F505" s="61" t="s">
        <v>310</v>
      </c>
      <c r="G505" s="62" t="s">
        <v>221</v>
      </c>
      <c r="H505" s="63" t="s">
        <v>195</v>
      </c>
      <c r="I505" s="64" t="s">
        <v>170</v>
      </c>
      <c r="J505" s="65" t="str">
        <f>IFERROR(INDEX('Cost_Components'!$K$2:$K$27,MATCH(E505,'Cost_Components'!$A$2:$A$27,0)),"")</f>
      </c>
      <c r="K505" s="66" t="str">
        <f>IF(OR(L505="",Z505="",AA505="",AB505=""),"",IF(B505&lt;AA505,L505,IF(B505&gt;AB505,Z505,L505+(Z505-L505)*MIN(MAX((B505-AA505+1)/MAX(AB505-AA505+1,1),0),1))))</f>
      </c>
      <c r="L505" s="67" t="str">
        <f>IFERROR(INDEX('Cost_Components'!$S$2:$S$27,MATCH(E505,'Cost_Components'!$A$2:$A$27,0)),"")</f>
      </c>
      <c r="M505" s="68" t="str">
        <f>IFERROR(INDEX('Cost_Components'!$L$2:$L$27,MATCH(E505,'Cost_Components'!$A$2:$A$27,0)),"")</f>
      </c>
      <c r="N505" s="69" t="str">
        <f>IFERROR(INDEX('Cost_Components'!$P$2:$P$27,MATCH(E505,'Cost_Components'!$A$2:$A$27,0)),"")</f>
      </c>
      <c r="O505" s="70" t="str">
        <f>AF505*J505</f>
      </c>
      <c r="P505" s="71" t="str">
        <f>AG505*J505</f>
      </c>
      <c r="Q505" s="72" t="str">
        <f>P505*L505*M505*N505</f>
      </c>
      <c r="R505" s="73" t="str">
        <f>O505*K505*M505*N505</f>
      </c>
      <c r="S505" s="74" t="str">
        <f>R505-Q505</f>
      </c>
      <c r="T505" s="20" t="str">
        <f>IFERROR(INDEX('Cost_Components'!$R$2:$R$27,MATCH(E505,'Cost_Components'!$A$2:$A$27,0)),"")</f>
      </c>
      <c r="U505" s="75" t="str">
        <f>IFERROR(INDEX('Cost_Components'!$Q$2:$Q$27,MATCH(E505,'Cost_Components'!$A$2:$A$27,0)),"")</f>
      </c>
      <c r="V505" s="76" t="str">
        <f>1/(1+'Calculation_Assumptions'!$B$5)^(B505-'Calculation_Assumptions'!$B$2)</f>
      </c>
      <c r="W505" s="77" t="str">
        <f>Q505*V505</f>
      </c>
      <c r="X505" s="78" t="str">
        <f>R505*V505</f>
      </c>
      <c r="Y505" s="79" t="str">
        <f>S505*V505</f>
      </c>
      <c r="Z505" s="80" t="str">
        <f>IFERROR(INDEX('Cost_Components'!$T$2:$T$27,MATCH(E505,'Cost_Components'!$A$2:$A$27,0)),"")</f>
      </c>
      <c r="AA505" s="81" t="str">
        <f>IFERROR(INDEX('Cost_Components'!$U$2:$U$27,MATCH(E505,'Cost_Components'!$A$2:$A$27,0)),"")</f>
      </c>
      <c r="AB505" s="82" t="str">
        <f>IFERROR(INDEX('Cost_Components'!$V$2:$V$27,MATCH(E505,'Cost_Components'!$A$2:$A$27,0)),"")</f>
      </c>
      <c r="AC505" s="83" t="str">
        <f>IFERROR(INDEX('Cost_Components'!$M$2:$M$27,MATCH(E505,'Cost_Components'!$A$2:$A$27,0)),"")</f>
      </c>
      <c r="AD505" s="84" t="str">
        <f>IFERROR(INDEX('Cost_Components'!$N$2:$N$27,MATCH(E505,'Cost_Components'!$A$2:$A$27,0)),"")</f>
      </c>
      <c r="AE505" s="20" t="str">
        <f>IFERROR(INDEX('Cost_Components'!$O$2:$O$27,MATCH(E505,'Cost_Components'!$A$2:$A$27,0)),"")</f>
      </c>
      <c r="AF505" s="85" t="n">
        <v>263321.135668616</v>
      </c>
      <c r="AG505" s="86" t="n">
        <v>263303.314920931</v>
      </c>
      <c r="AH505" s="87" t="str">
        <f>IF(H505="shared-count-once",COUNTIFS($A$2:$A$1353,A505,$B$2:$B$1353,B505,$E$2:$E$1353,E505),1)</f>
      </c>
    </row>
    <row r="506">
      <c r="A506" t="s">
        <v>220</v>
      </c>
      <c r="B506" s="59" t="n">
        <v>2035</v>
      </c>
      <c r="C506" t="s">
        <v>220</v>
      </c>
      <c r="D506" t="s">
        <v>176</v>
      </c>
      <c r="E506" s="60" t="s">
        <v>309</v>
      </c>
      <c r="F506" s="61" t="s">
        <v>310</v>
      </c>
      <c r="G506" s="62" t="s">
        <v>221</v>
      </c>
      <c r="H506" s="63" t="s">
        <v>195</v>
      </c>
      <c r="I506" s="64" t="s">
        <v>170</v>
      </c>
      <c r="J506" s="65" t="str">
        <f>IFERROR(INDEX('Cost_Components'!$K$2:$K$27,MATCH(E506,'Cost_Components'!$A$2:$A$27,0)),"")</f>
      </c>
      <c r="K506" s="66" t="str">
        <f>IF(OR(L506="",Z506="",AA506="",AB506=""),"",IF(B506&lt;AA506,L506,IF(B506&gt;AB506,Z506,L506+(Z506-L506)*MIN(MAX((B506-AA506+1)/MAX(AB506-AA506+1,1),0),1))))</f>
      </c>
      <c r="L506" s="67" t="str">
        <f>IFERROR(INDEX('Cost_Components'!$S$2:$S$27,MATCH(E506,'Cost_Components'!$A$2:$A$27,0)),"")</f>
      </c>
      <c r="M506" s="68" t="str">
        <f>IFERROR(INDEX('Cost_Components'!$L$2:$L$27,MATCH(E506,'Cost_Components'!$A$2:$A$27,0)),"")</f>
      </c>
      <c r="N506" s="69" t="str">
        <f>IFERROR(INDEX('Cost_Components'!$P$2:$P$27,MATCH(E506,'Cost_Components'!$A$2:$A$27,0)),"")</f>
      </c>
      <c r="O506" s="70" t="str">
        <f>AF506*J506</f>
      </c>
      <c r="P506" s="71" t="str">
        <f>AG506*J506</f>
      </c>
      <c r="Q506" s="72" t="str">
        <f>P506*L506*M506*N506</f>
      </c>
      <c r="R506" s="73" t="str">
        <f>O506*K506*M506*N506</f>
      </c>
      <c r="S506" s="74" t="str">
        <f>R506-Q506</f>
      </c>
      <c r="T506" s="20" t="str">
        <f>IFERROR(INDEX('Cost_Components'!$R$2:$R$27,MATCH(E506,'Cost_Components'!$A$2:$A$27,0)),"")</f>
      </c>
      <c r="U506" s="75" t="str">
        <f>IFERROR(INDEX('Cost_Components'!$Q$2:$Q$27,MATCH(E506,'Cost_Components'!$A$2:$A$27,0)),"")</f>
      </c>
      <c r="V506" s="76" t="str">
        <f>1/(1+'Calculation_Assumptions'!$B$5)^(B506-'Calculation_Assumptions'!$B$2)</f>
      </c>
      <c r="W506" s="77" t="str">
        <f>Q506*V506</f>
      </c>
      <c r="X506" s="78" t="str">
        <f>R506*V506</f>
      </c>
      <c r="Y506" s="79" t="str">
        <f>S506*V506</f>
      </c>
      <c r="Z506" s="80" t="str">
        <f>IFERROR(INDEX('Cost_Components'!$T$2:$T$27,MATCH(E506,'Cost_Components'!$A$2:$A$27,0)),"")</f>
      </c>
      <c r="AA506" s="81" t="str">
        <f>IFERROR(INDEX('Cost_Components'!$U$2:$U$27,MATCH(E506,'Cost_Components'!$A$2:$A$27,0)),"")</f>
      </c>
      <c r="AB506" s="82" t="str">
        <f>IFERROR(INDEX('Cost_Components'!$V$2:$V$27,MATCH(E506,'Cost_Components'!$A$2:$A$27,0)),"")</f>
      </c>
      <c r="AC506" s="83" t="str">
        <f>IFERROR(INDEX('Cost_Components'!$M$2:$M$27,MATCH(E506,'Cost_Components'!$A$2:$A$27,0)),"")</f>
      </c>
      <c r="AD506" s="84" t="str">
        <f>IFERROR(INDEX('Cost_Components'!$N$2:$N$27,MATCH(E506,'Cost_Components'!$A$2:$A$27,0)),"")</f>
      </c>
      <c r="AE506" s="20" t="str">
        <f>IFERROR(INDEX('Cost_Components'!$O$2:$O$27,MATCH(E506,'Cost_Components'!$A$2:$A$27,0)),"")</f>
      </c>
      <c r="AF506" s="85" t="n">
        <v>263075.661449102</v>
      </c>
      <c r="AG506" s="86" t="n">
        <v>263054.910143364</v>
      </c>
      <c r="AH506" s="87" t="str">
        <f>IF(H506="shared-count-once",COUNTIFS($A$2:$A$1353,A506,$B$2:$B$1353,B506,$E$2:$E$1353,E506),1)</f>
      </c>
    </row>
    <row r="507">
      <c r="A507" t="s">
        <v>220</v>
      </c>
      <c r="B507" s="59" t="n">
        <v>2036</v>
      </c>
      <c r="C507" t="s">
        <v>220</v>
      </c>
      <c r="D507" t="s">
        <v>176</v>
      </c>
      <c r="E507" s="60" t="s">
        <v>309</v>
      </c>
      <c r="F507" s="61" t="s">
        <v>310</v>
      </c>
      <c r="G507" s="62" t="s">
        <v>221</v>
      </c>
      <c r="H507" s="63" t="s">
        <v>195</v>
      </c>
      <c r="I507" s="64" t="s">
        <v>170</v>
      </c>
      <c r="J507" s="65" t="str">
        <f>IFERROR(INDEX('Cost_Components'!$K$2:$K$27,MATCH(E507,'Cost_Components'!$A$2:$A$27,0)),"")</f>
      </c>
      <c r="K507" s="66" t="str">
        <f>IF(OR(L507="",Z507="",AA507="",AB507=""),"",IF(B507&lt;AA507,L507,IF(B507&gt;AB507,Z507,L507+(Z507-L507)*MIN(MAX((B507-AA507+1)/MAX(AB507-AA507+1,1),0),1))))</f>
      </c>
      <c r="L507" s="67" t="str">
        <f>IFERROR(INDEX('Cost_Components'!$S$2:$S$27,MATCH(E507,'Cost_Components'!$A$2:$A$27,0)),"")</f>
      </c>
      <c r="M507" s="68" t="str">
        <f>IFERROR(INDEX('Cost_Components'!$L$2:$L$27,MATCH(E507,'Cost_Components'!$A$2:$A$27,0)),"")</f>
      </c>
      <c r="N507" s="69" t="str">
        <f>IFERROR(INDEX('Cost_Components'!$P$2:$P$27,MATCH(E507,'Cost_Components'!$A$2:$A$27,0)),"")</f>
      </c>
      <c r="O507" s="70" t="str">
        <f>AF507*J507</f>
      </c>
      <c r="P507" s="71" t="str">
        <f>AG507*J507</f>
      </c>
      <c r="Q507" s="72" t="str">
        <f>P507*L507*M507*N507</f>
      </c>
      <c r="R507" s="73" t="str">
        <f>O507*K507*M507*N507</f>
      </c>
      <c r="S507" s="74" t="str">
        <f>R507-Q507</f>
      </c>
      <c r="T507" s="20" t="str">
        <f>IFERROR(INDEX('Cost_Components'!$R$2:$R$27,MATCH(E507,'Cost_Components'!$A$2:$A$27,0)),"")</f>
      </c>
      <c r="U507" s="75" t="str">
        <f>IFERROR(INDEX('Cost_Components'!$Q$2:$Q$27,MATCH(E507,'Cost_Components'!$A$2:$A$27,0)),"")</f>
      </c>
      <c r="V507" s="76" t="str">
        <f>1/(1+'Calculation_Assumptions'!$B$5)^(B507-'Calculation_Assumptions'!$B$2)</f>
      </c>
      <c r="W507" s="77" t="str">
        <f>Q507*V507</f>
      </c>
      <c r="X507" s="78" t="str">
        <f>R507*V507</f>
      </c>
      <c r="Y507" s="79" t="str">
        <f>S507*V507</f>
      </c>
      <c r="Z507" s="80" t="str">
        <f>IFERROR(INDEX('Cost_Components'!$T$2:$T$27,MATCH(E507,'Cost_Components'!$A$2:$A$27,0)),"")</f>
      </c>
      <c r="AA507" s="81" t="str">
        <f>IFERROR(INDEX('Cost_Components'!$U$2:$U$27,MATCH(E507,'Cost_Components'!$A$2:$A$27,0)),"")</f>
      </c>
      <c r="AB507" s="82" t="str">
        <f>IFERROR(INDEX('Cost_Components'!$V$2:$V$27,MATCH(E507,'Cost_Components'!$A$2:$A$27,0)),"")</f>
      </c>
      <c r="AC507" s="83" t="str">
        <f>IFERROR(INDEX('Cost_Components'!$M$2:$M$27,MATCH(E507,'Cost_Components'!$A$2:$A$27,0)),"")</f>
      </c>
      <c r="AD507" s="84" t="str">
        <f>IFERROR(INDEX('Cost_Components'!$N$2:$N$27,MATCH(E507,'Cost_Components'!$A$2:$A$27,0)),"")</f>
      </c>
      <c r="AE507" s="20" t="str">
        <f>IFERROR(INDEX('Cost_Components'!$O$2:$O$27,MATCH(E507,'Cost_Components'!$A$2:$A$27,0)),"")</f>
      </c>
      <c r="AF507" s="85" t="n">
        <v>263075.879833921</v>
      </c>
      <c r="AG507" s="86" t="n">
        <v>263052.10557718</v>
      </c>
      <c r="AH507" s="87" t="str">
        <f>IF(H507="shared-count-once",COUNTIFS($A$2:$A$1353,A507,$B$2:$B$1353,B507,$E$2:$E$1353,E507),1)</f>
      </c>
    </row>
    <row r="508">
      <c r="A508" t="s">
        <v>220</v>
      </c>
      <c r="B508" s="59" t="n">
        <v>2037</v>
      </c>
      <c r="C508" t="s">
        <v>220</v>
      </c>
      <c r="D508" t="s">
        <v>176</v>
      </c>
      <c r="E508" s="60" t="s">
        <v>309</v>
      </c>
      <c r="F508" s="61" t="s">
        <v>310</v>
      </c>
      <c r="G508" s="62" t="s">
        <v>221</v>
      </c>
      <c r="H508" s="63" t="s">
        <v>195</v>
      </c>
      <c r="I508" s="64" t="s">
        <v>170</v>
      </c>
      <c r="J508" s="65" t="str">
        <f>IFERROR(INDEX('Cost_Components'!$K$2:$K$27,MATCH(E508,'Cost_Components'!$A$2:$A$27,0)),"")</f>
      </c>
      <c r="K508" s="66" t="str">
        <f>IF(OR(L508="",Z508="",AA508="",AB508=""),"",IF(B508&lt;AA508,L508,IF(B508&gt;AB508,Z508,L508+(Z508-L508)*MIN(MAX((B508-AA508+1)/MAX(AB508-AA508+1,1),0),1))))</f>
      </c>
      <c r="L508" s="67" t="str">
        <f>IFERROR(INDEX('Cost_Components'!$S$2:$S$27,MATCH(E508,'Cost_Components'!$A$2:$A$27,0)),"")</f>
      </c>
      <c r="M508" s="68" t="str">
        <f>IFERROR(INDEX('Cost_Components'!$L$2:$L$27,MATCH(E508,'Cost_Components'!$A$2:$A$27,0)),"")</f>
      </c>
      <c r="N508" s="69" t="str">
        <f>IFERROR(INDEX('Cost_Components'!$P$2:$P$27,MATCH(E508,'Cost_Components'!$A$2:$A$27,0)),"")</f>
      </c>
      <c r="O508" s="70" t="str">
        <f>AF508*J508</f>
      </c>
      <c r="P508" s="71" t="str">
        <f>AG508*J508</f>
      </c>
      <c r="Q508" s="72" t="str">
        <f>P508*L508*M508*N508</f>
      </c>
      <c r="R508" s="73" t="str">
        <f>O508*K508*M508*N508</f>
      </c>
      <c r="S508" s="74" t="str">
        <f>R508-Q508</f>
      </c>
      <c r="T508" s="20" t="str">
        <f>IFERROR(INDEX('Cost_Components'!$R$2:$R$27,MATCH(E508,'Cost_Components'!$A$2:$A$27,0)),"")</f>
      </c>
      <c r="U508" s="75" t="str">
        <f>IFERROR(INDEX('Cost_Components'!$Q$2:$Q$27,MATCH(E508,'Cost_Components'!$A$2:$A$27,0)),"")</f>
      </c>
      <c r="V508" s="76" t="str">
        <f>1/(1+'Calculation_Assumptions'!$B$5)^(B508-'Calculation_Assumptions'!$B$2)</f>
      </c>
      <c r="W508" s="77" t="str">
        <f>Q508*V508</f>
      </c>
      <c r="X508" s="78" t="str">
        <f>R508*V508</f>
      </c>
      <c r="Y508" s="79" t="str">
        <f>S508*V508</f>
      </c>
      <c r="Z508" s="80" t="str">
        <f>IFERROR(INDEX('Cost_Components'!$T$2:$T$27,MATCH(E508,'Cost_Components'!$A$2:$A$27,0)),"")</f>
      </c>
      <c r="AA508" s="81" t="str">
        <f>IFERROR(INDEX('Cost_Components'!$U$2:$U$27,MATCH(E508,'Cost_Components'!$A$2:$A$27,0)),"")</f>
      </c>
      <c r="AB508" s="82" t="str">
        <f>IFERROR(INDEX('Cost_Components'!$V$2:$V$27,MATCH(E508,'Cost_Components'!$A$2:$A$27,0)),"")</f>
      </c>
      <c r="AC508" s="83" t="str">
        <f>IFERROR(INDEX('Cost_Components'!$M$2:$M$27,MATCH(E508,'Cost_Components'!$A$2:$A$27,0)),"")</f>
      </c>
      <c r="AD508" s="84" t="str">
        <f>IFERROR(INDEX('Cost_Components'!$N$2:$N$27,MATCH(E508,'Cost_Components'!$A$2:$A$27,0)),"")</f>
      </c>
      <c r="AE508" s="20" t="str">
        <f>IFERROR(INDEX('Cost_Components'!$O$2:$O$27,MATCH(E508,'Cost_Components'!$A$2:$A$27,0)),"")</f>
      </c>
      <c r="AF508" s="85" t="n">
        <v>263106.589535362</v>
      </c>
      <c r="AG508" s="86" t="n">
        <v>263079.748793202</v>
      </c>
      <c r="AH508" s="87" t="str">
        <f>IF(H508="shared-count-once",COUNTIFS($A$2:$A$1353,A508,$B$2:$B$1353,B508,$E$2:$E$1353,E508),1)</f>
      </c>
    </row>
    <row r="509">
      <c r="A509" t="s">
        <v>220</v>
      </c>
      <c r="B509" s="59" t="n">
        <v>2038</v>
      </c>
      <c r="C509" t="s">
        <v>220</v>
      </c>
      <c r="D509" t="s">
        <v>176</v>
      </c>
      <c r="E509" s="60" t="s">
        <v>309</v>
      </c>
      <c r="F509" s="61" t="s">
        <v>310</v>
      </c>
      <c r="G509" s="62" t="s">
        <v>221</v>
      </c>
      <c r="H509" s="63" t="s">
        <v>195</v>
      </c>
      <c r="I509" s="64" t="s">
        <v>170</v>
      </c>
      <c r="J509" s="65" t="str">
        <f>IFERROR(INDEX('Cost_Components'!$K$2:$K$27,MATCH(E509,'Cost_Components'!$A$2:$A$27,0)),"")</f>
      </c>
      <c r="K509" s="66" t="str">
        <f>IF(OR(L509="",Z509="",AA509="",AB509=""),"",IF(B509&lt;AA509,L509,IF(B509&gt;AB509,Z509,L509+(Z509-L509)*MIN(MAX((B509-AA509+1)/MAX(AB509-AA509+1,1),0),1))))</f>
      </c>
      <c r="L509" s="67" t="str">
        <f>IFERROR(INDEX('Cost_Components'!$S$2:$S$27,MATCH(E509,'Cost_Components'!$A$2:$A$27,0)),"")</f>
      </c>
      <c r="M509" s="68" t="str">
        <f>IFERROR(INDEX('Cost_Components'!$L$2:$L$27,MATCH(E509,'Cost_Components'!$A$2:$A$27,0)),"")</f>
      </c>
      <c r="N509" s="69" t="str">
        <f>IFERROR(INDEX('Cost_Components'!$P$2:$P$27,MATCH(E509,'Cost_Components'!$A$2:$A$27,0)),"")</f>
      </c>
      <c r="O509" s="70" t="str">
        <f>AF509*J509</f>
      </c>
      <c r="P509" s="71" t="str">
        <f>AG509*J509</f>
      </c>
      <c r="Q509" s="72" t="str">
        <f>P509*L509*M509*N509</f>
      </c>
      <c r="R509" s="73" t="str">
        <f>O509*K509*M509*N509</f>
      </c>
      <c r="S509" s="74" t="str">
        <f>R509-Q509</f>
      </c>
      <c r="T509" s="20" t="str">
        <f>IFERROR(INDEX('Cost_Components'!$R$2:$R$27,MATCH(E509,'Cost_Components'!$A$2:$A$27,0)),"")</f>
      </c>
      <c r="U509" s="75" t="str">
        <f>IFERROR(INDEX('Cost_Components'!$Q$2:$Q$27,MATCH(E509,'Cost_Components'!$A$2:$A$27,0)),"")</f>
      </c>
      <c r="V509" s="76" t="str">
        <f>1/(1+'Calculation_Assumptions'!$B$5)^(B509-'Calculation_Assumptions'!$B$2)</f>
      </c>
      <c r="W509" s="77" t="str">
        <f>Q509*V509</f>
      </c>
      <c r="X509" s="78" t="str">
        <f>R509*V509</f>
      </c>
      <c r="Y509" s="79" t="str">
        <f>S509*V509</f>
      </c>
      <c r="Z509" s="80" t="str">
        <f>IFERROR(INDEX('Cost_Components'!$T$2:$T$27,MATCH(E509,'Cost_Components'!$A$2:$A$27,0)),"")</f>
      </c>
      <c r="AA509" s="81" t="str">
        <f>IFERROR(INDEX('Cost_Components'!$U$2:$U$27,MATCH(E509,'Cost_Components'!$A$2:$A$27,0)),"")</f>
      </c>
      <c r="AB509" s="82" t="str">
        <f>IFERROR(INDEX('Cost_Components'!$V$2:$V$27,MATCH(E509,'Cost_Components'!$A$2:$A$27,0)),"")</f>
      </c>
      <c r="AC509" s="83" t="str">
        <f>IFERROR(INDEX('Cost_Components'!$M$2:$M$27,MATCH(E509,'Cost_Components'!$A$2:$A$27,0)),"")</f>
      </c>
      <c r="AD509" s="84" t="str">
        <f>IFERROR(INDEX('Cost_Components'!$N$2:$N$27,MATCH(E509,'Cost_Components'!$A$2:$A$27,0)),"")</f>
      </c>
      <c r="AE509" s="20" t="str">
        <f>IFERROR(INDEX('Cost_Components'!$O$2:$O$27,MATCH(E509,'Cost_Components'!$A$2:$A$27,0)),"")</f>
      </c>
      <c r="AF509" s="85" t="n">
        <v>263053.554417278</v>
      </c>
      <c r="AG509" s="86" t="n">
        <v>263023.589800544</v>
      </c>
      <c r="AH509" s="87" t="str">
        <f>IF(H509="shared-count-once",COUNTIFS($A$2:$A$1353,A509,$B$2:$B$1353,B509,$E$2:$E$1353,E509),1)</f>
      </c>
    </row>
    <row r="510">
      <c r="A510" t="s">
        <v>220</v>
      </c>
      <c r="B510" s="59" t="n">
        <v>2039</v>
      </c>
      <c r="C510" t="s">
        <v>220</v>
      </c>
      <c r="D510" t="s">
        <v>176</v>
      </c>
      <c r="E510" s="60" t="s">
        <v>309</v>
      </c>
      <c r="F510" s="61" t="s">
        <v>310</v>
      </c>
      <c r="G510" s="62" t="s">
        <v>221</v>
      </c>
      <c r="H510" s="63" t="s">
        <v>195</v>
      </c>
      <c r="I510" s="64" t="s">
        <v>170</v>
      </c>
      <c r="J510" s="65" t="str">
        <f>IFERROR(INDEX('Cost_Components'!$K$2:$K$27,MATCH(E510,'Cost_Components'!$A$2:$A$27,0)),"")</f>
      </c>
      <c r="K510" s="66" t="str">
        <f>IF(OR(L510="",Z510="",AA510="",AB510=""),"",IF(B510&lt;AA510,L510,IF(B510&gt;AB510,Z510,L510+(Z510-L510)*MIN(MAX((B510-AA510+1)/MAX(AB510-AA510+1,1),0),1))))</f>
      </c>
      <c r="L510" s="67" t="str">
        <f>IFERROR(INDEX('Cost_Components'!$S$2:$S$27,MATCH(E510,'Cost_Components'!$A$2:$A$27,0)),"")</f>
      </c>
      <c r="M510" s="68" t="str">
        <f>IFERROR(INDEX('Cost_Components'!$L$2:$L$27,MATCH(E510,'Cost_Components'!$A$2:$A$27,0)),"")</f>
      </c>
      <c r="N510" s="69" t="str">
        <f>IFERROR(INDEX('Cost_Components'!$P$2:$P$27,MATCH(E510,'Cost_Components'!$A$2:$A$27,0)),"")</f>
      </c>
      <c r="O510" s="70" t="str">
        <f>AF510*J510</f>
      </c>
      <c r="P510" s="71" t="str">
        <f>AG510*J510</f>
      </c>
      <c r="Q510" s="72" t="str">
        <f>P510*L510*M510*N510</f>
      </c>
      <c r="R510" s="73" t="str">
        <f>O510*K510*M510*N510</f>
      </c>
      <c r="S510" s="74" t="str">
        <f>R510-Q510</f>
      </c>
      <c r="T510" s="20" t="str">
        <f>IFERROR(INDEX('Cost_Components'!$R$2:$R$27,MATCH(E510,'Cost_Components'!$A$2:$A$27,0)),"")</f>
      </c>
      <c r="U510" s="75" t="str">
        <f>IFERROR(INDEX('Cost_Components'!$Q$2:$Q$27,MATCH(E510,'Cost_Components'!$A$2:$A$27,0)),"")</f>
      </c>
      <c r="V510" s="76" t="str">
        <f>1/(1+'Calculation_Assumptions'!$B$5)^(B510-'Calculation_Assumptions'!$B$2)</f>
      </c>
      <c r="W510" s="77" t="str">
        <f>Q510*V510</f>
      </c>
      <c r="X510" s="78" t="str">
        <f>R510*V510</f>
      </c>
      <c r="Y510" s="79" t="str">
        <f>S510*V510</f>
      </c>
      <c r="Z510" s="80" t="str">
        <f>IFERROR(INDEX('Cost_Components'!$T$2:$T$27,MATCH(E510,'Cost_Components'!$A$2:$A$27,0)),"")</f>
      </c>
      <c r="AA510" s="81" t="str">
        <f>IFERROR(INDEX('Cost_Components'!$U$2:$U$27,MATCH(E510,'Cost_Components'!$A$2:$A$27,0)),"")</f>
      </c>
      <c r="AB510" s="82" t="str">
        <f>IFERROR(INDEX('Cost_Components'!$V$2:$V$27,MATCH(E510,'Cost_Components'!$A$2:$A$27,0)),"")</f>
      </c>
      <c r="AC510" s="83" t="str">
        <f>IFERROR(INDEX('Cost_Components'!$M$2:$M$27,MATCH(E510,'Cost_Components'!$A$2:$A$27,0)),"")</f>
      </c>
      <c r="AD510" s="84" t="str">
        <f>IFERROR(INDEX('Cost_Components'!$N$2:$N$27,MATCH(E510,'Cost_Components'!$A$2:$A$27,0)),"")</f>
      </c>
      <c r="AE510" s="20" t="str">
        <f>IFERROR(INDEX('Cost_Components'!$O$2:$O$27,MATCH(E510,'Cost_Components'!$A$2:$A$27,0)),"")</f>
      </c>
      <c r="AF510" s="85" t="n">
        <v>263126.94066511</v>
      </c>
      <c r="AG510" s="86" t="n">
        <v>263093.939198927</v>
      </c>
      <c r="AH510" s="87" t="str">
        <f>IF(H510="shared-count-once",COUNTIFS($A$2:$A$1353,A510,$B$2:$B$1353,B510,$E$2:$E$1353,E510),1)</f>
      </c>
    </row>
    <row r="511">
      <c r="A511" t="s">
        <v>220</v>
      </c>
      <c r="B511" s="59" t="n">
        <v>2040</v>
      </c>
      <c r="C511" t="s">
        <v>220</v>
      </c>
      <c r="D511" t="s">
        <v>176</v>
      </c>
      <c r="E511" s="60" t="s">
        <v>309</v>
      </c>
      <c r="F511" s="61" t="s">
        <v>310</v>
      </c>
      <c r="G511" s="62" t="s">
        <v>221</v>
      </c>
      <c r="H511" s="63" t="s">
        <v>195</v>
      </c>
      <c r="I511" s="64" t="s">
        <v>170</v>
      </c>
      <c r="J511" s="65" t="str">
        <f>IFERROR(INDEX('Cost_Components'!$K$2:$K$27,MATCH(E511,'Cost_Components'!$A$2:$A$27,0)),"")</f>
      </c>
      <c r="K511" s="66" t="str">
        <f>IF(OR(L511="",Z511="",AA511="",AB511=""),"",IF(B511&lt;AA511,L511,IF(B511&gt;AB511,Z511,L511+(Z511-L511)*MIN(MAX((B511-AA511+1)/MAX(AB511-AA511+1,1),0),1))))</f>
      </c>
      <c r="L511" s="67" t="str">
        <f>IFERROR(INDEX('Cost_Components'!$S$2:$S$27,MATCH(E511,'Cost_Components'!$A$2:$A$27,0)),"")</f>
      </c>
      <c r="M511" s="68" t="str">
        <f>IFERROR(INDEX('Cost_Components'!$L$2:$L$27,MATCH(E511,'Cost_Components'!$A$2:$A$27,0)),"")</f>
      </c>
      <c r="N511" s="69" t="str">
        <f>IFERROR(INDEX('Cost_Components'!$P$2:$P$27,MATCH(E511,'Cost_Components'!$A$2:$A$27,0)),"")</f>
      </c>
      <c r="O511" s="70" t="str">
        <f>AF511*J511</f>
      </c>
      <c r="P511" s="71" t="str">
        <f>AG511*J511</f>
      </c>
      <c r="Q511" s="72" t="str">
        <f>P511*L511*M511*N511</f>
      </c>
      <c r="R511" s="73" t="str">
        <f>O511*K511*M511*N511</f>
      </c>
      <c r="S511" s="74" t="str">
        <f>R511-Q511</f>
      </c>
      <c r="T511" s="20" t="str">
        <f>IFERROR(INDEX('Cost_Components'!$R$2:$R$27,MATCH(E511,'Cost_Components'!$A$2:$A$27,0)),"")</f>
      </c>
      <c r="U511" s="75" t="str">
        <f>IFERROR(INDEX('Cost_Components'!$Q$2:$Q$27,MATCH(E511,'Cost_Components'!$A$2:$A$27,0)),"")</f>
      </c>
      <c r="V511" s="76" t="str">
        <f>1/(1+'Calculation_Assumptions'!$B$5)^(B511-'Calculation_Assumptions'!$B$2)</f>
      </c>
      <c r="W511" s="77" t="str">
        <f>Q511*V511</f>
      </c>
      <c r="X511" s="78" t="str">
        <f>R511*V511</f>
      </c>
      <c r="Y511" s="79" t="str">
        <f>S511*V511</f>
      </c>
      <c r="Z511" s="80" t="str">
        <f>IFERROR(INDEX('Cost_Components'!$T$2:$T$27,MATCH(E511,'Cost_Components'!$A$2:$A$27,0)),"")</f>
      </c>
      <c r="AA511" s="81" t="str">
        <f>IFERROR(INDEX('Cost_Components'!$U$2:$U$27,MATCH(E511,'Cost_Components'!$A$2:$A$27,0)),"")</f>
      </c>
      <c r="AB511" s="82" t="str">
        <f>IFERROR(INDEX('Cost_Components'!$V$2:$V$27,MATCH(E511,'Cost_Components'!$A$2:$A$27,0)),"")</f>
      </c>
      <c r="AC511" s="83" t="str">
        <f>IFERROR(INDEX('Cost_Components'!$M$2:$M$27,MATCH(E511,'Cost_Components'!$A$2:$A$27,0)),"")</f>
      </c>
      <c r="AD511" s="84" t="str">
        <f>IFERROR(INDEX('Cost_Components'!$N$2:$N$27,MATCH(E511,'Cost_Components'!$A$2:$A$27,0)),"")</f>
      </c>
      <c r="AE511" s="20" t="str">
        <f>IFERROR(INDEX('Cost_Components'!$O$2:$O$27,MATCH(E511,'Cost_Components'!$A$2:$A$27,0)),"")</f>
      </c>
      <c r="AF511" s="85" t="n">
        <v>263038.777197899</v>
      </c>
      <c r="AG511" s="86" t="n">
        <v>263002.701796623</v>
      </c>
      <c r="AH511" s="87" t="str">
        <f>IF(H511="shared-count-once",COUNTIFS($A$2:$A$1353,A511,$B$2:$B$1353,B511,$E$2:$E$1353,E511),1)</f>
      </c>
    </row>
    <row r="512">
      <c r="A512" t="s">
        <v>220</v>
      </c>
      <c r="B512" s="59" t="n">
        <v>2041</v>
      </c>
      <c r="C512" t="s">
        <v>220</v>
      </c>
      <c r="D512" t="s">
        <v>176</v>
      </c>
      <c r="E512" s="60" t="s">
        <v>309</v>
      </c>
      <c r="F512" s="61" t="s">
        <v>310</v>
      </c>
      <c r="G512" s="62" t="s">
        <v>221</v>
      </c>
      <c r="H512" s="63" t="s">
        <v>195</v>
      </c>
      <c r="I512" s="64" t="s">
        <v>170</v>
      </c>
      <c r="J512" s="65" t="str">
        <f>IFERROR(INDEX('Cost_Components'!$K$2:$K$27,MATCH(E512,'Cost_Components'!$A$2:$A$27,0)),"")</f>
      </c>
      <c r="K512" s="66" t="str">
        <f>IF(OR(L512="",Z512="",AA512="",AB512=""),"",IF(B512&lt;AA512,L512,IF(B512&gt;AB512,Z512,L512+(Z512-L512)*MIN(MAX((B512-AA512+1)/MAX(AB512-AA512+1,1),0),1))))</f>
      </c>
      <c r="L512" s="67" t="str">
        <f>IFERROR(INDEX('Cost_Components'!$S$2:$S$27,MATCH(E512,'Cost_Components'!$A$2:$A$27,0)),"")</f>
      </c>
      <c r="M512" s="68" t="str">
        <f>IFERROR(INDEX('Cost_Components'!$L$2:$L$27,MATCH(E512,'Cost_Components'!$A$2:$A$27,0)),"")</f>
      </c>
      <c r="N512" s="69" t="str">
        <f>IFERROR(INDEX('Cost_Components'!$P$2:$P$27,MATCH(E512,'Cost_Components'!$A$2:$A$27,0)),"")</f>
      </c>
      <c r="O512" s="70" t="str">
        <f>AF512*J512</f>
      </c>
      <c r="P512" s="71" t="str">
        <f>AG512*J512</f>
      </c>
      <c r="Q512" s="72" t="str">
        <f>P512*L512*M512*N512</f>
      </c>
      <c r="R512" s="73" t="str">
        <f>O512*K512*M512*N512</f>
      </c>
      <c r="S512" s="74" t="str">
        <f>R512-Q512</f>
      </c>
      <c r="T512" s="20" t="str">
        <f>IFERROR(INDEX('Cost_Components'!$R$2:$R$27,MATCH(E512,'Cost_Components'!$A$2:$A$27,0)),"")</f>
      </c>
      <c r="U512" s="75" t="str">
        <f>IFERROR(INDEX('Cost_Components'!$Q$2:$Q$27,MATCH(E512,'Cost_Components'!$A$2:$A$27,0)),"")</f>
      </c>
      <c r="V512" s="76" t="str">
        <f>1/(1+'Calculation_Assumptions'!$B$5)^(B512-'Calculation_Assumptions'!$B$2)</f>
      </c>
      <c r="W512" s="77" t="str">
        <f>Q512*V512</f>
      </c>
      <c r="X512" s="78" t="str">
        <f>R512*V512</f>
      </c>
      <c r="Y512" s="79" t="str">
        <f>S512*V512</f>
      </c>
      <c r="Z512" s="80" t="str">
        <f>IFERROR(INDEX('Cost_Components'!$T$2:$T$27,MATCH(E512,'Cost_Components'!$A$2:$A$27,0)),"")</f>
      </c>
      <c r="AA512" s="81" t="str">
        <f>IFERROR(INDEX('Cost_Components'!$U$2:$U$27,MATCH(E512,'Cost_Components'!$A$2:$A$27,0)),"")</f>
      </c>
      <c r="AB512" s="82" t="str">
        <f>IFERROR(INDEX('Cost_Components'!$V$2:$V$27,MATCH(E512,'Cost_Components'!$A$2:$A$27,0)),"")</f>
      </c>
      <c r="AC512" s="83" t="str">
        <f>IFERROR(INDEX('Cost_Components'!$M$2:$M$27,MATCH(E512,'Cost_Components'!$A$2:$A$27,0)),"")</f>
      </c>
      <c r="AD512" s="84" t="str">
        <f>IFERROR(INDEX('Cost_Components'!$N$2:$N$27,MATCH(E512,'Cost_Components'!$A$2:$A$27,0)),"")</f>
      </c>
      <c r="AE512" s="20" t="str">
        <f>IFERROR(INDEX('Cost_Components'!$O$2:$O$27,MATCH(E512,'Cost_Components'!$A$2:$A$27,0)),"")</f>
      </c>
      <c r="AF512" s="85" t="n">
        <v>262985.377481673</v>
      </c>
      <c r="AG512" s="86" t="n">
        <v>262946.204658509</v>
      </c>
      <c r="AH512" s="87" t="str">
        <f>IF(H512="shared-count-once",COUNTIFS($A$2:$A$1353,A512,$B$2:$B$1353,B512,$E$2:$E$1353,E512),1)</f>
      </c>
    </row>
    <row r="513">
      <c r="A513" t="s">
        <v>220</v>
      </c>
      <c r="B513" s="59" t="n">
        <v>2042</v>
      </c>
      <c r="C513" t="s">
        <v>220</v>
      </c>
      <c r="D513" t="s">
        <v>176</v>
      </c>
      <c r="E513" s="60" t="s">
        <v>309</v>
      </c>
      <c r="F513" s="61" t="s">
        <v>310</v>
      </c>
      <c r="G513" s="62" t="s">
        <v>221</v>
      </c>
      <c r="H513" s="63" t="s">
        <v>195</v>
      </c>
      <c r="I513" s="64" t="s">
        <v>170</v>
      </c>
      <c r="J513" s="65" t="str">
        <f>IFERROR(INDEX('Cost_Components'!$K$2:$K$27,MATCH(E513,'Cost_Components'!$A$2:$A$27,0)),"")</f>
      </c>
      <c r="K513" s="66" t="str">
        <f>IF(OR(L513="",Z513="",AA513="",AB513=""),"",IF(B513&lt;AA513,L513,IF(B513&gt;AB513,Z513,L513+(Z513-L513)*MIN(MAX((B513-AA513+1)/MAX(AB513-AA513+1,1),0),1))))</f>
      </c>
      <c r="L513" s="67" t="str">
        <f>IFERROR(INDEX('Cost_Components'!$S$2:$S$27,MATCH(E513,'Cost_Components'!$A$2:$A$27,0)),"")</f>
      </c>
      <c r="M513" s="68" t="str">
        <f>IFERROR(INDEX('Cost_Components'!$L$2:$L$27,MATCH(E513,'Cost_Components'!$A$2:$A$27,0)),"")</f>
      </c>
      <c r="N513" s="69" t="str">
        <f>IFERROR(INDEX('Cost_Components'!$P$2:$P$27,MATCH(E513,'Cost_Components'!$A$2:$A$27,0)),"")</f>
      </c>
      <c r="O513" s="70" t="str">
        <f>AF513*J513</f>
      </c>
      <c r="P513" s="71" t="str">
        <f>AG513*J513</f>
      </c>
      <c r="Q513" s="72" t="str">
        <f>P513*L513*M513*N513</f>
      </c>
      <c r="R513" s="73" t="str">
        <f>O513*K513*M513*N513</f>
      </c>
      <c r="S513" s="74" t="str">
        <f>R513-Q513</f>
      </c>
      <c r="T513" s="20" t="str">
        <f>IFERROR(INDEX('Cost_Components'!$R$2:$R$27,MATCH(E513,'Cost_Components'!$A$2:$A$27,0)),"")</f>
      </c>
      <c r="U513" s="75" t="str">
        <f>IFERROR(INDEX('Cost_Components'!$Q$2:$Q$27,MATCH(E513,'Cost_Components'!$A$2:$A$27,0)),"")</f>
      </c>
      <c r="V513" s="76" t="str">
        <f>1/(1+'Calculation_Assumptions'!$B$5)^(B513-'Calculation_Assumptions'!$B$2)</f>
      </c>
      <c r="W513" s="77" t="str">
        <f>Q513*V513</f>
      </c>
      <c r="X513" s="78" t="str">
        <f>R513*V513</f>
      </c>
      <c r="Y513" s="79" t="str">
        <f>S513*V513</f>
      </c>
      <c r="Z513" s="80" t="str">
        <f>IFERROR(INDEX('Cost_Components'!$T$2:$T$27,MATCH(E513,'Cost_Components'!$A$2:$A$27,0)),"")</f>
      </c>
      <c r="AA513" s="81" t="str">
        <f>IFERROR(INDEX('Cost_Components'!$U$2:$U$27,MATCH(E513,'Cost_Components'!$A$2:$A$27,0)),"")</f>
      </c>
      <c r="AB513" s="82" t="str">
        <f>IFERROR(INDEX('Cost_Components'!$V$2:$V$27,MATCH(E513,'Cost_Components'!$A$2:$A$27,0)),"")</f>
      </c>
      <c r="AC513" s="83" t="str">
        <f>IFERROR(INDEX('Cost_Components'!$M$2:$M$27,MATCH(E513,'Cost_Components'!$A$2:$A$27,0)),"")</f>
      </c>
      <c r="AD513" s="84" t="str">
        <f>IFERROR(INDEX('Cost_Components'!$N$2:$N$27,MATCH(E513,'Cost_Components'!$A$2:$A$27,0)),"")</f>
      </c>
      <c r="AE513" s="20" t="str">
        <f>IFERROR(INDEX('Cost_Components'!$O$2:$O$27,MATCH(E513,'Cost_Components'!$A$2:$A$27,0)),"")</f>
      </c>
      <c r="AF513" s="85" t="n">
        <v>262841.849184188</v>
      </c>
      <c r="AG513" s="86" t="n">
        <v>262799.579916653</v>
      </c>
      <c r="AH513" s="87" t="str">
        <f>IF(H513="shared-count-once",COUNTIFS($A$2:$A$1353,A513,$B$2:$B$1353,B513,$E$2:$E$1353,E513),1)</f>
      </c>
    </row>
    <row r="514">
      <c r="A514" t="s">
        <v>220</v>
      </c>
      <c r="B514" s="59" t="n">
        <v>2043</v>
      </c>
      <c r="C514" t="s">
        <v>220</v>
      </c>
      <c r="D514" t="s">
        <v>176</v>
      </c>
      <c r="E514" s="60" t="s">
        <v>309</v>
      </c>
      <c r="F514" s="61" t="s">
        <v>310</v>
      </c>
      <c r="G514" s="62" t="s">
        <v>221</v>
      </c>
      <c r="H514" s="63" t="s">
        <v>195</v>
      </c>
      <c r="I514" s="64" t="s">
        <v>170</v>
      </c>
      <c r="J514" s="65" t="str">
        <f>IFERROR(INDEX('Cost_Components'!$K$2:$K$27,MATCH(E514,'Cost_Components'!$A$2:$A$27,0)),"")</f>
      </c>
      <c r="K514" s="66" t="str">
        <f>IF(OR(L514="",Z514="",AA514="",AB514=""),"",IF(B514&lt;AA514,L514,IF(B514&gt;AB514,Z514,L514+(Z514-L514)*MIN(MAX((B514-AA514+1)/MAX(AB514-AA514+1,1),0),1))))</f>
      </c>
      <c r="L514" s="67" t="str">
        <f>IFERROR(INDEX('Cost_Components'!$S$2:$S$27,MATCH(E514,'Cost_Components'!$A$2:$A$27,0)),"")</f>
      </c>
      <c r="M514" s="68" t="str">
        <f>IFERROR(INDEX('Cost_Components'!$L$2:$L$27,MATCH(E514,'Cost_Components'!$A$2:$A$27,0)),"")</f>
      </c>
      <c r="N514" s="69" t="str">
        <f>IFERROR(INDEX('Cost_Components'!$P$2:$P$27,MATCH(E514,'Cost_Components'!$A$2:$A$27,0)),"")</f>
      </c>
      <c r="O514" s="70" t="str">
        <f>AF514*J514</f>
      </c>
      <c r="P514" s="71" t="str">
        <f>AG514*J514</f>
      </c>
      <c r="Q514" s="72" t="str">
        <f>P514*L514*M514*N514</f>
      </c>
      <c r="R514" s="73" t="str">
        <f>O514*K514*M514*N514</f>
      </c>
      <c r="S514" s="74" t="str">
        <f>R514-Q514</f>
      </c>
      <c r="T514" s="20" t="str">
        <f>IFERROR(INDEX('Cost_Components'!$R$2:$R$27,MATCH(E514,'Cost_Components'!$A$2:$A$27,0)),"")</f>
      </c>
      <c r="U514" s="75" t="str">
        <f>IFERROR(INDEX('Cost_Components'!$Q$2:$Q$27,MATCH(E514,'Cost_Components'!$A$2:$A$27,0)),"")</f>
      </c>
      <c r="V514" s="76" t="str">
        <f>1/(1+'Calculation_Assumptions'!$B$5)^(B514-'Calculation_Assumptions'!$B$2)</f>
      </c>
      <c r="W514" s="77" t="str">
        <f>Q514*V514</f>
      </c>
      <c r="X514" s="78" t="str">
        <f>R514*V514</f>
      </c>
      <c r="Y514" s="79" t="str">
        <f>S514*V514</f>
      </c>
      <c r="Z514" s="80" t="str">
        <f>IFERROR(INDEX('Cost_Components'!$T$2:$T$27,MATCH(E514,'Cost_Components'!$A$2:$A$27,0)),"")</f>
      </c>
      <c r="AA514" s="81" t="str">
        <f>IFERROR(INDEX('Cost_Components'!$U$2:$U$27,MATCH(E514,'Cost_Components'!$A$2:$A$27,0)),"")</f>
      </c>
      <c r="AB514" s="82" t="str">
        <f>IFERROR(INDEX('Cost_Components'!$V$2:$V$27,MATCH(E514,'Cost_Components'!$A$2:$A$27,0)),"")</f>
      </c>
      <c r="AC514" s="83" t="str">
        <f>IFERROR(INDEX('Cost_Components'!$M$2:$M$27,MATCH(E514,'Cost_Components'!$A$2:$A$27,0)),"")</f>
      </c>
      <c r="AD514" s="84" t="str">
        <f>IFERROR(INDEX('Cost_Components'!$N$2:$N$27,MATCH(E514,'Cost_Components'!$A$2:$A$27,0)),"")</f>
      </c>
      <c r="AE514" s="20" t="str">
        <f>IFERROR(INDEX('Cost_Components'!$O$2:$O$27,MATCH(E514,'Cost_Components'!$A$2:$A$27,0)),"")</f>
      </c>
      <c r="AF514" s="85" t="n">
        <v>262357.384907447</v>
      </c>
      <c r="AG514" s="86" t="n">
        <v>262312.010033841</v>
      </c>
      <c r="AH514" s="87" t="str">
        <f>IF(H514="shared-count-once",COUNTIFS($A$2:$A$1353,A514,$B$2:$B$1353,B514,$E$2:$E$1353,E514),1)</f>
      </c>
    </row>
    <row r="515">
      <c r="A515" t="s">
        <v>220</v>
      </c>
      <c r="B515" s="59" t="n">
        <v>2044</v>
      </c>
      <c r="C515" t="s">
        <v>220</v>
      </c>
      <c r="D515" t="s">
        <v>176</v>
      </c>
      <c r="E515" s="60" t="s">
        <v>309</v>
      </c>
      <c r="F515" s="61" t="s">
        <v>310</v>
      </c>
      <c r="G515" s="62" t="s">
        <v>221</v>
      </c>
      <c r="H515" s="63" t="s">
        <v>195</v>
      </c>
      <c r="I515" s="64" t="s">
        <v>170</v>
      </c>
      <c r="J515" s="65" t="str">
        <f>IFERROR(INDEX('Cost_Components'!$K$2:$K$27,MATCH(E515,'Cost_Components'!$A$2:$A$27,0)),"")</f>
      </c>
      <c r="K515" s="66" t="str">
        <f>IF(OR(L515="",Z515="",AA515="",AB515=""),"",IF(B515&lt;AA515,L515,IF(B515&gt;AB515,Z515,L515+(Z515-L515)*MIN(MAX((B515-AA515+1)/MAX(AB515-AA515+1,1),0),1))))</f>
      </c>
      <c r="L515" s="67" t="str">
        <f>IFERROR(INDEX('Cost_Components'!$S$2:$S$27,MATCH(E515,'Cost_Components'!$A$2:$A$27,0)),"")</f>
      </c>
      <c r="M515" s="68" t="str">
        <f>IFERROR(INDEX('Cost_Components'!$L$2:$L$27,MATCH(E515,'Cost_Components'!$A$2:$A$27,0)),"")</f>
      </c>
      <c r="N515" s="69" t="str">
        <f>IFERROR(INDEX('Cost_Components'!$P$2:$P$27,MATCH(E515,'Cost_Components'!$A$2:$A$27,0)),"")</f>
      </c>
      <c r="O515" s="70" t="str">
        <f>AF515*J515</f>
      </c>
      <c r="P515" s="71" t="str">
        <f>AG515*J515</f>
      </c>
      <c r="Q515" s="72" t="str">
        <f>P515*L515*M515*N515</f>
      </c>
      <c r="R515" s="73" t="str">
        <f>O515*K515*M515*N515</f>
      </c>
      <c r="S515" s="74" t="str">
        <f>R515-Q515</f>
      </c>
      <c r="T515" s="20" t="str">
        <f>IFERROR(INDEX('Cost_Components'!$R$2:$R$27,MATCH(E515,'Cost_Components'!$A$2:$A$27,0)),"")</f>
      </c>
      <c r="U515" s="75" t="str">
        <f>IFERROR(INDEX('Cost_Components'!$Q$2:$Q$27,MATCH(E515,'Cost_Components'!$A$2:$A$27,0)),"")</f>
      </c>
      <c r="V515" s="76" t="str">
        <f>1/(1+'Calculation_Assumptions'!$B$5)^(B515-'Calculation_Assumptions'!$B$2)</f>
      </c>
      <c r="W515" s="77" t="str">
        <f>Q515*V515</f>
      </c>
      <c r="X515" s="78" t="str">
        <f>R515*V515</f>
      </c>
      <c r="Y515" s="79" t="str">
        <f>S515*V515</f>
      </c>
      <c r="Z515" s="80" t="str">
        <f>IFERROR(INDEX('Cost_Components'!$T$2:$T$27,MATCH(E515,'Cost_Components'!$A$2:$A$27,0)),"")</f>
      </c>
      <c r="AA515" s="81" t="str">
        <f>IFERROR(INDEX('Cost_Components'!$U$2:$U$27,MATCH(E515,'Cost_Components'!$A$2:$A$27,0)),"")</f>
      </c>
      <c r="AB515" s="82" t="str">
        <f>IFERROR(INDEX('Cost_Components'!$V$2:$V$27,MATCH(E515,'Cost_Components'!$A$2:$A$27,0)),"")</f>
      </c>
      <c r="AC515" s="83" t="str">
        <f>IFERROR(INDEX('Cost_Components'!$M$2:$M$27,MATCH(E515,'Cost_Components'!$A$2:$A$27,0)),"")</f>
      </c>
      <c r="AD515" s="84" t="str">
        <f>IFERROR(INDEX('Cost_Components'!$N$2:$N$27,MATCH(E515,'Cost_Components'!$A$2:$A$27,0)),"")</f>
      </c>
      <c r="AE515" s="20" t="str">
        <f>IFERROR(INDEX('Cost_Components'!$O$2:$O$27,MATCH(E515,'Cost_Components'!$A$2:$A$27,0)),"")</f>
      </c>
      <c r="AF515" s="85" t="n">
        <v>261756.9683077</v>
      </c>
      <c r="AG515" s="86" t="n">
        <v>261708.65677604</v>
      </c>
      <c r="AH515" s="87" t="str">
        <f>IF(H515="shared-count-once",COUNTIFS($A$2:$A$1353,A515,$B$2:$B$1353,B515,$E$2:$E$1353,E515),1)</f>
      </c>
    </row>
    <row r="516">
      <c r="A516" t="s">
        <v>220</v>
      </c>
      <c r="B516" s="59" t="n">
        <v>2045</v>
      </c>
      <c r="C516" t="s">
        <v>220</v>
      </c>
      <c r="D516" t="s">
        <v>176</v>
      </c>
      <c r="E516" s="60" t="s">
        <v>309</v>
      </c>
      <c r="F516" s="61" t="s">
        <v>310</v>
      </c>
      <c r="G516" s="62" t="s">
        <v>221</v>
      </c>
      <c r="H516" s="63" t="s">
        <v>195</v>
      </c>
      <c r="I516" s="64" t="s">
        <v>170</v>
      </c>
      <c r="J516" s="65" t="str">
        <f>IFERROR(INDEX('Cost_Components'!$K$2:$K$27,MATCH(E516,'Cost_Components'!$A$2:$A$27,0)),"")</f>
      </c>
      <c r="K516" s="66" t="str">
        <f>IF(OR(L516="",Z516="",AA516="",AB516=""),"",IF(B516&lt;AA516,L516,IF(B516&gt;AB516,Z516,L516+(Z516-L516)*MIN(MAX((B516-AA516+1)/MAX(AB516-AA516+1,1),0),1))))</f>
      </c>
      <c r="L516" s="67" t="str">
        <f>IFERROR(INDEX('Cost_Components'!$S$2:$S$27,MATCH(E516,'Cost_Components'!$A$2:$A$27,0)),"")</f>
      </c>
      <c r="M516" s="68" t="str">
        <f>IFERROR(INDEX('Cost_Components'!$L$2:$L$27,MATCH(E516,'Cost_Components'!$A$2:$A$27,0)),"")</f>
      </c>
      <c r="N516" s="69" t="str">
        <f>IFERROR(INDEX('Cost_Components'!$P$2:$P$27,MATCH(E516,'Cost_Components'!$A$2:$A$27,0)),"")</f>
      </c>
      <c r="O516" s="70" t="str">
        <f>AF516*J516</f>
      </c>
      <c r="P516" s="71" t="str">
        <f>AG516*J516</f>
      </c>
      <c r="Q516" s="72" t="str">
        <f>P516*L516*M516*N516</f>
      </c>
      <c r="R516" s="73" t="str">
        <f>O516*K516*M516*N516</f>
      </c>
      <c r="S516" s="74" t="str">
        <f>R516-Q516</f>
      </c>
      <c r="T516" s="20" t="str">
        <f>IFERROR(INDEX('Cost_Components'!$R$2:$R$27,MATCH(E516,'Cost_Components'!$A$2:$A$27,0)),"")</f>
      </c>
      <c r="U516" s="75" t="str">
        <f>IFERROR(INDEX('Cost_Components'!$Q$2:$Q$27,MATCH(E516,'Cost_Components'!$A$2:$A$27,0)),"")</f>
      </c>
      <c r="V516" s="76" t="str">
        <f>1/(1+'Calculation_Assumptions'!$B$5)^(B516-'Calculation_Assumptions'!$B$2)</f>
      </c>
      <c r="W516" s="77" t="str">
        <f>Q516*V516</f>
      </c>
      <c r="X516" s="78" t="str">
        <f>R516*V516</f>
      </c>
      <c r="Y516" s="79" t="str">
        <f>S516*V516</f>
      </c>
      <c r="Z516" s="80" t="str">
        <f>IFERROR(INDEX('Cost_Components'!$T$2:$T$27,MATCH(E516,'Cost_Components'!$A$2:$A$27,0)),"")</f>
      </c>
      <c r="AA516" s="81" t="str">
        <f>IFERROR(INDEX('Cost_Components'!$U$2:$U$27,MATCH(E516,'Cost_Components'!$A$2:$A$27,0)),"")</f>
      </c>
      <c r="AB516" s="82" t="str">
        <f>IFERROR(INDEX('Cost_Components'!$V$2:$V$27,MATCH(E516,'Cost_Components'!$A$2:$A$27,0)),"")</f>
      </c>
      <c r="AC516" s="83" t="str">
        <f>IFERROR(INDEX('Cost_Components'!$M$2:$M$27,MATCH(E516,'Cost_Components'!$A$2:$A$27,0)),"")</f>
      </c>
      <c r="AD516" s="84" t="str">
        <f>IFERROR(INDEX('Cost_Components'!$N$2:$N$27,MATCH(E516,'Cost_Components'!$A$2:$A$27,0)),"")</f>
      </c>
      <c r="AE516" s="20" t="str">
        <f>IFERROR(INDEX('Cost_Components'!$O$2:$O$27,MATCH(E516,'Cost_Components'!$A$2:$A$27,0)),"")</f>
      </c>
      <c r="AF516" s="85" t="n">
        <v>261305.584726109</v>
      </c>
      <c r="AG516" s="86" t="n">
        <v>261254.26711682</v>
      </c>
      <c r="AH516" s="87" t="str">
        <f>IF(H516="shared-count-once",COUNTIFS($A$2:$A$1353,A516,$B$2:$B$1353,B516,$E$2:$E$1353,E516),1)</f>
      </c>
    </row>
    <row r="517">
      <c r="A517" t="s">
        <v>220</v>
      </c>
      <c r="B517" s="59" t="n">
        <v>2046</v>
      </c>
      <c r="C517" t="s">
        <v>220</v>
      </c>
      <c r="D517" t="s">
        <v>176</v>
      </c>
      <c r="E517" s="60" t="s">
        <v>309</v>
      </c>
      <c r="F517" s="61" t="s">
        <v>310</v>
      </c>
      <c r="G517" s="62" t="s">
        <v>221</v>
      </c>
      <c r="H517" s="63" t="s">
        <v>195</v>
      </c>
      <c r="I517" s="64" t="s">
        <v>170</v>
      </c>
      <c r="J517" s="65" t="str">
        <f>IFERROR(INDEX('Cost_Components'!$K$2:$K$27,MATCH(E517,'Cost_Components'!$A$2:$A$27,0)),"")</f>
      </c>
      <c r="K517" s="66" t="str">
        <f>IF(OR(L517="",Z517="",AA517="",AB517=""),"",IF(B517&lt;AA517,L517,IF(B517&gt;AB517,Z517,L517+(Z517-L517)*MIN(MAX((B517-AA517+1)/MAX(AB517-AA517+1,1),0),1))))</f>
      </c>
      <c r="L517" s="67" t="str">
        <f>IFERROR(INDEX('Cost_Components'!$S$2:$S$27,MATCH(E517,'Cost_Components'!$A$2:$A$27,0)),"")</f>
      </c>
      <c r="M517" s="68" t="str">
        <f>IFERROR(INDEX('Cost_Components'!$L$2:$L$27,MATCH(E517,'Cost_Components'!$A$2:$A$27,0)),"")</f>
      </c>
      <c r="N517" s="69" t="str">
        <f>IFERROR(INDEX('Cost_Components'!$P$2:$P$27,MATCH(E517,'Cost_Components'!$A$2:$A$27,0)),"")</f>
      </c>
      <c r="O517" s="70" t="str">
        <f>AF517*J517</f>
      </c>
      <c r="P517" s="71" t="str">
        <f>AG517*J517</f>
      </c>
      <c r="Q517" s="72" t="str">
        <f>P517*L517*M517*N517</f>
      </c>
      <c r="R517" s="73" t="str">
        <f>O517*K517*M517*N517</f>
      </c>
      <c r="S517" s="74" t="str">
        <f>R517-Q517</f>
      </c>
      <c r="T517" s="20" t="str">
        <f>IFERROR(INDEX('Cost_Components'!$R$2:$R$27,MATCH(E517,'Cost_Components'!$A$2:$A$27,0)),"")</f>
      </c>
      <c r="U517" s="75" t="str">
        <f>IFERROR(INDEX('Cost_Components'!$Q$2:$Q$27,MATCH(E517,'Cost_Components'!$A$2:$A$27,0)),"")</f>
      </c>
      <c r="V517" s="76" t="str">
        <f>1/(1+'Calculation_Assumptions'!$B$5)^(B517-'Calculation_Assumptions'!$B$2)</f>
      </c>
      <c r="W517" s="77" t="str">
        <f>Q517*V517</f>
      </c>
      <c r="X517" s="78" t="str">
        <f>R517*V517</f>
      </c>
      <c r="Y517" s="79" t="str">
        <f>S517*V517</f>
      </c>
      <c r="Z517" s="80" t="str">
        <f>IFERROR(INDEX('Cost_Components'!$T$2:$T$27,MATCH(E517,'Cost_Components'!$A$2:$A$27,0)),"")</f>
      </c>
      <c r="AA517" s="81" t="str">
        <f>IFERROR(INDEX('Cost_Components'!$U$2:$U$27,MATCH(E517,'Cost_Components'!$A$2:$A$27,0)),"")</f>
      </c>
      <c r="AB517" s="82" t="str">
        <f>IFERROR(INDEX('Cost_Components'!$V$2:$V$27,MATCH(E517,'Cost_Components'!$A$2:$A$27,0)),"")</f>
      </c>
      <c r="AC517" s="83" t="str">
        <f>IFERROR(INDEX('Cost_Components'!$M$2:$M$27,MATCH(E517,'Cost_Components'!$A$2:$A$27,0)),"")</f>
      </c>
      <c r="AD517" s="84" t="str">
        <f>IFERROR(INDEX('Cost_Components'!$N$2:$N$27,MATCH(E517,'Cost_Components'!$A$2:$A$27,0)),"")</f>
      </c>
      <c r="AE517" s="20" t="str">
        <f>IFERROR(INDEX('Cost_Components'!$O$2:$O$27,MATCH(E517,'Cost_Components'!$A$2:$A$27,0)),"")</f>
      </c>
      <c r="AF517" s="85" t="n">
        <v>260872.886939784</v>
      </c>
      <c r="AG517" s="86" t="n">
        <v>260818.565252634</v>
      </c>
      <c r="AH517" s="87" t="str">
        <f>IF(H517="shared-count-once",COUNTIFS($A$2:$A$1353,A517,$B$2:$B$1353,B517,$E$2:$E$1353,E517),1)</f>
      </c>
    </row>
    <row r="518">
      <c r="A518" t="s">
        <v>220</v>
      </c>
      <c r="B518" s="59" t="n">
        <v>2047</v>
      </c>
      <c r="C518" t="s">
        <v>220</v>
      </c>
      <c r="D518" t="s">
        <v>176</v>
      </c>
      <c r="E518" s="60" t="s">
        <v>309</v>
      </c>
      <c r="F518" s="61" t="s">
        <v>310</v>
      </c>
      <c r="G518" s="62" t="s">
        <v>221</v>
      </c>
      <c r="H518" s="63" t="s">
        <v>195</v>
      </c>
      <c r="I518" s="64" t="s">
        <v>170</v>
      </c>
      <c r="J518" s="65" t="str">
        <f>IFERROR(INDEX('Cost_Components'!$K$2:$K$27,MATCH(E518,'Cost_Components'!$A$2:$A$27,0)),"")</f>
      </c>
      <c r="K518" s="66" t="str">
        <f>IF(OR(L518="",Z518="",AA518="",AB518=""),"",IF(B518&lt;AA518,L518,IF(B518&gt;AB518,Z518,L518+(Z518-L518)*MIN(MAX((B518-AA518+1)/MAX(AB518-AA518+1,1),0),1))))</f>
      </c>
      <c r="L518" s="67" t="str">
        <f>IFERROR(INDEX('Cost_Components'!$S$2:$S$27,MATCH(E518,'Cost_Components'!$A$2:$A$27,0)),"")</f>
      </c>
      <c r="M518" s="68" t="str">
        <f>IFERROR(INDEX('Cost_Components'!$L$2:$L$27,MATCH(E518,'Cost_Components'!$A$2:$A$27,0)),"")</f>
      </c>
      <c r="N518" s="69" t="str">
        <f>IFERROR(INDEX('Cost_Components'!$P$2:$P$27,MATCH(E518,'Cost_Components'!$A$2:$A$27,0)),"")</f>
      </c>
      <c r="O518" s="70" t="str">
        <f>AF518*J518</f>
      </c>
      <c r="P518" s="71" t="str">
        <f>AG518*J518</f>
      </c>
      <c r="Q518" s="72" t="str">
        <f>P518*L518*M518*N518</f>
      </c>
      <c r="R518" s="73" t="str">
        <f>O518*K518*M518*N518</f>
      </c>
      <c r="S518" s="74" t="str">
        <f>R518-Q518</f>
      </c>
      <c r="T518" s="20" t="str">
        <f>IFERROR(INDEX('Cost_Components'!$R$2:$R$27,MATCH(E518,'Cost_Components'!$A$2:$A$27,0)),"")</f>
      </c>
      <c r="U518" s="75" t="str">
        <f>IFERROR(INDEX('Cost_Components'!$Q$2:$Q$27,MATCH(E518,'Cost_Components'!$A$2:$A$27,0)),"")</f>
      </c>
      <c r="V518" s="76" t="str">
        <f>1/(1+'Calculation_Assumptions'!$B$5)^(B518-'Calculation_Assumptions'!$B$2)</f>
      </c>
      <c r="W518" s="77" t="str">
        <f>Q518*V518</f>
      </c>
      <c r="X518" s="78" t="str">
        <f>R518*V518</f>
      </c>
      <c r="Y518" s="79" t="str">
        <f>S518*V518</f>
      </c>
      <c r="Z518" s="80" t="str">
        <f>IFERROR(INDEX('Cost_Components'!$T$2:$T$27,MATCH(E518,'Cost_Components'!$A$2:$A$27,0)),"")</f>
      </c>
      <c r="AA518" s="81" t="str">
        <f>IFERROR(INDEX('Cost_Components'!$U$2:$U$27,MATCH(E518,'Cost_Components'!$A$2:$A$27,0)),"")</f>
      </c>
      <c r="AB518" s="82" t="str">
        <f>IFERROR(INDEX('Cost_Components'!$V$2:$V$27,MATCH(E518,'Cost_Components'!$A$2:$A$27,0)),"")</f>
      </c>
      <c r="AC518" s="83" t="str">
        <f>IFERROR(INDEX('Cost_Components'!$M$2:$M$27,MATCH(E518,'Cost_Components'!$A$2:$A$27,0)),"")</f>
      </c>
      <c r="AD518" s="84" t="str">
        <f>IFERROR(INDEX('Cost_Components'!$N$2:$N$27,MATCH(E518,'Cost_Components'!$A$2:$A$27,0)),"")</f>
      </c>
      <c r="AE518" s="20" t="str">
        <f>IFERROR(INDEX('Cost_Components'!$O$2:$O$27,MATCH(E518,'Cost_Components'!$A$2:$A$27,0)),"")</f>
      </c>
      <c r="AF518" s="85" t="n">
        <v>260168.554561561</v>
      </c>
      <c r="AG518" s="86" t="n">
        <v>260111.247980709</v>
      </c>
      <c r="AH518" s="87" t="str">
        <f>IF(H518="shared-count-once",COUNTIFS($A$2:$A$1353,A518,$B$2:$B$1353,B518,$E$2:$E$1353,E518),1)</f>
      </c>
    </row>
    <row r="519">
      <c r="A519" t="s">
        <v>220</v>
      </c>
      <c r="B519" s="59" t="n">
        <v>2048</v>
      </c>
      <c r="C519" t="s">
        <v>220</v>
      </c>
      <c r="D519" t="s">
        <v>176</v>
      </c>
      <c r="E519" s="60" t="s">
        <v>309</v>
      </c>
      <c r="F519" s="61" t="s">
        <v>310</v>
      </c>
      <c r="G519" s="62" t="s">
        <v>221</v>
      </c>
      <c r="H519" s="63" t="s">
        <v>195</v>
      </c>
      <c r="I519" s="64" t="s">
        <v>170</v>
      </c>
      <c r="J519" s="65" t="str">
        <f>IFERROR(INDEX('Cost_Components'!$K$2:$K$27,MATCH(E519,'Cost_Components'!$A$2:$A$27,0)),"")</f>
      </c>
      <c r="K519" s="66" t="str">
        <f>IF(OR(L519="",Z519="",AA519="",AB519=""),"",IF(B519&lt;AA519,L519,IF(B519&gt;AB519,Z519,L519+(Z519-L519)*MIN(MAX((B519-AA519+1)/MAX(AB519-AA519+1,1),0),1))))</f>
      </c>
      <c r="L519" s="67" t="str">
        <f>IFERROR(INDEX('Cost_Components'!$S$2:$S$27,MATCH(E519,'Cost_Components'!$A$2:$A$27,0)),"")</f>
      </c>
      <c r="M519" s="68" t="str">
        <f>IFERROR(INDEX('Cost_Components'!$L$2:$L$27,MATCH(E519,'Cost_Components'!$A$2:$A$27,0)),"")</f>
      </c>
      <c r="N519" s="69" t="str">
        <f>IFERROR(INDEX('Cost_Components'!$P$2:$P$27,MATCH(E519,'Cost_Components'!$A$2:$A$27,0)),"")</f>
      </c>
      <c r="O519" s="70" t="str">
        <f>AF519*J519</f>
      </c>
      <c r="P519" s="71" t="str">
        <f>AG519*J519</f>
      </c>
      <c r="Q519" s="72" t="str">
        <f>P519*L519*M519*N519</f>
      </c>
      <c r="R519" s="73" t="str">
        <f>O519*K519*M519*N519</f>
      </c>
      <c r="S519" s="74" t="str">
        <f>R519-Q519</f>
      </c>
      <c r="T519" s="20" t="str">
        <f>IFERROR(INDEX('Cost_Components'!$R$2:$R$27,MATCH(E519,'Cost_Components'!$A$2:$A$27,0)),"")</f>
      </c>
      <c r="U519" s="75" t="str">
        <f>IFERROR(INDEX('Cost_Components'!$Q$2:$Q$27,MATCH(E519,'Cost_Components'!$A$2:$A$27,0)),"")</f>
      </c>
      <c r="V519" s="76" t="str">
        <f>1/(1+'Calculation_Assumptions'!$B$5)^(B519-'Calculation_Assumptions'!$B$2)</f>
      </c>
      <c r="W519" s="77" t="str">
        <f>Q519*V519</f>
      </c>
      <c r="X519" s="78" t="str">
        <f>R519*V519</f>
      </c>
      <c r="Y519" s="79" t="str">
        <f>S519*V519</f>
      </c>
      <c r="Z519" s="80" t="str">
        <f>IFERROR(INDEX('Cost_Components'!$T$2:$T$27,MATCH(E519,'Cost_Components'!$A$2:$A$27,0)),"")</f>
      </c>
      <c r="AA519" s="81" t="str">
        <f>IFERROR(INDEX('Cost_Components'!$U$2:$U$27,MATCH(E519,'Cost_Components'!$A$2:$A$27,0)),"")</f>
      </c>
      <c r="AB519" s="82" t="str">
        <f>IFERROR(INDEX('Cost_Components'!$V$2:$V$27,MATCH(E519,'Cost_Components'!$A$2:$A$27,0)),"")</f>
      </c>
      <c r="AC519" s="83" t="str">
        <f>IFERROR(INDEX('Cost_Components'!$M$2:$M$27,MATCH(E519,'Cost_Components'!$A$2:$A$27,0)),"")</f>
      </c>
      <c r="AD519" s="84" t="str">
        <f>IFERROR(INDEX('Cost_Components'!$N$2:$N$27,MATCH(E519,'Cost_Components'!$A$2:$A$27,0)),"")</f>
      </c>
      <c r="AE519" s="20" t="str">
        <f>IFERROR(INDEX('Cost_Components'!$O$2:$O$27,MATCH(E519,'Cost_Components'!$A$2:$A$27,0)),"")</f>
      </c>
      <c r="AF519" s="85" t="n">
        <v>259167.253270572</v>
      </c>
      <c r="AG519" s="86" t="n">
        <v>259106.982657656</v>
      </c>
      <c r="AH519" s="87" t="str">
        <f>IF(H519="shared-count-once",COUNTIFS($A$2:$A$1353,A519,$B$2:$B$1353,B519,$E$2:$E$1353,E519),1)</f>
      </c>
    </row>
    <row r="520">
      <c r="A520" t="s">
        <v>220</v>
      </c>
      <c r="B520" s="59" t="n">
        <v>2049</v>
      </c>
      <c r="C520" t="s">
        <v>220</v>
      </c>
      <c r="D520" t="s">
        <v>176</v>
      </c>
      <c r="E520" s="60" t="s">
        <v>309</v>
      </c>
      <c r="F520" s="61" t="s">
        <v>310</v>
      </c>
      <c r="G520" s="62" t="s">
        <v>221</v>
      </c>
      <c r="H520" s="63" t="s">
        <v>195</v>
      </c>
      <c r="I520" s="64" t="s">
        <v>170</v>
      </c>
      <c r="J520" s="65" t="str">
        <f>IFERROR(INDEX('Cost_Components'!$K$2:$K$27,MATCH(E520,'Cost_Components'!$A$2:$A$27,0)),"")</f>
      </c>
      <c r="K520" s="66" t="str">
        <f>IF(OR(L520="",Z520="",AA520="",AB520=""),"",IF(B520&lt;AA520,L520,IF(B520&gt;AB520,Z520,L520+(Z520-L520)*MIN(MAX((B520-AA520+1)/MAX(AB520-AA520+1,1),0),1))))</f>
      </c>
      <c r="L520" s="67" t="str">
        <f>IFERROR(INDEX('Cost_Components'!$S$2:$S$27,MATCH(E520,'Cost_Components'!$A$2:$A$27,0)),"")</f>
      </c>
      <c r="M520" s="68" t="str">
        <f>IFERROR(INDEX('Cost_Components'!$L$2:$L$27,MATCH(E520,'Cost_Components'!$A$2:$A$27,0)),"")</f>
      </c>
      <c r="N520" s="69" t="str">
        <f>IFERROR(INDEX('Cost_Components'!$P$2:$P$27,MATCH(E520,'Cost_Components'!$A$2:$A$27,0)),"")</f>
      </c>
      <c r="O520" s="70" t="str">
        <f>AF520*J520</f>
      </c>
      <c r="P520" s="71" t="str">
        <f>AG520*J520</f>
      </c>
      <c r="Q520" s="72" t="str">
        <f>P520*L520*M520*N520</f>
      </c>
      <c r="R520" s="73" t="str">
        <f>O520*K520*M520*N520</f>
      </c>
      <c r="S520" s="74" t="str">
        <f>R520-Q520</f>
      </c>
      <c r="T520" s="20" t="str">
        <f>IFERROR(INDEX('Cost_Components'!$R$2:$R$27,MATCH(E520,'Cost_Components'!$A$2:$A$27,0)),"")</f>
      </c>
      <c r="U520" s="75" t="str">
        <f>IFERROR(INDEX('Cost_Components'!$Q$2:$Q$27,MATCH(E520,'Cost_Components'!$A$2:$A$27,0)),"")</f>
      </c>
      <c r="V520" s="76" t="str">
        <f>1/(1+'Calculation_Assumptions'!$B$5)^(B520-'Calculation_Assumptions'!$B$2)</f>
      </c>
      <c r="W520" s="77" t="str">
        <f>Q520*V520</f>
      </c>
      <c r="X520" s="78" t="str">
        <f>R520*V520</f>
      </c>
      <c r="Y520" s="79" t="str">
        <f>S520*V520</f>
      </c>
      <c r="Z520" s="80" t="str">
        <f>IFERROR(INDEX('Cost_Components'!$T$2:$T$27,MATCH(E520,'Cost_Components'!$A$2:$A$27,0)),"")</f>
      </c>
      <c r="AA520" s="81" t="str">
        <f>IFERROR(INDEX('Cost_Components'!$U$2:$U$27,MATCH(E520,'Cost_Components'!$A$2:$A$27,0)),"")</f>
      </c>
      <c r="AB520" s="82" t="str">
        <f>IFERROR(INDEX('Cost_Components'!$V$2:$V$27,MATCH(E520,'Cost_Components'!$A$2:$A$27,0)),"")</f>
      </c>
      <c r="AC520" s="83" t="str">
        <f>IFERROR(INDEX('Cost_Components'!$M$2:$M$27,MATCH(E520,'Cost_Components'!$A$2:$A$27,0)),"")</f>
      </c>
      <c r="AD520" s="84" t="str">
        <f>IFERROR(INDEX('Cost_Components'!$N$2:$N$27,MATCH(E520,'Cost_Components'!$A$2:$A$27,0)),"")</f>
      </c>
      <c r="AE520" s="20" t="str">
        <f>IFERROR(INDEX('Cost_Components'!$O$2:$O$27,MATCH(E520,'Cost_Components'!$A$2:$A$27,0)),"")</f>
      </c>
      <c r="AF520" s="85" t="n">
        <v>258167.166049157</v>
      </c>
      <c r="AG520" s="86" t="n">
        <v>258104.090566651</v>
      </c>
      <c r="AH520" s="87" t="str">
        <f>IF(H520="shared-count-once",COUNTIFS($A$2:$A$1353,A520,$B$2:$B$1353,B520,$E$2:$E$1353,E520),1)</f>
      </c>
    </row>
    <row r="521">
      <c r="A521" t="s">
        <v>220</v>
      </c>
      <c r="B521" s="59" t="n">
        <v>2050</v>
      </c>
      <c r="C521" t="s">
        <v>220</v>
      </c>
      <c r="D521" t="s">
        <v>176</v>
      </c>
      <c r="E521" s="60" t="s">
        <v>309</v>
      </c>
      <c r="F521" s="61" t="s">
        <v>310</v>
      </c>
      <c r="G521" s="62" t="s">
        <v>221</v>
      </c>
      <c r="H521" s="63" t="s">
        <v>195</v>
      </c>
      <c r="I521" s="64" t="s">
        <v>170</v>
      </c>
      <c r="J521" s="65" t="str">
        <f>IFERROR(INDEX('Cost_Components'!$K$2:$K$27,MATCH(E521,'Cost_Components'!$A$2:$A$27,0)),"")</f>
      </c>
      <c r="K521" s="66" t="str">
        <f>IF(OR(L521="",Z521="",AA521="",AB521=""),"",IF(B521&lt;AA521,L521,IF(B521&gt;AB521,Z521,L521+(Z521-L521)*MIN(MAX((B521-AA521+1)/MAX(AB521-AA521+1,1),0),1))))</f>
      </c>
      <c r="L521" s="67" t="str">
        <f>IFERROR(INDEX('Cost_Components'!$S$2:$S$27,MATCH(E521,'Cost_Components'!$A$2:$A$27,0)),"")</f>
      </c>
      <c r="M521" s="68" t="str">
        <f>IFERROR(INDEX('Cost_Components'!$L$2:$L$27,MATCH(E521,'Cost_Components'!$A$2:$A$27,0)),"")</f>
      </c>
      <c r="N521" s="69" t="str">
        <f>IFERROR(INDEX('Cost_Components'!$P$2:$P$27,MATCH(E521,'Cost_Components'!$A$2:$A$27,0)),"")</f>
      </c>
      <c r="O521" s="70" t="str">
        <f>AF521*J521</f>
      </c>
      <c r="P521" s="71" t="str">
        <f>AG521*J521</f>
      </c>
      <c r="Q521" s="72" t="str">
        <f>P521*L521*M521*N521</f>
      </c>
      <c r="R521" s="73" t="str">
        <f>O521*K521*M521*N521</f>
      </c>
      <c r="S521" s="74" t="str">
        <f>R521-Q521</f>
      </c>
      <c r="T521" s="20" t="str">
        <f>IFERROR(INDEX('Cost_Components'!$R$2:$R$27,MATCH(E521,'Cost_Components'!$A$2:$A$27,0)),"")</f>
      </c>
      <c r="U521" s="75" t="str">
        <f>IFERROR(INDEX('Cost_Components'!$Q$2:$Q$27,MATCH(E521,'Cost_Components'!$A$2:$A$27,0)),"")</f>
      </c>
      <c r="V521" s="76" t="str">
        <f>1/(1+'Calculation_Assumptions'!$B$5)^(B521-'Calculation_Assumptions'!$B$2)</f>
      </c>
      <c r="W521" s="77" t="str">
        <f>Q521*V521</f>
      </c>
      <c r="X521" s="78" t="str">
        <f>R521*V521</f>
      </c>
      <c r="Y521" s="79" t="str">
        <f>S521*V521</f>
      </c>
      <c r="Z521" s="80" t="str">
        <f>IFERROR(INDEX('Cost_Components'!$T$2:$T$27,MATCH(E521,'Cost_Components'!$A$2:$A$27,0)),"")</f>
      </c>
      <c r="AA521" s="81" t="str">
        <f>IFERROR(INDEX('Cost_Components'!$U$2:$U$27,MATCH(E521,'Cost_Components'!$A$2:$A$27,0)),"")</f>
      </c>
      <c r="AB521" s="82" t="str">
        <f>IFERROR(INDEX('Cost_Components'!$V$2:$V$27,MATCH(E521,'Cost_Components'!$A$2:$A$27,0)),"")</f>
      </c>
      <c r="AC521" s="83" t="str">
        <f>IFERROR(INDEX('Cost_Components'!$M$2:$M$27,MATCH(E521,'Cost_Components'!$A$2:$A$27,0)),"")</f>
      </c>
      <c r="AD521" s="84" t="str">
        <f>IFERROR(INDEX('Cost_Components'!$N$2:$N$27,MATCH(E521,'Cost_Components'!$A$2:$A$27,0)),"")</f>
      </c>
      <c r="AE521" s="20" t="str">
        <f>IFERROR(INDEX('Cost_Components'!$O$2:$O$27,MATCH(E521,'Cost_Components'!$A$2:$A$27,0)),"")</f>
      </c>
      <c r="AF521" s="85" t="n">
        <v>257282.24176849</v>
      </c>
      <c r="AG521" s="86" t="n">
        <v>257216.369015205</v>
      </c>
      <c r="AH521" s="87" t="str">
        <f>IF(H521="shared-count-once",COUNTIFS($A$2:$A$1353,A521,$B$2:$B$1353,B521,$E$2:$E$1353,E521),1)</f>
      </c>
    </row>
    <row r="522">
      <c r="A522" t="s">
        <v>220</v>
      </c>
      <c r="B522" s="59" t="n">
        <v>2025</v>
      </c>
      <c r="C522" t="s">
        <v>220</v>
      </c>
      <c r="D522" t="s">
        <v>176</v>
      </c>
      <c r="E522" s="60" t="s">
        <v>311</v>
      </c>
      <c r="F522" s="61" t="s">
        <v>312</v>
      </c>
      <c r="G522" s="62" t="s">
        <v>221</v>
      </c>
      <c r="H522" s="63" t="s">
        <v>195</v>
      </c>
      <c r="I522" s="64" t="s">
        <v>267</v>
      </c>
      <c r="J522" s="65" t="str">
        <f>IFERROR(INDEX('Cost_Components'!$K$2:$K$27,MATCH(E522,'Cost_Components'!$A$2:$A$27,0)),"")</f>
      </c>
      <c r="K522" s="66" t="str">
        <f>IF(OR(L522="",Z522="",AA522="",AB522=""),"",IF(B522&lt;AA522,L522,IF(B522&gt;AB522,Z522,L522+(Z522-L522)*MIN(MAX((B522-AA522+1)/MAX(AB522-AA522+1,1),0),1))))</f>
      </c>
      <c r="L522" s="67" t="str">
        <f>IFERROR(INDEX('Cost_Components'!$S$2:$S$27,MATCH(E522,'Cost_Components'!$A$2:$A$27,0)),"")</f>
      </c>
      <c r="M522" s="68" t="str">
        <f>IFERROR(INDEX('Cost_Components'!$L$2:$L$27,MATCH(E522,'Cost_Components'!$A$2:$A$27,0)),"")</f>
      </c>
      <c r="N522" s="69" t="str">
        <f>IFERROR(INDEX('Cost_Components'!$P$2:$P$27,MATCH(E522,'Cost_Components'!$A$2:$A$27,0)),"")</f>
      </c>
      <c r="O522" s="70" t="str">
        <f>AF522*J522</f>
      </c>
      <c r="P522" s="71" t="str">
        <f>AG522*J522</f>
      </c>
      <c r="Q522" s="72" t="str">
        <f>P522*L522*M522*N522</f>
      </c>
      <c r="R522" s="73" t="str">
        <f>O522*K522*M522*N522</f>
      </c>
      <c r="S522" s="74" t="str">
        <f>R522-Q522</f>
      </c>
      <c r="T522" s="20" t="str">
        <f>IFERROR(INDEX('Cost_Components'!$R$2:$R$27,MATCH(E522,'Cost_Components'!$A$2:$A$27,0)),"")</f>
      </c>
      <c r="U522" s="75" t="str">
        <f>IFERROR(INDEX('Cost_Components'!$Q$2:$Q$27,MATCH(E522,'Cost_Components'!$A$2:$A$27,0)),"")</f>
      </c>
      <c r="V522" s="76" t="str">
        <f>1/(1+'Calculation_Assumptions'!$B$5)^(B522-'Calculation_Assumptions'!$B$2)</f>
      </c>
      <c r="W522" s="77" t="str">
        <f>Q522*V522</f>
      </c>
      <c r="X522" s="78" t="str">
        <f>R522*V522</f>
      </c>
      <c r="Y522" s="79" t="str">
        <f>S522*V522</f>
      </c>
      <c r="Z522" s="80" t="str">
        <f>IFERROR(INDEX('Cost_Components'!$T$2:$T$27,MATCH(E522,'Cost_Components'!$A$2:$A$27,0)),"")</f>
      </c>
      <c r="AA522" s="81" t="str">
        <f>IFERROR(INDEX('Cost_Components'!$U$2:$U$27,MATCH(E522,'Cost_Components'!$A$2:$A$27,0)),"")</f>
      </c>
      <c r="AB522" s="82" t="str">
        <f>IFERROR(INDEX('Cost_Components'!$V$2:$V$27,MATCH(E522,'Cost_Components'!$A$2:$A$27,0)),"")</f>
      </c>
      <c r="AC522" s="83" t="str">
        <f>IFERROR(INDEX('Cost_Components'!$M$2:$M$27,MATCH(E522,'Cost_Components'!$A$2:$A$27,0)),"")</f>
      </c>
      <c r="AD522" s="84" t="str">
        <f>IFERROR(INDEX('Cost_Components'!$N$2:$N$27,MATCH(E522,'Cost_Components'!$A$2:$A$27,0)),"")</f>
      </c>
      <c r="AE522" s="20" t="str">
        <f>IFERROR(INDEX('Cost_Components'!$O$2:$O$27,MATCH(E522,'Cost_Components'!$A$2:$A$27,0)),"")</f>
      </c>
      <c r="AF522" s="85" t="n">
        <v>997552.315604754</v>
      </c>
      <c r="AG522" s="86" t="n">
        <v>997482.980607753</v>
      </c>
      <c r="AH522" s="87" t="str">
        <f>IF(H522="shared-count-once",COUNTIFS($A$2:$A$1353,A522,$B$2:$B$1353,B522,$E$2:$E$1353,E522),1)</f>
      </c>
    </row>
    <row r="523">
      <c r="A523" t="s">
        <v>220</v>
      </c>
      <c r="B523" s="59" t="n">
        <v>2026</v>
      </c>
      <c r="C523" t="s">
        <v>220</v>
      </c>
      <c r="D523" t="s">
        <v>176</v>
      </c>
      <c r="E523" s="60" t="s">
        <v>311</v>
      </c>
      <c r="F523" s="61" t="s">
        <v>312</v>
      </c>
      <c r="G523" s="62" t="s">
        <v>221</v>
      </c>
      <c r="H523" s="63" t="s">
        <v>195</v>
      </c>
      <c r="I523" s="64" t="s">
        <v>267</v>
      </c>
      <c r="J523" s="65" t="str">
        <f>IFERROR(INDEX('Cost_Components'!$K$2:$K$27,MATCH(E523,'Cost_Components'!$A$2:$A$27,0)),"")</f>
      </c>
      <c r="K523" s="66" t="str">
        <f>IF(OR(L523="",Z523="",AA523="",AB523=""),"",IF(B523&lt;AA523,L523,IF(B523&gt;AB523,Z523,L523+(Z523-L523)*MIN(MAX((B523-AA523+1)/MAX(AB523-AA523+1,1),0),1))))</f>
      </c>
      <c r="L523" s="67" t="str">
        <f>IFERROR(INDEX('Cost_Components'!$S$2:$S$27,MATCH(E523,'Cost_Components'!$A$2:$A$27,0)),"")</f>
      </c>
      <c r="M523" s="68" t="str">
        <f>IFERROR(INDEX('Cost_Components'!$L$2:$L$27,MATCH(E523,'Cost_Components'!$A$2:$A$27,0)),"")</f>
      </c>
      <c r="N523" s="69" t="str">
        <f>IFERROR(INDEX('Cost_Components'!$P$2:$P$27,MATCH(E523,'Cost_Components'!$A$2:$A$27,0)),"")</f>
      </c>
      <c r="O523" s="70" t="str">
        <f>AF523*J523</f>
      </c>
      <c r="P523" s="71" t="str">
        <f>AG523*J523</f>
      </c>
      <c r="Q523" s="72" t="str">
        <f>P523*L523*M523*N523</f>
      </c>
      <c r="R523" s="73" t="str">
        <f>O523*K523*M523*N523</f>
      </c>
      <c r="S523" s="74" t="str">
        <f>R523-Q523</f>
      </c>
      <c r="T523" s="20" t="str">
        <f>IFERROR(INDEX('Cost_Components'!$R$2:$R$27,MATCH(E523,'Cost_Components'!$A$2:$A$27,0)),"")</f>
      </c>
      <c r="U523" s="75" t="str">
        <f>IFERROR(INDEX('Cost_Components'!$Q$2:$Q$27,MATCH(E523,'Cost_Components'!$A$2:$A$27,0)),"")</f>
      </c>
      <c r="V523" s="76" t="str">
        <f>1/(1+'Calculation_Assumptions'!$B$5)^(B523-'Calculation_Assumptions'!$B$2)</f>
      </c>
      <c r="W523" s="77" t="str">
        <f>Q523*V523</f>
      </c>
      <c r="X523" s="78" t="str">
        <f>R523*V523</f>
      </c>
      <c r="Y523" s="79" t="str">
        <f>S523*V523</f>
      </c>
      <c r="Z523" s="80" t="str">
        <f>IFERROR(INDEX('Cost_Components'!$T$2:$T$27,MATCH(E523,'Cost_Components'!$A$2:$A$27,0)),"")</f>
      </c>
      <c r="AA523" s="81" t="str">
        <f>IFERROR(INDEX('Cost_Components'!$U$2:$U$27,MATCH(E523,'Cost_Components'!$A$2:$A$27,0)),"")</f>
      </c>
      <c r="AB523" s="82" t="str">
        <f>IFERROR(INDEX('Cost_Components'!$V$2:$V$27,MATCH(E523,'Cost_Components'!$A$2:$A$27,0)),"")</f>
      </c>
      <c r="AC523" s="83" t="str">
        <f>IFERROR(INDEX('Cost_Components'!$M$2:$M$27,MATCH(E523,'Cost_Components'!$A$2:$A$27,0)),"")</f>
      </c>
      <c r="AD523" s="84" t="str">
        <f>IFERROR(INDEX('Cost_Components'!$N$2:$N$27,MATCH(E523,'Cost_Components'!$A$2:$A$27,0)),"")</f>
      </c>
      <c r="AE523" s="20" t="str">
        <f>IFERROR(INDEX('Cost_Components'!$O$2:$O$27,MATCH(E523,'Cost_Components'!$A$2:$A$27,0)),"")</f>
      </c>
      <c r="AF523" s="85" t="n">
        <v>1003888.36792878</v>
      </c>
      <c r="AG523" s="86" t="n">
        <v>1003711.27901421</v>
      </c>
      <c r="AH523" s="87" t="str">
        <f>IF(H523="shared-count-once",COUNTIFS($A$2:$A$1353,A523,$B$2:$B$1353,B523,$E$2:$E$1353,E523),1)</f>
      </c>
    </row>
    <row r="524">
      <c r="A524" t="s">
        <v>220</v>
      </c>
      <c r="B524" s="59" t="n">
        <v>2027</v>
      </c>
      <c r="C524" t="s">
        <v>220</v>
      </c>
      <c r="D524" t="s">
        <v>176</v>
      </c>
      <c r="E524" s="60" t="s">
        <v>311</v>
      </c>
      <c r="F524" s="61" t="s">
        <v>312</v>
      </c>
      <c r="G524" s="62" t="s">
        <v>221</v>
      </c>
      <c r="H524" s="63" t="s">
        <v>195</v>
      </c>
      <c r="I524" s="64" t="s">
        <v>267</v>
      </c>
      <c r="J524" s="65" t="str">
        <f>IFERROR(INDEX('Cost_Components'!$K$2:$K$27,MATCH(E524,'Cost_Components'!$A$2:$A$27,0)),"")</f>
      </c>
      <c r="K524" s="66" t="str">
        <f>IF(OR(L524="",Z524="",AA524="",AB524=""),"",IF(B524&lt;AA524,L524,IF(B524&gt;AB524,Z524,L524+(Z524-L524)*MIN(MAX((B524-AA524+1)/MAX(AB524-AA524+1,1),0),1))))</f>
      </c>
      <c r="L524" s="67" t="str">
        <f>IFERROR(INDEX('Cost_Components'!$S$2:$S$27,MATCH(E524,'Cost_Components'!$A$2:$A$27,0)),"")</f>
      </c>
      <c r="M524" s="68" t="str">
        <f>IFERROR(INDEX('Cost_Components'!$L$2:$L$27,MATCH(E524,'Cost_Components'!$A$2:$A$27,0)),"")</f>
      </c>
      <c r="N524" s="69" t="str">
        <f>IFERROR(INDEX('Cost_Components'!$P$2:$P$27,MATCH(E524,'Cost_Components'!$A$2:$A$27,0)),"")</f>
      </c>
      <c r="O524" s="70" t="str">
        <f>AF524*J524</f>
      </c>
      <c r="P524" s="71" t="str">
        <f>AG524*J524</f>
      </c>
      <c r="Q524" s="72" t="str">
        <f>P524*L524*M524*N524</f>
      </c>
      <c r="R524" s="73" t="str">
        <f>O524*K524*M524*N524</f>
      </c>
      <c r="S524" s="74" t="str">
        <f>R524-Q524</f>
      </c>
      <c r="T524" s="20" t="str">
        <f>IFERROR(INDEX('Cost_Components'!$R$2:$R$27,MATCH(E524,'Cost_Components'!$A$2:$A$27,0)),"")</f>
      </c>
      <c r="U524" s="75" t="str">
        <f>IFERROR(INDEX('Cost_Components'!$Q$2:$Q$27,MATCH(E524,'Cost_Components'!$A$2:$A$27,0)),"")</f>
      </c>
      <c r="V524" s="76" t="str">
        <f>1/(1+'Calculation_Assumptions'!$B$5)^(B524-'Calculation_Assumptions'!$B$2)</f>
      </c>
      <c r="W524" s="77" t="str">
        <f>Q524*V524</f>
      </c>
      <c r="X524" s="78" t="str">
        <f>R524*V524</f>
      </c>
      <c r="Y524" s="79" t="str">
        <f>S524*V524</f>
      </c>
      <c r="Z524" s="80" t="str">
        <f>IFERROR(INDEX('Cost_Components'!$T$2:$T$27,MATCH(E524,'Cost_Components'!$A$2:$A$27,0)),"")</f>
      </c>
      <c r="AA524" s="81" t="str">
        <f>IFERROR(INDEX('Cost_Components'!$U$2:$U$27,MATCH(E524,'Cost_Components'!$A$2:$A$27,0)),"")</f>
      </c>
      <c r="AB524" s="82" t="str">
        <f>IFERROR(INDEX('Cost_Components'!$V$2:$V$27,MATCH(E524,'Cost_Components'!$A$2:$A$27,0)),"")</f>
      </c>
      <c r="AC524" s="83" t="str">
        <f>IFERROR(INDEX('Cost_Components'!$M$2:$M$27,MATCH(E524,'Cost_Components'!$A$2:$A$27,0)),"")</f>
      </c>
      <c r="AD524" s="84" t="str">
        <f>IFERROR(INDEX('Cost_Components'!$N$2:$N$27,MATCH(E524,'Cost_Components'!$A$2:$A$27,0)),"")</f>
      </c>
      <c r="AE524" s="20" t="str">
        <f>IFERROR(INDEX('Cost_Components'!$O$2:$O$27,MATCH(E524,'Cost_Components'!$A$2:$A$27,0)),"")</f>
      </c>
      <c r="AF524" s="85" t="n">
        <v>1003941.53154871</v>
      </c>
      <c r="AG524" s="86" t="n">
        <v>1003629.93349739</v>
      </c>
      <c r="AH524" s="87" t="str">
        <f>IF(H524="shared-count-once",COUNTIFS($A$2:$A$1353,A524,$B$2:$B$1353,B524,$E$2:$E$1353,E524),1)</f>
      </c>
    </row>
    <row r="525">
      <c r="A525" t="s">
        <v>220</v>
      </c>
      <c r="B525" s="59" t="n">
        <v>2028</v>
      </c>
      <c r="C525" t="s">
        <v>220</v>
      </c>
      <c r="D525" t="s">
        <v>176</v>
      </c>
      <c r="E525" s="60" t="s">
        <v>311</v>
      </c>
      <c r="F525" s="61" t="s">
        <v>312</v>
      </c>
      <c r="G525" s="62" t="s">
        <v>221</v>
      </c>
      <c r="H525" s="63" t="s">
        <v>195</v>
      </c>
      <c r="I525" s="64" t="s">
        <v>267</v>
      </c>
      <c r="J525" s="65" t="str">
        <f>IFERROR(INDEX('Cost_Components'!$K$2:$K$27,MATCH(E525,'Cost_Components'!$A$2:$A$27,0)),"")</f>
      </c>
      <c r="K525" s="66" t="str">
        <f>IF(OR(L525="",Z525="",AA525="",AB525=""),"",IF(B525&lt;AA525,L525,IF(B525&gt;AB525,Z525,L525+(Z525-L525)*MIN(MAX((B525-AA525+1)/MAX(AB525-AA525+1,1),0),1))))</f>
      </c>
      <c r="L525" s="67" t="str">
        <f>IFERROR(INDEX('Cost_Components'!$S$2:$S$27,MATCH(E525,'Cost_Components'!$A$2:$A$27,0)),"")</f>
      </c>
      <c r="M525" s="68" t="str">
        <f>IFERROR(INDEX('Cost_Components'!$L$2:$L$27,MATCH(E525,'Cost_Components'!$A$2:$A$27,0)),"")</f>
      </c>
      <c r="N525" s="69" t="str">
        <f>IFERROR(INDEX('Cost_Components'!$P$2:$P$27,MATCH(E525,'Cost_Components'!$A$2:$A$27,0)),"")</f>
      </c>
      <c r="O525" s="70" t="str">
        <f>AF525*J525</f>
      </c>
      <c r="P525" s="71" t="str">
        <f>AG525*J525</f>
      </c>
      <c r="Q525" s="72" t="str">
        <f>P525*L525*M525*N525</f>
      </c>
      <c r="R525" s="73" t="str">
        <f>O525*K525*M525*N525</f>
      </c>
      <c r="S525" s="74" t="str">
        <f>R525-Q525</f>
      </c>
      <c r="T525" s="20" t="str">
        <f>IFERROR(INDEX('Cost_Components'!$R$2:$R$27,MATCH(E525,'Cost_Components'!$A$2:$A$27,0)),"")</f>
      </c>
      <c r="U525" s="75" t="str">
        <f>IFERROR(INDEX('Cost_Components'!$Q$2:$Q$27,MATCH(E525,'Cost_Components'!$A$2:$A$27,0)),"")</f>
      </c>
      <c r="V525" s="76" t="str">
        <f>1/(1+'Calculation_Assumptions'!$B$5)^(B525-'Calculation_Assumptions'!$B$2)</f>
      </c>
      <c r="W525" s="77" t="str">
        <f>Q525*V525</f>
      </c>
      <c r="X525" s="78" t="str">
        <f>R525*V525</f>
      </c>
      <c r="Y525" s="79" t="str">
        <f>S525*V525</f>
      </c>
      <c r="Z525" s="80" t="str">
        <f>IFERROR(INDEX('Cost_Components'!$T$2:$T$27,MATCH(E525,'Cost_Components'!$A$2:$A$27,0)),"")</f>
      </c>
      <c r="AA525" s="81" t="str">
        <f>IFERROR(INDEX('Cost_Components'!$U$2:$U$27,MATCH(E525,'Cost_Components'!$A$2:$A$27,0)),"")</f>
      </c>
      <c r="AB525" s="82" t="str">
        <f>IFERROR(INDEX('Cost_Components'!$V$2:$V$27,MATCH(E525,'Cost_Components'!$A$2:$A$27,0)),"")</f>
      </c>
      <c r="AC525" s="83" t="str">
        <f>IFERROR(INDEX('Cost_Components'!$M$2:$M$27,MATCH(E525,'Cost_Components'!$A$2:$A$27,0)),"")</f>
      </c>
      <c r="AD525" s="84" t="str">
        <f>IFERROR(INDEX('Cost_Components'!$N$2:$N$27,MATCH(E525,'Cost_Components'!$A$2:$A$27,0)),"")</f>
      </c>
      <c r="AE525" s="20" t="str">
        <f>IFERROR(INDEX('Cost_Components'!$O$2:$O$27,MATCH(E525,'Cost_Components'!$A$2:$A$27,0)),"")</f>
      </c>
      <c r="AF525" s="85" t="n">
        <v>1006877.16768584</v>
      </c>
      <c r="AG525" s="86" t="n">
        <v>1006412.13604868</v>
      </c>
      <c r="AH525" s="87" t="str">
        <f>IF(H525="shared-count-once",COUNTIFS($A$2:$A$1353,A525,$B$2:$B$1353,B525,$E$2:$E$1353,E525),1)</f>
      </c>
    </row>
    <row r="526">
      <c r="A526" t="s">
        <v>220</v>
      </c>
      <c r="B526" s="59" t="n">
        <v>2029</v>
      </c>
      <c r="C526" t="s">
        <v>220</v>
      </c>
      <c r="D526" t="s">
        <v>176</v>
      </c>
      <c r="E526" s="60" t="s">
        <v>311</v>
      </c>
      <c r="F526" s="61" t="s">
        <v>312</v>
      </c>
      <c r="G526" s="62" t="s">
        <v>221</v>
      </c>
      <c r="H526" s="63" t="s">
        <v>195</v>
      </c>
      <c r="I526" s="64" t="s">
        <v>267</v>
      </c>
      <c r="J526" s="65" t="str">
        <f>IFERROR(INDEX('Cost_Components'!$K$2:$K$27,MATCH(E526,'Cost_Components'!$A$2:$A$27,0)),"")</f>
      </c>
      <c r="K526" s="66" t="str">
        <f>IF(OR(L526="",Z526="",AA526="",AB526=""),"",IF(B526&lt;AA526,L526,IF(B526&gt;AB526,Z526,L526+(Z526-L526)*MIN(MAX((B526-AA526+1)/MAX(AB526-AA526+1,1),0),1))))</f>
      </c>
      <c r="L526" s="67" t="str">
        <f>IFERROR(INDEX('Cost_Components'!$S$2:$S$27,MATCH(E526,'Cost_Components'!$A$2:$A$27,0)),"")</f>
      </c>
      <c r="M526" s="68" t="str">
        <f>IFERROR(INDEX('Cost_Components'!$L$2:$L$27,MATCH(E526,'Cost_Components'!$A$2:$A$27,0)),"")</f>
      </c>
      <c r="N526" s="69" t="str">
        <f>IFERROR(INDEX('Cost_Components'!$P$2:$P$27,MATCH(E526,'Cost_Components'!$A$2:$A$27,0)),"")</f>
      </c>
      <c r="O526" s="70" t="str">
        <f>AF526*J526</f>
      </c>
      <c r="P526" s="71" t="str">
        <f>AG526*J526</f>
      </c>
      <c r="Q526" s="72" t="str">
        <f>P526*L526*M526*N526</f>
      </c>
      <c r="R526" s="73" t="str">
        <f>O526*K526*M526*N526</f>
      </c>
      <c r="S526" s="74" t="str">
        <f>R526-Q526</f>
      </c>
      <c r="T526" s="20" t="str">
        <f>IFERROR(INDEX('Cost_Components'!$R$2:$R$27,MATCH(E526,'Cost_Components'!$A$2:$A$27,0)),"")</f>
      </c>
      <c r="U526" s="75" t="str">
        <f>IFERROR(INDEX('Cost_Components'!$Q$2:$Q$27,MATCH(E526,'Cost_Components'!$A$2:$A$27,0)),"")</f>
      </c>
      <c r="V526" s="76" t="str">
        <f>1/(1+'Calculation_Assumptions'!$B$5)^(B526-'Calculation_Assumptions'!$B$2)</f>
      </c>
      <c r="W526" s="77" t="str">
        <f>Q526*V526</f>
      </c>
      <c r="X526" s="78" t="str">
        <f>R526*V526</f>
      </c>
      <c r="Y526" s="79" t="str">
        <f>S526*V526</f>
      </c>
      <c r="Z526" s="80" t="str">
        <f>IFERROR(INDEX('Cost_Components'!$T$2:$T$27,MATCH(E526,'Cost_Components'!$A$2:$A$27,0)),"")</f>
      </c>
      <c r="AA526" s="81" t="str">
        <f>IFERROR(INDEX('Cost_Components'!$U$2:$U$27,MATCH(E526,'Cost_Components'!$A$2:$A$27,0)),"")</f>
      </c>
      <c r="AB526" s="82" t="str">
        <f>IFERROR(INDEX('Cost_Components'!$V$2:$V$27,MATCH(E526,'Cost_Components'!$A$2:$A$27,0)),"")</f>
      </c>
      <c r="AC526" s="83" t="str">
        <f>IFERROR(INDEX('Cost_Components'!$M$2:$M$27,MATCH(E526,'Cost_Components'!$A$2:$A$27,0)),"")</f>
      </c>
      <c r="AD526" s="84" t="str">
        <f>IFERROR(INDEX('Cost_Components'!$N$2:$N$27,MATCH(E526,'Cost_Components'!$A$2:$A$27,0)),"")</f>
      </c>
      <c r="AE526" s="20" t="str">
        <f>IFERROR(INDEX('Cost_Components'!$O$2:$O$27,MATCH(E526,'Cost_Components'!$A$2:$A$27,0)),"")</f>
      </c>
      <c r="AF526" s="85" t="n">
        <v>1009036.99336254</v>
      </c>
      <c r="AG526" s="86" t="n">
        <v>1008402.80271825</v>
      </c>
      <c r="AH526" s="87" t="str">
        <f>IF(H526="shared-count-once",COUNTIFS($A$2:$A$1353,A526,$B$2:$B$1353,B526,$E$2:$E$1353,E526),1)</f>
      </c>
    </row>
    <row r="527">
      <c r="A527" t="s">
        <v>220</v>
      </c>
      <c r="B527" s="59" t="n">
        <v>2030</v>
      </c>
      <c r="C527" t="s">
        <v>220</v>
      </c>
      <c r="D527" t="s">
        <v>176</v>
      </c>
      <c r="E527" s="60" t="s">
        <v>311</v>
      </c>
      <c r="F527" s="61" t="s">
        <v>312</v>
      </c>
      <c r="G527" s="62" t="s">
        <v>221</v>
      </c>
      <c r="H527" s="63" t="s">
        <v>195</v>
      </c>
      <c r="I527" s="64" t="s">
        <v>267</v>
      </c>
      <c r="J527" s="65" t="str">
        <f>IFERROR(INDEX('Cost_Components'!$K$2:$K$27,MATCH(E527,'Cost_Components'!$A$2:$A$27,0)),"")</f>
      </c>
      <c r="K527" s="66" t="str">
        <f>IF(OR(L527="",Z527="",AA527="",AB527=""),"",IF(B527&lt;AA527,L527,IF(B527&gt;AB527,Z527,L527+(Z527-L527)*MIN(MAX((B527-AA527+1)/MAX(AB527-AA527+1,1),0),1))))</f>
      </c>
      <c r="L527" s="67" t="str">
        <f>IFERROR(INDEX('Cost_Components'!$S$2:$S$27,MATCH(E527,'Cost_Components'!$A$2:$A$27,0)),"")</f>
      </c>
      <c r="M527" s="68" t="str">
        <f>IFERROR(INDEX('Cost_Components'!$L$2:$L$27,MATCH(E527,'Cost_Components'!$A$2:$A$27,0)),"")</f>
      </c>
      <c r="N527" s="69" t="str">
        <f>IFERROR(INDEX('Cost_Components'!$P$2:$P$27,MATCH(E527,'Cost_Components'!$A$2:$A$27,0)),"")</f>
      </c>
      <c r="O527" s="70" t="str">
        <f>AF527*J527</f>
      </c>
      <c r="P527" s="71" t="str">
        <f>AG527*J527</f>
      </c>
      <c r="Q527" s="72" t="str">
        <f>P527*L527*M527*N527</f>
      </c>
      <c r="R527" s="73" t="str">
        <f>O527*K527*M527*N527</f>
      </c>
      <c r="S527" s="74" t="str">
        <f>R527-Q527</f>
      </c>
      <c r="T527" s="20" t="str">
        <f>IFERROR(INDEX('Cost_Components'!$R$2:$R$27,MATCH(E527,'Cost_Components'!$A$2:$A$27,0)),"")</f>
      </c>
      <c r="U527" s="75" t="str">
        <f>IFERROR(INDEX('Cost_Components'!$Q$2:$Q$27,MATCH(E527,'Cost_Components'!$A$2:$A$27,0)),"")</f>
      </c>
      <c r="V527" s="76" t="str">
        <f>1/(1+'Calculation_Assumptions'!$B$5)^(B527-'Calculation_Assumptions'!$B$2)</f>
      </c>
      <c r="W527" s="77" t="str">
        <f>Q527*V527</f>
      </c>
      <c r="X527" s="78" t="str">
        <f>R527*V527</f>
      </c>
      <c r="Y527" s="79" t="str">
        <f>S527*V527</f>
      </c>
      <c r="Z527" s="80" t="str">
        <f>IFERROR(INDEX('Cost_Components'!$T$2:$T$27,MATCH(E527,'Cost_Components'!$A$2:$A$27,0)),"")</f>
      </c>
      <c r="AA527" s="81" t="str">
        <f>IFERROR(INDEX('Cost_Components'!$U$2:$U$27,MATCH(E527,'Cost_Components'!$A$2:$A$27,0)),"")</f>
      </c>
      <c r="AB527" s="82" t="str">
        <f>IFERROR(INDEX('Cost_Components'!$V$2:$V$27,MATCH(E527,'Cost_Components'!$A$2:$A$27,0)),"")</f>
      </c>
      <c r="AC527" s="83" t="str">
        <f>IFERROR(INDEX('Cost_Components'!$M$2:$M$27,MATCH(E527,'Cost_Components'!$A$2:$A$27,0)),"")</f>
      </c>
      <c r="AD527" s="84" t="str">
        <f>IFERROR(INDEX('Cost_Components'!$N$2:$N$27,MATCH(E527,'Cost_Components'!$A$2:$A$27,0)),"")</f>
      </c>
      <c r="AE527" s="20" t="str">
        <f>IFERROR(INDEX('Cost_Components'!$O$2:$O$27,MATCH(E527,'Cost_Components'!$A$2:$A$27,0)),"")</f>
      </c>
      <c r="AF527" s="85" t="n">
        <v>1012031.74212509</v>
      </c>
      <c r="AG527" s="86" t="n">
        <v>1011216.40968066</v>
      </c>
      <c r="AH527" s="87" t="str">
        <f>IF(H527="shared-count-once",COUNTIFS($A$2:$A$1353,A527,$B$2:$B$1353,B527,$E$2:$E$1353,E527),1)</f>
      </c>
    </row>
    <row r="528">
      <c r="A528" t="s">
        <v>220</v>
      </c>
      <c r="B528" s="59" t="n">
        <v>2031</v>
      </c>
      <c r="C528" t="s">
        <v>220</v>
      </c>
      <c r="D528" t="s">
        <v>176</v>
      </c>
      <c r="E528" s="60" t="s">
        <v>311</v>
      </c>
      <c r="F528" s="61" t="s">
        <v>312</v>
      </c>
      <c r="G528" s="62" t="s">
        <v>221</v>
      </c>
      <c r="H528" s="63" t="s">
        <v>195</v>
      </c>
      <c r="I528" s="64" t="s">
        <v>267</v>
      </c>
      <c r="J528" s="65" t="str">
        <f>IFERROR(INDEX('Cost_Components'!$K$2:$K$27,MATCH(E528,'Cost_Components'!$A$2:$A$27,0)),"")</f>
      </c>
      <c r="K528" s="66" t="str">
        <f>IF(OR(L528="",Z528="",AA528="",AB528=""),"",IF(B528&lt;AA528,L528,IF(B528&gt;AB528,Z528,L528+(Z528-L528)*MIN(MAX((B528-AA528+1)/MAX(AB528-AA528+1,1),0),1))))</f>
      </c>
      <c r="L528" s="67" t="str">
        <f>IFERROR(INDEX('Cost_Components'!$S$2:$S$27,MATCH(E528,'Cost_Components'!$A$2:$A$27,0)),"")</f>
      </c>
      <c r="M528" s="68" t="str">
        <f>IFERROR(INDEX('Cost_Components'!$L$2:$L$27,MATCH(E528,'Cost_Components'!$A$2:$A$27,0)),"")</f>
      </c>
      <c r="N528" s="69" t="str">
        <f>IFERROR(INDEX('Cost_Components'!$P$2:$P$27,MATCH(E528,'Cost_Components'!$A$2:$A$27,0)),"")</f>
      </c>
      <c r="O528" s="70" t="str">
        <f>AF528*J528</f>
      </c>
      <c r="P528" s="71" t="str">
        <f>AG528*J528</f>
      </c>
      <c r="Q528" s="72" t="str">
        <f>P528*L528*M528*N528</f>
      </c>
      <c r="R528" s="73" t="str">
        <f>O528*K528*M528*N528</f>
      </c>
      <c r="S528" s="74" t="str">
        <f>R528-Q528</f>
      </c>
      <c r="T528" s="20" t="str">
        <f>IFERROR(INDEX('Cost_Components'!$R$2:$R$27,MATCH(E528,'Cost_Components'!$A$2:$A$27,0)),"")</f>
      </c>
      <c r="U528" s="75" t="str">
        <f>IFERROR(INDEX('Cost_Components'!$Q$2:$Q$27,MATCH(E528,'Cost_Components'!$A$2:$A$27,0)),"")</f>
      </c>
      <c r="V528" s="76" t="str">
        <f>1/(1+'Calculation_Assumptions'!$B$5)^(B528-'Calculation_Assumptions'!$B$2)</f>
      </c>
      <c r="W528" s="77" t="str">
        <f>Q528*V528</f>
      </c>
      <c r="X528" s="78" t="str">
        <f>R528*V528</f>
      </c>
      <c r="Y528" s="79" t="str">
        <f>S528*V528</f>
      </c>
      <c r="Z528" s="80" t="str">
        <f>IFERROR(INDEX('Cost_Components'!$T$2:$T$27,MATCH(E528,'Cost_Components'!$A$2:$A$27,0)),"")</f>
      </c>
      <c r="AA528" s="81" t="str">
        <f>IFERROR(INDEX('Cost_Components'!$U$2:$U$27,MATCH(E528,'Cost_Components'!$A$2:$A$27,0)),"")</f>
      </c>
      <c r="AB528" s="82" t="str">
        <f>IFERROR(INDEX('Cost_Components'!$V$2:$V$27,MATCH(E528,'Cost_Components'!$A$2:$A$27,0)),"")</f>
      </c>
      <c r="AC528" s="83" t="str">
        <f>IFERROR(INDEX('Cost_Components'!$M$2:$M$27,MATCH(E528,'Cost_Components'!$A$2:$A$27,0)),"")</f>
      </c>
      <c r="AD528" s="84" t="str">
        <f>IFERROR(INDEX('Cost_Components'!$N$2:$N$27,MATCH(E528,'Cost_Components'!$A$2:$A$27,0)),"")</f>
      </c>
      <c r="AE528" s="20" t="str">
        <f>IFERROR(INDEX('Cost_Components'!$O$2:$O$27,MATCH(E528,'Cost_Components'!$A$2:$A$27,0)),"")</f>
      </c>
      <c r="AF528" s="85" t="n">
        <v>1013898.99571578</v>
      </c>
      <c r="AG528" s="86" t="n">
        <v>1012892.58717573</v>
      </c>
      <c r="AH528" s="87" t="str">
        <f>IF(H528="shared-count-once",COUNTIFS($A$2:$A$1353,A528,$B$2:$B$1353,B528,$E$2:$E$1353,E528),1)</f>
      </c>
    </row>
    <row r="529">
      <c r="A529" t="s">
        <v>220</v>
      </c>
      <c r="B529" s="59" t="n">
        <v>2032</v>
      </c>
      <c r="C529" t="s">
        <v>220</v>
      </c>
      <c r="D529" t="s">
        <v>176</v>
      </c>
      <c r="E529" s="60" t="s">
        <v>311</v>
      </c>
      <c r="F529" s="61" t="s">
        <v>312</v>
      </c>
      <c r="G529" s="62" t="s">
        <v>221</v>
      </c>
      <c r="H529" s="63" t="s">
        <v>195</v>
      </c>
      <c r="I529" s="64" t="s">
        <v>267</v>
      </c>
      <c r="J529" s="65" t="str">
        <f>IFERROR(INDEX('Cost_Components'!$K$2:$K$27,MATCH(E529,'Cost_Components'!$A$2:$A$27,0)),"")</f>
      </c>
      <c r="K529" s="66" t="str">
        <f>IF(OR(L529="",Z529="",AA529="",AB529=""),"",IF(B529&lt;AA529,L529,IF(B529&gt;AB529,Z529,L529+(Z529-L529)*MIN(MAX((B529-AA529+1)/MAX(AB529-AA529+1,1),0),1))))</f>
      </c>
      <c r="L529" s="67" t="str">
        <f>IFERROR(INDEX('Cost_Components'!$S$2:$S$27,MATCH(E529,'Cost_Components'!$A$2:$A$27,0)),"")</f>
      </c>
      <c r="M529" s="68" t="str">
        <f>IFERROR(INDEX('Cost_Components'!$L$2:$L$27,MATCH(E529,'Cost_Components'!$A$2:$A$27,0)),"")</f>
      </c>
      <c r="N529" s="69" t="str">
        <f>IFERROR(INDEX('Cost_Components'!$P$2:$P$27,MATCH(E529,'Cost_Components'!$A$2:$A$27,0)),"")</f>
      </c>
      <c r="O529" s="70" t="str">
        <f>AF529*J529</f>
      </c>
      <c r="P529" s="71" t="str">
        <f>AG529*J529</f>
      </c>
      <c r="Q529" s="72" t="str">
        <f>P529*L529*M529*N529</f>
      </c>
      <c r="R529" s="73" t="str">
        <f>O529*K529*M529*N529</f>
      </c>
      <c r="S529" s="74" t="str">
        <f>R529-Q529</f>
      </c>
      <c r="T529" s="20" t="str">
        <f>IFERROR(INDEX('Cost_Components'!$R$2:$R$27,MATCH(E529,'Cost_Components'!$A$2:$A$27,0)),"")</f>
      </c>
      <c r="U529" s="75" t="str">
        <f>IFERROR(INDEX('Cost_Components'!$Q$2:$Q$27,MATCH(E529,'Cost_Components'!$A$2:$A$27,0)),"")</f>
      </c>
      <c r="V529" s="76" t="str">
        <f>1/(1+'Calculation_Assumptions'!$B$5)^(B529-'Calculation_Assumptions'!$B$2)</f>
      </c>
      <c r="W529" s="77" t="str">
        <f>Q529*V529</f>
      </c>
      <c r="X529" s="78" t="str">
        <f>R529*V529</f>
      </c>
      <c r="Y529" s="79" t="str">
        <f>S529*V529</f>
      </c>
      <c r="Z529" s="80" t="str">
        <f>IFERROR(INDEX('Cost_Components'!$T$2:$T$27,MATCH(E529,'Cost_Components'!$A$2:$A$27,0)),"")</f>
      </c>
      <c r="AA529" s="81" t="str">
        <f>IFERROR(INDEX('Cost_Components'!$U$2:$U$27,MATCH(E529,'Cost_Components'!$A$2:$A$27,0)),"")</f>
      </c>
      <c r="AB529" s="82" t="str">
        <f>IFERROR(INDEX('Cost_Components'!$V$2:$V$27,MATCH(E529,'Cost_Components'!$A$2:$A$27,0)),"")</f>
      </c>
      <c r="AC529" s="83" t="str">
        <f>IFERROR(INDEX('Cost_Components'!$M$2:$M$27,MATCH(E529,'Cost_Components'!$A$2:$A$27,0)),"")</f>
      </c>
      <c r="AD529" s="84" t="str">
        <f>IFERROR(INDEX('Cost_Components'!$N$2:$N$27,MATCH(E529,'Cost_Components'!$A$2:$A$27,0)),"")</f>
      </c>
      <c r="AE529" s="20" t="str">
        <f>IFERROR(INDEX('Cost_Components'!$O$2:$O$27,MATCH(E529,'Cost_Components'!$A$2:$A$27,0)),"")</f>
      </c>
      <c r="AF529" s="85" t="n">
        <v>1015972.79715012</v>
      </c>
      <c r="AG529" s="86" t="n">
        <v>1014767.35411383</v>
      </c>
      <c r="AH529" s="87" t="str">
        <f>IF(H529="shared-count-once",COUNTIFS($A$2:$A$1353,A529,$B$2:$B$1353,B529,$E$2:$E$1353,E529),1)</f>
      </c>
    </row>
    <row r="530">
      <c r="A530" t="s">
        <v>220</v>
      </c>
      <c r="B530" s="59" t="n">
        <v>2033</v>
      </c>
      <c r="C530" t="s">
        <v>220</v>
      </c>
      <c r="D530" t="s">
        <v>176</v>
      </c>
      <c r="E530" s="60" t="s">
        <v>311</v>
      </c>
      <c r="F530" s="61" t="s">
        <v>312</v>
      </c>
      <c r="G530" s="62" t="s">
        <v>221</v>
      </c>
      <c r="H530" s="63" t="s">
        <v>195</v>
      </c>
      <c r="I530" s="64" t="s">
        <v>267</v>
      </c>
      <c r="J530" s="65" t="str">
        <f>IFERROR(INDEX('Cost_Components'!$K$2:$K$27,MATCH(E530,'Cost_Components'!$A$2:$A$27,0)),"")</f>
      </c>
      <c r="K530" s="66" t="str">
        <f>IF(OR(L530="",Z530="",AA530="",AB530=""),"",IF(B530&lt;AA530,L530,IF(B530&gt;AB530,Z530,L530+(Z530-L530)*MIN(MAX((B530-AA530+1)/MAX(AB530-AA530+1,1),0),1))))</f>
      </c>
      <c r="L530" s="67" t="str">
        <f>IFERROR(INDEX('Cost_Components'!$S$2:$S$27,MATCH(E530,'Cost_Components'!$A$2:$A$27,0)),"")</f>
      </c>
      <c r="M530" s="68" t="str">
        <f>IFERROR(INDEX('Cost_Components'!$L$2:$L$27,MATCH(E530,'Cost_Components'!$A$2:$A$27,0)),"")</f>
      </c>
      <c r="N530" s="69" t="str">
        <f>IFERROR(INDEX('Cost_Components'!$P$2:$P$27,MATCH(E530,'Cost_Components'!$A$2:$A$27,0)),"")</f>
      </c>
      <c r="O530" s="70" t="str">
        <f>AF530*J530</f>
      </c>
      <c r="P530" s="71" t="str">
        <f>AG530*J530</f>
      </c>
      <c r="Q530" s="72" t="str">
        <f>P530*L530*M530*N530</f>
      </c>
      <c r="R530" s="73" t="str">
        <f>O530*K530*M530*N530</f>
      </c>
      <c r="S530" s="74" t="str">
        <f>R530-Q530</f>
      </c>
      <c r="T530" s="20" t="str">
        <f>IFERROR(INDEX('Cost_Components'!$R$2:$R$27,MATCH(E530,'Cost_Components'!$A$2:$A$27,0)),"")</f>
      </c>
      <c r="U530" s="75" t="str">
        <f>IFERROR(INDEX('Cost_Components'!$Q$2:$Q$27,MATCH(E530,'Cost_Components'!$A$2:$A$27,0)),"")</f>
      </c>
      <c r="V530" s="76" t="str">
        <f>1/(1+'Calculation_Assumptions'!$B$5)^(B530-'Calculation_Assumptions'!$B$2)</f>
      </c>
      <c r="W530" s="77" t="str">
        <f>Q530*V530</f>
      </c>
      <c r="X530" s="78" t="str">
        <f>R530*V530</f>
      </c>
      <c r="Y530" s="79" t="str">
        <f>S530*V530</f>
      </c>
      <c r="Z530" s="80" t="str">
        <f>IFERROR(INDEX('Cost_Components'!$T$2:$T$27,MATCH(E530,'Cost_Components'!$A$2:$A$27,0)),"")</f>
      </c>
      <c r="AA530" s="81" t="str">
        <f>IFERROR(INDEX('Cost_Components'!$U$2:$U$27,MATCH(E530,'Cost_Components'!$A$2:$A$27,0)),"")</f>
      </c>
      <c r="AB530" s="82" t="str">
        <f>IFERROR(INDEX('Cost_Components'!$V$2:$V$27,MATCH(E530,'Cost_Components'!$A$2:$A$27,0)),"")</f>
      </c>
      <c r="AC530" s="83" t="str">
        <f>IFERROR(INDEX('Cost_Components'!$M$2:$M$27,MATCH(E530,'Cost_Components'!$A$2:$A$27,0)),"")</f>
      </c>
      <c r="AD530" s="84" t="str">
        <f>IFERROR(INDEX('Cost_Components'!$N$2:$N$27,MATCH(E530,'Cost_Components'!$A$2:$A$27,0)),"")</f>
      </c>
      <c r="AE530" s="20" t="str">
        <f>IFERROR(INDEX('Cost_Components'!$O$2:$O$27,MATCH(E530,'Cost_Components'!$A$2:$A$27,0)),"")</f>
      </c>
      <c r="AF530" s="85" t="n">
        <v>1017335.68376874</v>
      </c>
      <c r="AG530" s="86" t="n">
        <v>1015925.24384601</v>
      </c>
      <c r="AH530" s="87" t="str">
        <f>IF(H530="shared-count-once",COUNTIFS($A$2:$A$1353,A530,$B$2:$B$1353,B530,$E$2:$E$1353,E530),1)</f>
      </c>
    </row>
    <row r="531">
      <c r="A531" t="s">
        <v>220</v>
      </c>
      <c r="B531" s="59" t="n">
        <v>2034</v>
      </c>
      <c r="C531" t="s">
        <v>220</v>
      </c>
      <c r="D531" t="s">
        <v>176</v>
      </c>
      <c r="E531" s="60" t="s">
        <v>311</v>
      </c>
      <c r="F531" s="61" t="s">
        <v>312</v>
      </c>
      <c r="G531" s="62" t="s">
        <v>221</v>
      </c>
      <c r="H531" s="63" t="s">
        <v>195</v>
      </c>
      <c r="I531" s="64" t="s">
        <v>267</v>
      </c>
      <c r="J531" s="65" t="str">
        <f>IFERROR(INDEX('Cost_Components'!$K$2:$K$27,MATCH(E531,'Cost_Components'!$A$2:$A$27,0)),"")</f>
      </c>
      <c r="K531" s="66" t="str">
        <f>IF(OR(L531="",Z531="",AA531="",AB531=""),"",IF(B531&lt;AA531,L531,IF(B531&gt;AB531,Z531,L531+(Z531-L531)*MIN(MAX((B531-AA531+1)/MAX(AB531-AA531+1,1),0),1))))</f>
      </c>
      <c r="L531" s="67" t="str">
        <f>IFERROR(INDEX('Cost_Components'!$S$2:$S$27,MATCH(E531,'Cost_Components'!$A$2:$A$27,0)),"")</f>
      </c>
      <c r="M531" s="68" t="str">
        <f>IFERROR(INDEX('Cost_Components'!$L$2:$L$27,MATCH(E531,'Cost_Components'!$A$2:$A$27,0)),"")</f>
      </c>
      <c r="N531" s="69" t="str">
        <f>IFERROR(INDEX('Cost_Components'!$P$2:$P$27,MATCH(E531,'Cost_Components'!$A$2:$A$27,0)),"")</f>
      </c>
      <c r="O531" s="70" t="str">
        <f>AF531*J531</f>
      </c>
      <c r="P531" s="71" t="str">
        <f>AG531*J531</f>
      </c>
      <c r="Q531" s="72" t="str">
        <f>P531*L531*M531*N531</f>
      </c>
      <c r="R531" s="73" t="str">
        <f>O531*K531*M531*N531</f>
      </c>
      <c r="S531" s="74" t="str">
        <f>R531-Q531</f>
      </c>
      <c r="T531" s="20" t="str">
        <f>IFERROR(INDEX('Cost_Components'!$R$2:$R$27,MATCH(E531,'Cost_Components'!$A$2:$A$27,0)),"")</f>
      </c>
      <c r="U531" s="75" t="str">
        <f>IFERROR(INDEX('Cost_Components'!$Q$2:$Q$27,MATCH(E531,'Cost_Components'!$A$2:$A$27,0)),"")</f>
      </c>
      <c r="V531" s="76" t="str">
        <f>1/(1+'Calculation_Assumptions'!$B$5)^(B531-'Calculation_Assumptions'!$B$2)</f>
      </c>
      <c r="W531" s="77" t="str">
        <f>Q531*V531</f>
      </c>
      <c r="X531" s="78" t="str">
        <f>R531*V531</f>
      </c>
      <c r="Y531" s="79" t="str">
        <f>S531*V531</f>
      </c>
      <c r="Z531" s="80" t="str">
        <f>IFERROR(INDEX('Cost_Components'!$T$2:$T$27,MATCH(E531,'Cost_Components'!$A$2:$A$27,0)),"")</f>
      </c>
      <c r="AA531" s="81" t="str">
        <f>IFERROR(INDEX('Cost_Components'!$U$2:$U$27,MATCH(E531,'Cost_Components'!$A$2:$A$27,0)),"")</f>
      </c>
      <c r="AB531" s="82" t="str">
        <f>IFERROR(INDEX('Cost_Components'!$V$2:$V$27,MATCH(E531,'Cost_Components'!$A$2:$A$27,0)),"")</f>
      </c>
      <c r="AC531" s="83" t="str">
        <f>IFERROR(INDEX('Cost_Components'!$M$2:$M$27,MATCH(E531,'Cost_Components'!$A$2:$A$27,0)),"")</f>
      </c>
      <c r="AD531" s="84" t="str">
        <f>IFERROR(INDEX('Cost_Components'!$N$2:$N$27,MATCH(E531,'Cost_Components'!$A$2:$A$27,0)),"")</f>
      </c>
      <c r="AE531" s="20" t="str">
        <f>IFERROR(INDEX('Cost_Components'!$O$2:$O$27,MATCH(E531,'Cost_Components'!$A$2:$A$27,0)),"")</f>
      </c>
      <c r="AF531" s="85" t="n">
        <v>1019906.9791973</v>
      </c>
      <c r="AG531" s="86" t="n">
        <v>1018286.34699662</v>
      </c>
      <c r="AH531" s="87" t="str">
        <f>IF(H531="shared-count-once",COUNTIFS($A$2:$A$1353,A531,$B$2:$B$1353,B531,$E$2:$E$1353,E531),1)</f>
      </c>
    </row>
    <row r="532">
      <c r="A532" t="s">
        <v>220</v>
      </c>
      <c r="B532" s="59" t="n">
        <v>2035</v>
      </c>
      <c r="C532" t="s">
        <v>220</v>
      </c>
      <c r="D532" t="s">
        <v>176</v>
      </c>
      <c r="E532" s="60" t="s">
        <v>311</v>
      </c>
      <c r="F532" s="61" t="s">
        <v>312</v>
      </c>
      <c r="G532" s="62" t="s">
        <v>221</v>
      </c>
      <c r="H532" s="63" t="s">
        <v>195</v>
      </c>
      <c r="I532" s="64" t="s">
        <v>267</v>
      </c>
      <c r="J532" s="65" t="str">
        <f>IFERROR(INDEX('Cost_Components'!$K$2:$K$27,MATCH(E532,'Cost_Components'!$A$2:$A$27,0)),"")</f>
      </c>
      <c r="K532" s="66" t="str">
        <f>IF(OR(L532="",Z532="",AA532="",AB532=""),"",IF(B532&lt;AA532,L532,IF(B532&gt;AB532,Z532,L532+(Z532-L532)*MIN(MAX((B532-AA532+1)/MAX(AB532-AA532+1,1),0),1))))</f>
      </c>
      <c r="L532" s="67" t="str">
        <f>IFERROR(INDEX('Cost_Components'!$S$2:$S$27,MATCH(E532,'Cost_Components'!$A$2:$A$27,0)),"")</f>
      </c>
      <c r="M532" s="68" t="str">
        <f>IFERROR(INDEX('Cost_Components'!$L$2:$L$27,MATCH(E532,'Cost_Components'!$A$2:$A$27,0)),"")</f>
      </c>
      <c r="N532" s="69" t="str">
        <f>IFERROR(INDEX('Cost_Components'!$P$2:$P$27,MATCH(E532,'Cost_Components'!$A$2:$A$27,0)),"")</f>
      </c>
      <c r="O532" s="70" t="str">
        <f>AF532*J532</f>
      </c>
      <c r="P532" s="71" t="str">
        <f>AG532*J532</f>
      </c>
      <c r="Q532" s="72" t="str">
        <f>P532*L532*M532*N532</f>
      </c>
      <c r="R532" s="73" t="str">
        <f>O532*K532*M532*N532</f>
      </c>
      <c r="S532" s="74" t="str">
        <f>R532-Q532</f>
      </c>
      <c r="T532" s="20" t="str">
        <f>IFERROR(INDEX('Cost_Components'!$R$2:$R$27,MATCH(E532,'Cost_Components'!$A$2:$A$27,0)),"")</f>
      </c>
      <c r="U532" s="75" t="str">
        <f>IFERROR(INDEX('Cost_Components'!$Q$2:$Q$27,MATCH(E532,'Cost_Components'!$A$2:$A$27,0)),"")</f>
      </c>
      <c r="V532" s="76" t="str">
        <f>1/(1+'Calculation_Assumptions'!$B$5)^(B532-'Calculation_Assumptions'!$B$2)</f>
      </c>
      <c r="W532" s="77" t="str">
        <f>Q532*V532</f>
      </c>
      <c r="X532" s="78" t="str">
        <f>R532*V532</f>
      </c>
      <c r="Y532" s="79" t="str">
        <f>S532*V532</f>
      </c>
      <c r="Z532" s="80" t="str">
        <f>IFERROR(INDEX('Cost_Components'!$T$2:$T$27,MATCH(E532,'Cost_Components'!$A$2:$A$27,0)),"")</f>
      </c>
      <c r="AA532" s="81" t="str">
        <f>IFERROR(INDEX('Cost_Components'!$U$2:$U$27,MATCH(E532,'Cost_Components'!$A$2:$A$27,0)),"")</f>
      </c>
      <c r="AB532" s="82" t="str">
        <f>IFERROR(INDEX('Cost_Components'!$V$2:$V$27,MATCH(E532,'Cost_Components'!$A$2:$A$27,0)),"")</f>
      </c>
      <c r="AC532" s="83" t="str">
        <f>IFERROR(INDEX('Cost_Components'!$M$2:$M$27,MATCH(E532,'Cost_Components'!$A$2:$A$27,0)),"")</f>
      </c>
      <c r="AD532" s="84" t="str">
        <f>IFERROR(INDEX('Cost_Components'!$N$2:$N$27,MATCH(E532,'Cost_Components'!$A$2:$A$27,0)),"")</f>
      </c>
      <c r="AE532" s="20" t="str">
        <f>IFERROR(INDEX('Cost_Components'!$O$2:$O$27,MATCH(E532,'Cost_Components'!$A$2:$A$27,0)),"")</f>
      </c>
      <c r="AF532" s="85" t="n">
        <v>1022052.51205366</v>
      </c>
      <c r="AG532" s="86" t="n">
        <v>1020217.86496251</v>
      </c>
      <c r="AH532" s="87" t="str">
        <f>IF(H532="shared-count-once",COUNTIFS($A$2:$A$1353,A532,$B$2:$B$1353,B532,$E$2:$E$1353,E532),1)</f>
      </c>
    </row>
    <row r="533">
      <c r="A533" t="s">
        <v>220</v>
      </c>
      <c r="B533" s="59" t="n">
        <v>2036</v>
      </c>
      <c r="C533" t="s">
        <v>220</v>
      </c>
      <c r="D533" t="s">
        <v>176</v>
      </c>
      <c r="E533" s="60" t="s">
        <v>311</v>
      </c>
      <c r="F533" s="61" t="s">
        <v>312</v>
      </c>
      <c r="G533" s="62" t="s">
        <v>221</v>
      </c>
      <c r="H533" s="63" t="s">
        <v>195</v>
      </c>
      <c r="I533" s="64" t="s">
        <v>267</v>
      </c>
      <c r="J533" s="65" t="str">
        <f>IFERROR(INDEX('Cost_Components'!$K$2:$K$27,MATCH(E533,'Cost_Components'!$A$2:$A$27,0)),"")</f>
      </c>
      <c r="K533" s="66" t="str">
        <f>IF(OR(L533="",Z533="",AA533="",AB533=""),"",IF(B533&lt;AA533,L533,IF(B533&gt;AB533,Z533,L533+(Z533-L533)*MIN(MAX((B533-AA533+1)/MAX(AB533-AA533+1,1),0),1))))</f>
      </c>
      <c r="L533" s="67" t="str">
        <f>IFERROR(INDEX('Cost_Components'!$S$2:$S$27,MATCH(E533,'Cost_Components'!$A$2:$A$27,0)),"")</f>
      </c>
      <c r="M533" s="68" t="str">
        <f>IFERROR(INDEX('Cost_Components'!$L$2:$L$27,MATCH(E533,'Cost_Components'!$A$2:$A$27,0)),"")</f>
      </c>
      <c r="N533" s="69" t="str">
        <f>IFERROR(INDEX('Cost_Components'!$P$2:$P$27,MATCH(E533,'Cost_Components'!$A$2:$A$27,0)),"")</f>
      </c>
      <c r="O533" s="70" t="str">
        <f>AF533*J533</f>
      </c>
      <c r="P533" s="71" t="str">
        <f>AG533*J533</f>
      </c>
      <c r="Q533" s="72" t="str">
        <f>P533*L533*M533*N533</f>
      </c>
      <c r="R533" s="73" t="str">
        <f>O533*K533*M533*N533</f>
      </c>
      <c r="S533" s="74" t="str">
        <f>R533-Q533</f>
      </c>
      <c r="T533" s="20" t="str">
        <f>IFERROR(INDEX('Cost_Components'!$R$2:$R$27,MATCH(E533,'Cost_Components'!$A$2:$A$27,0)),"")</f>
      </c>
      <c r="U533" s="75" t="str">
        <f>IFERROR(INDEX('Cost_Components'!$Q$2:$Q$27,MATCH(E533,'Cost_Components'!$A$2:$A$27,0)),"")</f>
      </c>
      <c r="V533" s="76" t="str">
        <f>1/(1+'Calculation_Assumptions'!$B$5)^(B533-'Calculation_Assumptions'!$B$2)</f>
      </c>
      <c r="W533" s="77" t="str">
        <f>Q533*V533</f>
      </c>
      <c r="X533" s="78" t="str">
        <f>R533*V533</f>
      </c>
      <c r="Y533" s="79" t="str">
        <f>S533*V533</f>
      </c>
      <c r="Z533" s="80" t="str">
        <f>IFERROR(INDEX('Cost_Components'!$T$2:$T$27,MATCH(E533,'Cost_Components'!$A$2:$A$27,0)),"")</f>
      </c>
      <c r="AA533" s="81" t="str">
        <f>IFERROR(INDEX('Cost_Components'!$U$2:$U$27,MATCH(E533,'Cost_Components'!$A$2:$A$27,0)),"")</f>
      </c>
      <c r="AB533" s="82" t="str">
        <f>IFERROR(INDEX('Cost_Components'!$V$2:$V$27,MATCH(E533,'Cost_Components'!$A$2:$A$27,0)),"")</f>
      </c>
      <c r="AC533" s="83" t="str">
        <f>IFERROR(INDEX('Cost_Components'!$M$2:$M$27,MATCH(E533,'Cost_Components'!$A$2:$A$27,0)),"")</f>
      </c>
      <c r="AD533" s="84" t="str">
        <f>IFERROR(INDEX('Cost_Components'!$N$2:$N$27,MATCH(E533,'Cost_Components'!$A$2:$A$27,0)),"")</f>
      </c>
      <c r="AE533" s="20" t="str">
        <f>IFERROR(INDEX('Cost_Components'!$O$2:$O$27,MATCH(E533,'Cost_Components'!$A$2:$A$27,0)),"")</f>
      </c>
      <c r="AF533" s="85" t="n">
        <v>1023958.22089674</v>
      </c>
      <c r="AG533" s="86" t="n">
        <v>1021906.42671514</v>
      </c>
      <c r="AH533" s="87" t="str">
        <f>IF(H533="shared-count-once",COUNTIFS($A$2:$A$1353,A533,$B$2:$B$1353,B533,$E$2:$E$1353,E533),1)</f>
      </c>
    </row>
    <row r="534">
      <c r="A534" t="s">
        <v>220</v>
      </c>
      <c r="B534" s="59" t="n">
        <v>2037</v>
      </c>
      <c r="C534" t="s">
        <v>220</v>
      </c>
      <c r="D534" t="s">
        <v>176</v>
      </c>
      <c r="E534" s="60" t="s">
        <v>311</v>
      </c>
      <c r="F534" s="61" t="s">
        <v>312</v>
      </c>
      <c r="G534" s="62" t="s">
        <v>221</v>
      </c>
      <c r="H534" s="63" t="s">
        <v>195</v>
      </c>
      <c r="I534" s="64" t="s">
        <v>267</v>
      </c>
      <c r="J534" s="65" t="str">
        <f>IFERROR(INDEX('Cost_Components'!$K$2:$K$27,MATCH(E534,'Cost_Components'!$A$2:$A$27,0)),"")</f>
      </c>
      <c r="K534" s="66" t="str">
        <f>IF(OR(L534="",Z534="",AA534="",AB534=""),"",IF(B534&lt;AA534,L534,IF(B534&gt;AB534,Z534,L534+(Z534-L534)*MIN(MAX((B534-AA534+1)/MAX(AB534-AA534+1,1),0),1))))</f>
      </c>
      <c r="L534" s="67" t="str">
        <f>IFERROR(INDEX('Cost_Components'!$S$2:$S$27,MATCH(E534,'Cost_Components'!$A$2:$A$27,0)),"")</f>
      </c>
      <c r="M534" s="68" t="str">
        <f>IFERROR(INDEX('Cost_Components'!$L$2:$L$27,MATCH(E534,'Cost_Components'!$A$2:$A$27,0)),"")</f>
      </c>
      <c r="N534" s="69" t="str">
        <f>IFERROR(INDEX('Cost_Components'!$P$2:$P$27,MATCH(E534,'Cost_Components'!$A$2:$A$27,0)),"")</f>
      </c>
      <c r="O534" s="70" t="str">
        <f>AF534*J534</f>
      </c>
      <c r="P534" s="71" t="str">
        <f>AG534*J534</f>
      </c>
      <c r="Q534" s="72" t="str">
        <f>P534*L534*M534*N534</f>
      </c>
      <c r="R534" s="73" t="str">
        <f>O534*K534*M534*N534</f>
      </c>
      <c r="S534" s="74" t="str">
        <f>R534-Q534</f>
      </c>
      <c r="T534" s="20" t="str">
        <f>IFERROR(INDEX('Cost_Components'!$R$2:$R$27,MATCH(E534,'Cost_Components'!$A$2:$A$27,0)),"")</f>
      </c>
      <c r="U534" s="75" t="str">
        <f>IFERROR(INDEX('Cost_Components'!$Q$2:$Q$27,MATCH(E534,'Cost_Components'!$A$2:$A$27,0)),"")</f>
      </c>
      <c r="V534" s="76" t="str">
        <f>1/(1+'Calculation_Assumptions'!$B$5)^(B534-'Calculation_Assumptions'!$B$2)</f>
      </c>
      <c r="W534" s="77" t="str">
        <f>Q534*V534</f>
      </c>
      <c r="X534" s="78" t="str">
        <f>R534*V534</f>
      </c>
      <c r="Y534" s="79" t="str">
        <f>S534*V534</f>
      </c>
      <c r="Z534" s="80" t="str">
        <f>IFERROR(INDEX('Cost_Components'!$T$2:$T$27,MATCH(E534,'Cost_Components'!$A$2:$A$27,0)),"")</f>
      </c>
      <c r="AA534" s="81" t="str">
        <f>IFERROR(INDEX('Cost_Components'!$U$2:$U$27,MATCH(E534,'Cost_Components'!$A$2:$A$27,0)),"")</f>
      </c>
      <c r="AB534" s="82" t="str">
        <f>IFERROR(INDEX('Cost_Components'!$V$2:$V$27,MATCH(E534,'Cost_Components'!$A$2:$A$27,0)),"")</f>
      </c>
      <c r="AC534" s="83" t="str">
        <f>IFERROR(INDEX('Cost_Components'!$M$2:$M$27,MATCH(E534,'Cost_Components'!$A$2:$A$27,0)),"")</f>
      </c>
      <c r="AD534" s="84" t="str">
        <f>IFERROR(INDEX('Cost_Components'!$N$2:$N$27,MATCH(E534,'Cost_Components'!$A$2:$A$27,0)),"")</f>
      </c>
      <c r="AE534" s="20" t="str">
        <f>IFERROR(INDEX('Cost_Components'!$O$2:$O$27,MATCH(E534,'Cost_Components'!$A$2:$A$27,0)),"")</f>
      </c>
      <c r="AF534" s="85" t="n">
        <v>1025553.29462385</v>
      </c>
      <c r="AG534" s="86" t="n">
        <v>1023282.54137849</v>
      </c>
      <c r="AH534" s="87" t="str">
        <f>IF(H534="shared-count-once",COUNTIFS($A$2:$A$1353,A534,$B$2:$B$1353,B534,$E$2:$E$1353,E534),1)</f>
      </c>
    </row>
    <row r="535">
      <c r="A535" t="s">
        <v>220</v>
      </c>
      <c r="B535" s="59" t="n">
        <v>2038</v>
      </c>
      <c r="C535" t="s">
        <v>220</v>
      </c>
      <c r="D535" t="s">
        <v>176</v>
      </c>
      <c r="E535" s="60" t="s">
        <v>311</v>
      </c>
      <c r="F535" s="61" t="s">
        <v>312</v>
      </c>
      <c r="G535" s="62" t="s">
        <v>221</v>
      </c>
      <c r="H535" s="63" t="s">
        <v>195</v>
      </c>
      <c r="I535" s="64" t="s">
        <v>267</v>
      </c>
      <c r="J535" s="65" t="str">
        <f>IFERROR(INDEX('Cost_Components'!$K$2:$K$27,MATCH(E535,'Cost_Components'!$A$2:$A$27,0)),"")</f>
      </c>
      <c r="K535" s="66" t="str">
        <f>IF(OR(L535="",Z535="",AA535="",AB535=""),"",IF(B535&lt;AA535,L535,IF(B535&gt;AB535,Z535,L535+(Z535-L535)*MIN(MAX((B535-AA535+1)/MAX(AB535-AA535+1,1),0),1))))</f>
      </c>
      <c r="L535" s="67" t="str">
        <f>IFERROR(INDEX('Cost_Components'!$S$2:$S$27,MATCH(E535,'Cost_Components'!$A$2:$A$27,0)),"")</f>
      </c>
      <c r="M535" s="68" t="str">
        <f>IFERROR(INDEX('Cost_Components'!$L$2:$L$27,MATCH(E535,'Cost_Components'!$A$2:$A$27,0)),"")</f>
      </c>
      <c r="N535" s="69" t="str">
        <f>IFERROR(INDEX('Cost_Components'!$P$2:$P$27,MATCH(E535,'Cost_Components'!$A$2:$A$27,0)),"")</f>
      </c>
      <c r="O535" s="70" t="str">
        <f>AF535*J535</f>
      </c>
      <c r="P535" s="71" t="str">
        <f>AG535*J535</f>
      </c>
      <c r="Q535" s="72" t="str">
        <f>P535*L535*M535*N535</f>
      </c>
      <c r="R535" s="73" t="str">
        <f>O535*K535*M535*N535</f>
      </c>
      <c r="S535" s="74" t="str">
        <f>R535-Q535</f>
      </c>
      <c r="T535" s="20" t="str">
        <f>IFERROR(INDEX('Cost_Components'!$R$2:$R$27,MATCH(E535,'Cost_Components'!$A$2:$A$27,0)),"")</f>
      </c>
      <c r="U535" s="75" t="str">
        <f>IFERROR(INDEX('Cost_Components'!$Q$2:$Q$27,MATCH(E535,'Cost_Components'!$A$2:$A$27,0)),"")</f>
      </c>
      <c r="V535" s="76" t="str">
        <f>1/(1+'Calculation_Assumptions'!$B$5)^(B535-'Calculation_Assumptions'!$B$2)</f>
      </c>
      <c r="W535" s="77" t="str">
        <f>Q535*V535</f>
      </c>
      <c r="X535" s="78" t="str">
        <f>R535*V535</f>
      </c>
      <c r="Y535" s="79" t="str">
        <f>S535*V535</f>
      </c>
      <c r="Z535" s="80" t="str">
        <f>IFERROR(INDEX('Cost_Components'!$T$2:$T$27,MATCH(E535,'Cost_Components'!$A$2:$A$27,0)),"")</f>
      </c>
      <c r="AA535" s="81" t="str">
        <f>IFERROR(INDEX('Cost_Components'!$U$2:$U$27,MATCH(E535,'Cost_Components'!$A$2:$A$27,0)),"")</f>
      </c>
      <c r="AB535" s="82" t="str">
        <f>IFERROR(INDEX('Cost_Components'!$V$2:$V$27,MATCH(E535,'Cost_Components'!$A$2:$A$27,0)),"")</f>
      </c>
      <c r="AC535" s="83" t="str">
        <f>IFERROR(INDEX('Cost_Components'!$M$2:$M$27,MATCH(E535,'Cost_Components'!$A$2:$A$27,0)),"")</f>
      </c>
      <c r="AD535" s="84" t="str">
        <f>IFERROR(INDEX('Cost_Components'!$N$2:$N$27,MATCH(E535,'Cost_Components'!$A$2:$A$27,0)),"")</f>
      </c>
      <c r="AE535" s="20" t="str">
        <f>IFERROR(INDEX('Cost_Components'!$O$2:$O$27,MATCH(E535,'Cost_Components'!$A$2:$A$27,0)),"")</f>
      </c>
      <c r="AF535" s="85" t="n">
        <v>1026679.50096017</v>
      </c>
      <c r="AG535" s="86" t="n">
        <v>1024188.81016216</v>
      </c>
      <c r="AH535" s="87" t="str">
        <f>IF(H535="shared-count-once",COUNTIFS($A$2:$A$1353,A535,$B$2:$B$1353,B535,$E$2:$E$1353,E535),1)</f>
      </c>
    </row>
    <row r="536">
      <c r="A536" t="s">
        <v>220</v>
      </c>
      <c r="B536" s="59" t="n">
        <v>2039</v>
      </c>
      <c r="C536" t="s">
        <v>220</v>
      </c>
      <c r="D536" t="s">
        <v>176</v>
      </c>
      <c r="E536" s="60" t="s">
        <v>311</v>
      </c>
      <c r="F536" s="61" t="s">
        <v>312</v>
      </c>
      <c r="G536" s="62" t="s">
        <v>221</v>
      </c>
      <c r="H536" s="63" t="s">
        <v>195</v>
      </c>
      <c r="I536" s="64" t="s">
        <v>267</v>
      </c>
      <c r="J536" s="65" t="str">
        <f>IFERROR(INDEX('Cost_Components'!$K$2:$K$27,MATCH(E536,'Cost_Components'!$A$2:$A$27,0)),"")</f>
      </c>
      <c r="K536" s="66" t="str">
        <f>IF(OR(L536="",Z536="",AA536="",AB536=""),"",IF(B536&lt;AA536,L536,IF(B536&gt;AB536,Z536,L536+(Z536-L536)*MIN(MAX((B536-AA536+1)/MAX(AB536-AA536+1,1),0),1))))</f>
      </c>
      <c r="L536" s="67" t="str">
        <f>IFERROR(INDEX('Cost_Components'!$S$2:$S$27,MATCH(E536,'Cost_Components'!$A$2:$A$27,0)),"")</f>
      </c>
      <c r="M536" s="68" t="str">
        <f>IFERROR(INDEX('Cost_Components'!$L$2:$L$27,MATCH(E536,'Cost_Components'!$A$2:$A$27,0)),"")</f>
      </c>
      <c r="N536" s="69" t="str">
        <f>IFERROR(INDEX('Cost_Components'!$P$2:$P$27,MATCH(E536,'Cost_Components'!$A$2:$A$27,0)),"")</f>
      </c>
      <c r="O536" s="70" t="str">
        <f>AF536*J536</f>
      </c>
      <c r="P536" s="71" t="str">
        <f>AG536*J536</f>
      </c>
      <c r="Q536" s="72" t="str">
        <f>P536*L536*M536*N536</f>
      </c>
      <c r="R536" s="73" t="str">
        <f>O536*K536*M536*N536</f>
      </c>
      <c r="S536" s="74" t="str">
        <f>R536-Q536</f>
      </c>
      <c r="T536" s="20" t="str">
        <f>IFERROR(INDEX('Cost_Components'!$R$2:$R$27,MATCH(E536,'Cost_Components'!$A$2:$A$27,0)),"")</f>
      </c>
      <c r="U536" s="75" t="str">
        <f>IFERROR(INDEX('Cost_Components'!$Q$2:$Q$27,MATCH(E536,'Cost_Components'!$A$2:$A$27,0)),"")</f>
      </c>
      <c r="V536" s="76" t="str">
        <f>1/(1+'Calculation_Assumptions'!$B$5)^(B536-'Calculation_Assumptions'!$B$2)</f>
      </c>
      <c r="W536" s="77" t="str">
        <f>Q536*V536</f>
      </c>
      <c r="X536" s="78" t="str">
        <f>R536*V536</f>
      </c>
      <c r="Y536" s="79" t="str">
        <f>S536*V536</f>
      </c>
      <c r="Z536" s="80" t="str">
        <f>IFERROR(INDEX('Cost_Components'!$T$2:$T$27,MATCH(E536,'Cost_Components'!$A$2:$A$27,0)),"")</f>
      </c>
      <c r="AA536" s="81" t="str">
        <f>IFERROR(INDEX('Cost_Components'!$U$2:$U$27,MATCH(E536,'Cost_Components'!$A$2:$A$27,0)),"")</f>
      </c>
      <c r="AB536" s="82" t="str">
        <f>IFERROR(INDEX('Cost_Components'!$V$2:$V$27,MATCH(E536,'Cost_Components'!$A$2:$A$27,0)),"")</f>
      </c>
      <c r="AC536" s="83" t="str">
        <f>IFERROR(INDEX('Cost_Components'!$M$2:$M$27,MATCH(E536,'Cost_Components'!$A$2:$A$27,0)),"")</f>
      </c>
      <c r="AD536" s="84" t="str">
        <f>IFERROR(INDEX('Cost_Components'!$N$2:$N$27,MATCH(E536,'Cost_Components'!$A$2:$A$27,0)),"")</f>
      </c>
      <c r="AE536" s="20" t="str">
        <f>IFERROR(INDEX('Cost_Components'!$O$2:$O$27,MATCH(E536,'Cost_Components'!$A$2:$A$27,0)),"")</f>
      </c>
      <c r="AF536" s="85" t="n">
        <v>1028562.04010289</v>
      </c>
      <c r="AG536" s="86" t="n">
        <v>1025850.81716251</v>
      </c>
      <c r="AH536" s="87" t="str">
        <f>IF(H536="shared-count-once",COUNTIFS($A$2:$A$1353,A536,$B$2:$B$1353,B536,$E$2:$E$1353,E536),1)</f>
      </c>
    </row>
    <row r="537">
      <c r="A537" t="s">
        <v>220</v>
      </c>
      <c r="B537" s="59" t="n">
        <v>2040</v>
      </c>
      <c r="C537" t="s">
        <v>220</v>
      </c>
      <c r="D537" t="s">
        <v>176</v>
      </c>
      <c r="E537" s="60" t="s">
        <v>311</v>
      </c>
      <c r="F537" s="61" t="s">
        <v>312</v>
      </c>
      <c r="G537" s="62" t="s">
        <v>221</v>
      </c>
      <c r="H537" s="63" t="s">
        <v>195</v>
      </c>
      <c r="I537" s="64" t="s">
        <v>267</v>
      </c>
      <c r="J537" s="65" t="str">
        <f>IFERROR(INDEX('Cost_Components'!$K$2:$K$27,MATCH(E537,'Cost_Components'!$A$2:$A$27,0)),"")</f>
      </c>
      <c r="K537" s="66" t="str">
        <f>IF(OR(L537="",Z537="",AA537="",AB537=""),"",IF(B537&lt;AA537,L537,IF(B537&gt;AB537,Z537,L537+(Z537-L537)*MIN(MAX((B537-AA537+1)/MAX(AB537-AA537+1,1),0),1))))</f>
      </c>
      <c r="L537" s="67" t="str">
        <f>IFERROR(INDEX('Cost_Components'!$S$2:$S$27,MATCH(E537,'Cost_Components'!$A$2:$A$27,0)),"")</f>
      </c>
      <c r="M537" s="68" t="str">
        <f>IFERROR(INDEX('Cost_Components'!$L$2:$L$27,MATCH(E537,'Cost_Components'!$A$2:$A$27,0)),"")</f>
      </c>
      <c r="N537" s="69" t="str">
        <f>IFERROR(INDEX('Cost_Components'!$P$2:$P$27,MATCH(E537,'Cost_Components'!$A$2:$A$27,0)),"")</f>
      </c>
      <c r="O537" s="70" t="str">
        <f>AF537*J537</f>
      </c>
      <c r="P537" s="71" t="str">
        <f>AG537*J537</f>
      </c>
      <c r="Q537" s="72" t="str">
        <f>P537*L537*M537*N537</f>
      </c>
      <c r="R537" s="73" t="str">
        <f>O537*K537*M537*N537</f>
      </c>
      <c r="S537" s="74" t="str">
        <f>R537-Q537</f>
      </c>
      <c r="T537" s="20" t="str">
        <f>IFERROR(INDEX('Cost_Components'!$R$2:$R$27,MATCH(E537,'Cost_Components'!$A$2:$A$27,0)),"")</f>
      </c>
      <c r="U537" s="75" t="str">
        <f>IFERROR(INDEX('Cost_Components'!$Q$2:$Q$27,MATCH(E537,'Cost_Components'!$A$2:$A$27,0)),"")</f>
      </c>
      <c r="V537" s="76" t="str">
        <f>1/(1+'Calculation_Assumptions'!$B$5)^(B537-'Calculation_Assumptions'!$B$2)</f>
      </c>
      <c r="W537" s="77" t="str">
        <f>Q537*V537</f>
      </c>
      <c r="X537" s="78" t="str">
        <f>R537*V537</f>
      </c>
      <c r="Y537" s="79" t="str">
        <f>S537*V537</f>
      </c>
      <c r="Z537" s="80" t="str">
        <f>IFERROR(INDEX('Cost_Components'!$T$2:$T$27,MATCH(E537,'Cost_Components'!$A$2:$A$27,0)),"")</f>
      </c>
      <c r="AA537" s="81" t="str">
        <f>IFERROR(INDEX('Cost_Components'!$U$2:$U$27,MATCH(E537,'Cost_Components'!$A$2:$A$27,0)),"")</f>
      </c>
      <c r="AB537" s="82" t="str">
        <f>IFERROR(INDEX('Cost_Components'!$V$2:$V$27,MATCH(E537,'Cost_Components'!$A$2:$A$27,0)),"")</f>
      </c>
      <c r="AC537" s="83" t="str">
        <f>IFERROR(INDEX('Cost_Components'!$M$2:$M$27,MATCH(E537,'Cost_Components'!$A$2:$A$27,0)),"")</f>
      </c>
      <c r="AD537" s="84" t="str">
        <f>IFERROR(INDEX('Cost_Components'!$N$2:$N$27,MATCH(E537,'Cost_Components'!$A$2:$A$27,0)),"")</f>
      </c>
      <c r="AE537" s="20" t="str">
        <f>IFERROR(INDEX('Cost_Components'!$O$2:$O$27,MATCH(E537,'Cost_Components'!$A$2:$A$27,0)),"")</f>
      </c>
      <c r="AF537" s="85" t="n">
        <v>1030072.58799917</v>
      </c>
      <c r="AG537" s="86" t="n">
        <v>1027141.14368539</v>
      </c>
      <c r="AH537" s="87" t="str">
        <f>IF(H537="shared-count-once",COUNTIFS($A$2:$A$1353,A537,$B$2:$B$1353,B537,$E$2:$E$1353,E537),1)</f>
      </c>
    </row>
    <row r="538">
      <c r="A538" t="s">
        <v>220</v>
      </c>
      <c r="B538" s="59" t="n">
        <v>2041</v>
      </c>
      <c r="C538" t="s">
        <v>220</v>
      </c>
      <c r="D538" t="s">
        <v>176</v>
      </c>
      <c r="E538" s="60" t="s">
        <v>311</v>
      </c>
      <c r="F538" s="61" t="s">
        <v>312</v>
      </c>
      <c r="G538" s="62" t="s">
        <v>221</v>
      </c>
      <c r="H538" s="63" t="s">
        <v>195</v>
      </c>
      <c r="I538" s="64" t="s">
        <v>267</v>
      </c>
      <c r="J538" s="65" t="str">
        <f>IFERROR(INDEX('Cost_Components'!$K$2:$K$27,MATCH(E538,'Cost_Components'!$A$2:$A$27,0)),"")</f>
      </c>
      <c r="K538" s="66" t="str">
        <f>IF(OR(L538="",Z538="",AA538="",AB538=""),"",IF(B538&lt;AA538,L538,IF(B538&gt;AB538,Z538,L538+(Z538-L538)*MIN(MAX((B538-AA538+1)/MAX(AB538-AA538+1,1),0),1))))</f>
      </c>
      <c r="L538" s="67" t="str">
        <f>IFERROR(INDEX('Cost_Components'!$S$2:$S$27,MATCH(E538,'Cost_Components'!$A$2:$A$27,0)),"")</f>
      </c>
      <c r="M538" s="68" t="str">
        <f>IFERROR(INDEX('Cost_Components'!$L$2:$L$27,MATCH(E538,'Cost_Components'!$A$2:$A$27,0)),"")</f>
      </c>
      <c r="N538" s="69" t="str">
        <f>IFERROR(INDEX('Cost_Components'!$P$2:$P$27,MATCH(E538,'Cost_Components'!$A$2:$A$27,0)),"")</f>
      </c>
      <c r="O538" s="70" t="str">
        <f>AF538*J538</f>
      </c>
      <c r="P538" s="71" t="str">
        <f>AG538*J538</f>
      </c>
      <c r="Q538" s="72" t="str">
        <f>P538*L538*M538*N538</f>
      </c>
      <c r="R538" s="73" t="str">
        <f>O538*K538*M538*N538</f>
      </c>
      <c r="S538" s="74" t="str">
        <f>R538-Q538</f>
      </c>
      <c r="T538" s="20" t="str">
        <f>IFERROR(INDEX('Cost_Components'!$R$2:$R$27,MATCH(E538,'Cost_Components'!$A$2:$A$27,0)),"")</f>
      </c>
      <c r="U538" s="75" t="str">
        <f>IFERROR(INDEX('Cost_Components'!$Q$2:$Q$27,MATCH(E538,'Cost_Components'!$A$2:$A$27,0)),"")</f>
      </c>
      <c r="V538" s="76" t="str">
        <f>1/(1+'Calculation_Assumptions'!$B$5)^(B538-'Calculation_Assumptions'!$B$2)</f>
      </c>
      <c r="W538" s="77" t="str">
        <f>Q538*V538</f>
      </c>
      <c r="X538" s="78" t="str">
        <f>R538*V538</f>
      </c>
      <c r="Y538" s="79" t="str">
        <f>S538*V538</f>
      </c>
      <c r="Z538" s="80" t="str">
        <f>IFERROR(INDEX('Cost_Components'!$T$2:$T$27,MATCH(E538,'Cost_Components'!$A$2:$A$27,0)),"")</f>
      </c>
      <c r="AA538" s="81" t="str">
        <f>IFERROR(INDEX('Cost_Components'!$U$2:$U$27,MATCH(E538,'Cost_Components'!$A$2:$A$27,0)),"")</f>
      </c>
      <c r="AB538" s="82" t="str">
        <f>IFERROR(INDEX('Cost_Components'!$V$2:$V$27,MATCH(E538,'Cost_Components'!$A$2:$A$27,0)),"")</f>
      </c>
      <c r="AC538" s="83" t="str">
        <f>IFERROR(INDEX('Cost_Components'!$M$2:$M$27,MATCH(E538,'Cost_Components'!$A$2:$A$27,0)),"")</f>
      </c>
      <c r="AD538" s="84" t="str">
        <f>IFERROR(INDEX('Cost_Components'!$N$2:$N$27,MATCH(E538,'Cost_Components'!$A$2:$A$27,0)),"")</f>
      </c>
      <c r="AE538" s="20" t="str">
        <f>IFERROR(INDEX('Cost_Components'!$O$2:$O$27,MATCH(E538,'Cost_Components'!$A$2:$A$27,0)),"")</f>
      </c>
      <c r="AF538" s="85" t="n">
        <v>1031348.25568944</v>
      </c>
      <c r="AG538" s="86" t="n">
        <v>1028196.92878719</v>
      </c>
      <c r="AH538" s="87" t="str">
        <f>IF(H538="shared-count-once",COUNTIFS($A$2:$A$1353,A538,$B$2:$B$1353,B538,$E$2:$E$1353,E538),1)</f>
      </c>
    </row>
    <row r="539">
      <c r="A539" t="s">
        <v>220</v>
      </c>
      <c r="B539" s="59" t="n">
        <v>2042</v>
      </c>
      <c r="C539" t="s">
        <v>220</v>
      </c>
      <c r="D539" t="s">
        <v>176</v>
      </c>
      <c r="E539" s="60" t="s">
        <v>311</v>
      </c>
      <c r="F539" s="61" t="s">
        <v>312</v>
      </c>
      <c r="G539" s="62" t="s">
        <v>221</v>
      </c>
      <c r="H539" s="63" t="s">
        <v>195</v>
      </c>
      <c r="I539" s="64" t="s">
        <v>267</v>
      </c>
      <c r="J539" s="65" t="str">
        <f>IFERROR(INDEX('Cost_Components'!$K$2:$K$27,MATCH(E539,'Cost_Components'!$A$2:$A$27,0)),"")</f>
      </c>
      <c r="K539" s="66" t="str">
        <f>IF(OR(L539="",Z539="",AA539="",AB539=""),"",IF(B539&lt;AA539,L539,IF(B539&gt;AB539,Z539,L539+(Z539-L539)*MIN(MAX((B539-AA539+1)/MAX(AB539-AA539+1,1),0),1))))</f>
      </c>
      <c r="L539" s="67" t="str">
        <f>IFERROR(INDEX('Cost_Components'!$S$2:$S$27,MATCH(E539,'Cost_Components'!$A$2:$A$27,0)),"")</f>
      </c>
      <c r="M539" s="68" t="str">
        <f>IFERROR(INDEX('Cost_Components'!$L$2:$L$27,MATCH(E539,'Cost_Components'!$A$2:$A$27,0)),"")</f>
      </c>
      <c r="N539" s="69" t="str">
        <f>IFERROR(INDEX('Cost_Components'!$P$2:$P$27,MATCH(E539,'Cost_Components'!$A$2:$A$27,0)),"")</f>
      </c>
      <c r="O539" s="70" t="str">
        <f>AF539*J539</f>
      </c>
      <c r="P539" s="71" t="str">
        <f>AG539*J539</f>
      </c>
      <c r="Q539" s="72" t="str">
        <f>P539*L539*M539*N539</f>
      </c>
      <c r="R539" s="73" t="str">
        <f>O539*K539*M539*N539</f>
      </c>
      <c r="S539" s="74" t="str">
        <f>R539-Q539</f>
      </c>
      <c r="T539" s="20" t="str">
        <f>IFERROR(INDEX('Cost_Components'!$R$2:$R$27,MATCH(E539,'Cost_Components'!$A$2:$A$27,0)),"")</f>
      </c>
      <c r="U539" s="75" t="str">
        <f>IFERROR(INDEX('Cost_Components'!$Q$2:$Q$27,MATCH(E539,'Cost_Components'!$A$2:$A$27,0)),"")</f>
      </c>
      <c r="V539" s="76" t="str">
        <f>1/(1+'Calculation_Assumptions'!$B$5)^(B539-'Calculation_Assumptions'!$B$2)</f>
      </c>
      <c r="W539" s="77" t="str">
        <f>Q539*V539</f>
      </c>
      <c r="X539" s="78" t="str">
        <f>R539*V539</f>
      </c>
      <c r="Y539" s="79" t="str">
        <f>S539*V539</f>
      </c>
      <c r="Z539" s="80" t="str">
        <f>IFERROR(INDEX('Cost_Components'!$T$2:$T$27,MATCH(E539,'Cost_Components'!$A$2:$A$27,0)),"")</f>
      </c>
      <c r="AA539" s="81" t="str">
        <f>IFERROR(INDEX('Cost_Components'!$U$2:$U$27,MATCH(E539,'Cost_Components'!$A$2:$A$27,0)),"")</f>
      </c>
      <c r="AB539" s="82" t="str">
        <f>IFERROR(INDEX('Cost_Components'!$V$2:$V$27,MATCH(E539,'Cost_Components'!$A$2:$A$27,0)),"")</f>
      </c>
      <c r="AC539" s="83" t="str">
        <f>IFERROR(INDEX('Cost_Components'!$M$2:$M$27,MATCH(E539,'Cost_Components'!$A$2:$A$27,0)),"")</f>
      </c>
      <c r="AD539" s="84" t="str">
        <f>IFERROR(INDEX('Cost_Components'!$N$2:$N$27,MATCH(E539,'Cost_Components'!$A$2:$A$27,0)),"")</f>
      </c>
      <c r="AE539" s="20" t="str">
        <f>IFERROR(INDEX('Cost_Components'!$O$2:$O$27,MATCH(E539,'Cost_Components'!$A$2:$A$27,0)),"")</f>
      </c>
      <c r="AF539" s="85" t="n">
        <v>1032365.01504972</v>
      </c>
      <c r="AG539" s="86" t="n">
        <v>1028995.12018765</v>
      </c>
      <c r="AH539" s="87" t="str">
        <f>IF(H539="shared-count-once",COUNTIFS($A$2:$A$1353,A539,$B$2:$B$1353,B539,$E$2:$E$1353,E539),1)</f>
      </c>
    </row>
    <row r="540">
      <c r="A540" t="s">
        <v>220</v>
      </c>
      <c r="B540" s="59" t="n">
        <v>2043</v>
      </c>
      <c r="C540" t="s">
        <v>220</v>
      </c>
      <c r="D540" t="s">
        <v>176</v>
      </c>
      <c r="E540" s="60" t="s">
        <v>311</v>
      </c>
      <c r="F540" s="61" t="s">
        <v>312</v>
      </c>
      <c r="G540" s="62" t="s">
        <v>221</v>
      </c>
      <c r="H540" s="63" t="s">
        <v>195</v>
      </c>
      <c r="I540" s="64" t="s">
        <v>267</v>
      </c>
      <c r="J540" s="65" t="str">
        <f>IFERROR(INDEX('Cost_Components'!$K$2:$K$27,MATCH(E540,'Cost_Components'!$A$2:$A$27,0)),"")</f>
      </c>
      <c r="K540" s="66" t="str">
        <f>IF(OR(L540="",Z540="",AA540="",AB540=""),"",IF(B540&lt;AA540,L540,IF(B540&gt;AB540,Z540,L540+(Z540-L540)*MIN(MAX((B540-AA540+1)/MAX(AB540-AA540+1,1),0),1))))</f>
      </c>
      <c r="L540" s="67" t="str">
        <f>IFERROR(INDEX('Cost_Components'!$S$2:$S$27,MATCH(E540,'Cost_Components'!$A$2:$A$27,0)),"")</f>
      </c>
      <c r="M540" s="68" t="str">
        <f>IFERROR(INDEX('Cost_Components'!$L$2:$L$27,MATCH(E540,'Cost_Components'!$A$2:$A$27,0)),"")</f>
      </c>
      <c r="N540" s="69" t="str">
        <f>IFERROR(INDEX('Cost_Components'!$P$2:$P$27,MATCH(E540,'Cost_Components'!$A$2:$A$27,0)),"")</f>
      </c>
      <c r="O540" s="70" t="str">
        <f>AF540*J540</f>
      </c>
      <c r="P540" s="71" t="str">
        <f>AG540*J540</f>
      </c>
      <c r="Q540" s="72" t="str">
        <f>P540*L540*M540*N540</f>
      </c>
      <c r="R540" s="73" t="str">
        <f>O540*K540*M540*N540</f>
      </c>
      <c r="S540" s="74" t="str">
        <f>R540-Q540</f>
      </c>
      <c r="T540" s="20" t="str">
        <f>IFERROR(INDEX('Cost_Components'!$R$2:$R$27,MATCH(E540,'Cost_Components'!$A$2:$A$27,0)),"")</f>
      </c>
      <c r="U540" s="75" t="str">
        <f>IFERROR(INDEX('Cost_Components'!$Q$2:$Q$27,MATCH(E540,'Cost_Components'!$A$2:$A$27,0)),"")</f>
      </c>
      <c r="V540" s="76" t="str">
        <f>1/(1+'Calculation_Assumptions'!$B$5)^(B540-'Calculation_Assumptions'!$B$2)</f>
      </c>
      <c r="W540" s="77" t="str">
        <f>Q540*V540</f>
      </c>
      <c r="X540" s="78" t="str">
        <f>R540*V540</f>
      </c>
      <c r="Y540" s="79" t="str">
        <f>S540*V540</f>
      </c>
      <c r="Z540" s="80" t="str">
        <f>IFERROR(INDEX('Cost_Components'!$T$2:$T$27,MATCH(E540,'Cost_Components'!$A$2:$A$27,0)),"")</f>
      </c>
      <c r="AA540" s="81" t="str">
        <f>IFERROR(INDEX('Cost_Components'!$U$2:$U$27,MATCH(E540,'Cost_Components'!$A$2:$A$27,0)),"")</f>
      </c>
      <c r="AB540" s="82" t="str">
        <f>IFERROR(INDEX('Cost_Components'!$V$2:$V$27,MATCH(E540,'Cost_Components'!$A$2:$A$27,0)),"")</f>
      </c>
      <c r="AC540" s="83" t="str">
        <f>IFERROR(INDEX('Cost_Components'!$M$2:$M$27,MATCH(E540,'Cost_Components'!$A$2:$A$27,0)),"")</f>
      </c>
      <c r="AD540" s="84" t="str">
        <f>IFERROR(INDEX('Cost_Components'!$N$2:$N$27,MATCH(E540,'Cost_Components'!$A$2:$A$27,0)),"")</f>
      </c>
      <c r="AE540" s="20" t="str">
        <f>IFERROR(INDEX('Cost_Components'!$O$2:$O$27,MATCH(E540,'Cost_Components'!$A$2:$A$27,0)),"")</f>
      </c>
      <c r="AF540" s="85" t="n">
        <v>1032768.00910673</v>
      </c>
      <c r="AG540" s="86" t="n">
        <v>1029181.35252705</v>
      </c>
      <c r="AH540" s="87" t="str">
        <f>IF(H540="shared-count-once",COUNTIFS($A$2:$A$1353,A540,$B$2:$B$1353,B540,$E$2:$E$1353,E540),1)</f>
      </c>
    </row>
    <row r="541">
      <c r="A541" t="s">
        <v>220</v>
      </c>
      <c r="B541" s="59" t="n">
        <v>2044</v>
      </c>
      <c r="C541" t="s">
        <v>220</v>
      </c>
      <c r="D541" t="s">
        <v>176</v>
      </c>
      <c r="E541" s="60" t="s">
        <v>311</v>
      </c>
      <c r="F541" s="61" t="s">
        <v>312</v>
      </c>
      <c r="G541" s="62" t="s">
        <v>221</v>
      </c>
      <c r="H541" s="63" t="s">
        <v>195</v>
      </c>
      <c r="I541" s="64" t="s">
        <v>267</v>
      </c>
      <c r="J541" s="65" t="str">
        <f>IFERROR(INDEX('Cost_Components'!$K$2:$K$27,MATCH(E541,'Cost_Components'!$A$2:$A$27,0)),"")</f>
      </c>
      <c r="K541" s="66" t="str">
        <f>IF(OR(L541="",Z541="",AA541="",AB541=""),"",IF(B541&lt;AA541,L541,IF(B541&gt;AB541,Z541,L541+(Z541-L541)*MIN(MAX((B541-AA541+1)/MAX(AB541-AA541+1,1),0),1))))</f>
      </c>
      <c r="L541" s="67" t="str">
        <f>IFERROR(INDEX('Cost_Components'!$S$2:$S$27,MATCH(E541,'Cost_Components'!$A$2:$A$27,0)),"")</f>
      </c>
      <c r="M541" s="68" t="str">
        <f>IFERROR(INDEX('Cost_Components'!$L$2:$L$27,MATCH(E541,'Cost_Components'!$A$2:$A$27,0)),"")</f>
      </c>
      <c r="N541" s="69" t="str">
        <f>IFERROR(INDEX('Cost_Components'!$P$2:$P$27,MATCH(E541,'Cost_Components'!$A$2:$A$27,0)),"")</f>
      </c>
      <c r="O541" s="70" t="str">
        <f>AF541*J541</f>
      </c>
      <c r="P541" s="71" t="str">
        <f>AG541*J541</f>
      </c>
      <c r="Q541" s="72" t="str">
        <f>P541*L541*M541*N541</f>
      </c>
      <c r="R541" s="73" t="str">
        <f>O541*K541*M541*N541</f>
      </c>
      <c r="S541" s="74" t="str">
        <f>R541-Q541</f>
      </c>
      <c r="T541" s="20" t="str">
        <f>IFERROR(INDEX('Cost_Components'!$R$2:$R$27,MATCH(E541,'Cost_Components'!$A$2:$A$27,0)),"")</f>
      </c>
      <c r="U541" s="75" t="str">
        <f>IFERROR(INDEX('Cost_Components'!$Q$2:$Q$27,MATCH(E541,'Cost_Components'!$A$2:$A$27,0)),"")</f>
      </c>
      <c r="V541" s="76" t="str">
        <f>1/(1+'Calculation_Assumptions'!$B$5)^(B541-'Calculation_Assumptions'!$B$2)</f>
      </c>
      <c r="W541" s="77" t="str">
        <f>Q541*V541</f>
      </c>
      <c r="X541" s="78" t="str">
        <f>R541*V541</f>
      </c>
      <c r="Y541" s="79" t="str">
        <f>S541*V541</f>
      </c>
      <c r="Z541" s="80" t="str">
        <f>IFERROR(INDEX('Cost_Components'!$T$2:$T$27,MATCH(E541,'Cost_Components'!$A$2:$A$27,0)),"")</f>
      </c>
      <c r="AA541" s="81" t="str">
        <f>IFERROR(INDEX('Cost_Components'!$U$2:$U$27,MATCH(E541,'Cost_Components'!$A$2:$A$27,0)),"")</f>
      </c>
      <c r="AB541" s="82" t="str">
        <f>IFERROR(INDEX('Cost_Components'!$V$2:$V$27,MATCH(E541,'Cost_Components'!$A$2:$A$27,0)),"")</f>
      </c>
      <c r="AC541" s="83" t="str">
        <f>IFERROR(INDEX('Cost_Components'!$M$2:$M$27,MATCH(E541,'Cost_Components'!$A$2:$A$27,0)),"")</f>
      </c>
      <c r="AD541" s="84" t="str">
        <f>IFERROR(INDEX('Cost_Components'!$N$2:$N$27,MATCH(E541,'Cost_Components'!$A$2:$A$27,0)),"")</f>
      </c>
      <c r="AE541" s="20" t="str">
        <f>IFERROR(INDEX('Cost_Components'!$O$2:$O$27,MATCH(E541,'Cost_Components'!$A$2:$A$27,0)),"")</f>
      </c>
      <c r="AF541" s="85" t="n">
        <v>1033540.33580051</v>
      </c>
      <c r="AG541" s="86" t="n">
        <v>1029738.57625643</v>
      </c>
      <c r="AH541" s="87" t="str">
        <f>IF(H541="shared-count-once",COUNTIFS($A$2:$A$1353,A541,$B$2:$B$1353,B541,$E$2:$E$1353,E541),1)</f>
      </c>
    </row>
    <row r="542">
      <c r="A542" t="s">
        <v>220</v>
      </c>
      <c r="B542" s="59" t="n">
        <v>2045</v>
      </c>
      <c r="C542" t="s">
        <v>220</v>
      </c>
      <c r="D542" t="s">
        <v>176</v>
      </c>
      <c r="E542" s="60" t="s">
        <v>311</v>
      </c>
      <c r="F542" s="61" t="s">
        <v>312</v>
      </c>
      <c r="G542" s="62" t="s">
        <v>221</v>
      </c>
      <c r="H542" s="63" t="s">
        <v>195</v>
      </c>
      <c r="I542" s="64" t="s">
        <v>267</v>
      </c>
      <c r="J542" s="65" t="str">
        <f>IFERROR(INDEX('Cost_Components'!$K$2:$K$27,MATCH(E542,'Cost_Components'!$A$2:$A$27,0)),"")</f>
      </c>
      <c r="K542" s="66" t="str">
        <f>IF(OR(L542="",Z542="",AA542="",AB542=""),"",IF(B542&lt;AA542,L542,IF(B542&gt;AB542,Z542,L542+(Z542-L542)*MIN(MAX((B542-AA542+1)/MAX(AB542-AA542+1,1),0),1))))</f>
      </c>
      <c r="L542" s="67" t="str">
        <f>IFERROR(INDEX('Cost_Components'!$S$2:$S$27,MATCH(E542,'Cost_Components'!$A$2:$A$27,0)),"")</f>
      </c>
      <c r="M542" s="68" t="str">
        <f>IFERROR(INDEX('Cost_Components'!$L$2:$L$27,MATCH(E542,'Cost_Components'!$A$2:$A$27,0)),"")</f>
      </c>
      <c r="N542" s="69" t="str">
        <f>IFERROR(INDEX('Cost_Components'!$P$2:$P$27,MATCH(E542,'Cost_Components'!$A$2:$A$27,0)),"")</f>
      </c>
      <c r="O542" s="70" t="str">
        <f>AF542*J542</f>
      </c>
      <c r="P542" s="71" t="str">
        <f>AG542*J542</f>
      </c>
      <c r="Q542" s="72" t="str">
        <f>P542*L542*M542*N542</f>
      </c>
      <c r="R542" s="73" t="str">
        <f>O542*K542*M542*N542</f>
      </c>
      <c r="S542" s="74" t="str">
        <f>R542-Q542</f>
      </c>
      <c r="T542" s="20" t="str">
        <f>IFERROR(INDEX('Cost_Components'!$R$2:$R$27,MATCH(E542,'Cost_Components'!$A$2:$A$27,0)),"")</f>
      </c>
      <c r="U542" s="75" t="str">
        <f>IFERROR(INDEX('Cost_Components'!$Q$2:$Q$27,MATCH(E542,'Cost_Components'!$A$2:$A$27,0)),"")</f>
      </c>
      <c r="V542" s="76" t="str">
        <f>1/(1+'Calculation_Assumptions'!$B$5)^(B542-'Calculation_Assumptions'!$B$2)</f>
      </c>
      <c r="W542" s="77" t="str">
        <f>Q542*V542</f>
      </c>
      <c r="X542" s="78" t="str">
        <f>R542*V542</f>
      </c>
      <c r="Y542" s="79" t="str">
        <f>S542*V542</f>
      </c>
      <c r="Z542" s="80" t="str">
        <f>IFERROR(INDEX('Cost_Components'!$T$2:$T$27,MATCH(E542,'Cost_Components'!$A$2:$A$27,0)),"")</f>
      </c>
      <c r="AA542" s="81" t="str">
        <f>IFERROR(INDEX('Cost_Components'!$U$2:$U$27,MATCH(E542,'Cost_Components'!$A$2:$A$27,0)),"")</f>
      </c>
      <c r="AB542" s="82" t="str">
        <f>IFERROR(INDEX('Cost_Components'!$V$2:$V$27,MATCH(E542,'Cost_Components'!$A$2:$A$27,0)),"")</f>
      </c>
      <c r="AC542" s="83" t="str">
        <f>IFERROR(INDEX('Cost_Components'!$M$2:$M$27,MATCH(E542,'Cost_Components'!$A$2:$A$27,0)),"")</f>
      </c>
      <c r="AD542" s="84" t="str">
        <f>IFERROR(INDEX('Cost_Components'!$N$2:$N$27,MATCH(E542,'Cost_Components'!$A$2:$A$27,0)),"")</f>
      </c>
      <c r="AE542" s="20" t="str">
        <f>IFERROR(INDEX('Cost_Components'!$O$2:$O$27,MATCH(E542,'Cost_Components'!$A$2:$A$27,0)),"")</f>
      </c>
      <c r="AF542" s="85" t="n">
        <v>1033592.1383355</v>
      </c>
      <c r="AG542" s="86" t="n">
        <v>1029577.53333486</v>
      </c>
      <c r="AH542" s="87" t="str">
        <f>IF(H542="shared-count-once",COUNTIFS($A$2:$A$1353,A542,$B$2:$B$1353,B542,$E$2:$E$1353,E542),1)</f>
      </c>
    </row>
    <row r="543">
      <c r="A543" t="s">
        <v>220</v>
      </c>
      <c r="B543" s="59" t="n">
        <v>2046</v>
      </c>
      <c r="C543" t="s">
        <v>220</v>
      </c>
      <c r="D543" t="s">
        <v>176</v>
      </c>
      <c r="E543" s="60" t="s">
        <v>311</v>
      </c>
      <c r="F543" s="61" t="s">
        <v>312</v>
      </c>
      <c r="G543" s="62" t="s">
        <v>221</v>
      </c>
      <c r="H543" s="63" t="s">
        <v>195</v>
      </c>
      <c r="I543" s="64" t="s">
        <v>267</v>
      </c>
      <c r="J543" s="65" t="str">
        <f>IFERROR(INDEX('Cost_Components'!$K$2:$K$27,MATCH(E543,'Cost_Components'!$A$2:$A$27,0)),"")</f>
      </c>
      <c r="K543" s="66" t="str">
        <f>IF(OR(L543="",Z543="",AA543="",AB543=""),"",IF(B543&lt;AA543,L543,IF(B543&gt;AB543,Z543,L543+(Z543-L543)*MIN(MAX((B543-AA543+1)/MAX(AB543-AA543+1,1),0),1))))</f>
      </c>
      <c r="L543" s="67" t="str">
        <f>IFERROR(INDEX('Cost_Components'!$S$2:$S$27,MATCH(E543,'Cost_Components'!$A$2:$A$27,0)),"")</f>
      </c>
      <c r="M543" s="68" t="str">
        <f>IFERROR(INDEX('Cost_Components'!$L$2:$L$27,MATCH(E543,'Cost_Components'!$A$2:$A$27,0)),"")</f>
      </c>
      <c r="N543" s="69" t="str">
        <f>IFERROR(INDEX('Cost_Components'!$P$2:$P$27,MATCH(E543,'Cost_Components'!$A$2:$A$27,0)),"")</f>
      </c>
      <c r="O543" s="70" t="str">
        <f>AF543*J543</f>
      </c>
      <c r="P543" s="71" t="str">
        <f>AG543*J543</f>
      </c>
      <c r="Q543" s="72" t="str">
        <f>P543*L543*M543*N543</f>
      </c>
      <c r="R543" s="73" t="str">
        <f>O543*K543*M543*N543</f>
      </c>
      <c r="S543" s="74" t="str">
        <f>R543-Q543</f>
      </c>
      <c r="T543" s="20" t="str">
        <f>IFERROR(INDEX('Cost_Components'!$R$2:$R$27,MATCH(E543,'Cost_Components'!$A$2:$A$27,0)),"")</f>
      </c>
      <c r="U543" s="75" t="str">
        <f>IFERROR(INDEX('Cost_Components'!$Q$2:$Q$27,MATCH(E543,'Cost_Components'!$A$2:$A$27,0)),"")</f>
      </c>
      <c r="V543" s="76" t="str">
        <f>1/(1+'Calculation_Assumptions'!$B$5)^(B543-'Calculation_Assumptions'!$B$2)</f>
      </c>
      <c r="W543" s="77" t="str">
        <f>Q543*V543</f>
      </c>
      <c r="X543" s="78" t="str">
        <f>R543*V543</f>
      </c>
      <c r="Y543" s="79" t="str">
        <f>S543*V543</f>
      </c>
      <c r="Z543" s="80" t="str">
        <f>IFERROR(INDEX('Cost_Components'!$T$2:$T$27,MATCH(E543,'Cost_Components'!$A$2:$A$27,0)),"")</f>
      </c>
      <c r="AA543" s="81" t="str">
        <f>IFERROR(INDEX('Cost_Components'!$U$2:$U$27,MATCH(E543,'Cost_Components'!$A$2:$A$27,0)),"")</f>
      </c>
      <c r="AB543" s="82" t="str">
        <f>IFERROR(INDEX('Cost_Components'!$V$2:$V$27,MATCH(E543,'Cost_Components'!$A$2:$A$27,0)),"")</f>
      </c>
      <c r="AC543" s="83" t="str">
        <f>IFERROR(INDEX('Cost_Components'!$M$2:$M$27,MATCH(E543,'Cost_Components'!$A$2:$A$27,0)),"")</f>
      </c>
      <c r="AD543" s="84" t="str">
        <f>IFERROR(INDEX('Cost_Components'!$N$2:$N$27,MATCH(E543,'Cost_Components'!$A$2:$A$27,0)),"")</f>
      </c>
      <c r="AE543" s="20" t="str">
        <f>IFERROR(INDEX('Cost_Components'!$O$2:$O$27,MATCH(E543,'Cost_Components'!$A$2:$A$27,0)),"")</f>
      </c>
      <c r="AF543" s="85" t="n">
        <v>1033092.43347064</v>
      </c>
      <c r="AG543" s="86" t="n">
        <v>1028866.56593476</v>
      </c>
      <c r="AH543" s="87" t="str">
        <f>IF(H543="shared-count-once",COUNTIFS($A$2:$A$1353,A543,$B$2:$B$1353,B543,$E$2:$E$1353,E543),1)</f>
      </c>
    </row>
    <row r="544">
      <c r="A544" t="s">
        <v>220</v>
      </c>
      <c r="B544" s="59" t="n">
        <v>2047</v>
      </c>
      <c r="C544" t="s">
        <v>220</v>
      </c>
      <c r="D544" t="s">
        <v>176</v>
      </c>
      <c r="E544" s="60" t="s">
        <v>311</v>
      </c>
      <c r="F544" s="61" t="s">
        <v>312</v>
      </c>
      <c r="G544" s="62" t="s">
        <v>221</v>
      </c>
      <c r="H544" s="63" t="s">
        <v>195</v>
      </c>
      <c r="I544" s="64" t="s">
        <v>267</v>
      </c>
      <c r="J544" s="65" t="str">
        <f>IFERROR(INDEX('Cost_Components'!$K$2:$K$27,MATCH(E544,'Cost_Components'!$A$2:$A$27,0)),"")</f>
      </c>
      <c r="K544" s="66" t="str">
        <f>IF(OR(L544="",Z544="",AA544="",AB544=""),"",IF(B544&lt;AA544,L544,IF(B544&gt;AB544,Z544,L544+(Z544-L544)*MIN(MAX((B544-AA544+1)/MAX(AB544-AA544+1,1),0),1))))</f>
      </c>
      <c r="L544" s="67" t="str">
        <f>IFERROR(INDEX('Cost_Components'!$S$2:$S$27,MATCH(E544,'Cost_Components'!$A$2:$A$27,0)),"")</f>
      </c>
      <c r="M544" s="68" t="str">
        <f>IFERROR(INDEX('Cost_Components'!$L$2:$L$27,MATCH(E544,'Cost_Components'!$A$2:$A$27,0)),"")</f>
      </c>
      <c r="N544" s="69" t="str">
        <f>IFERROR(INDEX('Cost_Components'!$P$2:$P$27,MATCH(E544,'Cost_Components'!$A$2:$A$27,0)),"")</f>
      </c>
      <c r="O544" s="70" t="str">
        <f>AF544*J544</f>
      </c>
      <c r="P544" s="71" t="str">
        <f>AG544*J544</f>
      </c>
      <c r="Q544" s="72" t="str">
        <f>P544*L544*M544*N544</f>
      </c>
      <c r="R544" s="73" t="str">
        <f>O544*K544*M544*N544</f>
      </c>
      <c r="S544" s="74" t="str">
        <f>R544-Q544</f>
      </c>
      <c r="T544" s="20" t="str">
        <f>IFERROR(INDEX('Cost_Components'!$R$2:$R$27,MATCH(E544,'Cost_Components'!$A$2:$A$27,0)),"")</f>
      </c>
      <c r="U544" s="75" t="str">
        <f>IFERROR(INDEX('Cost_Components'!$Q$2:$Q$27,MATCH(E544,'Cost_Components'!$A$2:$A$27,0)),"")</f>
      </c>
      <c r="V544" s="76" t="str">
        <f>1/(1+'Calculation_Assumptions'!$B$5)^(B544-'Calculation_Assumptions'!$B$2)</f>
      </c>
      <c r="W544" s="77" t="str">
        <f>Q544*V544</f>
      </c>
      <c r="X544" s="78" t="str">
        <f>R544*V544</f>
      </c>
      <c r="Y544" s="79" t="str">
        <f>S544*V544</f>
      </c>
      <c r="Z544" s="80" t="str">
        <f>IFERROR(INDEX('Cost_Components'!$T$2:$T$27,MATCH(E544,'Cost_Components'!$A$2:$A$27,0)),"")</f>
      </c>
      <c r="AA544" s="81" t="str">
        <f>IFERROR(INDEX('Cost_Components'!$U$2:$U$27,MATCH(E544,'Cost_Components'!$A$2:$A$27,0)),"")</f>
      </c>
      <c r="AB544" s="82" t="str">
        <f>IFERROR(INDEX('Cost_Components'!$V$2:$V$27,MATCH(E544,'Cost_Components'!$A$2:$A$27,0)),"")</f>
      </c>
      <c r="AC544" s="83" t="str">
        <f>IFERROR(INDEX('Cost_Components'!$M$2:$M$27,MATCH(E544,'Cost_Components'!$A$2:$A$27,0)),"")</f>
      </c>
      <c r="AD544" s="84" t="str">
        <f>IFERROR(INDEX('Cost_Components'!$N$2:$N$27,MATCH(E544,'Cost_Components'!$A$2:$A$27,0)),"")</f>
      </c>
      <c r="AE544" s="20" t="str">
        <f>IFERROR(INDEX('Cost_Components'!$O$2:$O$27,MATCH(E544,'Cost_Components'!$A$2:$A$27,0)),"")</f>
      </c>
      <c r="AF544" s="85" t="n">
        <v>1031653.09747818</v>
      </c>
      <c r="AG544" s="86" t="n">
        <v>1027218.46073044</v>
      </c>
      <c r="AH544" s="87" t="str">
        <f>IF(H544="shared-count-once",COUNTIFS($A$2:$A$1353,A544,$B$2:$B$1353,B544,$E$2:$E$1353,E544),1)</f>
      </c>
    </row>
    <row r="545">
      <c r="A545" t="s">
        <v>220</v>
      </c>
      <c r="B545" s="59" t="n">
        <v>2048</v>
      </c>
      <c r="C545" t="s">
        <v>220</v>
      </c>
      <c r="D545" t="s">
        <v>176</v>
      </c>
      <c r="E545" s="60" t="s">
        <v>311</v>
      </c>
      <c r="F545" s="61" t="s">
        <v>312</v>
      </c>
      <c r="G545" s="62" t="s">
        <v>221</v>
      </c>
      <c r="H545" s="63" t="s">
        <v>195</v>
      </c>
      <c r="I545" s="64" t="s">
        <v>267</v>
      </c>
      <c r="J545" s="65" t="str">
        <f>IFERROR(INDEX('Cost_Components'!$K$2:$K$27,MATCH(E545,'Cost_Components'!$A$2:$A$27,0)),"")</f>
      </c>
      <c r="K545" s="66" t="str">
        <f>IF(OR(L545="",Z545="",AA545="",AB545=""),"",IF(B545&lt;AA545,L545,IF(B545&gt;AB545,Z545,L545+(Z545-L545)*MIN(MAX((B545-AA545+1)/MAX(AB545-AA545+1,1),0),1))))</f>
      </c>
      <c r="L545" s="67" t="str">
        <f>IFERROR(INDEX('Cost_Components'!$S$2:$S$27,MATCH(E545,'Cost_Components'!$A$2:$A$27,0)),"")</f>
      </c>
      <c r="M545" s="68" t="str">
        <f>IFERROR(INDEX('Cost_Components'!$L$2:$L$27,MATCH(E545,'Cost_Components'!$A$2:$A$27,0)),"")</f>
      </c>
      <c r="N545" s="69" t="str">
        <f>IFERROR(INDEX('Cost_Components'!$P$2:$P$27,MATCH(E545,'Cost_Components'!$A$2:$A$27,0)),"")</f>
      </c>
      <c r="O545" s="70" t="str">
        <f>AF545*J545</f>
      </c>
      <c r="P545" s="71" t="str">
        <f>AG545*J545</f>
      </c>
      <c r="Q545" s="72" t="str">
        <f>P545*L545*M545*N545</f>
      </c>
      <c r="R545" s="73" t="str">
        <f>O545*K545*M545*N545</f>
      </c>
      <c r="S545" s="74" t="str">
        <f>R545-Q545</f>
      </c>
      <c r="T545" s="20" t="str">
        <f>IFERROR(INDEX('Cost_Components'!$R$2:$R$27,MATCH(E545,'Cost_Components'!$A$2:$A$27,0)),"")</f>
      </c>
      <c r="U545" s="75" t="str">
        <f>IFERROR(INDEX('Cost_Components'!$Q$2:$Q$27,MATCH(E545,'Cost_Components'!$A$2:$A$27,0)),"")</f>
      </c>
      <c r="V545" s="76" t="str">
        <f>1/(1+'Calculation_Assumptions'!$B$5)^(B545-'Calculation_Assumptions'!$B$2)</f>
      </c>
      <c r="W545" s="77" t="str">
        <f>Q545*V545</f>
      </c>
      <c r="X545" s="78" t="str">
        <f>R545*V545</f>
      </c>
      <c r="Y545" s="79" t="str">
        <f>S545*V545</f>
      </c>
      <c r="Z545" s="80" t="str">
        <f>IFERROR(INDEX('Cost_Components'!$T$2:$T$27,MATCH(E545,'Cost_Components'!$A$2:$A$27,0)),"")</f>
      </c>
      <c r="AA545" s="81" t="str">
        <f>IFERROR(INDEX('Cost_Components'!$U$2:$U$27,MATCH(E545,'Cost_Components'!$A$2:$A$27,0)),"")</f>
      </c>
      <c r="AB545" s="82" t="str">
        <f>IFERROR(INDEX('Cost_Components'!$V$2:$V$27,MATCH(E545,'Cost_Components'!$A$2:$A$27,0)),"")</f>
      </c>
      <c r="AC545" s="83" t="str">
        <f>IFERROR(INDEX('Cost_Components'!$M$2:$M$27,MATCH(E545,'Cost_Components'!$A$2:$A$27,0)),"")</f>
      </c>
      <c r="AD545" s="84" t="str">
        <f>IFERROR(INDEX('Cost_Components'!$N$2:$N$27,MATCH(E545,'Cost_Components'!$A$2:$A$27,0)),"")</f>
      </c>
      <c r="AE545" s="20" t="str">
        <f>IFERROR(INDEX('Cost_Components'!$O$2:$O$27,MATCH(E545,'Cost_Components'!$A$2:$A$27,0)),"")</f>
      </c>
      <c r="AF545" s="85" t="n">
        <v>1029812.52142284</v>
      </c>
      <c r="AG545" s="86" t="n">
        <v>1025172.23441339</v>
      </c>
      <c r="AH545" s="87" t="str">
        <f>IF(H545="shared-count-once",COUNTIFS($A$2:$A$1353,A545,$B$2:$B$1353,B545,$E$2:$E$1353,E545),1)</f>
      </c>
    </row>
    <row r="546">
      <c r="A546" t="s">
        <v>220</v>
      </c>
      <c r="B546" s="59" t="n">
        <v>2049</v>
      </c>
      <c r="C546" t="s">
        <v>220</v>
      </c>
      <c r="D546" t="s">
        <v>176</v>
      </c>
      <c r="E546" s="60" t="s">
        <v>311</v>
      </c>
      <c r="F546" s="61" t="s">
        <v>312</v>
      </c>
      <c r="G546" s="62" t="s">
        <v>221</v>
      </c>
      <c r="H546" s="63" t="s">
        <v>195</v>
      </c>
      <c r="I546" s="64" t="s">
        <v>267</v>
      </c>
      <c r="J546" s="65" t="str">
        <f>IFERROR(INDEX('Cost_Components'!$K$2:$K$27,MATCH(E546,'Cost_Components'!$A$2:$A$27,0)),"")</f>
      </c>
      <c r="K546" s="66" t="str">
        <f>IF(OR(L546="",Z546="",AA546="",AB546=""),"",IF(B546&lt;AA546,L546,IF(B546&gt;AB546,Z546,L546+(Z546-L546)*MIN(MAX((B546-AA546+1)/MAX(AB546-AA546+1,1),0),1))))</f>
      </c>
      <c r="L546" s="67" t="str">
        <f>IFERROR(INDEX('Cost_Components'!$S$2:$S$27,MATCH(E546,'Cost_Components'!$A$2:$A$27,0)),"")</f>
      </c>
      <c r="M546" s="68" t="str">
        <f>IFERROR(INDEX('Cost_Components'!$L$2:$L$27,MATCH(E546,'Cost_Components'!$A$2:$A$27,0)),"")</f>
      </c>
      <c r="N546" s="69" t="str">
        <f>IFERROR(INDEX('Cost_Components'!$P$2:$P$27,MATCH(E546,'Cost_Components'!$A$2:$A$27,0)),"")</f>
      </c>
      <c r="O546" s="70" t="str">
        <f>AF546*J546</f>
      </c>
      <c r="P546" s="71" t="str">
        <f>AG546*J546</f>
      </c>
      <c r="Q546" s="72" t="str">
        <f>P546*L546*M546*N546</f>
      </c>
      <c r="R546" s="73" t="str">
        <f>O546*K546*M546*N546</f>
      </c>
      <c r="S546" s="74" t="str">
        <f>R546-Q546</f>
      </c>
      <c r="T546" s="20" t="str">
        <f>IFERROR(INDEX('Cost_Components'!$R$2:$R$27,MATCH(E546,'Cost_Components'!$A$2:$A$27,0)),"")</f>
      </c>
      <c r="U546" s="75" t="str">
        <f>IFERROR(INDEX('Cost_Components'!$Q$2:$Q$27,MATCH(E546,'Cost_Components'!$A$2:$A$27,0)),"")</f>
      </c>
      <c r="V546" s="76" t="str">
        <f>1/(1+'Calculation_Assumptions'!$B$5)^(B546-'Calculation_Assumptions'!$B$2)</f>
      </c>
      <c r="W546" s="77" t="str">
        <f>Q546*V546</f>
      </c>
      <c r="X546" s="78" t="str">
        <f>R546*V546</f>
      </c>
      <c r="Y546" s="79" t="str">
        <f>S546*V546</f>
      </c>
      <c r="Z546" s="80" t="str">
        <f>IFERROR(INDEX('Cost_Components'!$T$2:$T$27,MATCH(E546,'Cost_Components'!$A$2:$A$27,0)),"")</f>
      </c>
      <c r="AA546" s="81" t="str">
        <f>IFERROR(INDEX('Cost_Components'!$U$2:$U$27,MATCH(E546,'Cost_Components'!$A$2:$A$27,0)),"")</f>
      </c>
      <c r="AB546" s="82" t="str">
        <f>IFERROR(INDEX('Cost_Components'!$V$2:$V$27,MATCH(E546,'Cost_Components'!$A$2:$A$27,0)),"")</f>
      </c>
      <c r="AC546" s="83" t="str">
        <f>IFERROR(INDEX('Cost_Components'!$M$2:$M$27,MATCH(E546,'Cost_Components'!$A$2:$A$27,0)),"")</f>
      </c>
      <c r="AD546" s="84" t="str">
        <f>IFERROR(INDEX('Cost_Components'!$N$2:$N$27,MATCH(E546,'Cost_Components'!$A$2:$A$27,0)),"")</f>
      </c>
      <c r="AE546" s="20" t="str">
        <f>IFERROR(INDEX('Cost_Components'!$O$2:$O$27,MATCH(E546,'Cost_Components'!$A$2:$A$27,0)),"")</f>
      </c>
      <c r="AF546" s="85" t="n">
        <v>1028448.14482944</v>
      </c>
      <c r="AG546" s="86" t="n">
        <v>1023604.9725096</v>
      </c>
      <c r="AH546" s="87" t="str">
        <f>IF(H546="shared-count-once",COUNTIFS($A$2:$A$1353,A546,$B$2:$B$1353,B546,$E$2:$E$1353,E546),1)</f>
      </c>
    </row>
    <row r="547">
      <c r="A547" t="s">
        <v>220</v>
      </c>
      <c r="B547" s="59" t="n">
        <v>2050</v>
      </c>
      <c r="C547" t="s">
        <v>220</v>
      </c>
      <c r="D547" t="s">
        <v>176</v>
      </c>
      <c r="E547" s="60" t="s">
        <v>311</v>
      </c>
      <c r="F547" s="61" t="s">
        <v>312</v>
      </c>
      <c r="G547" s="62" t="s">
        <v>221</v>
      </c>
      <c r="H547" s="63" t="s">
        <v>195</v>
      </c>
      <c r="I547" s="64" t="s">
        <v>267</v>
      </c>
      <c r="J547" s="65" t="str">
        <f>IFERROR(INDEX('Cost_Components'!$K$2:$K$27,MATCH(E547,'Cost_Components'!$A$2:$A$27,0)),"")</f>
      </c>
      <c r="K547" s="66" t="str">
        <f>IF(OR(L547="",Z547="",AA547="",AB547=""),"",IF(B547&lt;AA547,L547,IF(B547&gt;AB547,Z547,L547+(Z547-L547)*MIN(MAX((B547-AA547+1)/MAX(AB547-AA547+1,1),0),1))))</f>
      </c>
      <c r="L547" s="67" t="str">
        <f>IFERROR(INDEX('Cost_Components'!$S$2:$S$27,MATCH(E547,'Cost_Components'!$A$2:$A$27,0)),"")</f>
      </c>
      <c r="M547" s="68" t="str">
        <f>IFERROR(INDEX('Cost_Components'!$L$2:$L$27,MATCH(E547,'Cost_Components'!$A$2:$A$27,0)),"")</f>
      </c>
      <c r="N547" s="69" t="str">
        <f>IFERROR(INDEX('Cost_Components'!$P$2:$P$27,MATCH(E547,'Cost_Components'!$A$2:$A$27,0)),"")</f>
      </c>
      <c r="O547" s="70" t="str">
        <f>AF547*J547</f>
      </c>
      <c r="P547" s="71" t="str">
        <f>AG547*J547</f>
      </c>
      <c r="Q547" s="72" t="str">
        <f>P547*L547*M547*N547</f>
      </c>
      <c r="R547" s="73" t="str">
        <f>O547*K547*M547*N547</f>
      </c>
      <c r="S547" s="74" t="str">
        <f>R547-Q547</f>
      </c>
      <c r="T547" s="20" t="str">
        <f>IFERROR(INDEX('Cost_Components'!$R$2:$R$27,MATCH(E547,'Cost_Components'!$A$2:$A$27,0)),"")</f>
      </c>
      <c r="U547" s="75" t="str">
        <f>IFERROR(INDEX('Cost_Components'!$Q$2:$Q$27,MATCH(E547,'Cost_Components'!$A$2:$A$27,0)),"")</f>
      </c>
      <c r="V547" s="76" t="str">
        <f>1/(1+'Calculation_Assumptions'!$B$5)^(B547-'Calculation_Assumptions'!$B$2)</f>
      </c>
      <c r="W547" s="77" t="str">
        <f>Q547*V547</f>
      </c>
      <c r="X547" s="78" t="str">
        <f>R547*V547</f>
      </c>
      <c r="Y547" s="79" t="str">
        <f>S547*V547</f>
      </c>
      <c r="Z547" s="80" t="str">
        <f>IFERROR(INDEX('Cost_Components'!$T$2:$T$27,MATCH(E547,'Cost_Components'!$A$2:$A$27,0)),"")</f>
      </c>
      <c r="AA547" s="81" t="str">
        <f>IFERROR(INDEX('Cost_Components'!$U$2:$U$27,MATCH(E547,'Cost_Components'!$A$2:$A$27,0)),"")</f>
      </c>
      <c r="AB547" s="82" t="str">
        <f>IFERROR(INDEX('Cost_Components'!$V$2:$V$27,MATCH(E547,'Cost_Components'!$A$2:$A$27,0)),"")</f>
      </c>
      <c r="AC547" s="83" t="str">
        <f>IFERROR(INDEX('Cost_Components'!$M$2:$M$27,MATCH(E547,'Cost_Components'!$A$2:$A$27,0)),"")</f>
      </c>
      <c r="AD547" s="84" t="str">
        <f>IFERROR(INDEX('Cost_Components'!$N$2:$N$27,MATCH(E547,'Cost_Components'!$A$2:$A$27,0)),"")</f>
      </c>
      <c r="AE547" s="20" t="str">
        <f>IFERROR(INDEX('Cost_Components'!$O$2:$O$27,MATCH(E547,'Cost_Components'!$A$2:$A$27,0)),"")</f>
      </c>
      <c r="AF547" s="85" t="n">
        <v>1026900.4696667</v>
      </c>
      <c r="AG547" s="86" t="n">
        <v>1021857.00763941</v>
      </c>
      <c r="AH547" s="87" t="str">
        <f>IF(H547="shared-count-once",COUNTIFS($A$2:$A$1353,A547,$B$2:$B$1353,B547,$E$2:$E$1353,E547),1)</f>
      </c>
    </row>
    <row r="548">
      <c r="A548" t="s">
        <v>220</v>
      </c>
      <c r="B548" s="59" t="n">
        <v>2025</v>
      </c>
      <c r="C548" t="s">
        <v>220</v>
      </c>
      <c r="D548" t="s">
        <v>176</v>
      </c>
      <c r="E548" s="60" t="s">
        <v>313</v>
      </c>
      <c r="F548" s="61" t="s">
        <v>314</v>
      </c>
      <c r="G548" s="62" t="s">
        <v>221</v>
      </c>
      <c r="H548" s="63" t="s">
        <v>195</v>
      </c>
      <c r="I548" s="64" t="s">
        <v>267</v>
      </c>
      <c r="J548" s="65" t="str">
        <f>IFERROR(INDEX('Cost_Components'!$K$2:$K$27,MATCH(E548,'Cost_Components'!$A$2:$A$27,0)),"")</f>
      </c>
      <c r="K548" s="66" t="str">
        <f>IF(OR(L548="",Z548="",AA548="",AB548=""),"",IF(B548&lt;AA548,L548,IF(B548&gt;AB548,Z548,L548+(Z548-L548)*MIN(MAX((B548-AA548+1)/MAX(AB548-AA548+1,1),0),1))))</f>
      </c>
      <c r="L548" s="67" t="str">
        <f>IFERROR(INDEX('Cost_Components'!$S$2:$S$27,MATCH(E548,'Cost_Components'!$A$2:$A$27,0)),"")</f>
      </c>
      <c r="M548" s="68" t="str">
        <f>IFERROR(INDEX('Cost_Components'!$L$2:$L$27,MATCH(E548,'Cost_Components'!$A$2:$A$27,0)),"")</f>
      </c>
      <c r="N548" s="69" t="str">
        <f>IFERROR(INDEX('Cost_Components'!$P$2:$P$27,MATCH(E548,'Cost_Components'!$A$2:$A$27,0)),"")</f>
      </c>
      <c r="O548" s="70" t="str">
        <f>AF548*J548</f>
      </c>
      <c r="P548" s="71" t="str">
        <f>AG548*J548</f>
      </c>
      <c r="Q548" s="72" t="str">
        <f>P548*L548*M548*N548</f>
      </c>
      <c r="R548" s="73" t="str">
        <f>O548*K548*M548*N548</f>
      </c>
      <c r="S548" s="74" t="str">
        <f>R548-Q548</f>
      </c>
      <c r="T548" s="20" t="str">
        <f>IFERROR(INDEX('Cost_Components'!$R$2:$R$27,MATCH(E548,'Cost_Components'!$A$2:$A$27,0)),"")</f>
      </c>
      <c r="U548" s="75" t="str">
        <f>IFERROR(INDEX('Cost_Components'!$Q$2:$Q$27,MATCH(E548,'Cost_Components'!$A$2:$A$27,0)),"")</f>
      </c>
      <c r="V548" s="76" t="str">
        <f>1/(1+'Calculation_Assumptions'!$B$5)^(B548-'Calculation_Assumptions'!$B$2)</f>
      </c>
      <c r="W548" s="77" t="str">
        <f>Q548*V548</f>
      </c>
      <c r="X548" s="78" t="str">
        <f>R548*V548</f>
      </c>
      <c r="Y548" s="79" t="str">
        <f>S548*V548</f>
      </c>
      <c r="Z548" s="80" t="str">
        <f>IFERROR(INDEX('Cost_Components'!$T$2:$T$27,MATCH(E548,'Cost_Components'!$A$2:$A$27,0)),"")</f>
      </c>
      <c r="AA548" s="81" t="str">
        <f>IFERROR(INDEX('Cost_Components'!$U$2:$U$27,MATCH(E548,'Cost_Components'!$A$2:$A$27,0)),"")</f>
      </c>
      <c r="AB548" s="82" t="str">
        <f>IFERROR(INDEX('Cost_Components'!$V$2:$V$27,MATCH(E548,'Cost_Components'!$A$2:$A$27,0)),"")</f>
      </c>
      <c r="AC548" s="83" t="str">
        <f>IFERROR(INDEX('Cost_Components'!$M$2:$M$27,MATCH(E548,'Cost_Components'!$A$2:$A$27,0)),"")</f>
      </c>
      <c r="AD548" s="84" t="str">
        <f>IFERROR(INDEX('Cost_Components'!$N$2:$N$27,MATCH(E548,'Cost_Components'!$A$2:$A$27,0)),"")</f>
      </c>
      <c r="AE548" s="20" t="str">
        <f>IFERROR(INDEX('Cost_Components'!$O$2:$O$27,MATCH(E548,'Cost_Components'!$A$2:$A$27,0)),"")</f>
      </c>
      <c r="AF548" s="85" t="n">
        <v>997552.315604754</v>
      </c>
      <c r="AG548" s="86" t="n">
        <v>997482.980607753</v>
      </c>
      <c r="AH548" s="87" t="str">
        <f>IF(H548="shared-count-once",COUNTIFS($A$2:$A$1353,A548,$B$2:$B$1353,B548,$E$2:$E$1353,E548),1)</f>
      </c>
    </row>
    <row r="549">
      <c r="A549" t="s">
        <v>220</v>
      </c>
      <c r="B549" s="59" t="n">
        <v>2026</v>
      </c>
      <c r="C549" t="s">
        <v>220</v>
      </c>
      <c r="D549" t="s">
        <v>176</v>
      </c>
      <c r="E549" s="60" t="s">
        <v>313</v>
      </c>
      <c r="F549" s="61" t="s">
        <v>314</v>
      </c>
      <c r="G549" s="62" t="s">
        <v>221</v>
      </c>
      <c r="H549" s="63" t="s">
        <v>195</v>
      </c>
      <c r="I549" s="64" t="s">
        <v>267</v>
      </c>
      <c r="J549" s="65" t="str">
        <f>IFERROR(INDEX('Cost_Components'!$K$2:$K$27,MATCH(E549,'Cost_Components'!$A$2:$A$27,0)),"")</f>
      </c>
      <c r="K549" s="66" t="str">
        <f>IF(OR(L549="",Z549="",AA549="",AB549=""),"",IF(B549&lt;AA549,L549,IF(B549&gt;AB549,Z549,L549+(Z549-L549)*MIN(MAX((B549-AA549+1)/MAX(AB549-AA549+1,1),0),1))))</f>
      </c>
      <c r="L549" s="67" t="str">
        <f>IFERROR(INDEX('Cost_Components'!$S$2:$S$27,MATCH(E549,'Cost_Components'!$A$2:$A$27,0)),"")</f>
      </c>
      <c r="M549" s="68" t="str">
        <f>IFERROR(INDEX('Cost_Components'!$L$2:$L$27,MATCH(E549,'Cost_Components'!$A$2:$A$27,0)),"")</f>
      </c>
      <c r="N549" s="69" t="str">
        <f>IFERROR(INDEX('Cost_Components'!$P$2:$P$27,MATCH(E549,'Cost_Components'!$A$2:$A$27,0)),"")</f>
      </c>
      <c r="O549" s="70" t="str">
        <f>AF549*J549</f>
      </c>
      <c r="P549" s="71" t="str">
        <f>AG549*J549</f>
      </c>
      <c r="Q549" s="72" t="str">
        <f>P549*L549*M549*N549</f>
      </c>
      <c r="R549" s="73" t="str">
        <f>O549*K549*M549*N549</f>
      </c>
      <c r="S549" s="74" t="str">
        <f>R549-Q549</f>
      </c>
      <c r="T549" s="20" t="str">
        <f>IFERROR(INDEX('Cost_Components'!$R$2:$R$27,MATCH(E549,'Cost_Components'!$A$2:$A$27,0)),"")</f>
      </c>
      <c r="U549" s="75" t="str">
        <f>IFERROR(INDEX('Cost_Components'!$Q$2:$Q$27,MATCH(E549,'Cost_Components'!$A$2:$A$27,0)),"")</f>
      </c>
      <c r="V549" s="76" t="str">
        <f>1/(1+'Calculation_Assumptions'!$B$5)^(B549-'Calculation_Assumptions'!$B$2)</f>
      </c>
      <c r="W549" s="77" t="str">
        <f>Q549*V549</f>
      </c>
      <c r="X549" s="78" t="str">
        <f>R549*V549</f>
      </c>
      <c r="Y549" s="79" t="str">
        <f>S549*V549</f>
      </c>
      <c r="Z549" s="80" t="str">
        <f>IFERROR(INDEX('Cost_Components'!$T$2:$T$27,MATCH(E549,'Cost_Components'!$A$2:$A$27,0)),"")</f>
      </c>
      <c r="AA549" s="81" t="str">
        <f>IFERROR(INDEX('Cost_Components'!$U$2:$U$27,MATCH(E549,'Cost_Components'!$A$2:$A$27,0)),"")</f>
      </c>
      <c r="AB549" s="82" t="str">
        <f>IFERROR(INDEX('Cost_Components'!$V$2:$V$27,MATCH(E549,'Cost_Components'!$A$2:$A$27,0)),"")</f>
      </c>
      <c r="AC549" s="83" t="str">
        <f>IFERROR(INDEX('Cost_Components'!$M$2:$M$27,MATCH(E549,'Cost_Components'!$A$2:$A$27,0)),"")</f>
      </c>
      <c r="AD549" s="84" t="str">
        <f>IFERROR(INDEX('Cost_Components'!$N$2:$N$27,MATCH(E549,'Cost_Components'!$A$2:$A$27,0)),"")</f>
      </c>
      <c r="AE549" s="20" t="str">
        <f>IFERROR(INDEX('Cost_Components'!$O$2:$O$27,MATCH(E549,'Cost_Components'!$A$2:$A$27,0)),"")</f>
      </c>
      <c r="AF549" s="85" t="n">
        <v>1003888.36792878</v>
      </c>
      <c r="AG549" s="86" t="n">
        <v>1003711.27901421</v>
      </c>
      <c r="AH549" s="87" t="str">
        <f>IF(H549="shared-count-once",COUNTIFS($A$2:$A$1353,A549,$B$2:$B$1353,B549,$E$2:$E$1353,E549),1)</f>
      </c>
    </row>
    <row r="550">
      <c r="A550" t="s">
        <v>220</v>
      </c>
      <c r="B550" s="59" t="n">
        <v>2027</v>
      </c>
      <c r="C550" t="s">
        <v>220</v>
      </c>
      <c r="D550" t="s">
        <v>176</v>
      </c>
      <c r="E550" s="60" t="s">
        <v>313</v>
      </c>
      <c r="F550" s="61" t="s">
        <v>314</v>
      </c>
      <c r="G550" s="62" t="s">
        <v>221</v>
      </c>
      <c r="H550" s="63" t="s">
        <v>195</v>
      </c>
      <c r="I550" s="64" t="s">
        <v>267</v>
      </c>
      <c r="J550" s="65" t="str">
        <f>IFERROR(INDEX('Cost_Components'!$K$2:$K$27,MATCH(E550,'Cost_Components'!$A$2:$A$27,0)),"")</f>
      </c>
      <c r="K550" s="66" t="str">
        <f>IF(OR(L550="",Z550="",AA550="",AB550=""),"",IF(B550&lt;AA550,L550,IF(B550&gt;AB550,Z550,L550+(Z550-L550)*MIN(MAX((B550-AA550+1)/MAX(AB550-AA550+1,1),0),1))))</f>
      </c>
      <c r="L550" s="67" t="str">
        <f>IFERROR(INDEX('Cost_Components'!$S$2:$S$27,MATCH(E550,'Cost_Components'!$A$2:$A$27,0)),"")</f>
      </c>
      <c r="M550" s="68" t="str">
        <f>IFERROR(INDEX('Cost_Components'!$L$2:$L$27,MATCH(E550,'Cost_Components'!$A$2:$A$27,0)),"")</f>
      </c>
      <c r="N550" s="69" t="str">
        <f>IFERROR(INDEX('Cost_Components'!$P$2:$P$27,MATCH(E550,'Cost_Components'!$A$2:$A$27,0)),"")</f>
      </c>
      <c r="O550" s="70" t="str">
        <f>AF550*J550</f>
      </c>
      <c r="P550" s="71" t="str">
        <f>AG550*J550</f>
      </c>
      <c r="Q550" s="72" t="str">
        <f>P550*L550*M550*N550</f>
      </c>
      <c r="R550" s="73" t="str">
        <f>O550*K550*M550*N550</f>
      </c>
      <c r="S550" s="74" t="str">
        <f>R550-Q550</f>
      </c>
      <c r="T550" s="20" t="str">
        <f>IFERROR(INDEX('Cost_Components'!$R$2:$R$27,MATCH(E550,'Cost_Components'!$A$2:$A$27,0)),"")</f>
      </c>
      <c r="U550" s="75" t="str">
        <f>IFERROR(INDEX('Cost_Components'!$Q$2:$Q$27,MATCH(E550,'Cost_Components'!$A$2:$A$27,0)),"")</f>
      </c>
      <c r="V550" s="76" t="str">
        <f>1/(1+'Calculation_Assumptions'!$B$5)^(B550-'Calculation_Assumptions'!$B$2)</f>
      </c>
      <c r="W550" s="77" t="str">
        <f>Q550*V550</f>
      </c>
      <c r="X550" s="78" t="str">
        <f>R550*V550</f>
      </c>
      <c r="Y550" s="79" t="str">
        <f>S550*V550</f>
      </c>
      <c r="Z550" s="80" t="str">
        <f>IFERROR(INDEX('Cost_Components'!$T$2:$T$27,MATCH(E550,'Cost_Components'!$A$2:$A$27,0)),"")</f>
      </c>
      <c r="AA550" s="81" t="str">
        <f>IFERROR(INDEX('Cost_Components'!$U$2:$U$27,MATCH(E550,'Cost_Components'!$A$2:$A$27,0)),"")</f>
      </c>
      <c r="AB550" s="82" t="str">
        <f>IFERROR(INDEX('Cost_Components'!$V$2:$V$27,MATCH(E550,'Cost_Components'!$A$2:$A$27,0)),"")</f>
      </c>
      <c r="AC550" s="83" t="str">
        <f>IFERROR(INDEX('Cost_Components'!$M$2:$M$27,MATCH(E550,'Cost_Components'!$A$2:$A$27,0)),"")</f>
      </c>
      <c r="AD550" s="84" t="str">
        <f>IFERROR(INDEX('Cost_Components'!$N$2:$N$27,MATCH(E550,'Cost_Components'!$A$2:$A$27,0)),"")</f>
      </c>
      <c r="AE550" s="20" t="str">
        <f>IFERROR(INDEX('Cost_Components'!$O$2:$O$27,MATCH(E550,'Cost_Components'!$A$2:$A$27,0)),"")</f>
      </c>
      <c r="AF550" s="85" t="n">
        <v>1003941.53154871</v>
      </c>
      <c r="AG550" s="86" t="n">
        <v>1003629.93349739</v>
      </c>
      <c r="AH550" s="87" t="str">
        <f>IF(H550="shared-count-once",COUNTIFS($A$2:$A$1353,A550,$B$2:$B$1353,B550,$E$2:$E$1353,E550),1)</f>
      </c>
    </row>
    <row r="551">
      <c r="A551" t="s">
        <v>220</v>
      </c>
      <c r="B551" s="59" t="n">
        <v>2028</v>
      </c>
      <c r="C551" t="s">
        <v>220</v>
      </c>
      <c r="D551" t="s">
        <v>176</v>
      </c>
      <c r="E551" s="60" t="s">
        <v>313</v>
      </c>
      <c r="F551" s="61" t="s">
        <v>314</v>
      </c>
      <c r="G551" s="62" t="s">
        <v>221</v>
      </c>
      <c r="H551" s="63" t="s">
        <v>195</v>
      </c>
      <c r="I551" s="64" t="s">
        <v>267</v>
      </c>
      <c r="J551" s="65" t="str">
        <f>IFERROR(INDEX('Cost_Components'!$K$2:$K$27,MATCH(E551,'Cost_Components'!$A$2:$A$27,0)),"")</f>
      </c>
      <c r="K551" s="66" t="str">
        <f>IF(OR(L551="",Z551="",AA551="",AB551=""),"",IF(B551&lt;AA551,L551,IF(B551&gt;AB551,Z551,L551+(Z551-L551)*MIN(MAX((B551-AA551+1)/MAX(AB551-AA551+1,1),0),1))))</f>
      </c>
      <c r="L551" s="67" t="str">
        <f>IFERROR(INDEX('Cost_Components'!$S$2:$S$27,MATCH(E551,'Cost_Components'!$A$2:$A$27,0)),"")</f>
      </c>
      <c r="M551" s="68" t="str">
        <f>IFERROR(INDEX('Cost_Components'!$L$2:$L$27,MATCH(E551,'Cost_Components'!$A$2:$A$27,0)),"")</f>
      </c>
      <c r="N551" s="69" t="str">
        <f>IFERROR(INDEX('Cost_Components'!$P$2:$P$27,MATCH(E551,'Cost_Components'!$A$2:$A$27,0)),"")</f>
      </c>
      <c r="O551" s="70" t="str">
        <f>AF551*J551</f>
      </c>
      <c r="P551" s="71" t="str">
        <f>AG551*J551</f>
      </c>
      <c r="Q551" s="72" t="str">
        <f>P551*L551*M551*N551</f>
      </c>
      <c r="R551" s="73" t="str">
        <f>O551*K551*M551*N551</f>
      </c>
      <c r="S551" s="74" t="str">
        <f>R551-Q551</f>
      </c>
      <c r="T551" s="20" t="str">
        <f>IFERROR(INDEX('Cost_Components'!$R$2:$R$27,MATCH(E551,'Cost_Components'!$A$2:$A$27,0)),"")</f>
      </c>
      <c r="U551" s="75" t="str">
        <f>IFERROR(INDEX('Cost_Components'!$Q$2:$Q$27,MATCH(E551,'Cost_Components'!$A$2:$A$27,0)),"")</f>
      </c>
      <c r="V551" s="76" t="str">
        <f>1/(1+'Calculation_Assumptions'!$B$5)^(B551-'Calculation_Assumptions'!$B$2)</f>
      </c>
      <c r="W551" s="77" t="str">
        <f>Q551*V551</f>
      </c>
      <c r="X551" s="78" t="str">
        <f>R551*V551</f>
      </c>
      <c r="Y551" s="79" t="str">
        <f>S551*V551</f>
      </c>
      <c r="Z551" s="80" t="str">
        <f>IFERROR(INDEX('Cost_Components'!$T$2:$T$27,MATCH(E551,'Cost_Components'!$A$2:$A$27,0)),"")</f>
      </c>
      <c r="AA551" s="81" t="str">
        <f>IFERROR(INDEX('Cost_Components'!$U$2:$U$27,MATCH(E551,'Cost_Components'!$A$2:$A$27,0)),"")</f>
      </c>
      <c r="AB551" s="82" t="str">
        <f>IFERROR(INDEX('Cost_Components'!$V$2:$V$27,MATCH(E551,'Cost_Components'!$A$2:$A$27,0)),"")</f>
      </c>
      <c r="AC551" s="83" t="str">
        <f>IFERROR(INDEX('Cost_Components'!$M$2:$M$27,MATCH(E551,'Cost_Components'!$A$2:$A$27,0)),"")</f>
      </c>
      <c r="AD551" s="84" t="str">
        <f>IFERROR(INDEX('Cost_Components'!$N$2:$N$27,MATCH(E551,'Cost_Components'!$A$2:$A$27,0)),"")</f>
      </c>
      <c r="AE551" s="20" t="str">
        <f>IFERROR(INDEX('Cost_Components'!$O$2:$O$27,MATCH(E551,'Cost_Components'!$A$2:$A$27,0)),"")</f>
      </c>
      <c r="AF551" s="85" t="n">
        <v>1006877.16768584</v>
      </c>
      <c r="AG551" s="86" t="n">
        <v>1006412.13604868</v>
      </c>
      <c r="AH551" s="87" t="str">
        <f>IF(H551="shared-count-once",COUNTIFS($A$2:$A$1353,A551,$B$2:$B$1353,B551,$E$2:$E$1353,E551),1)</f>
      </c>
    </row>
    <row r="552">
      <c r="A552" t="s">
        <v>220</v>
      </c>
      <c r="B552" s="59" t="n">
        <v>2029</v>
      </c>
      <c r="C552" t="s">
        <v>220</v>
      </c>
      <c r="D552" t="s">
        <v>176</v>
      </c>
      <c r="E552" s="60" t="s">
        <v>313</v>
      </c>
      <c r="F552" s="61" t="s">
        <v>314</v>
      </c>
      <c r="G552" s="62" t="s">
        <v>221</v>
      </c>
      <c r="H552" s="63" t="s">
        <v>195</v>
      </c>
      <c r="I552" s="64" t="s">
        <v>267</v>
      </c>
      <c r="J552" s="65" t="str">
        <f>IFERROR(INDEX('Cost_Components'!$K$2:$K$27,MATCH(E552,'Cost_Components'!$A$2:$A$27,0)),"")</f>
      </c>
      <c r="K552" s="66" t="str">
        <f>IF(OR(L552="",Z552="",AA552="",AB552=""),"",IF(B552&lt;AA552,L552,IF(B552&gt;AB552,Z552,L552+(Z552-L552)*MIN(MAX((B552-AA552+1)/MAX(AB552-AA552+1,1),0),1))))</f>
      </c>
      <c r="L552" s="67" t="str">
        <f>IFERROR(INDEX('Cost_Components'!$S$2:$S$27,MATCH(E552,'Cost_Components'!$A$2:$A$27,0)),"")</f>
      </c>
      <c r="M552" s="68" t="str">
        <f>IFERROR(INDEX('Cost_Components'!$L$2:$L$27,MATCH(E552,'Cost_Components'!$A$2:$A$27,0)),"")</f>
      </c>
      <c r="N552" s="69" t="str">
        <f>IFERROR(INDEX('Cost_Components'!$P$2:$P$27,MATCH(E552,'Cost_Components'!$A$2:$A$27,0)),"")</f>
      </c>
      <c r="O552" s="70" t="str">
        <f>AF552*J552</f>
      </c>
      <c r="P552" s="71" t="str">
        <f>AG552*J552</f>
      </c>
      <c r="Q552" s="72" t="str">
        <f>P552*L552*M552*N552</f>
      </c>
      <c r="R552" s="73" t="str">
        <f>O552*K552*M552*N552</f>
      </c>
      <c r="S552" s="74" t="str">
        <f>R552-Q552</f>
      </c>
      <c r="T552" s="20" t="str">
        <f>IFERROR(INDEX('Cost_Components'!$R$2:$R$27,MATCH(E552,'Cost_Components'!$A$2:$A$27,0)),"")</f>
      </c>
      <c r="U552" s="75" t="str">
        <f>IFERROR(INDEX('Cost_Components'!$Q$2:$Q$27,MATCH(E552,'Cost_Components'!$A$2:$A$27,0)),"")</f>
      </c>
      <c r="V552" s="76" t="str">
        <f>1/(1+'Calculation_Assumptions'!$B$5)^(B552-'Calculation_Assumptions'!$B$2)</f>
      </c>
      <c r="W552" s="77" t="str">
        <f>Q552*V552</f>
      </c>
      <c r="X552" s="78" t="str">
        <f>R552*V552</f>
      </c>
      <c r="Y552" s="79" t="str">
        <f>S552*V552</f>
      </c>
      <c r="Z552" s="80" t="str">
        <f>IFERROR(INDEX('Cost_Components'!$T$2:$T$27,MATCH(E552,'Cost_Components'!$A$2:$A$27,0)),"")</f>
      </c>
      <c r="AA552" s="81" t="str">
        <f>IFERROR(INDEX('Cost_Components'!$U$2:$U$27,MATCH(E552,'Cost_Components'!$A$2:$A$27,0)),"")</f>
      </c>
      <c r="AB552" s="82" t="str">
        <f>IFERROR(INDEX('Cost_Components'!$V$2:$V$27,MATCH(E552,'Cost_Components'!$A$2:$A$27,0)),"")</f>
      </c>
      <c r="AC552" s="83" t="str">
        <f>IFERROR(INDEX('Cost_Components'!$M$2:$M$27,MATCH(E552,'Cost_Components'!$A$2:$A$27,0)),"")</f>
      </c>
      <c r="AD552" s="84" t="str">
        <f>IFERROR(INDEX('Cost_Components'!$N$2:$N$27,MATCH(E552,'Cost_Components'!$A$2:$A$27,0)),"")</f>
      </c>
      <c r="AE552" s="20" t="str">
        <f>IFERROR(INDEX('Cost_Components'!$O$2:$O$27,MATCH(E552,'Cost_Components'!$A$2:$A$27,0)),"")</f>
      </c>
      <c r="AF552" s="85" t="n">
        <v>1009036.99336254</v>
      </c>
      <c r="AG552" s="86" t="n">
        <v>1008402.80271825</v>
      </c>
      <c r="AH552" s="87" t="str">
        <f>IF(H552="shared-count-once",COUNTIFS($A$2:$A$1353,A552,$B$2:$B$1353,B552,$E$2:$E$1353,E552),1)</f>
      </c>
    </row>
    <row r="553">
      <c r="A553" t="s">
        <v>220</v>
      </c>
      <c r="B553" s="59" t="n">
        <v>2030</v>
      </c>
      <c r="C553" t="s">
        <v>220</v>
      </c>
      <c r="D553" t="s">
        <v>176</v>
      </c>
      <c r="E553" s="60" t="s">
        <v>313</v>
      </c>
      <c r="F553" s="61" t="s">
        <v>314</v>
      </c>
      <c r="G553" s="62" t="s">
        <v>221</v>
      </c>
      <c r="H553" s="63" t="s">
        <v>195</v>
      </c>
      <c r="I553" s="64" t="s">
        <v>267</v>
      </c>
      <c r="J553" s="65" t="str">
        <f>IFERROR(INDEX('Cost_Components'!$K$2:$K$27,MATCH(E553,'Cost_Components'!$A$2:$A$27,0)),"")</f>
      </c>
      <c r="K553" s="66" t="str">
        <f>IF(OR(L553="",Z553="",AA553="",AB553=""),"",IF(B553&lt;AA553,L553,IF(B553&gt;AB553,Z553,L553+(Z553-L553)*MIN(MAX((B553-AA553+1)/MAX(AB553-AA553+1,1),0),1))))</f>
      </c>
      <c r="L553" s="67" t="str">
        <f>IFERROR(INDEX('Cost_Components'!$S$2:$S$27,MATCH(E553,'Cost_Components'!$A$2:$A$27,0)),"")</f>
      </c>
      <c r="M553" s="68" t="str">
        <f>IFERROR(INDEX('Cost_Components'!$L$2:$L$27,MATCH(E553,'Cost_Components'!$A$2:$A$27,0)),"")</f>
      </c>
      <c r="N553" s="69" t="str">
        <f>IFERROR(INDEX('Cost_Components'!$P$2:$P$27,MATCH(E553,'Cost_Components'!$A$2:$A$27,0)),"")</f>
      </c>
      <c r="O553" s="70" t="str">
        <f>AF553*J553</f>
      </c>
      <c r="P553" s="71" t="str">
        <f>AG553*J553</f>
      </c>
      <c r="Q553" s="72" t="str">
        <f>P553*L553*M553*N553</f>
      </c>
      <c r="R553" s="73" t="str">
        <f>O553*K553*M553*N553</f>
      </c>
      <c r="S553" s="74" t="str">
        <f>R553-Q553</f>
      </c>
      <c r="T553" s="20" t="str">
        <f>IFERROR(INDEX('Cost_Components'!$R$2:$R$27,MATCH(E553,'Cost_Components'!$A$2:$A$27,0)),"")</f>
      </c>
      <c r="U553" s="75" t="str">
        <f>IFERROR(INDEX('Cost_Components'!$Q$2:$Q$27,MATCH(E553,'Cost_Components'!$A$2:$A$27,0)),"")</f>
      </c>
      <c r="V553" s="76" t="str">
        <f>1/(1+'Calculation_Assumptions'!$B$5)^(B553-'Calculation_Assumptions'!$B$2)</f>
      </c>
      <c r="W553" s="77" t="str">
        <f>Q553*V553</f>
      </c>
      <c r="X553" s="78" t="str">
        <f>R553*V553</f>
      </c>
      <c r="Y553" s="79" t="str">
        <f>S553*V553</f>
      </c>
      <c r="Z553" s="80" t="str">
        <f>IFERROR(INDEX('Cost_Components'!$T$2:$T$27,MATCH(E553,'Cost_Components'!$A$2:$A$27,0)),"")</f>
      </c>
      <c r="AA553" s="81" t="str">
        <f>IFERROR(INDEX('Cost_Components'!$U$2:$U$27,MATCH(E553,'Cost_Components'!$A$2:$A$27,0)),"")</f>
      </c>
      <c r="AB553" s="82" t="str">
        <f>IFERROR(INDEX('Cost_Components'!$V$2:$V$27,MATCH(E553,'Cost_Components'!$A$2:$A$27,0)),"")</f>
      </c>
      <c r="AC553" s="83" t="str">
        <f>IFERROR(INDEX('Cost_Components'!$M$2:$M$27,MATCH(E553,'Cost_Components'!$A$2:$A$27,0)),"")</f>
      </c>
      <c r="AD553" s="84" t="str">
        <f>IFERROR(INDEX('Cost_Components'!$N$2:$N$27,MATCH(E553,'Cost_Components'!$A$2:$A$27,0)),"")</f>
      </c>
      <c r="AE553" s="20" t="str">
        <f>IFERROR(INDEX('Cost_Components'!$O$2:$O$27,MATCH(E553,'Cost_Components'!$A$2:$A$27,0)),"")</f>
      </c>
      <c r="AF553" s="85" t="n">
        <v>1012031.74212509</v>
      </c>
      <c r="AG553" s="86" t="n">
        <v>1011216.40968066</v>
      </c>
      <c r="AH553" s="87" t="str">
        <f>IF(H553="shared-count-once",COUNTIFS($A$2:$A$1353,A553,$B$2:$B$1353,B553,$E$2:$E$1353,E553),1)</f>
      </c>
    </row>
    <row r="554">
      <c r="A554" t="s">
        <v>220</v>
      </c>
      <c r="B554" s="59" t="n">
        <v>2031</v>
      </c>
      <c r="C554" t="s">
        <v>220</v>
      </c>
      <c r="D554" t="s">
        <v>176</v>
      </c>
      <c r="E554" s="60" t="s">
        <v>313</v>
      </c>
      <c r="F554" s="61" t="s">
        <v>314</v>
      </c>
      <c r="G554" s="62" t="s">
        <v>221</v>
      </c>
      <c r="H554" s="63" t="s">
        <v>195</v>
      </c>
      <c r="I554" s="64" t="s">
        <v>267</v>
      </c>
      <c r="J554" s="65" t="str">
        <f>IFERROR(INDEX('Cost_Components'!$K$2:$K$27,MATCH(E554,'Cost_Components'!$A$2:$A$27,0)),"")</f>
      </c>
      <c r="K554" s="66" t="str">
        <f>IF(OR(L554="",Z554="",AA554="",AB554=""),"",IF(B554&lt;AA554,L554,IF(B554&gt;AB554,Z554,L554+(Z554-L554)*MIN(MAX((B554-AA554+1)/MAX(AB554-AA554+1,1),0),1))))</f>
      </c>
      <c r="L554" s="67" t="str">
        <f>IFERROR(INDEX('Cost_Components'!$S$2:$S$27,MATCH(E554,'Cost_Components'!$A$2:$A$27,0)),"")</f>
      </c>
      <c r="M554" s="68" t="str">
        <f>IFERROR(INDEX('Cost_Components'!$L$2:$L$27,MATCH(E554,'Cost_Components'!$A$2:$A$27,0)),"")</f>
      </c>
      <c r="N554" s="69" t="str">
        <f>IFERROR(INDEX('Cost_Components'!$P$2:$P$27,MATCH(E554,'Cost_Components'!$A$2:$A$27,0)),"")</f>
      </c>
      <c r="O554" s="70" t="str">
        <f>AF554*J554</f>
      </c>
      <c r="P554" s="71" t="str">
        <f>AG554*J554</f>
      </c>
      <c r="Q554" s="72" t="str">
        <f>P554*L554*M554*N554</f>
      </c>
      <c r="R554" s="73" t="str">
        <f>O554*K554*M554*N554</f>
      </c>
      <c r="S554" s="74" t="str">
        <f>R554-Q554</f>
      </c>
      <c r="T554" s="20" t="str">
        <f>IFERROR(INDEX('Cost_Components'!$R$2:$R$27,MATCH(E554,'Cost_Components'!$A$2:$A$27,0)),"")</f>
      </c>
      <c r="U554" s="75" t="str">
        <f>IFERROR(INDEX('Cost_Components'!$Q$2:$Q$27,MATCH(E554,'Cost_Components'!$A$2:$A$27,0)),"")</f>
      </c>
      <c r="V554" s="76" t="str">
        <f>1/(1+'Calculation_Assumptions'!$B$5)^(B554-'Calculation_Assumptions'!$B$2)</f>
      </c>
      <c r="W554" s="77" t="str">
        <f>Q554*V554</f>
      </c>
      <c r="X554" s="78" t="str">
        <f>R554*V554</f>
      </c>
      <c r="Y554" s="79" t="str">
        <f>S554*V554</f>
      </c>
      <c r="Z554" s="80" t="str">
        <f>IFERROR(INDEX('Cost_Components'!$T$2:$T$27,MATCH(E554,'Cost_Components'!$A$2:$A$27,0)),"")</f>
      </c>
      <c r="AA554" s="81" t="str">
        <f>IFERROR(INDEX('Cost_Components'!$U$2:$U$27,MATCH(E554,'Cost_Components'!$A$2:$A$27,0)),"")</f>
      </c>
      <c r="AB554" s="82" t="str">
        <f>IFERROR(INDEX('Cost_Components'!$V$2:$V$27,MATCH(E554,'Cost_Components'!$A$2:$A$27,0)),"")</f>
      </c>
      <c r="AC554" s="83" t="str">
        <f>IFERROR(INDEX('Cost_Components'!$M$2:$M$27,MATCH(E554,'Cost_Components'!$A$2:$A$27,0)),"")</f>
      </c>
      <c r="AD554" s="84" t="str">
        <f>IFERROR(INDEX('Cost_Components'!$N$2:$N$27,MATCH(E554,'Cost_Components'!$A$2:$A$27,0)),"")</f>
      </c>
      <c r="AE554" s="20" t="str">
        <f>IFERROR(INDEX('Cost_Components'!$O$2:$O$27,MATCH(E554,'Cost_Components'!$A$2:$A$27,0)),"")</f>
      </c>
      <c r="AF554" s="85" t="n">
        <v>1013898.99571578</v>
      </c>
      <c r="AG554" s="86" t="n">
        <v>1012892.58717573</v>
      </c>
      <c r="AH554" s="87" t="str">
        <f>IF(H554="shared-count-once",COUNTIFS($A$2:$A$1353,A554,$B$2:$B$1353,B554,$E$2:$E$1353,E554),1)</f>
      </c>
    </row>
    <row r="555">
      <c r="A555" t="s">
        <v>220</v>
      </c>
      <c r="B555" s="59" t="n">
        <v>2032</v>
      </c>
      <c r="C555" t="s">
        <v>220</v>
      </c>
      <c r="D555" t="s">
        <v>176</v>
      </c>
      <c r="E555" s="60" t="s">
        <v>313</v>
      </c>
      <c r="F555" s="61" t="s">
        <v>314</v>
      </c>
      <c r="G555" s="62" t="s">
        <v>221</v>
      </c>
      <c r="H555" s="63" t="s">
        <v>195</v>
      </c>
      <c r="I555" s="64" t="s">
        <v>267</v>
      </c>
      <c r="J555" s="65" t="str">
        <f>IFERROR(INDEX('Cost_Components'!$K$2:$K$27,MATCH(E555,'Cost_Components'!$A$2:$A$27,0)),"")</f>
      </c>
      <c r="K555" s="66" t="str">
        <f>IF(OR(L555="",Z555="",AA555="",AB555=""),"",IF(B555&lt;AA555,L555,IF(B555&gt;AB555,Z555,L555+(Z555-L555)*MIN(MAX((B555-AA555+1)/MAX(AB555-AA555+1,1),0),1))))</f>
      </c>
      <c r="L555" s="67" t="str">
        <f>IFERROR(INDEX('Cost_Components'!$S$2:$S$27,MATCH(E555,'Cost_Components'!$A$2:$A$27,0)),"")</f>
      </c>
      <c r="M555" s="68" t="str">
        <f>IFERROR(INDEX('Cost_Components'!$L$2:$L$27,MATCH(E555,'Cost_Components'!$A$2:$A$27,0)),"")</f>
      </c>
      <c r="N555" s="69" t="str">
        <f>IFERROR(INDEX('Cost_Components'!$P$2:$P$27,MATCH(E555,'Cost_Components'!$A$2:$A$27,0)),"")</f>
      </c>
      <c r="O555" s="70" t="str">
        <f>AF555*J555</f>
      </c>
      <c r="P555" s="71" t="str">
        <f>AG555*J555</f>
      </c>
      <c r="Q555" s="72" t="str">
        <f>P555*L555*M555*N555</f>
      </c>
      <c r="R555" s="73" t="str">
        <f>O555*K555*M555*N555</f>
      </c>
      <c r="S555" s="74" t="str">
        <f>R555-Q555</f>
      </c>
      <c r="T555" s="20" t="str">
        <f>IFERROR(INDEX('Cost_Components'!$R$2:$R$27,MATCH(E555,'Cost_Components'!$A$2:$A$27,0)),"")</f>
      </c>
      <c r="U555" s="75" t="str">
        <f>IFERROR(INDEX('Cost_Components'!$Q$2:$Q$27,MATCH(E555,'Cost_Components'!$A$2:$A$27,0)),"")</f>
      </c>
      <c r="V555" s="76" t="str">
        <f>1/(1+'Calculation_Assumptions'!$B$5)^(B555-'Calculation_Assumptions'!$B$2)</f>
      </c>
      <c r="W555" s="77" t="str">
        <f>Q555*V555</f>
      </c>
      <c r="X555" s="78" t="str">
        <f>R555*V555</f>
      </c>
      <c r="Y555" s="79" t="str">
        <f>S555*V555</f>
      </c>
      <c r="Z555" s="80" t="str">
        <f>IFERROR(INDEX('Cost_Components'!$T$2:$T$27,MATCH(E555,'Cost_Components'!$A$2:$A$27,0)),"")</f>
      </c>
      <c r="AA555" s="81" t="str">
        <f>IFERROR(INDEX('Cost_Components'!$U$2:$U$27,MATCH(E555,'Cost_Components'!$A$2:$A$27,0)),"")</f>
      </c>
      <c r="AB555" s="82" t="str">
        <f>IFERROR(INDEX('Cost_Components'!$V$2:$V$27,MATCH(E555,'Cost_Components'!$A$2:$A$27,0)),"")</f>
      </c>
      <c r="AC555" s="83" t="str">
        <f>IFERROR(INDEX('Cost_Components'!$M$2:$M$27,MATCH(E555,'Cost_Components'!$A$2:$A$27,0)),"")</f>
      </c>
      <c r="AD555" s="84" t="str">
        <f>IFERROR(INDEX('Cost_Components'!$N$2:$N$27,MATCH(E555,'Cost_Components'!$A$2:$A$27,0)),"")</f>
      </c>
      <c r="AE555" s="20" t="str">
        <f>IFERROR(INDEX('Cost_Components'!$O$2:$O$27,MATCH(E555,'Cost_Components'!$A$2:$A$27,0)),"")</f>
      </c>
      <c r="AF555" s="85" t="n">
        <v>1015972.79715012</v>
      </c>
      <c r="AG555" s="86" t="n">
        <v>1014767.35411383</v>
      </c>
      <c r="AH555" s="87" t="str">
        <f>IF(H555="shared-count-once",COUNTIFS($A$2:$A$1353,A555,$B$2:$B$1353,B555,$E$2:$E$1353,E555),1)</f>
      </c>
    </row>
    <row r="556">
      <c r="A556" t="s">
        <v>220</v>
      </c>
      <c r="B556" s="59" t="n">
        <v>2033</v>
      </c>
      <c r="C556" t="s">
        <v>220</v>
      </c>
      <c r="D556" t="s">
        <v>176</v>
      </c>
      <c r="E556" s="60" t="s">
        <v>313</v>
      </c>
      <c r="F556" s="61" t="s">
        <v>314</v>
      </c>
      <c r="G556" s="62" t="s">
        <v>221</v>
      </c>
      <c r="H556" s="63" t="s">
        <v>195</v>
      </c>
      <c r="I556" s="64" t="s">
        <v>267</v>
      </c>
      <c r="J556" s="65" t="str">
        <f>IFERROR(INDEX('Cost_Components'!$K$2:$K$27,MATCH(E556,'Cost_Components'!$A$2:$A$27,0)),"")</f>
      </c>
      <c r="K556" s="66" t="str">
        <f>IF(OR(L556="",Z556="",AA556="",AB556=""),"",IF(B556&lt;AA556,L556,IF(B556&gt;AB556,Z556,L556+(Z556-L556)*MIN(MAX((B556-AA556+1)/MAX(AB556-AA556+1,1),0),1))))</f>
      </c>
      <c r="L556" s="67" t="str">
        <f>IFERROR(INDEX('Cost_Components'!$S$2:$S$27,MATCH(E556,'Cost_Components'!$A$2:$A$27,0)),"")</f>
      </c>
      <c r="M556" s="68" t="str">
        <f>IFERROR(INDEX('Cost_Components'!$L$2:$L$27,MATCH(E556,'Cost_Components'!$A$2:$A$27,0)),"")</f>
      </c>
      <c r="N556" s="69" t="str">
        <f>IFERROR(INDEX('Cost_Components'!$P$2:$P$27,MATCH(E556,'Cost_Components'!$A$2:$A$27,0)),"")</f>
      </c>
      <c r="O556" s="70" t="str">
        <f>AF556*J556</f>
      </c>
      <c r="P556" s="71" t="str">
        <f>AG556*J556</f>
      </c>
      <c r="Q556" s="72" t="str">
        <f>P556*L556*M556*N556</f>
      </c>
      <c r="R556" s="73" t="str">
        <f>O556*K556*M556*N556</f>
      </c>
      <c r="S556" s="74" t="str">
        <f>R556-Q556</f>
      </c>
      <c r="T556" s="20" t="str">
        <f>IFERROR(INDEX('Cost_Components'!$R$2:$R$27,MATCH(E556,'Cost_Components'!$A$2:$A$27,0)),"")</f>
      </c>
      <c r="U556" s="75" t="str">
        <f>IFERROR(INDEX('Cost_Components'!$Q$2:$Q$27,MATCH(E556,'Cost_Components'!$A$2:$A$27,0)),"")</f>
      </c>
      <c r="V556" s="76" t="str">
        <f>1/(1+'Calculation_Assumptions'!$B$5)^(B556-'Calculation_Assumptions'!$B$2)</f>
      </c>
      <c r="W556" s="77" t="str">
        <f>Q556*V556</f>
      </c>
      <c r="X556" s="78" t="str">
        <f>R556*V556</f>
      </c>
      <c r="Y556" s="79" t="str">
        <f>S556*V556</f>
      </c>
      <c r="Z556" s="80" t="str">
        <f>IFERROR(INDEX('Cost_Components'!$T$2:$T$27,MATCH(E556,'Cost_Components'!$A$2:$A$27,0)),"")</f>
      </c>
      <c r="AA556" s="81" t="str">
        <f>IFERROR(INDEX('Cost_Components'!$U$2:$U$27,MATCH(E556,'Cost_Components'!$A$2:$A$27,0)),"")</f>
      </c>
      <c r="AB556" s="82" t="str">
        <f>IFERROR(INDEX('Cost_Components'!$V$2:$V$27,MATCH(E556,'Cost_Components'!$A$2:$A$27,0)),"")</f>
      </c>
      <c r="AC556" s="83" t="str">
        <f>IFERROR(INDEX('Cost_Components'!$M$2:$M$27,MATCH(E556,'Cost_Components'!$A$2:$A$27,0)),"")</f>
      </c>
      <c r="AD556" s="84" t="str">
        <f>IFERROR(INDEX('Cost_Components'!$N$2:$N$27,MATCH(E556,'Cost_Components'!$A$2:$A$27,0)),"")</f>
      </c>
      <c r="AE556" s="20" t="str">
        <f>IFERROR(INDEX('Cost_Components'!$O$2:$O$27,MATCH(E556,'Cost_Components'!$A$2:$A$27,0)),"")</f>
      </c>
      <c r="AF556" s="85" t="n">
        <v>1017335.68376874</v>
      </c>
      <c r="AG556" s="86" t="n">
        <v>1015925.24384601</v>
      </c>
      <c r="AH556" s="87" t="str">
        <f>IF(H556="shared-count-once",COUNTIFS($A$2:$A$1353,A556,$B$2:$B$1353,B556,$E$2:$E$1353,E556),1)</f>
      </c>
    </row>
    <row r="557">
      <c r="A557" t="s">
        <v>220</v>
      </c>
      <c r="B557" s="59" t="n">
        <v>2034</v>
      </c>
      <c r="C557" t="s">
        <v>220</v>
      </c>
      <c r="D557" t="s">
        <v>176</v>
      </c>
      <c r="E557" s="60" t="s">
        <v>313</v>
      </c>
      <c r="F557" s="61" t="s">
        <v>314</v>
      </c>
      <c r="G557" s="62" t="s">
        <v>221</v>
      </c>
      <c r="H557" s="63" t="s">
        <v>195</v>
      </c>
      <c r="I557" s="64" t="s">
        <v>267</v>
      </c>
      <c r="J557" s="65" t="str">
        <f>IFERROR(INDEX('Cost_Components'!$K$2:$K$27,MATCH(E557,'Cost_Components'!$A$2:$A$27,0)),"")</f>
      </c>
      <c r="K557" s="66" t="str">
        <f>IF(OR(L557="",Z557="",AA557="",AB557=""),"",IF(B557&lt;AA557,L557,IF(B557&gt;AB557,Z557,L557+(Z557-L557)*MIN(MAX((B557-AA557+1)/MAX(AB557-AA557+1,1),0),1))))</f>
      </c>
      <c r="L557" s="67" t="str">
        <f>IFERROR(INDEX('Cost_Components'!$S$2:$S$27,MATCH(E557,'Cost_Components'!$A$2:$A$27,0)),"")</f>
      </c>
      <c r="M557" s="68" t="str">
        <f>IFERROR(INDEX('Cost_Components'!$L$2:$L$27,MATCH(E557,'Cost_Components'!$A$2:$A$27,0)),"")</f>
      </c>
      <c r="N557" s="69" t="str">
        <f>IFERROR(INDEX('Cost_Components'!$P$2:$P$27,MATCH(E557,'Cost_Components'!$A$2:$A$27,0)),"")</f>
      </c>
      <c r="O557" s="70" t="str">
        <f>AF557*J557</f>
      </c>
      <c r="P557" s="71" t="str">
        <f>AG557*J557</f>
      </c>
      <c r="Q557" s="72" t="str">
        <f>P557*L557*M557*N557</f>
      </c>
      <c r="R557" s="73" t="str">
        <f>O557*K557*M557*N557</f>
      </c>
      <c r="S557" s="74" t="str">
        <f>R557-Q557</f>
      </c>
      <c r="T557" s="20" t="str">
        <f>IFERROR(INDEX('Cost_Components'!$R$2:$R$27,MATCH(E557,'Cost_Components'!$A$2:$A$27,0)),"")</f>
      </c>
      <c r="U557" s="75" t="str">
        <f>IFERROR(INDEX('Cost_Components'!$Q$2:$Q$27,MATCH(E557,'Cost_Components'!$A$2:$A$27,0)),"")</f>
      </c>
      <c r="V557" s="76" t="str">
        <f>1/(1+'Calculation_Assumptions'!$B$5)^(B557-'Calculation_Assumptions'!$B$2)</f>
      </c>
      <c r="W557" s="77" t="str">
        <f>Q557*V557</f>
      </c>
      <c r="X557" s="78" t="str">
        <f>R557*V557</f>
      </c>
      <c r="Y557" s="79" t="str">
        <f>S557*V557</f>
      </c>
      <c r="Z557" s="80" t="str">
        <f>IFERROR(INDEX('Cost_Components'!$T$2:$T$27,MATCH(E557,'Cost_Components'!$A$2:$A$27,0)),"")</f>
      </c>
      <c r="AA557" s="81" t="str">
        <f>IFERROR(INDEX('Cost_Components'!$U$2:$U$27,MATCH(E557,'Cost_Components'!$A$2:$A$27,0)),"")</f>
      </c>
      <c r="AB557" s="82" t="str">
        <f>IFERROR(INDEX('Cost_Components'!$V$2:$V$27,MATCH(E557,'Cost_Components'!$A$2:$A$27,0)),"")</f>
      </c>
      <c r="AC557" s="83" t="str">
        <f>IFERROR(INDEX('Cost_Components'!$M$2:$M$27,MATCH(E557,'Cost_Components'!$A$2:$A$27,0)),"")</f>
      </c>
      <c r="AD557" s="84" t="str">
        <f>IFERROR(INDEX('Cost_Components'!$N$2:$N$27,MATCH(E557,'Cost_Components'!$A$2:$A$27,0)),"")</f>
      </c>
      <c r="AE557" s="20" t="str">
        <f>IFERROR(INDEX('Cost_Components'!$O$2:$O$27,MATCH(E557,'Cost_Components'!$A$2:$A$27,0)),"")</f>
      </c>
      <c r="AF557" s="85" t="n">
        <v>1019906.9791973</v>
      </c>
      <c r="AG557" s="86" t="n">
        <v>1018286.34699662</v>
      </c>
      <c r="AH557" s="87" t="str">
        <f>IF(H557="shared-count-once",COUNTIFS($A$2:$A$1353,A557,$B$2:$B$1353,B557,$E$2:$E$1353,E557),1)</f>
      </c>
    </row>
    <row r="558">
      <c r="A558" t="s">
        <v>220</v>
      </c>
      <c r="B558" s="59" t="n">
        <v>2035</v>
      </c>
      <c r="C558" t="s">
        <v>220</v>
      </c>
      <c r="D558" t="s">
        <v>176</v>
      </c>
      <c r="E558" s="60" t="s">
        <v>313</v>
      </c>
      <c r="F558" s="61" t="s">
        <v>314</v>
      </c>
      <c r="G558" s="62" t="s">
        <v>221</v>
      </c>
      <c r="H558" s="63" t="s">
        <v>195</v>
      </c>
      <c r="I558" s="64" t="s">
        <v>267</v>
      </c>
      <c r="J558" s="65" t="str">
        <f>IFERROR(INDEX('Cost_Components'!$K$2:$K$27,MATCH(E558,'Cost_Components'!$A$2:$A$27,0)),"")</f>
      </c>
      <c r="K558" s="66" t="str">
        <f>IF(OR(L558="",Z558="",AA558="",AB558=""),"",IF(B558&lt;AA558,L558,IF(B558&gt;AB558,Z558,L558+(Z558-L558)*MIN(MAX((B558-AA558+1)/MAX(AB558-AA558+1,1),0),1))))</f>
      </c>
      <c r="L558" s="67" t="str">
        <f>IFERROR(INDEX('Cost_Components'!$S$2:$S$27,MATCH(E558,'Cost_Components'!$A$2:$A$27,0)),"")</f>
      </c>
      <c r="M558" s="68" t="str">
        <f>IFERROR(INDEX('Cost_Components'!$L$2:$L$27,MATCH(E558,'Cost_Components'!$A$2:$A$27,0)),"")</f>
      </c>
      <c r="N558" s="69" t="str">
        <f>IFERROR(INDEX('Cost_Components'!$P$2:$P$27,MATCH(E558,'Cost_Components'!$A$2:$A$27,0)),"")</f>
      </c>
      <c r="O558" s="70" t="str">
        <f>AF558*J558</f>
      </c>
      <c r="P558" s="71" t="str">
        <f>AG558*J558</f>
      </c>
      <c r="Q558" s="72" t="str">
        <f>P558*L558*M558*N558</f>
      </c>
      <c r="R558" s="73" t="str">
        <f>O558*K558*M558*N558</f>
      </c>
      <c r="S558" s="74" t="str">
        <f>R558-Q558</f>
      </c>
      <c r="T558" s="20" t="str">
        <f>IFERROR(INDEX('Cost_Components'!$R$2:$R$27,MATCH(E558,'Cost_Components'!$A$2:$A$27,0)),"")</f>
      </c>
      <c r="U558" s="75" t="str">
        <f>IFERROR(INDEX('Cost_Components'!$Q$2:$Q$27,MATCH(E558,'Cost_Components'!$A$2:$A$27,0)),"")</f>
      </c>
      <c r="V558" s="76" t="str">
        <f>1/(1+'Calculation_Assumptions'!$B$5)^(B558-'Calculation_Assumptions'!$B$2)</f>
      </c>
      <c r="W558" s="77" t="str">
        <f>Q558*V558</f>
      </c>
      <c r="X558" s="78" t="str">
        <f>R558*V558</f>
      </c>
      <c r="Y558" s="79" t="str">
        <f>S558*V558</f>
      </c>
      <c r="Z558" s="80" t="str">
        <f>IFERROR(INDEX('Cost_Components'!$T$2:$T$27,MATCH(E558,'Cost_Components'!$A$2:$A$27,0)),"")</f>
      </c>
      <c r="AA558" s="81" t="str">
        <f>IFERROR(INDEX('Cost_Components'!$U$2:$U$27,MATCH(E558,'Cost_Components'!$A$2:$A$27,0)),"")</f>
      </c>
      <c r="AB558" s="82" t="str">
        <f>IFERROR(INDEX('Cost_Components'!$V$2:$V$27,MATCH(E558,'Cost_Components'!$A$2:$A$27,0)),"")</f>
      </c>
      <c r="AC558" s="83" t="str">
        <f>IFERROR(INDEX('Cost_Components'!$M$2:$M$27,MATCH(E558,'Cost_Components'!$A$2:$A$27,0)),"")</f>
      </c>
      <c r="AD558" s="84" t="str">
        <f>IFERROR(INDEX('Cost_Components'!$N$2:$N$27,MATCH(E558,'Cost_Components'!$A$2:$A$27,0)),"")</f>
      </c>
      <c r="AE558" s="20" t="str">
        <f>IFERROR(INDEX('Cost_Components'!$O$2:$O$27,MATCH(E558,'Cost_Components'!$A$2:$A$27,0)),"")</f>
      </c>
      <c r="AF558" s="85" t="n">
        <v>1022052.51205366</v>
      </c>
      <c r="AG558" s="86" t="n">
        <v>1020217.86496251</v>
      </c>
      <c r="AH558" s="87" t="str">
        <f>IF(H558="shared-count-once",COUNTIFS($A$2:$A$1353,A558,$B$2:$B$1353,B558,$E$2:$E$1353,E558),1)</f>
      </c>
    </row>
    <row r="559">
      <c r="A559" t="s">
        <v>220</v>
      </c>
      <c r="B559" s="59" t="n">
        <v>2036</v>
      </c>
      <c r="C559" t="s">
        <v>220</v>
      </c>
      <c r="D559" t="s">
        <v>176</v>
      </c>
      <c r="E559" s="60" t="s">
        <v>313</v>
      </c>
      <c r="F559" s="61" t="s">
        <v>314</v>
      </c>
      <c r="G559" s="62" t="s">
        <v>221</v>
      </c>
      <c r="H559" s="63" t="s">
        <v>195</v>
      </c>
      <c r="I559" s="64" t="s">
        <v>267</v>
      </c>
      <c r="J559" s="65" t="str">
        <f>IFERROR(INDEX('Cost_Components'!$K$2:$K$27,MATCH(E559,'Cost_Components'!$A$2:$A$27,0)),"")</f>
      </c>
      <c r="K559" s="66" t="str">
        <f>IF(OR(L559="",Z559="",AA559="",AB559=""),"",IF(B559&lt;AA559,L559,IF(B559&gt;AB559,Z559,L559+(Z559-L559)*MIN(MAX((B559-AA559+1)/MAX(AB559-AA559+1,1),0),1))))</f>
      </c>
      <c r="L559" s="67" t="str">
        <f>IFERROR(INDEX('Cost_Components'!$S$2:$S$27,MATCH(E559,'Cost_Components'!$A$2:$A$27,0)),"")</f>
      </c>
      <c r="M559" s="68" t="str">
        <f>IFERROR(INDEX('Cost_Components'!$L$2:$L$27,MATCH(E559,'Cost_Components'!$A$2:$A$27,0)),"")</f>
      </c>
      <c r="N559" s="69" t="str">
        <f>IFERROR(INDEX('Cost_Components'!$P$2:$P$27,MATCH(E559,'Cost_Components'!$A$2:$A$27,0)),"")</f>
      </c>
      <c r="O559" s="70" t="str">
        <f>AF559*J559</f>
      </c>
      <c r="P559" s="71" t="str">
        <f>AG559*J559</f>
      </c>
      <c r="Q559" s="72" t="str">
        <f>P559*L559*M559*N559</f>
      </c>
      <c r="R559" s="73" t="str">
        <f>O559*K559*M559*N559</f>
      </c>
      <c r="S559" s="74" t="str">
        <f>R559-Q559</f>
      </c>
      <c r="T559" s="20" t="str">
        <f>IFERROR(INDEX('Cost_Components'!$R$2:$R$27,MATCH(E559,'Cost_Components'!$A$2:$A$27,0)),"")</f>
      </c>
      <c r="U559" s="75" t="str">
        <f>IFERROR(INDEX('Cost_Components'!$Q$2:$Q$27,MATCH(E559,'Cost_Components'!$A$2:$A$27,0)),"")</f>
      </c>
      <c r="V559" s="76" t="str">
        <f>1/(1+'Calculation_Assumptions'!$B$5)^(B559-'Calculation_Assumptions'!$B$2)</f>
      </c>
      <c r="W559" s="77" t="str">
        <f>Q559*V559</f>
      </c>
      <c r="X559" s="78" t="str">
        <f>R559*V559</f>
      </c>
      <c r="Y559" s="79" t="str">
        <f>S559*V559</f>
      </c>
      <c r="Z559" s="80" t="str">
        <f>IFERROR(INDEX('Cost_Components'!$T$2:$T$27,MATCH(E559,'Cost_Components'!$A$2:$A$27,0)),"")</f>
      </c>
      <c r="AA559" s="81" t="str">
        <f>IFERROR(INDEX('Cost_Components'!$U$2:$U$27,MATCH(E559,'Cost_Components'!$A$2:$A$27,0)),"")</f>
      </c>
      <c r="AB559" s="82" t="str">
        <f>IFERROR(INDEX('Cost_Components'!$V$2:$V$27,MATCH(E559,'Cost_Components'!$A$2:$A$27,0)),"")</f>
      </c>
      <c r="AC559" s="83" t="str">
        <f>IFERROR(INDEX('Cost_Components'!$M$2:$M$27,MATCH(E559,'Cost_Components'!$A$2:$A$27,0)),"")</f>
      </c>
      <c r="AD559" s="84" t="str">
        <f>IFERROR(INDEX('Cost_Components'!$N$2:$N$27,MATCH(E559,'Cost_Components'!$A$2:$A$27,0)),"")</f>
      </c>
      <c r="AE559" s="20" t="str">
        <f>IFERROR(INDEX('Cost_Components'!$O$2:$O$27,MATCH(E559,'Cost_Components'!$A$2:$A$27,0)),"")</f>
      </c>
      <c r="AF559" s="85" t="n">
        <v>1023958.22089674</v>
      </c>
      <c r="AG559" s="86" t="n">
        <v>1021906.42671514</v>
      </c>
      <c r="AH559" s="87" t="str">
        <f>IF(H559="shared-count-once",COUNTIFS($A$2:$A$1353,A559,$B$2:$B$1353,B559,$E$2:$E$1353,E559),1)</f>
      </c>
    </row>
    <row r="560">
      <c r="A560" t="s">
        <v>220</v>
      </c>
      <c r="B560" s="59" t="n">
        <v>2037</v>
      </c>
      <c r="C560" t="s">
        <v>220</v>
      </c>
      <c r="D560" t="s">
        <v>176</v>
      </c>
      <c r="E560" s="60" t="s">
        <v>313</v>
      </c>
      <c r="F560" s="61" t="s">
        <v>314</v>
      </c>
      <c r="G560" s="62" t="s">
        <v>221</v>
      </c>
      <c r="H560" s="63" t="s">
        <v>195</v>
      </c>
      <c r="I560" s="64" t="s">
        <v>267</v>
      </c>
      <c r="J560" s="65" t="str">
        <f>IFERROR(INDEX('Cost_Components'!$K$2:$K$27,MATCH(E560,'Cost_Components'!$A$2:$A$27,0)),"")</f>
      </c>
      <c r="K560" s="66" t="str">
        <f>IF(OR(L560="",Z560="",AA560="",AB560=""),"",IF(B560&lt;AA560,L560,IF(B560&gt;AB560,Z560,L560+(Z560-L560)*MIN(MAX((B560-AA560+1)/MAX(AB560-AA560+1,1),0),1))))</f>
      </c>
      <c r="L560" s="67" t="str">
        <f>IFERROR(INDEX('Cost_Components'!$S$2:$S$27,MATCH(E560,'Cost_Components'!$A$2:$A$27,0)),"")</f>
      </c>
      <c r="M560" s="68" t="str">
        <f>IFERROR(INDEX('Cost_Components'!$L$2:$L$27,MATCH(E560,'Cost_Components'!$A$2:$A$27,0)),"")</f>
      </c>
      <c r="N560" s="69" t="str">
        <f>IFERROR(INDEX('Cost_Components'!$P$2:$P$27,MATCH(E560,'Cost_Components'!$A$2:$A$27,0)),"")</f>
      </c>
      <c r="O560" s="70" t="str">
        <f>AF560*J560</f>
      </c>
      <c r="P560" s="71" t="str">
        <f>AG560*J560</f>
      </c>
      <c r="Q560" s="72" t="str">
        <f>P560*L560*M560*N560</f>
      </c>
      <c r="R560" s="73" t="str">
        <f>O560*K560*M560*N560</f>
      </c>
      <c r="S560" s="74" t="str">
        <f>R560-Q560</f>
      </c>
      <c r="T560" s="20" t="str">
        <f>IFERROR(INDEX('Cost_Components'!$R$2:$R$27,MATCH(E560,'Cost_Components'!$A$2:$A$27,0)),"")</f>
      </c>
      <c r="U560" s="75" t="str">
        <f>IFERROR(INDEX('Cost_Components'!$Q$2:$Q$27,MATCH(E560,'Cost_Components'!$A$2:$A$27,0)),"")</f>
      </c>
      <c r="V560" s="76" t="str">
        <f>1/(1+'Calculation_Assumptions'!$B$5)^(B560-'Calculation_Assumptions'!$B$2)</f>
      </c>
      <c r="W560" s="77" t="str">
        <f>Q560*V560</f>
      </c>
      <c r="X560" s="78" t="str">
        <f>R560*V560</f>
      </c>
      <c r="Y560" s="79" t="str">
        <f>S560*V560</f>
      </c>
      <c r="Z560" s="80" t="str">
        <f>IFERROR(INDEX('Cost_Components'!$T$2:$T$27,MATCH(E560,'Cost_Components'!$A$2:$A$27,0)),"")</f>
      </c>
      <c r="AA560" s="81" t="str">
        <f>IFERROR(INDEX('Cost_Components'!$U$2:$U$27,MATCH(E560,'Cost_Components'!$A$2:$A$27,0)),"")</f>
      </c>
      <c r="AB560" s="82" t="str">
        <f>IFERROR(INDEX('Cost_Components'!$V$2:$V$27,MATCH(E560,'Cost_Components'!$A$2:$A$27,0)),"")</f>
      </c>
      <c r="AC560" s="83" t="str">
        <f>IFERROR(INDEX('Cost_Components'!$M$2:$M$27,MATCH(E560,'Cost_Components'!$A$2:$A$27,0)),"")</f>
      </c>
      <c r="AD560" s="84" t="str">
        <f>IFERROR(INDEX('Cost_Components'!$N$2:$N$27,MATCH(E560,'Cost_Components'!$A$2:$A$27,0)),"")</f>
      </c>
      <c r="AE560" s="20" t="str">
        <f>IFERROR(INDEX('Cost_Components'!$O$2:$O$27,MATCH(E560,'Cost_Components'!$A$2:$A$27,0)),"")</f>
      </c>
      <c r="AF560" s="85" t="n">
        <v>1025553.29462385</v>
      </c>
      <c r="AG560" s="86" t="n">
        <v>1023282.54137849</v>
      </c>
      <c r="AH560" s="87" t="str">
        <f>IF(H560="shared-count-once",COUNTIFS($A$2:$A$1353,A560,$B$2:$B$1353,B560,$E$2:$E$1353,E560),1)</f>
      </c>
    </row>
    <row r="561">
      <c r="A561" t="s">
        <v>220</v>
      </c>
      <c r="B561" s="59" t="n">
        <v>2038</v>
      </c>
      <c r="C561" t="s">
        <v>220</v>
      </c>
      <c r="D561" t="s">
        <v>176</v>
      </c>
      <c r="E561" s="60" t="s">
        <v>313</v>
      </c>
      <c r="F561" s="61" t="s">
        <v>314</v>
      </c>
      <c r="G561" s="62" t="s">
        <v>221</v>
      </c>
      <c r="H561" s="63" t="s">
        <v>195</v>
      </c>
      <c r="I561" s="64" t="s">
        <v>267</v>
      </c>
      <c r="J561" s="65" t="str">
        <f>IFERROR(INDEX('Cost_Components'!$K$2:$K$27,MATCH(E561,'Cost_Components'!$A$2:$A$27,0)),"")</f>
      </c>
      <c r="K561" s="66" t="str">
        <f>IF(OR(L561="",Z561="",AA561="",AB561=""),"",IF(B561&lt;AA561,L561,IF(B561&gt;AB561,Z561,L561+(Z561-L561)*MIN(MAX((B561-AA561+1)/MAX(AB561-AA561+1,1),0),1))))</f>
      </c>
      <c r="L561" s="67" t="str">
        <f>IFERROR(INDEX('Cost_Components'!$S$2:$S$27,MATCH(E561,'Cost_Components'!$A$2:$A$27,0)),"")</f>
      </c>
      <c r="M561" s="68" t="str">
        <f>IFERROR(INDEX('Cost_Components'!$L$2:$L$27,MATCH(E561,'Cost_Components'!$A$2:$A$27,0)),"")</f>
      </c>
      <c r="N561" s="69" t="str">
        <f>IFERROR(INDEX('Cost_Components'!$P$2:$P$27,MATCH(E561,'Cost_Components'!$A$2:$A$27,0)),"")</f>
      </c>
      <c r="O561" s="70" t="str">
        <f>AF561*J561</f>
      </c>
      <c r="P561" s="71" t="str">
        <f>AG561*J561</f>
      </c>
      <c r="Q561" s="72" t="str">
        <f>P561*L561*M561*N561</f>
      </c>
      <c r="R561" s="73" t="str">
        <f>O561*K561*M561*N561</f>
      </c>
      <c r="S561" s="74" t="str">
        <f>R561-Q561</f>
      </c>
      <c r="T561" s="20" t="str">
        <f>IFERROR(INDEX('Cost_Components'!$R$2:$R$27,MATCH(E561,'Cost_Components'!$A$2:$A$27,0)),"")</f>
      </c>
      <c r="U561" s="75" t="str">
        <f>IFERROR(INDEX('Cost_Components'!$Q$2:$Q$27,MATCH(E561,'Cost_Components'!$A$2:$A$27,0)),"")</f>
      </c>
      <c r="V561" s="76" t="str">
        <f>1/(1+'Calculation_Assumptions'!$B$5)^(B561-'Calculation_Assumptions'!$B$2)</f>
      </c>
      <c r="W561" s="77" t="str">
        <f>Q561*V561</f>
      </c>
      <c r="X561" s="78" t="str">
        <f>R561*V561</f>
      </c>
      <c r="Y561" s="79" t="str">
        <f>S561*V561</f>
      </c>
      <c r="Z561" s="80" t="str">
        <f>IFERROR(INDEX('Cost_Components'!$T$2:$T$27,MATCH(E561,'Cost_Components'!$A$2:$A$27,0)),"")</f>
      </c>
      <c r="AA561" s="81" t="str">
        <f>IFERROR(INDEX('Cost_Components'!$U$2:$U$27,MATCH(E561,'Cost_Components'!$A$2:$A$27,0)),"")</f>
      </c>
      <c r="AB561" s="82" t="str">
        <f>IFERROR(INDEX('Cost_Components'!$V$2:$V$27,MATCH(E561,'Cost_Components'!$A$2:$A$27,0)),"")</f>
      </c>
      <c r="AC561" s="83" t="str">
        <f>IFERROR(INDEX('Cost_Components'!$M$2:$M$27,MATCH(E561,'Cost_Components'!$A$2:$A$27,0)),"")</f>
      </c>
      <c r="AD561" s="84" t="str">
        <f>IFERROR(INDEX('Cost_Components'!$N$2:$N$27,MATCH(E561,'Cost_Components'!$A$2:$A$27,0)),"")</f>
      </c>
      <c r="AE561" s="20" t="str">
        <f>IFERROR(INDEX('Cost_Components'!$O$2:$O$27,MATCH(E561,'Cost_Components'!$A$2:$A$27,0)),"")</f>
      </c>
      <c r="AF561" s="85" t="n">
        <v>1026679.50096017</v>
      </c>
      <c r="AG561" s="86" t="n">
        <v>1024188.81016216</v>
      </c>
      <c r="AH561" s="87" t="str">
        <f>IF(H561="shared-count-once",COUNTIFS($A$2:$A$1353,A561,$B$2:$B$1353,B561,$E$2:$E$1353,E561),1)</f>
      </c>
    </row>
    <row r="562">
      <c r="A562" t="s">
        <v>220</v>
      </c>
      <c r="B562" s="59" t="n">
        <v>2039</v>
      </c>
      <c r="C562" t="s">
        <v>220</v>
      </c>
      <c r="D562" t="s">
        <v>176</v>
      </c>
      <c r="E562" s="60" t="s">
        <v>313</v>
      </c>
      <c r="F562" s="61" t="s">
        <v>314</v>
      </c>
      <c r="G562" s="62" t="s">
        <v>221</v>
      </c>
      <c r="H562" s="63" t="s">
        <v>195</v>
      </c>
      <c r="I562" s="64" t="s">
        <v>267</v>
      </c>
      <c r="J562" s="65" t="str">
        <f>IFERROR(INDEX('Cost_Components'!$K$2:$K$27,MATCH(E562,'Cost_Components'!$A$2:$A$27,0)),"")</f>
      </c>
      <c r="K562" s="66" t="str">
        <f>IF(OR(L562="",Z562="",AA562="",AB562=""),"",IF(B562&lt;AA562,L562,IF(B562&gt;AB562,Z562,L562+(Z562-L562)*MIN(MAX((B562-AA562+1)/MAX(AB562-AA562+1,1),0),1))))</f>
      </c>
      <c r="L562" s="67" t="str">
        <f>IFERROR(INDEX('Cost_Components'!$S$2:$S$27,MATCH(E562,'Cost_Components'!$A$2:$A$27,0)),"")</f>
      </c>
      <c r="M562" s="68" t="str">
        <f>IFERROR(INDEX('Cost_Components'!$L$2:$L$27,MATCH(E562,'Cost_Components'!$A$2:$A$27,0)),"")</f>
      </c>
      <c r="N562" s="69" t="str">
        <f>IFERROR(INDEX('Cost_Components'!$P$2:$P$27,MATCH(E562,'Cost_Components'!$A$2:$A$27,0)),"")</f>
      </c>
      <c r="O562" s="70" t="str">
        <f>AF562*J562</f>
      </c>
      <c r="P562" s="71" t="str">
        <f>AG562*J562</f>
      </c>
      <c r="Q562" s="72" t="str">
        <f>P562*L562*M562*N562</f>
      </c>
      <c r="R562" s="73" t="str">
        <f>O562*K562*M562*N562</f>
      </c>
      <c r="S562" s="74" t="str">
        <f>R562-Q562</f>
      </c>
      <c r="T562" s="20" t="str">
        <f>IFERROR(INDEX('Cost_Components'!$R$2:$R$27,MATCH(E562,'Cost_Components'!$A$2:$A$27,0)),"")</f>
      </c>
      <c r="U562" s="75" t="str">
        <f>IFERROR(INDEX('Cost_Components'!$Q$2:$Q$27,MATCH(E562,'Cost_Components'!$A$2:$A$27,0)),"")</f>
      </c>
      <c r="V562" s="76" t="str">
        <f>1/(1+'Calculation_Assumptions'!$B$5)^(B562-'Calculation_Assumptions'!$B$2)</f>
      </c>
      <c r="W562" s="77" t="str">
        <f>Q562*V562</f>
      </c>
      <c r="X562" s="78" t="str">
        <f>R562*V562</f>
      </c>
      <c r="Y562" s="79" t="str">
        <f>S562*V562</f>
      </c>
      <c r="Z562" s="80" t="str">
        <f>IFERROR(INDEX('Cost_Components'!$T$2:$T$27,MATCH(E562,'Cost_Components'!$A$2:$A$27,0)),"")</f>
      </c>
      <c r="AA562" s="81" t="str">
        <f>IFERROR(INDEX('Cost_Components'!$U$2:$U$27,MATCH(E562,'Cost_Components'!$A$2:$A$27,0)),"")</f>
      </c>
      <c r="AB562" s="82" t="str">
        <f>IFERROR(INDEX('Cost_Components'!$V$2:$V$27,MATCH(E562,'Cost_Components'!$A$2:$A$27,0)),"")</f>
      </c>
      <c r="AC562" s="83" t="str">
        <f>IFERROR(INDEX('Cost_Components'!$M$2:$M$27,MATCH(E562,'Cost_Components'!$A$2:$A$27,0)),"")</f>
      </c>
      <c r="AD562" s="84" t="str">
        <f>IFERROR(INDEX('Cost_Components'!$N$2:$N$27,MATCH(E562,'Cost_Components'!$A$2:$A$27,0)),"")</f>
      </c>
      <c r="AE562" s="20" t="str">
        <f>IFERROR(INDEX('Cost_Components'!$O$2:$O$27,MATCH(E562,'Cost_Components'!$A$2:$A$27,0)),"")</f>
      </c>
      <c r="AF562" s="85" t="n">
        <v>1028562.04010289</v>
      </c>
      <c r="AG562" s="86" t="n">
        <v>1025850.81716251</v>
      </c>
      <c r="AH562" s="87" t="str">
        <f>IF(H562="shared-count-once",COUNTIFS($A$2:$A$1353,A562,$B$2:$B$1353,B562,$E$2:$E$1353,E562),1)</f>
      </c>
    </row>
    <row r="563">
      <c r="A563" t="s">
        <v>220</v>
      </c>
      <c r="B563" s="59" t="n">
        <v>2040</v>
      </c>
      <c r="C563" t="s">
        <v>220</v>
      </c>
      <c r="D563" t="s">
        <v>176</v>
      </c>
      <c r="E563" s="60" t="s">
        <v>313</v>
      </c>
      <c r="F563" s="61" t="s">
        <v>314</v>
      </c>
      <c r="G563" s="62" t="s">
        <v>221</v>
      </c>
      <c r="H563" s="63" t="s">
        <v>195</v>
      </c>
      <c r="I563" s="64" t="s">
        <v>267</v>
      </c>
      <c r="J563" s="65" t="str">
        <f>IFERROR(INDEX('Cost_Components'!$K$2:$K$27,MATCH(E563,'Cost_Components'!$A$2:$A$27,0)),"")</f>
      </c>
      <c r="K563" s="66" t="str">
        <f>IF(OR(L563="",Z563="",AA563="",AB563=""),"",IF(B563&lt;AA563,L563,IF(B563&gt;AB563,Z563,L563+(Z563-L563)*MIN(MAX((B563-AA563+1)/MAX(AB563-AA563+1,1),0),1))))</f>
      </c>
      <c r="L563" s="67" t="str">
        <f>IFERROR(INDEX('Cost_Components'!$S$2:$S$27,MATCH(E563,'Cost_Components'!$A$2:$A$27,0)),"")</f>
      </c>
      <c r="M563" s="68" t="str">
        <f>IFERROR(INDEX('Cost_Components'!$L$2:$L$27,MATCH(E563,'Cost_Components'!$A$2:$A$27,0)),"")</f>
      </c>
      <c r="N563" s="69" t="str">
        <f>IFERROR(INDEX('Cost_Components'!$P$2:$P$27,MATCH(E563,'Cost_Components'!$A$2:$A$27,0)),"")</f>
      </c>
      <c r="O563" s="70" t="str">
        <f>AF563*J563</f>
      </c>
      <c r="P563" s="71" t="str">
        <f>AG563*J563</f>
      </c>
      <c r="Q563" s="72" t="str">
        <f>P563*L563*M563*N563</f>
      </c>
      <c r="R563" s="73" t="str">
        <f>O563*K563*M563*N563</f>
      </c>
      <c r="S563" s="74" t="str">
        <f>R563-Q563</f>
      </c>
      <c r="T563" s="20" t="str">
        <f>IFERROR(INDEX('Cost_Components'!$R$2:$R$27,MATCH(E563,'Cost_Components'!$A$2:$A$27,0)),"")</f>
      </c>
      <c r="U563" s="75" t="str">
        <f>IFERROR(INDEX('Cost_Components'!$Q$2:$Q$27,MATCH(E563,'Cost_Components'!$A$2:$A$27,0)),"")</f>
      </c>
      <c r="V563" s="76" t="str">
        <f>1/(1+'Calculation_Assumptions'!$B$5)^(B563-'Calculation_Assumptions'!$B$2)</f>
      </c>
      <c r="W563" s="77" t="str">
        <f>Q563*V563</f>
      </c>
      <c r="X563" s="78" t="str">
        <f>R563*V563</f>
      </c>
      <c r="Y563" s="79" t="str">
        <f>S563*V563</f>
      </c>
      <c r="Z563" s="80" t="str">
        <f>IFERROR(INDEX('Cost_Components'!$T$2:$T$27,MATCH(E563,'Cost_Components'!$A$2:$A$27,0)),"")</f>
      </c>
      <c r="AA563" s="81" t="str">
        <f>IFERROR(INDEX('Cost_Components'!$U$2:$U$27,MATCH(E563,'Cost_Components'!$A$2:$A$27,0)),"")</f>
      </c>
      <c r="AB563" s="82" t="str">
        <f>IFERROR(INDEX('Cost_Components'!$V$2:$V$27,MATCH(E563,'Cost_Components'!$A$2:$A$27,0)),"")</f>
      </c>
      <c r="AC563" s="83" t="str">
        <f>IFERROR(INDEX('Cost_Components'!$M$2:$M$27,MATCH(E563,'Cost_Components'!$A$2:$A$27,0)),"")</f>
      </c>
      <c r="AD563" s="84" t="str">
        <f>IFERROR(INDEX('Cost_Components'!$N$2:$N$27,MATCH(E563,'Cost_Components'!$A$2:$A$27,0)),"")</f>
      </c>
      <c r="AE563" s="20" t="str">
        <f>IFERROR(INDEX('Cost_Components'!$O$2:$O$27,MATCH(E563,'Cost_Components'!$A$2:$A$27,0)),"")</f>
      </c>
      <c r="AF563" s="85" t="n">
        <v>1030072.58799917</v>
      </c>
      <c r="AG563" s="86" t="n">
        <v>1027141.14368539</v>
      </c>
      <c r="AH563" s="87" t="str">
        <f>IF(H563="shared-count-once",COUNTIFS($A$2:$A$1353,A563,$B$2:$B$1353,B563,$E$2:$E$1353,E563),1)</f>
      </c>
    </row>
    <row r="564">
      <c r="A564" t="s">
        <v>220</v>
      </c>
      <c r="B564" s="59" t="n">
        <v>2041</v>
      </c>
      <c r="C564" t="s">
        <v>220</v>
      </c>
      <c r="D564" t="s">
        <v>176</v>
      </c>
      <c r="E564" s="60" t="s">
        <v>313</v>
      </c>
      <c r="F564" s="61" t="s">
        <v>314</v>
      </c>
      <c r="G564" s="62" t="s">
        <v>221</v>
      </c>
      <c r="H564" s="63" t="s">
        <v>195</v>
      </c>
      <c r="I564" s="64" t="s">
        <v>267</v>
      </c>
      <c r="J564" s="65" t="str">
        <f>IFERROR(INDEX('Cost_Components'!$K$2:$K$27,MATCH(E564,'Cost_Components'!$A$2:$A$27,0)),"")</f>
      </c>
      <c r="K564" s="66" t="str">
        <f>IF(OR(L564="",Z564="",AA564="",AB564=""),"",IF(B564&lt;AA564,L564,IF(B564&gt;AB564,Z564,L564+(Z564-L564)*MIN(MAX((B564-AA564+1)/MAX(AB564-AA564+1,1),0),1))))</f>
      </c>
      <c r="L564" s="67" t="str">
        <f>IFERROR(INDEX('Cost_Components'!$S$2:$S$27,MATCH(E564,'Cost_Components'!$A$2:$A$27,0)),"")</f>
      </c>
      <c r="M564" s="68" t="str">
        <f>IFERROR(INDEX('Cost_Components'!$L$2:$L$27,MATCH(E564,'Cost_Components'!$A$2:$A$27,0)),"")</f>
      </c>
      <c r="N564" s="69" t="str">
        <f>IFERROR(INDEX('Cost_Components'!$P$2:$P$27,MATCH(E564,'Cost_Components'!$A$2:$A$27,0)),"")</f>
      </c>
      <c r="O564" s="70" t="str">
        <f>AF564*J564</f>
      </c>
      <c r="P564" s="71" t="str">
        <f>AG564*J564</f>
      </c>
      <c r="Q564" s="72" t="str">
        <f>P564*L564*M564*N564</f>
      </c>
      <c r="R564" s="73" t="str">
        <f>O564*K564*M564*N564</f>
      </c>
      <c r="S564" s="74" t="str">
        <f>R564-Q564</f>
      </c>
      <c r="T564" s="20" t="str">
        <f>IFERROR(INDEX('Cost_Components'!$R$2:$R$27,MATCH(E564,'Cost_Components'!$A$2:$A$27,0)),"")</f>
      </c>
      <c r="U564" s="75" t="str">
        <f>IFERROR(INDEX('Cost_Components'!$Q$2:$Q$27,MATCH(E564,'Cost_Components'!$A$2:$A$27,0)),"")</f>
      </c>
      <c r="V564" s="76" t="str">
        <f>1/(1+'Calculation_Assumptions'!$B$5)^(B564-'Calculation_Assumptions'!$B$2)</f>
      </c>
      <c r="W564" s="77" t="str">
        <f>Q564*V564</f>
      </c>
      <c r="X564" s="78" t="str">
        <f>R564*V564</f>
      </c>
      <c r="Y564" s="79" t="str">
        <f>S564*V564</f>
      </c>
      <c r="Z564" s="80" t="str">
        <f>IFERROR(INDEX('Cost_Components'!$T$2:$T$27,MATCH(E564,'Cost_Components'!$A$2:$A$27,0)),"")</f>
      </c>
      <c r="AA564" s="81" t="str">
        <f>IFERROR(INDEX('Cost_Components'!$U$2:$U$27,MATCH(E564,'Cost_Components'!$A$2:$A$27,0)),"")</f>
      </c>
      <c r="AB564" s="82" t="str">
        <f>IFERROR(INDEX('Cost_Components'!$V$2:$V$27,MATCH(E564,'Cost_Components'!$A$2:$A$27,0)),"")</f>
      </c>
      <c r="AC564" s="83" t="str">
        <f>IFERROR(INDEX('Cost_Components'!$M$2:$M$27,MATCH(E564,'Cost_Components'!$A$2:$A$27,0)),"")</f>
      </c>
      <c r="AD564" s="84" t="str">
        <f>IFERROR(INDEX('Cost_Components'!$N$2:$N$27,MATCH(E564,'Cost_Components'!$A$2:$A$27,0)),"")</f>
      </c>
      <c r="AE564" s="20" t="str">
        <f>IFERROR(INDEX('Cost_Components'!$O$2:$O$27,MATCH(E564,'Cost_Components'!$A$2:$A$27,0)),"")</f>
      </c>
      <c r="AF564" s="85" t="n">
        <v>1031348.25568944</v>
      </c>
      <c r="AG564" s="86" t="n">
        <v>1028196.92878719</v>
      </c>
      <c r="AH564" s="87" t="str">
        <f>IF(H564="shared-count-once",COUNTIFS($A$2:$A$1353,A564,$B$2:$B$1353,B564,$E$2:$E$1353,E564),1)</f>
      </c>
    </row>
    <row r="565">
      <c r="A565" t="s">
        <v>220</v>
      </c>
      <c r="B565" s="59" t="n">
        <v>2042</v>
      </c>
      <c r="C565" t="s">
        <v>220</v>
      </c>
      <c r="D565" t="s">
        <v>176</v>
      </c>
      <c r="E565" s="60" t="s">
        <v>313</v>
      </c>
      <c r="F565" s="61" t="s">
        <v>314</v>
      </c>
      <c r="G565" s="62" t="s">
        <v>221</v>
      </c>
      <c r="H565" s="63" t="s">
        <v>195</v>
      </c>
      <c r="I565" s="64" t="s">
        <v>267</v>
      </c>
      <c r="J565" s="65" t="str">
        <f>IFERROR(INDEX('Cost_Components'!$K$2:$K$27,MATCH(E565,'Cost_Components'!$A$2:$A$27,0)),"")</f>
      </c>
      <c r="K565" s="66" t="str">
        <f>IF(OR(L565="",Z565="",AA565="",AB565=""),"",IF(B565&lt;AA565,L565,IF(B565&gt;AB565,Z565,L565+(Z565-L565)*MIN(MAX((B565-AA565+1)/MAX(AB565-AA565+1,1),0),1))))</f>
      </c>
      <c r="L565" s="67" t="str">
        <f>IFERROR(INDEX('Cost_Components'!$S$2:$S$27,MATCH(E565,'Cost_Components'!$A$2:$A$27,0)),"")</f>
      </c>
      <c r="M565" s="68" t="str">
        <f>IFERROR(INDEX('Cost_Components'!$L$2:$L$27,MATCH(E565,'Cost_Components'!$A$2:$A$27,0)),"")</f>
      </c>
      <c r="N565" s="69" t="str">
        <f>IFERROR(INDEX('Cost_Components'!$P$2:$P$27,MATCH(E565,'Cost_Components'!$A$2:$A$27,0)),"")</f>
      </c>
      <c r="O565" s="70" t="str">
        <f>AF565*J565</f>
      </c>
      <c r="P565" s="71" t="str">
        <f>AG565*J565</f>
      </c>
      <c r="Q565" s="72" t="str">
        <f>P565*L565*M565*N565</f>
      </c>
      <c r="R565" s="73" t="str">
        <f>O565*K565*M565*N565</f>
      </c>
      <c r="S565" s="74" t="str">
        <f>R565-Q565</f>
      </c>
      <c r="T565" s="20" t="str">
        <f>IFERROR(INDEX('Cost_Components'!$R$2:$R$27,MATCH(E565,'Cost_Components'!$A$2:$A$27,0)),"")</f>
      </c>
      <c r="U565" s="75" t="str">
        <f>IFERROR(INDEX('Cost_Components'!$Q$2:$Q$27,MATCH(E565,'Cost_Components'!$A$2:$A$27,0)),"")</f>
      </c>
      <c r="V565" s="76" t="str">
        <f>1/(1+'Calculation_Assumptions'!$B$5)^(B565-'Calculation_Assumptions'!$B$2)</f>
      </c>
      <c r="W565" s="77" t="str">
        <f>Q565*V565</f>
      </c>
      <c r="X565" s="78" t="str">
        <f>R565*V565</f>
      </c>
      <c r="Y565" s="79" t="str">
        <f>S565*V565</f>
      </c>
      <c r="Z565" s="80" t="str">
        <f>IFERROR(INDEX('Cost_Components'!$T$2:$T$27,MATCH(E565,'Cost_Components'!$A$2:$A$27,0)),"")</f>
      </c>
      <c r="AA565" s="81" t="str">
        <f>IFERROR(INDEX('Cost_Components'!$U$2:$U$27,MATCH(E565,'Cost_Components'!$A$2:$A$27,0)),"")</f>
      </c>
      <c r="AB565" s="82" t="str">
        <f>IFERROR(INDEX('Cost_Components'!$V$2:$V$27,MATCH(E565,'Cost_Components'!$A$2:$A$27,0)),"")</f>
      </c>
      <c r="AC565" s="83" t="str">
        <f>IFERROR(INDEX('Cost_Components'!$M$2:$M$27,MATCH(E565,'Cost_Components'!$A$2:$A$27,0)),"")</f>
      </c>
      <c r="AD565" s="84" t="str">
        <f>IFERROR(INDEX('Cost_Components'!$N$2:$N$27,MATCH(E565,'Cost_Components'!$A$2:$A$27,0)),"")</f>
      </c>
      <c r="AE565" s="20" t="str">
        <f>IFERROR(INDEX('Cost_Components'!$O$2:$O$27,MATCH(E565,'Cost_Components'!$A$2:$A$27,0)),"")</f>
      </c>
      <c r="AF565" s="85" t="n">
        <v>1032365.01504972</v>
      </c>
      <c r="AG565" s="86" t="n">
        <v>1028995.12018765</v>
      </c>
      <c r="AH565" s="87" t="str">
        <f>IF(H565="shared-count-once",COUNTIFS($A$2:$A$1353,A565,$B$2:$B$1353,B565,$E$2:$E$1353,E565),1)</f>
      </c>
    </row>
    <row r="566">
      <c r="A566" t="s">
        <v>220</v>
      </c>
      <c r="B566" s="59" t="n">
        <v>2043</v>
      </c>
      <c r="C566" t="s">
        <v>220</v>
      </c>
      <c r="D566" t="s">
        <v>176</v>
      </c>
      <c r="E566" s="60" t="s">
        <v>313</v>
      </c>
      <c r="F566" s="61" t="s">
        <v>314</v>
      </c>
      <c r="G566" s="62" t="s">
        <v>221</v>
      </c>
      <c r="H566" s="63" t="s">
        <v>195</v>
      </c>
      <c r="I566" s="64" t="s">
        <v>267</v>
      </c>
      <c r="J566" s="65" t="str">
        <f>IFERROR(INDEX('Cost_Components'!$K$2:$K$27,MATCH(E566,'Cost_Components'!$A$2:$A$27,0)),"")</f>
      </c>
      <c r="K566" s="66" t="str">
        <f>IF(OR(L566="",Z566="",AA566="",AB566=""),"",IF(B566&lt;AA566,L566,IF(B566&gt;AB566,Z566,L566+(Z566-L566)*MIN(MAX((B566-AA566+1)/MAX(AB566-AA566+1,1),0),1))))</f>
      </c>
      <c r="L566" s="67" t="str">
        <f>IFERROR(INDEX('Cost_Components'!$S$2:$S$27,MATCH(E566,'Cost_Components'!$A$2:$A$27,0)),"")</f>
      </c>
      <c r="M566" s="68" t="str">
        <f>IFERROR(INDEX('Cost_Components'!$L$2:$L$27,MATCH(E566,'Cost_Components'!$A$2:$A$27,0)),"")</f>
      </c>
      <c r="N566" s="69" t="str">
        <f>IFERROR(INDEX('Cost_Components'!$P$2:$P$27,MATCH(E566,'Cost_Components'!$A$2:$A$27,0)),"")</f>
      </c>
      <c r="O566" s="70" t="str">
        <f>AF566*J566</f>
      </c>
      <c r="P566" s="71" t="str">
        <f>AG566*J566</f>
      </c>
      <c r="Q566" s="72" t="str">
        <f>P566*L566*M566*N566</f>
      </c>
      <c r="R566" s="73" t="str">
        <f>O566*K566*M566*N566</f>
      </c>
      <c r="S566" s="74" t="str">
        <f>R566-Q566</f>
      </c>
      <c r="T566" s="20" t="str">
        <f>IFERROR(INDEX('Cost_Components'!$R$2:$R$27,MATCH(E566,'Cost_Components'!$A$2:$A$27,0)),"")</f>
      </c>
      <c r="U566" s="75" t="str">
        <f>IFERROR(INDEX('Cost_Components'!$Q$2:$Q$27,MATCH(E566,'Cost_Components'!$A$2:$A$27,0)),"")</f>
      </c>
      <c r="V566" s="76" t="str">
        <f>1/(1+'Calculation_Assumptions'!$B$5)^(B566-'Calculation_Assumptions'!$B$2)</f>
      </c>
      <c r="W566" s="77" t="str">
        <f>Q566*V566</f>
      </c>
      <c r="X566" s="78" t="str">
        <f>R566*V566</f>
      </c>
      <c r="Y566" s="79" t="str">
        <f>S566*V566</f>
      </c>
      <c r="Z566" s="80" t="str">
        <f>IFERROR(INDEX('Cost_Components'!$T$2:$T$27,MATCH(E566,'Cost_Components'!$A$2:$A$27,0)),"")</f>
      </c>
      <c r="AA566" s="81" t="str">
        <f>IFERROR(INDEX('Cost_Components'!$U$2:$U$27,MATCH(E566,'Cost_Components'!$A$2:$A$27,0)),"")</f>
      </c>
      <c r="AB566" s="82" t="str">
        <f>IFERROR(INDEX('Cost_Components'!$V$2:$V$27,MATCH(E566,'Cost_Components'!$A$2:$A$27,0)),"")</f>
      </c>
      <c r="AC566" s="83" t="str">
        <f>IFERROR(INDEX('Cost_Components'!$M$2:$M$27,MATCH(E566,'Cost_Components'!$A$2:$A$27,0)),"")</f>
      </c>
      <c r="AD566" s="84" t="str">
        <f>IFERROR(INDEX('Cost_Components'!$N$2:$N$27,MATCH(E566,'Cost_Components'!$A$2:$A$27,0)),"")</f>
      </c>
      <c r="AE566" s="20" t="str">
        <f>IFERROR(INDEX('Cost_Components'!$O$2:$O$27,MATCH(E566,'Cost_Components'!$A$2:$A$27,0)),"")</f>
      </c>
      <c r="AF566" s="85" t="n">
        <v>1032768.00910673</v>
      </c>
      <c r="AG566" s="86" t="n">
        <v>1029181.35252705</v>
      </c>
      <c r="AH566" s="87" t="str">
        <f>IF(H566="shared-count-once",COUNTIFS($A$2:$A$1353,A566,$B$2:$B$1353,B566,$E$2:$E$1353,E566),1)</f>
      </c>
    </row>
    <row r="567">
      <c r="A567" t="s">
        <v>220</v>
      </c>
      <c r="B567" s="59" t="n">
        <v>2044</v>
      </c>
      <c r="C567" t="s">
        <v>220</v>
      </c>
      <c r="D567" t="s">
        <v>176</v>
      </c>
      <c r="E567" s="60" t="s">
        <v>313</v>
      </c>
      <c r="F567" s="61" t="s">
        <v>314</v>
      </c>
      <c r="G567" s="62" t="s">
        <v>221</v>
      </c>
      <c r="H567" s="63" t="s">
        <v>195</v>
      </c>
      <c r="I567" s="64" t="s">
        <v>267</v>
      </c>
      <c r="J567" s="65" t="str">
        <f>IFERROR(INDEX('Cost_Components'!$K$2:$K$27,MATCH(E567,'Cost_Components'!$A$2:$A$27,0)),"")</f>
      </c>
      <c r="K567" s="66" t="str">
        <f>IF(OR(L567="",Z567="",AA567="",AB567=""),"",IF(B567&lt;AA567,L567,IF(B567&gt;AB567,Z567,L567+(Z567-L567)*MIN(MAX((B567-AA567+1)/MAX(AB567-AA567+1,1),0),1))))</f>
      </c>
      <c r="L567" s="67" t="str">
        <f>IFERROR(INDEX('Cost_Components'!$S$2:$S$27,MATCH(E567,'Cost_Components'!$A$2:$A$27,0)),"")</f>
      </c>
      <c r="M567" s="68" t="str">
        <f>IFERROR(INDEX('Cost_Components'!$L$2:$L$27,MATCH(E567,'Cost_Components'!$A$2:$A$27,0)),"")</f>
      </c>
      <c r="N567" s="69" t="str">
        <f>IFERROR(INDEX('Cost_Components'!$P$2:$P$27,MATCH(E567,'Cost_Components'!$A$2:$A$27,0)),"")</f>
      </c>
      <c r="O567" s="70" t="str">
        <f>AF567*J567</f>
      </c>
      <c r="P567" s="71" t="str">
        <f>AG567*J567</f>
      </c>
      <c r="Q567" s="72" t="str">
        <f>P567*L567*M567*N567</f>
      </c>
      <c r="R567" s="73" t="str">
        <f>O567*K567*M567*N567</f>
      </c>
      <c r="S567" s="74" t="str">
        <f>R567-Q567</f>
      </c>
      <c r="T567" s="20" t="str">
        <f>IFERROR(INDEX('Cost_Components'!$R$2:$R$27,MATCH(E567,'Cost_Components'!$A$2:$A$27,0)),"")</f>
      </c>
      <c r="U567" s="75" t="str">
        <f>IFERROR(INDEX('Cost_Components'!$Q$2:$Q$27,MATCH(E567,'Cost_Components'!$A$2:$A$27,0)),"")</f>
      </c>
      <c r="V567" s="76" t="str">
        <f>1/(1+'Calculation_Assumptions'!$B$5)^(B567-'Calculation_Assumptions'!$B$2)</f>
      </c>
      <c r="W567" s="77" t="str">
        <f>Q567*V567</f>
      </c>
      <c r="X567" s="78" t="str">
        <f>R567*V567</f>
      </c>
      <c r="Y567" s="79" t="str">
        <f>S567*V567</f>
      </c>
      <c r="Z567" s="80" t="str">
        <f>IFERROR(INDEX('Cost_Components'!$T$2:$T$27,MATCH(E567,'Cost_Components'!$A$2:$A$27,0)),"")</f>
      </c>
      <c r="AA567" s="81" t="str">
        <f>IFERROR(INDEX('Cost_Components'!$U$2:$U$27,MATCH(E567,'Cost_Components'!$A$2:$A$27,0)),"")</f>
      </c>
      <c r="AB567" s="82" t="str">
        <f>IFERROR(INDEX('Cost_Components'!$V$2:$V$27,MATCH(E567,'Cost_Components'!$A$2:$A$27,0)),"")</f>
      </c>
      <c r="AC567" s="83" t="str">
        <f>IFERROR(INDEX('Cost_Components'!$M$2:$M$27,MATCH(E567,'Cost_Components'!$A$2:$A$27,0)),"")</f>
      </c>
      <c r="AD567" s="84" t="str">
        <f>IFERROR(INDEX('Cost_Components'!$N$2:$N$27,MATCH(E567,'Cost_Components'!$A$2:$A$27,0)),"")</f>
      </c>
      <c r="AE567" s="20" t="str">
        <f>IFERROR(INDEX('Cost_Components'!$O$2:$O$27,MATCH(E567,'Cost_Components'!$A$2:$A$27,0)),"")</f>
      </c>
      <c r="AF567" s="85" t="n">
        <v>1033540.33580051</v>
      </c>
      <c r="AG567" s="86" t="n">
        <v>1029738.57625643</v>
      </c>
      <c r="AH567" s="87" t="str">
        <f>IF(H567="shared-count-once",COUNTIFS($A$2:$A$1353,A567,$B$2:$B$1353,B567,$E$2:$E$1353,E567),1)</f>
      </c>
    </row>
    <row r="568">
      <c r="A568" t="s">
        <v>220</v>
      </c>
      <c r="B568" s="59" t="n">
        <v>2045</v>
      </c>
      <c r="C568" t="s">
        <v>220</v>
      </c>
      <c r="D568" t="s">
        <v>176</v>
      </c>
      <c r="E568" s="60" t="s">
        <v>313</v>
      </c>
      <c r="F568" s="61" t="s">
        <v>314</v>
      </c>
      <c r="G568" s="62" t="s">
        <v>221</v>
      </c>
      <c r="H568" s="63" t="s">
        <v>195</v>
      </c>
      <c r="I568" s="64" t="s">
        <v>267</v>
      </c>
      <c r="J568" s="65" t="str">
        <f>IFERROR(INDEX('Cost_Components'!$K$2:$K$27,MATCH(E568,'Cost_Components'!$A$2:$A$27,0)),"")</f>
      </c>
      <c r="K568" s="66" t="str">
        <f>IF(OR(L568="",Z568="",AA568="",AB568=""),"",IF(B568&lt;AA568,L568,IF(B568&gt;AB568,Z568,L568+(Z568-L568)*MIN(MAX((B568-AA568+1)/MAX(AB568-AA568+1,1),0),1))))</f>
      </c>
      <c r="L568" s="67" t="str">
        <f>IFERROR(INDEX('Cost_Components'!$S$2:$S$27,MATCH(E568,'Cost_Components'!$A$2:$A$27,0)),"")</f>
      </c>
      <c r="M568" s="68" t="str">
        <f>IFERROR(INDEX('Cost_Components'!$L$2:$L$27,MATCH(E568,'Cost_Components'!$A$2:$A$27,0)),"")</f>
      </c>
      <c r="N568" s="69" t="str">
        <f>IFERROR(INDEX('Cost_Components'!$P$2:$P$27,MATCH(E568,'Cost_Components'!$A$2:$A$27,0)),"")</f>
      </c>
      <c r="O568" s="70" t="str">
        <f>AF568*J568</f>
      </c>
      <c r="P568" s="71" t="str">
        <f>AG568*J568</f>
      </c>
      <c r="Q568" s="72" t="str">
        <f>P568*L568*M568*N568</f>
      </c>
      <c r="R568" s="73" t="str">
        <f>O568*K568*M568*N568</f>
      </c>
      <c r="S568" s="74" t="str">
        <f>R568-Q568</f>
      </c>
      <c r="T568" s="20" t="str">
        <f>IFERROR(INDEX('Cost_Components'!$R$2:$R$27,MATCH(E568,'Cost_Components'!$A$2:$A$27,0)),"")</f>
      </c>
      <c r="U568" s="75" t="str">
        <f>IFERROR(INDEX('Cost_Components'!$Q$2:$Q$27,MATCH(E568,'Cost_Components'!$A$2:$A$27,0)),"")</f>
      </c>
      <c r="V568" s="76" t="str">
        <f>1/(1+'Calculation_Assumptions'!$B$5)^(B568-'Calculation_Assumptions'!$B$2)</f>
      </c>
      <c r="W568" s="77" t="str">
        <f>Q568*V568</f>
      </c>
      <c r="X568" s="78" t="str">
        <f>R568*V568</f>
      </c>
      <c r="Y568" s="79" t="str">
        <f>S568*V568</f>
      </c>
      <c r="Z568" s="80" t="str">
        <f>IFERROR(INDEX('Cost_Components'!$T$2:$T$27,MATCH(E568,'Cost_Components'!$A$2:$A$27,0)),"")</f>
      </c>
      <c r="AA568" s="81" t="str">
        <f>IFERROR(INDEX('Cost_Components'!$U$2:$U$27,MATCH(E568,'Cost_Components'!$A$2:$A$27,0)),"")</f>
      </c>
      <c r="AB568" s="82" t="str">
        <f>IFERROR(INDEX('Cost_Components'!$V$2:$V$27,MATCH(E568,'Cost_Components'!$A$2:$A$27,0)),"")</f>
      </c>
      <c r="AC568" s="83" t="str">
        <f>IFERROR(INDEX('Cost_Components'!$M$2:$M$27,MATCH(E568,'Cost_Components'!$A$2:$A$27,0)),"")</f>
      </c>
      <c r="AD568" s="84" t="str">
        <f>IFERROR(INDEX('Cost_Components'!$N$2:$N$27,MATCH(E568,'Cost_Components'!$A$2:$A$27,0)),"")</f>
      </c>
      <c r="AE568" s="20" t="str">
        <f>IFERROR(INDEX('Cost_Components'!$O$2:$O$27,MATCH(E568,'Cost_Components'!$A$2:$A$27,0)),"")</f>
      </c>
      <c r="AF568" s="85" t="n">
        <v>1033592.1383355</v>
      </c>
      <c r="AG568" s="86" t="n">
        <v>1029577.53333486</v>
      </c>
      <c r="AH568" s="87" t="str">
        <f>IF(H568="shared-count-once",COUNTIFS($A$2:$A$1353,A568,$B$2:$B$1353,B568,$E$2:$E$1353,E568),1)</f>
      </c>
    </row>
    <row r="569">
      <c r="A569" t="s">
        <v>220</v>
      </c>
      <c r="B569" s="59" t="n">
        <v>2046</v>
      </c>
      <c r="C569" t="s">
        <v>220</v>
      </c>
      <c r="D569" t="s">
        <v>176</v>
      </c>
      <c r="E569" s="60" t="s">
        <v>313</v>
      </c>
      <c r="F569" s="61" t="s">
        <v>314</v>
      </c>
      <c r="G569" s="62" t="s">
        <v>221</v>
      </c>
      <c r="H569" s="63" t="s">
        <v>195</v>
      </c>
      <c r="I569" s="64" t="s">
        <v>267</v>
      </c>
      <c r="J569" s="65" t="str">
        <f>IFERROR(INDEX('Cost_Components'!$K$2:$K$27,MATCH(E569,'Cost_Components'!$A$2:$A$27,0)),"")</f>
      </c>
      <c r="K569" s="66" t="str">
        <f>IF(OR(L569="",Z569="",AA569="",AB569=""),"",IF(B569&lt;AA569,L569,IF(B569&gt;AB569,Z569,L569+(Z569-L569)*MIN(MAX((B569-AA569+1)/MAX(AB569-AA569+1,1),0),1))))</f>
      </c>
      <c r="L569" s="67" t="str">
        <f>IFERROR(INDEX('Cost_Components'!$S$2:$S$27,MATCH(E569,'Cost_Components'!$A$2:$A$27,0)),"")</f>
      </c>
      <c r="M569" s="68" t="str">
        <f>IFERROR(INDEX('Cost_Components'!$L$2:$L$27,MATCH(E569,'Cost_Components'!$A$2:$A$27,0)),"")</f>
      </c>
      <c r="N569" s="69" t="str">
        <f>IFERROR(INDEX('Cost_Components'!$P$2:$P$27,MATCH(E569,'Cost_Components'!$A$2:$A$27,0)),"")</f>
      </c>
      <c r="O569" s="70" t="str">
        <f>AF569*J569</f>
      </c>
      <c r="P569" s="71" t="str">
        <f>AG569*J569</f>
      </c>
      <c r="Q569" s="72" t="str">
        <f>P569*L569*M569*N569</f>
      </c>
      <c r="R569" s="73" t="str">
        <f>O569*K569*M569*N569</f>
      </c>
      <c r="S569" s="74" t="str">
        <f>R569-Q569</f>
      </c>
      <c r="T569" s="20" t="str">
        <f>IFERROR(INDEX('Cost_Components'!$R$2:$R$27,MATCH(E569,'Cost_Components'!$A$2:$A$27,0)),"")</f>
      </c>
      <c r="U569" s="75" t="str">
        <f>IFERROR(INDEX('Cost_Components'!$Q$2:$Q$27,MATCH(E569,'Cost_Components'!$A$2:$A$27,0)),"")</f>
      </c>
      <c r="V569" s="76" t="str">
        <f>1/(1+'Calculation_Assumptions'!$B$5)^(B569-'Calculation_Assumptions'!$B$2)</f>
      </c>
      <c r="W569" s="77" t="str">
        <f>Q569*V569</f>
      </c>
      <c r="X569" s="78" t="str">
        <f>R569*V569</f>
      </c>
      <c r="Y569" s="79" t="str">
        <f>S569*V569</f>
      </c>
      <c r="Z569" s="80" t="str">
        <f>IFERROR(INDEX('Cost_Components'!$T$2:$T$27,MATCH(E569,'Cost_Components'!$A$2:$A$27,0)),"")</f>
      </c>
      <c r="AA569" s="81" t="str">
        <f>IFERROR(INDEX('Cost_Components'!$U$2:$U$27,MATCH(E569,'Cost_Components'!$A$2:$A$27,0)),"")</f>
      </c>
      <c r="AB569" s="82" t="str">
        <f>IFERROR(INDEX('Cost_Components'!$V$2:$V$27,MATCH(E569,'Cost_Components'!$A$2:$A$27,0)),"")</f>
      </c>
      <c r="AC569" s="83" t="str">
        <f>IFERROR(INDEX('Cost_Components'!$M$2:$M$27,MATCH(E569,'Cost_Components'!$A$2:$A$27,0)),"")</f>
      </c>
      <c r="AD569" s="84" t="str">
        <f>IFERROR(INDEX('Cost_Components'!$N$2:$N$27,MATCH(E569,'Cost_Components'!$A$2:$A$27,0)),"")</f>
      </c>
      <c r="AE569" s="20" t="str">
        <f>IFERROR(INDEX('Cost_Components'!$O$2:$O$27,MATCH(E569,'Cost_Components'!$A$2:$A$27,0)),"")</f>
      </c>
      <c r="AF569" s="85" t="n">
        <v>1033092.43347064</v>
      </c>
      <c r="AG569" s="86" t="n">
        <v>1028866.56593476</v>
      </c>
      <c r="AH569" s="87" t="str">
        <f>IF(H569="shared-count-once",COUNTIFS($A$2:$A$1353,A569,$B$2:$B$1353,B569,$E$2:$E$1353,E569),1)</f>
      </c>
    </row>
    <row r="570">
      <c r="A570" t="s">
        <v>220</v>
      </c>
      <c r="B570" s="59" t="n">
        <v>2047</v>
      </c>
      <c r="C570" t="s">
        <v>220</v>
      </c>
      <c r="D570" t="s">
        <v>176</v>
      </c>
      <c r="E570" s="60" t="s">
        <v>313</v>
      </c>
      <c r="F570" s="61" t="s">
        <v>314</v>
      </c>
      <c r="G570" s="62" t="s">
        <v>221</v>
      </c>
      <c r="H570" s="63" t="s">
        <v>195</v>
      </c>
      <c r="I570" s="64" t="s">
        <v>267</v>
      </c>
      <c r="J570" s="65" t="str">
        <f>IFERROR(INDEX('Cost_Components'!$K$2:$K$27,MATCH(E570,'Cost_Components'!$A$2:$A$27,0)),"")</f>
      </c>
      <c r="K570" s="66" t="str">
        <f>IF(OR(L570="",Z570="",AA570="",AB570=""),"",IF(B570&lt;AA570,L570,IF(B570&gt;AB570,Z570,L570+(Z570-L570)*MIN(MAX((B570-AA570+1)/MAX(AB570-AA570+1,1),0),1))))</f>
      </c>
      <c r="L570" s="67" t="str">
        <f>IFERROR(INDEX('Cost_Components'!$S$2:$S$27,MATCH(E570,'Cost_Components'!$A$2:$A$27,0)),"")</f>
      </c>
      <c r="M570" s="68" t="str">
        <f>IFERROR(INDEX('Cost_Components'!$L$2:$L$27,MATCH(E570,'Cost_Components'!$A$2:$A$27,0)),"")</f>
      </c>
      <c r="N570" s="69" t="str">
        <f>IFERROR(INDEX('Cost_Components'!$P$2:$P$27,MATCH(E570,'Cost_Components'!$A$2:$A$27,0)),"")</f>
      </c>
      <c r="O570" s="70" t="str">
        <f>AF570*J570</f>
      </c>
      <c r="P570" s="71" t="str">
        <f>AG570*J570</f>
      </c>
      <c r="Q570" s="72" t="str">
        <f>P570*L570*M570*N570</f>
      </c>
      <c r="R570" s="73" t="str">
        <f>O570*K570*M570*N570</f>
      </c>
      <c r="S570" s="74" t="str">
        <f>R570-Q570</f>
      </c>
      <c r="T570" s="20" t="str">
        <f>IFERROR(INDEX('Cost_Components'!$R$2:$R$27,MATCH(E570,'Cost_Components'!$A$2:$A$27,0)),"")</f>
      </c>
      <c r="U570" s="75" t="str">
        <f>IFERROR(INDEX('Cost_Components'!$Q$2:$Q$27,MATCH(E570,'Cost_Components'!$A$2:$A$27,0)),"")</f>
      </c>
      <c r="V570" s="76" t="str">
        <f>1/(1+'Calculation_Assumptions'!$B$5)^(B570-'Calculation_Assumptions'!$B$2)</f>
      </c>
      <c r="W570" s="77" t="str">
        <f>Q570*V570</f>
      </c>
      <c r="X570" s="78" t="str">
        <f>R570*V570</f>
      </c>
      <c r="Y570" s="79" t="str">
        <f>S570*V570</f>
      </c>
      <c r="Z570" s="80" t="str">
        <f>IFERROR(INDEX('Cost_Components'!$T$2:$T$27,MATCH(E570,'Cost_Components'!$A$2:$A$27,0)),"")</f>
      </c>
      <c r="AA570" s="81" t="str">
        <f>IFERROR(INDEX('Cost_Components'!$U$2:$U$27,MATCH(E570,'Cost_Components'!$A$2:$A$27,0)),"")</f>
      </c>
      <c r="AB570" s="82" t="str">
        <f>IFERROR(INDEX('Cost_Components'!$V$2:$V$27,MATCH(E570,'Cost_Components'!$A$2:$A$27,0)),"")</f>
      </c>
      <c r="AC570" s="83" t="str">
        <f>IFERROR(INDEX('Cost_Components'!$M$2:$M$27,MATCH(E570,'Cost_Components'!$A$2:$A$27,0)),"")</f>
      </c>
      <c r="AD570" s="84" t="str">
        <f>IFERROR(INDEX('Cost_Components'!$N$2:$N$27,MATCH(E570,'Cost_Components'!$A$2:$A$27,0)),"")</f>
      </c>
      <c r="AE570" s="20" t="str">
        <f>IFERROR(INDEX('Cost_Components'!$O$2:$O$27,MATCH(E570,'Cost_Components'!$A$2:$A$27,0)),"")</f>
      </c>
      <c r="AF570" s="85" t="n">
        <v>1031653.09747818</v>
      </c>
      <c r="AG570" s="86" t="n">
        <v>1027218.46073044</v>
      </c>
      <c r="AH570" s="87" t="str">
        <f>IF(H570="shared-count-once",COUNTIFS($A$2:$A$1353,A570,$B$2:$B$1353,B570,$E$2:$E$1353,E570),1)</f>
      </c>
    </row>
    <row r="571">
      <c r="A571" t="s">
        <v>220</v>
      </c>
      <c r="B571" s="59" t="n">
        <v>2048</v>
      </c>
      <c r="C571" t="s">
        <v>220</v>
      </c>
      <c r="D571" t="s">
        <v>176</v>
      </c>
      <c r="E571" s="60" t="s">
        <v>313</v>
      </c>
      <c r="F571" s="61" t="s">
        <v>314</v>
      </c>
      <c r="G571" s="62" t="s">
        <v>221</v>
      </c>
      <c r="H571" s="63" t="s">
        <v>195</v>
      </c>
      <c r="I571" s="64" t="s">
        <v>267</v>
      </c>
      <c r="J571" s="65" t="str">
        <f>IFERROR(INDEX('Cost_Components'!$K$2:$K$27,MATCH(E571,'Cost_Components'!$A$2:$A$27,0)),"")</f>
      </c>
      <c r="K571" s="66" t="str">
        <f>IF(OR(L571="",Z571="",AA571="",AB571=""),"",IF(B571&lt;AA571,L571,IF(B571&gt;AB571,Z571,L571+(Z571-L571)*MIN(MAX((B571-AA571+1)/MAX(AB571-AA571+1,1),0),1))))</f>
      </c>
      <c r="L571" s="67" t="str">
        <f>IFERROR(INDEX('Cost_Components'!$S$2:$S$27,MATCH(E571,'Cost_Components'!$A$2:$A$27,0)),"")</f>
      </c>
      <c r="M571" s="68" t="str">
        <f>IFERROR(INDEX('Cost_Components'!$L$2:$L$27,MATCH(E571,'Cost_Components'!$A$2:$A$27,0)),"")</f>
      </c>
      <c r="N571" s="69" t="str">
        <f>IFERROR(INDEX('Cost_Components'!$P$2:$P$27,MATCH(E571,'Cost_Components'!$A$2:$A$27,0)),"")</f>
      </c>
      <c r="O571" s="70" t="str">
        <f>AF571*J571</f>
      </c>
      <c r="P571" s="71" t="str">
        <f>AG571*J571</f>
      </c>
      <c r="Q571" s="72" t="str">
        <f>P571*L571*M571*N571</f>
      </c>
      <c r="R571" s="73" t="str">
        <f>O571*K571*M571*N571</f>
      </c>
      <c r="S571" s="74" t="str">
        <f>R571-Q571</f>
      </c>
      <c r="T571" s="20" t="str">
        <f>IFERROR(INDEX('Cost_Components'!$R$2:$R$27,MATCH(E571,'Cost_Components'!$A$2:$A$27,0)),"")</f>
      </c>
      <c r="U571" s="75" t="str">
        <f>IFERROR(INDEX('Cost_Components'!$Q$2:$Q$27,MATCH(E571,'Cost_Components'!$A$2:$A$27,0)),"")</f>
      </c>
      <c r="V571" s="76" t="str">
        <f>1/(1+'Calculation_Assumptions'!$B$5)^(B571-'Calculation_Assumptions'!$B$2)</f>
      </c>
      <c r="W571" s="77" t="str">
        <f>Q571*V571</f>
      </c>
      <c r="X571" s="78" t="str">
        <f>R571*V571</f>
      </c>
      <c r="Y571" s="79" t="str">
        <f>S571*V571</f>
      </c>
      <c r="Z571" s="80" t="str">
        <f>IFERROR(INDEX('Cost_Components'!$T$2:$T$27,MATCH(E571,'Cost_Components'!$A$2:$A$27,0)),"")</f>
      </c>
      <c r="AA571" s="81" t="str">
        <f>IFERROR(INDEX('Cost_Components'!$U$2:$U$27,MATCH(E571,'Cost_Components'!$A$2:$A$27,0)),"")</f>
      </c>
      <c r="AB571" s="82" t="str">
        <f>IFERROR(INDEX('Cost_Components'!$V$2:$V$27,MATCH(E571,'Cost_Components'!$A$2:$A$27,0)),"")</f>
      </c>
      <c r="AC571" s="83" t="str">
        <f>IFERROR(INDEX('Cost_Components'!$M$2:$M$27,MATCH(E571,'Cost_Components'!$A$2:$A$27,0)),"")</f>
      </c>
      <c r="AD571" s="84" t="str">
        <f>IFERROR(INDEX('Cost_Components'!$N$2:$N$27,MATCH(E571,'Cost_Components'!$A$2:$A$27,0)),"")</f>
      </c>
      <c r="AE571" s="20" t="str">
        <f>IFERROR(INDEX('Cost_Components'!$O$2:$O$27,MATCH(E571,'Cost_Components'!$A$2:$A$27,0)),"")</f>
      </c>
      <c r="AF571" s="85" t="n">
        <v>1029812.52142284</v>
      </c>
      <c r="AG571" s="86" t="n">
        <v>1025172.23441339</v>
      </c>
      <c r="AH571" s="87" t="str">
        <f>IF(H571="shared-count-once",COUNTIFS($A$2:$A$1353,A571,$B$2:$B$1353,B571,$E$2:$E$1353,E571),1)</f>
      </c>
    </row>
    <row r="572">
      <c r="A572" t="s">
        <v>220</v>
      </c>
      <c r="B572" s="59" t="n">
        <v>2049</v>
      </c>
      <c r="C572" t="s">
        <v>220</v>
      </c>
      <c r="D572" t="s">
        <v>176</v>
      </c>
      <c r="E572" s="60" t="s">
        <v>313</v>
      </c>
      <c r="F572" s="61" t="s">
        <v>314</v>
      </c>
      <c r="G572" s="62" t="s">
        <v>221</v>
      </c>
      <c r="H572" s="63" t="s">
        <v>195</v>
      </c>
      <c r="I572" s="64" t="s">
        <v>267</v>
      </c>
      <c r="J572" s="65" t="str">
        <f>IFERROR(INDEX('Cost_Components'!$K$2:$K$27,MATCH(E572,'Cost_Components'!$A$2:$A$27,0)),"")</f>
      </c>
      <c r="K572" s="66" t="str">
        <f>IF(OR(L572="",Z572="",AA572="",AB572=""),"",IF(B572&lt;AA572,L572,IF(B572&gt;AB572,Z572,L572+(Z572-L572)*MIN(MAX((B572-AA572+1)/MAX(AB572-AA572+1,1),0),1))))</f>
      </c>
      <c r="L572" s="67" t="str">
        <f>IFERROR(INDEX('Cost_Components'!$S$2:$S$27,MATCH(E572,'Cost_Components'!$A$2:$A$27,0)),"")</f>
      </c>
      <c r="M572" s="68" t="str">
        <f>IFERROR(INDEX('Cost_Components'!$L$2:$L$27,MATCH(E572,'Cost_Components'!$A$2:$A$27,0)),"")</f>
      </c>
      <c r="N572" s="69" t="str">
        <f>IFERROR(INDEX('Cost_Components'!$P$2:$P$27,MATCH(E572,'Cost_Components'!$A$2:$A$27,0)),"")</f>
      </c>
      <c r="O572" s="70" t="str">
        <f>AF572*J572</f>
      </c>
      <c r="P572" s="71" t="str">
        <f>AG572*J572</f>
      </c>
      <c r="Q572" s="72" t="str">
        <f>P572*L572*M572*N572</f>
      </c>
      <c r="R572" s="73" t="str">
        <f>O572*K572*M572*N572</f>
      </c>
      <c r="S572" s="74" t="str">
        <f>R572-Q572</f>
      </c>
      <c r="T572" s="20" t="str">
        <f>IFERROR(INDEX('Cost_Components'!$R$2:$R$27,MATCH(E572,'Cost_Components'!$A$2:$A$27,0)),"")</f>
      </c>
      <c r="U572" s="75" t="str">
        <f>IFERROR(INDEX('Cost_Components'!$Q$2:$Q$27,MATCH(E572,'Cost_Components'!$A$2:$A$27,0)),"")</f>
      </c>
      <c r="V572" s="76" t="str">
        <f>1/(1+'Calculation_Assumptions'!$B$5)^(B572-'Calculation_Assumptions'!$B$2)</f>
      </c>
      <c r="W572" s="77" t="str">
        <f>Q572*V572</f>
      </c>
      <c r="X572" s="78" t="str">
        <f>R572*V572</f>
      </c>
      <c r="Y572" s="79" t="str">
        <f>S572*V572</f>
      </c>
      <c r="Z572" s="80" t="str">
        <f>IFERROR(INDEX('Cost_Components'!$T$2:$T$27,MATCH(E572,'Cost_Components'!$A$2:$A$27,0)),"")</f>
      </c>
      <c r="AA572" s="81" t="str">
        <f>IFERROR(INDEX('Cost_Components'!$U$2:$U$27,MATCH(E572,'Cost_Components'!$A$2:$A$27,0)),"")</f>
      </c>
      <c r="AB572" s="82" t="str">
        <f>IFERROR(INDEX('Cost_Components'!$V$2:$V$27,MATCH(E572,'Cost_Components'!$A$2:$A$27,0)),"")</f>
      </c>
      <c r="AC572" s="83" t="str">
        <f>IFERROR(INDEX('Cost_Components'!$M$2:$M$27,MATCH(E572,'Cost_Components'!$A$2:$A$27,0)),"")</f>
      </c>
      <c r="AD572" s="84" t="str">
        <f>IFERROR(INDEX('Cost_Components'!$N$2:$N$27,MATCH(E572,'Cost_Components'!$A$2:$A$27,0)),"")</f>
      </c>
      <c r="AE572" s="20" t="str">
        <f>IFERROR(INDEX('Cost_Components'!$O$2:$O$27,MATCH(E572,'Cost_Components'!$A$2:$A$27,0)),"")</f>
      </c>
      <c r="AF572" s="85" t="n">
        <v>1028448.14482944</v>
      </c>
      <c r="AG572" s="86" t="n">
        <v>1023604.9725096</v>
      </c>
      <c r="AH572" s="87" t="str">
        <f>IF(H572="shared-count-once",COUNTIFS($A$2:$A$1353,A572,$B$2:$B$1353,B572,$E$2:$E$1353,E572),1)</f>
      </c>
    </row>
    <row r="573">
      <c r="A573" t="s">
        <v>220</v>
      </c>
      <c r="B573" s="59" t="n">
        <v>2050</v>
      </c>
      <c r="C573" t="s">
        <v>220</v>
      </c>
      <c r="D573" t="s">
        <v>176</v>
      </c>
      <c r="E573" s="60" t="s">
        <v>313</v>
      </c>
      <c r="F573" s="61" t="s">
        <v>314</v>
      </c>
      <c r="G573" s="62" t="s">
        <v>221</v>
      </c>
      <c r="H573" s="63" t="s">
        <v>195</v>
      </c>
      <c r="I573" s="64" t="s">
        <v>267</v>
      </c>
      <c r="J573" s="65" t="str">
        <f>IFERROR(INDEX('Cost_Components'!$K$2:$K$27,MATCH(E573,'Cost_Components'!$A$2:$A$27,0)),"")</f>
      </c>
      <c r="K573" s="66" t="str">
        <f>IF(OR(L573="",Z573="",AA573="",AB573=""),"",IF(B573&lt;AA573,L573,IF(B573&gt;AB573,Z573,L573+(Z573-L573)*MIN(MAX((B573-AA573+1)/MAX(AB573-AA573+1,1),0),1))))</f>
      </c>
      <c r="L573" s="67" t="str">
        <f>IFERROR(INDEX('Cost_Components'!$S$2:$S$27,MATCH(E573,'Cost_Components'!$A$2:$A$27,0)),"")</f>
      </c>
      <c r="M573" s="68" t="str">
        <f>IFERROR(INDEX('Cost_Components'!$L$2:$L$27,MATCH(E573,'Cost_Components'!$A$2:$A$27,0)),"")</f>
      </c>
      <c r="N573" s="69" t="str">
        <f>IFERROR(INDEX('Cost_Components'!$P$2:$P$27,MATCH(E573,'Cost_Components'!$A$2:$A$27,0)),"")</f>
      </c>
      <c r="O573" s="70" t="str">
        <f>AF573*J573</f>
      </c>
      <c r="P573" s="71" t="str">
        <f>AG573*J573</f>
      </c>
      <c r="Q573" s="72" t="str">
        <f>P573*L573*M573*N573</f>
      </c>
      <c r="R573" s="73" t="str">
        <f>O573*K573*M573*N573</f>
      </c>
      <c r="S573" s="74" t="str">
        <f>R573-Q573</f>
      </c>
      <c r="T573" s="20" t="str">
        <f>IFERROR(INDEX('Cost_Components'!$R$2:$R$27,MATCH(E573,'Cost_Components'!$A$2:$A$27,0)),"")</f>
      </c>
      <c r="U573" s="75" t="str">
        <f>IFERROR(INDEX('Cost_Components'!$Q$2:$Q$27,MATCH(E573,'Cost_Components'!$A$2:$A$27,0)),"")</f>
      </c>
      <c r="V573" s="76" t="str">
        <f>1/(1+'Calculation_Assumptions'!$B$5)^(B573-'Calculation_Assumptions'!$B$2)</f>
      </c>
      <c r="W573" s="77" t="str">
        <f>Q573*V573</f>
      </c>
      <c r="X573" s="78" t="str">
        <f>R573*V573</f>
      </c>
      <c r="Y573" s="79" t="str">
        <f>S573*V573</f>
      </c>
      <c r="Z573" s="80" t="str">
        <f>IFERROR(INDEX('Cost_Components'!$T$2:$T$27,MATCH(E573,'Cost_Components'!$A$2:$A$27,0)),"")</f>
      </c>
      <c r="AA573" s="81" t="str">
        <f>IFERROR(INDEX('Cost_Components'!$U$2:$U$27,MATCH(E573,'Cost_Components'!$A$2:$A$27,0)),"")</f>
      </c>
      <c r="AB573" s="82" t="str">
        <f>IFERROR(INDEX('Cost_Components'!$V$2:$V$27,MATCH(E573,'Cost_Components'!$A$2:$A$27,0)),"")</f>
      </c>
      <c r="AC573" s="83" t="str">
        <f>IFERROR(INDEX('Cost_Components'!$M$2:$M$27,MATCH(E573,'Cost_Components'!$A$2:$A$27,0)),"")</f>
      </c>
      <c r="AD573" s="84" t="str">
        <f>IFERROR(INDEX('Cost_Components'!$N$2:$N$27,MATCH(E573,'Cost_Components'!$A$2:$A$27,0)),"")</f>
      </c>
      <c r="AE573" s="20" t="str">
        <f>IFERROR(INDEX('Cost_Components'!$O$2:$O$27,MATCH(E573,'Cost_Components'!$A$2:$A$27,0)),"")</f>
      </c>
      <c r="AF573" s="85" t="n">
        <v>1026900.4696667</v>
      </c>
      <c r="AG573" s="86" t="n">
        <v>1021857.00763941</v>
      </c>
      <c r="AH573" s="87" t="str">
        <f>IF(H573="shared-count-once",COUNTIFS($A$2:$A$1353,A573,$B$2:$B$1353,B573,$E$2:$E$1353,E573),1)</f>
      </c>
    </row>
    <row r="574">
      <c r="A574" t="s">
        <v>220</v>
      </c>
      <c r="B574" s="59" t="n">
        <v>2025</v>
      </c>
      <c r="C574" t="s">
        <v>220</v>
      </c>
      <c r="D574" t="s">
        <v>184</v>
      </c>
      <c r="E574" s="60" t="s">
        <v>316</v>
      </c>
      <c r="F574" s="61" t="s">
        <v>317</v>
      </c>
      <c r="G574" s="62" t="s">
        <v>224</v>
      </c>
      <c r="H574" s="63" t="s">
        <v>195</v>
      </c>
      <c r="I574" s="64" t="s">
        <v>170</v>
      </c>
      <c r="J574" s="65" t="str">
        <f>IFERROR(INDEX('Cost_Components'!$K$2:$K$27,MATCH(E574,'Cost_Components'!$A$2:$A$27,0)),"")</f>
      </c>
      <c r="K574" s="66" t="str">
        <f>IF(OR(L574="",Z574="",AA574="",AB574=""),"",IF(B574&lt;AA574,L574,IF(B574&gt;AB574,Z574,L574+(Z574-L574)*MIN(MAX((B574-AA574+1)/MAX(AB574-AA574+1,1),0),1))))</f>
      </c>
      <c r="L574" s="67" t="str">
        <f>IFERROR(INDEX('Cost_Components'!$S$2:$S$27,MATCH(E574,'Cost_Components'!$A$2:$A$27,0)),"")</f>
      </c>
      <c r="M574" s="68" t="str">
        <f>IFERROR(INDEX('Cost_Components'!$L$2:$L$27,MATCH(E574,'Cost_Components'!$A$2:$A$27,0)),"")</f>
      </c>
      <c r="N574" s="69" t="str">
        <f>IFERROR(INDEX('Cost_Components'!$P$2:$P$27,MATCH(E574,'Cost_Components'!$A$2:$A$27,0)),"")</f>
      </c>
      <c r="O574" s="70" t="str">
        <f>AF574*J574</f>
      </c>
      <c r="P574" s="71" t="str">
        <f>AG574*J574</f>
      </c>
      <c r="Q574" s="72" t="str">
        <f>P574*L574*M574*N574</f>
      </c>
      <c r="R574" s="73" t="str">
        <f>O574*K574*M574*N574</f>
      </c>
      <c r="S574" s="74" t="str">
        <f>R574-Q574</f>
      </c>
      <c r="T574" s="20" t="str">
        <f>IFERROR(INDEX('Cost_Components'!$R$2:$R$27,MATCH(E574,'Cost_Components'!$A$2:$A$27,0)),"")</f>
      </c>
      <c r="U574" s="75" t="str">
        <f>IFERROR(INDEX('Cost_Components'!$Q$2:$Q$27,MATCH(E574,'Cost_Components'!$A$2:$A$27,0)),"")</f>
      </c>
      <c r="V574" s="76" t="str">
        <f>1/(1+'Calculation_Assumptions'!$B$5)^(B574-'Calculation_Assumptions'!$B$2)</f>
      </c>
      <c r="W574" s="77" t="str">
        <f>Q574*V574</f>
      </c>
      <c r="X574" s="78" t="str">
        <f>R574*V574</f>
      </c>
      <c r="Y574" s="79" t="str">
        <f>S574*V574</f>
      </c>
      <c r="Z574" s="80" t="str">
        <f>IFERROR(INDEX('Cost_Components'!$T$2:$T$27,MATCH(E574,'Cost_Components'!$A$2:$A$27,0)),"")</f>
      </c>
      <c r="AA574" s="81" t="str">
        <f>IFERROR(INDEX('Cost_Components'!$U$2:$U$27,MATCH(E574,'Cost_Components'!$A$2:$A$27,0)),"")</f>
      </c>
      <c r="AB574" s="82" t="str">
        <f>IFERROR(INDEX('Cost_Components'!$V$2:$V$27,MATCH(E574,'Cost_Components'!$A$2:$A$27,0)),"")</f>
      </c>
      <c r="AC574" s="83" t="str">
        <f>IFERROR(INDEX('Cost_Components'!$M$2:$M$27,MATCH(E574,'Cost_Components'!$A$2:$A$27,0)),"")</f>
      </c>
      <c r="AD574" s="84" t="str">
        <f>IFERROR(INDEX('Cost_Components'!$N$2:$N$27,MATCH(E574,'Cost_Components'!$A$2:$A$27,0)),"")</f>
      </c>
      <c r="AE574" s="20" t="str">
        <f>IFERROR(INDEX('Cost_Components'!$O$2:$O$27,MATCH(E574,'Cost_Components'!$A$2:$A$27,0)),"")</f>
      </c>
      <c r="AF574" s="85" t="n">
        <v>327987.69477414</v>
      </c>
      <c r="AG574" s="86" t="n">
        <v>327987.69477414</v>
      </c>
      <c r="AH574" s="87" t="str">
        <f>IF(H574="shared-count-once",COUNTIFS($A$2:$A$1353,A574,$B$2:$B$1353,B574,$E$2:$E$1353,E574),1)</f>
      </c>
    </row>
    <row r="575">
      <c r="A575" t="s">
        <v>220</v>
      </c>
      <c r="B575" s="59" t="n">
        <v>2026</v>
      </c>
      <c r="C575" t="s">
        <v>220</v>
      </c>
      <c r="D575" t="s">
        <v>184</v>
      </c>
      <c r="E575" s="60" t="s">
        <v>316</v>
      </c>
      <c r="F575" s="61" t="s">
        <v>317</v>
      </c>
      <c r="G575" s="62" t="s">
        <v>224</v>
      </c>
      <c r="H575" s="63" t="s">
        <v>195</v>
      </c>
      <c r="I575" s="64" t="s">
        <v>170</v>
      </c>
      <c r="J575" s="65" t="str">
        <f>IFERROR(INDEX('Cost_Components'!$K$2:$K$27,MATCH(E575,'Cost_Components'!$A$2:$A$27,0)),"")</f>
      </c>
      <c r="K575" s="66" t="str">
        <f>IF(OR(L575="",Z575="",AA575="",AB575=""),"",IF(B575&lt;AA575,L575,IF(B575&gt;AB575,Z575,L575+(Z575-L575)*MIN(MAX((B575-AA575+1)/MAX(AB575-AA575+1,1),0),1))))</f>
      </c>
      <c r="L575" s="67" t="str">
        <f>IFERROR(INDEX('Cost_Components'!$S$2:$S$27,MATCH(E575,'Cost_Components'!$A$2:$A$27,0)),"")</f>
      </c>
      <c r="M575" s="68" t="str">
        <f>IFERROR(INDEX('Cost_Components'!$L$2:$L$27,MATCH(E575,'Cost_Components'!$A$2:$A$27,0)),"")</f>
      </c>
      <c r="N575" s="69" t="str">
        <f>IFERROR(INDEX('Cost_Components'!$P$2:$P$27,MATCH(E575,'Cost_Components'!$A$2:$A$27,0)),"")</f>
      </c>
      <c r="O575" s="70" t="str">
        <f>AF575*J575</f>
      </c>
      <c r="P575" s="71" t="str">
        <f>AG575*J575</f>
      </c>
      <c r="Q575" s="72" t="str">
        <f>P575*L575*M575*N575</f>
      </c>
      <c r="R575" s="73" t="str">
        <f>O575*K575*M575*N575</f>
      </c>
      <c r="S575" s="74" t="str">
        <f>R575-Q575</f>
      </c>
      <c r="T575" s="20" t="str">
        <f>IFERROR(INDEX('Cost_Components'!$R$2:$R$27,MATCH(E575,'Cost_Components'!$A$2:$A$27,0)),"")</f>
      </c>
      <c r="U575" s="75" t="str">
        <f>IFERROR(INDEX('Cost_Components'!$Q$2:$Q$27,MATCH(E575,'Cost_Components'!$A$2:$A$27,0)),"")</f>
      </c>
      <c r="V575" s="76" t="str">
        <f>1/(1+'Calculation_Assumptions'!$B$5)^(B575-'Calculation_Assumptions'!$B$2)</f>
      </c>
      <c r="W575" s="77" t="str">
        <f>Q575*V575</f>
      </c>
      <c r="X575" s="78" t="str">
        <f>R575*V575</f>
      </c>
      <c r="Y575" s="79" t="str">
        <f>S575*V575</f>
      </c>
      <c r="Z575" s="80" t="str">
        <f>IFERROR(INDEX('Cost_Components'!$T$2:$T$27,MATCH(E575,'Cost_Components'!$A$2:$A$27,0)),"")</f>
      </c>
      <c r="AA575" s="81" t="str">
        <f>IFERROR(INDEX('Cost_Components'!$U$2:$U$27,MATCH(E575,'Cost_Components'!$A$2:$A$27,0)),"")</f>
      </c>
      <c r="AB575" s="82" t="str">
        <f>IFERROR(INDEX('Cost_Components'!$V$2:$V$27,MATCH(E575,'Cost_Components'!$A$2:$A$27,0)),"")</f>
      </c>
      <c r="AC575" s="83" t="str">
        <f>IFERROR(INDEX('Cost_Components'!$M$2:$M$27,MATCH(E575,'Cost_Components'!$A$2:$A$27,0)),"")</f>
      </c>
      <c r="AD575" s="84" t="str">
        <f>IFERROR(INDEX('Cost_Components'!$N$2:$N$27,MATCH(E575,'Cost_Components'!$A$2:$A$27,0)),"")</f>
      </c>
      <c r="AE575" s="20" t="str">
        <f>IFERROR(INDEX('Cost_Components'!$O$2:$O$27,MATCH(E575,'Cost_Components'!$A$2:$A$27,0)),"")</f>
      </c>
      <c r="AF575" s="85" t="n">
        <v>326874.779607194</v>
      </c>
      <c r="AG575" s="86" t="n">
        <v>326874.413768806</v>
      </c>
      <c r="AH575" s="87" t="str">
        <f>IF(H575="shared-count-once",COUNTIFS($A$2:$A$1353,A575,$B$2:$B$1353,B575,$E$2:$E$1353,E575),1)</f>
      </c>
    </row>
    <row r="576">
      <c r="A576" t="s">
        <v>220</v>
      </c>
      <c r="B576" s="59" t="n">
        <v>2027</v>
      </c>
      <c r="C576" t="s">
        <v>220</v>
      </c>
      <c r="D576" t="s">
        <v>184</v>
      </c>
      <c r="E576" s="60" t="s">
        <v>316</v>
      </c>
      <c r="F576" s="61" t="s">
        <v>317</v>
      </c>
      <c r="G576" s="62" t="s">
        <v>224</v>
      </c>
      <c r="H576" s="63" t="s">
        <v>195</v>
      </c>
      <c r="I576" s="64" t="s">
        <v>170</v>
      </c>
      <c r="J576" s="65" t="str">
        <f>IFERROR(INDEX('Cost_Components'!$K$2:$K$27,MATCH(E576,'Cost_Components'!$A$2:$A$27,0)),"")</f>
      </c>
      <c r="K576" s="66" t="str">
        <f>IF(OR(L576="",Z576="",AA576="",AB576=""),"",IF(B576&lt;AA576,L576,IF(B576&gt;AB576,Z576,L576+(Z576-L576)*MIN(MAX((B576-AA576+1)/MAX(AB576-AA576+1,1),0),1))))</f>
      </c>
      <c r="L576" s="67" t="str">
        <f>IFERROR(INDEX('Cost_Components'!$S$2:$S$27,MATCH(E576,'Cost_Components'!$A$2:$A$27,0)),"")</f>
      </c>
      <c r="M576" s="68" t="str">
        <f>IFERROR(INDEX('Cost_Components'!$L$2:$L$27,MATCH(E576,'Cost_Components'!$A$2:$A$27,0)),"")</f>
      </c>
      <c r="N576" s="69" t="str">
        <f>IFERROR(INDEX('Cost_Components'!$P$2:$P$27,MATCH(E576,'Cost_Components'!$A$2:$A$27,0)),"")</f>
      </c>
      <c r="O576" s="70" t="str">
        <f>AF576*J576</f>
      </c>
      <c r="P576" s="71" t="str">
        <f>AG576*J576</f>
      </c>
      <c r="Q576" s="72" t="str">
        <f>P576*L576*M576*N576</f>
      </c>
      <c r="R576" s="73" t="str">
        <f>O576*K576*M576*N576</f>
      </c>
      <c r="S576" s="74" t="str">
        <f>R576-Q576</f>
      </c>
      <c r="T576" s="20" t="str">
        <f>IFERROR(INDEX('Cost_Components'!$R$2:$R$27,MATCH(E576,'Cost_Components'!$A$2:$A$27,0)),"")</f>
      </c>
      <c r="U576" s="75" t="str">
        <f>IFERROR(INDEX('Cost_Components'!$Q$2:$Q$27,MATCH(E576,'Cost_Components'!$A$2:$A$27,0)),"")</f>
      </c>
      <c r="V576" s="76" t="str">
        <f>1/(1+'Calculation_Assumptions'!$B$5)^(B576-'Calculation_Assumptions'!$B$2)</f>
      </c>
      <c r="W576" s="77" t="str">
        <f>Q576*V576</f>
      </c>
      <c r="X576" s="78" t="str">
        <f>R576*V576</f>
      </c>
      <c r="Y576" s="79" t="str">
        <f>S576*V576</f>
      </c>
      <c r="Z576" s="80" t="str">
        <f>IFERROR(INDEX('Cost_Components'!$T$2:$T$27,MATCH(E576,'Cost_Components'!$A$2:$A$27,0)),"")</f>
      </c>
      <c r="AA576" s="81" t="str">
        <f>IFERROR(INDEX('Cost_Components'!$U$2:$U$27,MATCH(E576,'Cost_Components'!$A$2:$A$27,0)),"")</f>
      </c>
      <c r="AB576" s="82" t="str">
        <f>IFERROR(INDEX('Cost_Components'!$V$2:$V$27,MATCH(E576,'Cost_Components'!$A$2:$A$27,0)),"")</f>
      </c>
      <c r="AC576" s="83" t="str">
        <f>IFERROR(INDEX('Cost_Components'!$M$2:$M$27,MATCH(E576,'Cost_Components'!$A$2:$A$27,0)),"")</f>
      </c>
      <c r="AD576" s="84" t="str">
        <f>IFERROR(INDEX('Cost_Components'!$N$2:$N$27,MATCH(E576,'Cost_Components'!$A$2:$A$27,0)),"")</f>
      </c>
      <c r="AE576" s="20" t="str">
        <f>IFERROR(INDEX('Cost_Components'!$O$2:$O$27,MATCH(E576,'Cost_Components'!$A$2:$A$27,0)),"")</f>
      </c>
      <c r="AF576" s="85" t="n">
        <v>325876.259470671</v>
      </c>
      <c r="AG576" s="86" t="n">
        <v>325875.393195277</v>
      </c>
      <c r="AH576" s="87" t="str">
        <f>IF(H576="shared-count-once",COUNTIFS($A$2:$A$1353,A576,$B$2:$B$1353,B576,$E$2:$E$1353,E576),1)</f>
      </c>
    </row>
    <row r="577">
      <c r="A577" t="s">
        <v>220</v>
      </c>
      <c r="B577" s="59" t="n">
        <v>2028</v>
      </c>
      <c r="C577" t="s">
        <v>220</v>
      </c>
      <c r="D577" t="s">
        <v>184</v>
      </c>
      <c r="E577" s="60" t="s">
        <v>316</v>
      </c>
      <c r="F577" s="61" t="s">
        <v>317</v>
      </c>
      <c r="G577" s="62" t="s">
        <v>224</v>
      </c>
      <c r="H577" s="63" t="s">
        <v>195</v>
      </c>
      <c r="I577" s="64" t="s">
        <v>170</v>
      </c>
      <c r="J577" s="65" t="str">
        <f>IFERROR(INDEX('Cost_Components'!$K$2:$K$27,MATCH(E577,'Cost_Components'!$A$2:$A$27,0)),"")</f>
      </c>
      <c r="K577" s="66" t="str">
        <f>IF(OR(L577="",Z577="",AA577="",AB577=""),"",IF(B577&lt;AA577,L577,IF(B577&gt;AB577,Z577,L577+(Z577-L577)*MIN(MAX((B577-AA577+1)/MAX(AB577-AA577+1,1),0),1))))</f>
      </c>
      <c r="L577" s="67" t="str">
        <f>IFERROR(INDEX('Cost_Components'!$S$2:$S$27,MATCH(E577,'Cost_Components'!$A$2:$A$27,0)),"")</f>
      </c>
      <c r="M577" s="68" t="str">
        <f>IFERROR(INDEX('Cost_Components'!$L$2:$L$27,MATCH(E577,'Cost_Components'!$A$2:$A$27,0)),"")</f>
      </c>
      <c r="N577" s="69" t="str">
        <f>IFERROR(INDEX('Cost_Components'!$P$2:$P$27,MATCH(E577,'Cost_Components'!$A$2:$A$27,0)),"")</f>
      </c>
      <c r="O577" s="70" t="str">
        <f>AF577*J577</f>
      </c>
      <c r="P577" s="71" t="str">
        <f>AG577*J577</f>
      </c>
      <c r="Q577" s="72" t="str">
        <f>P577*L577*M577*N577</f>
      </c>
      <c r="R577" s="73" t="str">
        <f>O577*K577*M577*N577</f>
      </c>
      <c r="S577" s="74" t="str">
        <f>R577-Q577</f>
      </c>
      <c r="T577" s="20" t="str">
        <f>IFERROR(INDEX('Cost_Components'!$R$2:$R$27,MATCH(E577,'Cost_Components'!$A$2:$A$27,0)),"")</f>
      </c>
      <c r="U577" s="75" t="str">
        <f>IFERROR(INDEX('Cost_Components'!$Q$2:$Q$27,MATCH(E577,'Cost_Components'!$A$2:$A$27,0)),"")</f>
      </c>
      <c r="V577" s="76" t="str">
        <f>1/(1+'Calculation_Assumptions'!$B$5)^(B577-'Calculation_Assumptions'!$B$2)</f>
      </c>
      <c r="W577" s="77" t="str">
        <f>Q577*V577</f>
      </c>
      <c r="X577" s="78" t="str">
        <f>R577*V577</f>
      </c>
      <c r="Y577" s="79" t="str">
        <f>S577*V577</f>
      </c>
      <c r="Z577" s="80" t="str">
        <f>IFERROR(INDEX('Cost_Components'!$T$2:$T$27,MATCH(E577,'Cost_Components'!$A$2:$A$27,0)),"")</f>
      </c>
      <c r="AA577" s="81" t="str">
        <f>IFERROR(INDEX('Cost_Components'!$U$2:$U$27,MATCH(E577,'Cost_Components'!$A$2:$A$27,0)),"")</f>
      </c>
      <c r="AB577" s="82" t="str">
        <f>IFERROR(INDEX('Cost_Components'!$V$2:$V$27,MATCH(E577,'Cost_Components'!$A$2:$A$27,0)),"")</f>
      </c>
      <c r="AC577" s="83" t="str">
        <f>IFERROR(INDEX('Cost_Components'!$M$2:$M$27,MATCH(E577,'Cost_Components'!$A$2:$A$27,0)),"")</f>
      </c>
      <c r="AD577" s="84" t="str">
        <f>IFERROR(INDEX('Cost_Components'!$N$2:$N$27,MATCH(E577,'Cost_Components'!$A$2:$A$27,0)),"")</f>
      </c>
      <c r="AE577" s="20" t="str">
        <f>IFERROR(INDEX('Cost_Components'!$O$2:$O$27,MATCH(E577,'Cost_Components'!$A$2:$A$27,0)),"")</f>
      </c>
      <c r="AF577" s="85" t="n">
        <v>326171.180487114</v>
      </c>
      <c r="AG577" s="86" t="n">
        <v>326169.751036718</v>
      </c>
      <c r="AH577" s="87" t="str">
        <f>IF(H577="shared-count-once",COUNTIFS($A$2:$A$1353,A577,$B$2:$B$1353,B577,$E$2:$E$1353,E577),1)</f>
      </c>
    </row>
    <row r="578">
      <c r="A578" t="s">
        <v>220</v>
      </c>
      <c r="B578" s="59" t="n">
        <v>2029</v>
      </c>
      <c r="C578" t="s">
        <v>220</v>
      </c>
      <c r="D578" t="s">
        <v>184</v>
      </c>
      <c r="E578" s="60" t="s">
        <v>316</v>
      </c>
      <c r="F578" s="61" t="s">
        <v>317</v>
      </c>
      <c r="G578" s="62" t="s">
        <v>224</v>
      </c>
      <c r="H578" s="63" t="s">
        <v>195</v>
      </c>
      <c r="I578" s="64" t="s">
        <v>170</v>
      </c>
      <c r="J578" s="65" t="str">
        <f>IFERROR(INDEX('Cost_Components'!$K$2:$K$27,MATCH(E578,'Cost_Components'!$A$2:$A$27,0)),"")</f>
      </c>
      <c r="K578" s="66" t="str">
        <f>IF(OR(L578="",Z578="",AA578="",AB578=""),"",IF(B578&lt;AA578,L578,IF(B578&gt;AB578,Z578,L578+(Z578-L578)*MIN(MAX((B578-AA578+1)/MAX(AB578-AA578+1,1),0),1))))</f>
      </c>
      <c r="L578" s="67" t="str">
        <f>IFERROR(INDEX('Cost_Components'!$S$2:$S$27,MATCH(E578,'Cost_Components'!$A$2:$A$27,0)),"")</f>
      </c>
      <c r="M578" s="68" t="str">
        <f>IFERROR(INDEX('Cost_Components'!$L$2:$L$27,MATCH(E578,'Cost_Components'!$A$2:$A$27,0)),"")</f>
      </c>
      <c r="N578" s="69" t="str">
        <f>IFERROR(INDEX('Cost_Components'!$P$2:$P$27,MATCH(E578,'Cost_Components'!$A$2:$A$27,0)),"")</f>
      </c>
      <c r="O578" s="70" t="str">
        <f>AF578*J578</f>
      </c>
      <c r="P578" s="71" t="str">
        <f>AG578*J578</f>
      </c>
      <c r="Q578" s="72" t="str">
        <f>P578*L578*M578*N578</f>
      </c>
      <c r="R578" s="73" t="str">
        <f>O578*K578*M578*N578</f>
      </c>
      <c r="S578" s="74" t="str">
        <f>R578-Q578</f>
      </c>
      <c r="T578" s="20" t="str">
        <f>IFERROR(INDEX('Cost_Components'!$R$2:$R$27,MATCH(E578,'Cost_Components'!$A$2:$A$27,0)),"")</f>
      </c>
      <c r="U578" s="75" t="str">
        <f>IFERROR(INDEX('Cost_Components'!$Q$2:$Q$27,MATCH(E578,'Cost_Components'!$A$2:$A$27,0)),"")</f>
      </c>
      <c r="V578" s="76" t="str">
        <f>1/(1+'Calculation_Assumptions'!$B$5)^(B578-'Calculation_Assumptions'!$B$2)</f>
      </c>
      <c r="W578" s="77" t="str">
        <f>Q578*V578</f>
      </c>
      <c r="X578" s="78" t="str">
        <f>R578*V578</f>
      </c>
      <c r="Y578" s="79" t="str">
        <f>S578*V578</f>
      </c>
      <c r="Z578" s="80" t="str">
        <f>IFERROR(INDEX('Cost_Components'!$T$2:$T$27,MATCH(E578,'Cost_Components'!$A$2:$A$27,0)),"")</f>
      </c>
      <c r="AA578" s="81" t="str">
        <f>IFERROR(INDEX('Cost_Components'!$U$2:$U$27,MATCH(E578,'Cost_Components'!$A$2:$A$27,0)),"")</f>
      </c>
      <c r="AB578" s="82" t="str">
        <f>IFERROR(INDEX('Cost_Components'!$V$2:$V$27,MATCH(E578,'Cost_Components'!$A$2:$A$27,0)),"")</f>
      </c>
      <c r="AC578" s="83" t="str">
        <f>IFERROR(INDEX('Cost_Components'!$M$2:$M$27,MATCH(E578,'Cost_Components'!$A$2:$A$27,0)),"")</f>
      </c>
      <c r="AD578" s="84" t="str">
        <f>IFERROR(INDEX('Cost_Components'!$N$2:$N$27,MATCH(E578,'Cost_Components'!$A$2:$A$27,0)),"")</f>
      </c>
      <c r="AE578" s="20" t="str">
        <f>IFERROR(INDEX('Cost_Components'!$O$2:$O$27,MATCH(E578,'Cost_Components'!$A$2:$A$27,0)),"")</f>
      </c>
      <c r="AF578" s="85" t="n">
        <v>324643.535184571</v>
      </c>
      <c r="AG578" s="86" t="n">
        <v>324641.436357462</v>
      </c>
      <c r="AH578" s="87" t="str">
        <f>IF(H578="shared-count-once",COUNTIFS($A$2:$A$1353,A578,$B$2:$B$1353,B578,$E$2:$E$1353,E578),1)</f>
      </c>
    </row>
    <row r="579">
      <c r="A579" t="s">
        <v>220</v>
      </c>
      <c r="B579" s="59" t="n">
        <v>2030</v>
      </c>
      <c r="C579" t="s">
        <v>220</v>
      </c>
      <c r="D579" t="s">
        <v>184</v>
      </c>
      <c r="E579" s="60" t="s">
        <v>316</v>
      </c>
      <c r="F579" s="61" t="s">
        <v>317</v>
      </c>
      <c r="G579" s="62" t="s">
        <v>224</v>
      </c>
      <c r="H579" s="63" t="s">
        <v>195</v>
      </c>
      <c r="I579" s="64" t="s">
        <v>170</v>
      </c>
      <c r="J579" s="65" t="str">
        <f>IFERROR(INDEX('Cost_Components'!$K$2:$K$27,MATCH(E579,'Cost_Components'!$A$2:$A$27,0)),"")</f>
      </c>
      <c r="K579" s="66" t="str">
        <f>IF(OR(L579="",Z579="",AA579="",AB579=""),"",IF(B579&lt;AA579,L579,IF(B579&gt;AB579,Z579,L579+(Z579-L579)*MIN(MAX((B579-AA579+1)/MAX(AB579-AA579+1,1),0),1))))</f>
      </c>
      <c r="L579" s="67" t="str">
        <f>IFERROR(INDEX('Cost_Components'!$S$2:$S$27,MATCH(E579,'Cost_Components'!$A$2:$A$27,0)),"")</f>
      </c>
      <c r="M579" s="68" t="str">
        <f>IFERROR(INDEX('Cost_Components'!$L$2:$L$27,MATCH(E579,'Cost_Components'!$A$2:$A$27,0)),"")</f>
      </c>
      <c r="N579" s="69" t="str">
        <f>IFERROR(INDEX('Cost_Components'!$P$2:$P$27,MATCH(E579,'Cost_Components'!$A$2:$A$27,0)),"")</f>
      </c>
      <c r="O579" s="70" t="str">
        <f>AF579*J579</f>
      </c>
      <c r="P579" s="71" t="str">
        <f>AG579*J579</f>
      </c>
      <c r="Q579" s="72" t="str">
        <f>P579*L579*M579*N579</f>
      </c>
      <c r="R579" s="73" t="str">
        <f>O579*K579*M579*N579</f>
      </c>
      <c r="S579" s="74" t="str">
        <f>R579-Q579</f>
      </c>
      <c r="T579" s="20" t="str">
        <f>IFERROR(INDEX('Cost_Components'!$R$2:$R$27,MATCH(E579,'Cost_Components'!$A$2:$A$27,0)),"")</f>
      </c>
      <c r="U579" s="75" t="str">
        <f>IFERROR(INDEX('Cost_Components'!$Q$2:$Q$27,MATCH(E579,'Cost_Components'!$A$2:$A$27,0)),"")</f>
      </c>
      <c r="V579" s="76" t="str">
        <f>1/(1+'Calculation_Assumptions'!$B$5)^(B579-'Calculation_Assumptions'!$B$2)</f>
      </c>
      <c r="W579" s="77" t="str">
        <f>Q579*V579</f>
      </c>
      <c r="X579" s="78" t="str">
        <f>R579*V579</f>
      </c>
      <c r="Y579" s="79" t="str">
        <f>S579*V579</f>
      </c>
      <c r="Z579" s="80" t="str">
        <f>IFERROR(INDEX('Cost_Components'!$T$2:$T$27,MATCH(E579,'Cost_Components'!$A$2:$A$27,0)),"")</f>
      </c>
      <c r="AA579" s="81" t="str">
        <f>IFERROR(INDEX('Cost_Components'!$U$2:$U$27,MATCH(E579,'Cost_Components'!$A$2:$A$27,0)),"")</f>
      </c>
      <c r="AB579" s="82" t="str">
        <f>IFERROR(INDEX('Cost_Components'!$V$2:$V$27,MATCH(E579,'Cost_Components'!$A$2:$A$27,0)),"")</f>
      </c>
      <c r="AC579" s="83" t="str">
        <f>IFERROR(INDEX('Cost_Components'!$M$2:$M$27,MATCH(E579,'Cost_Components'!$A$2:$A$27,0)),"")</f>
      </c>
      <c r="AD579" s="84" t="str">
        <f>IFERROR(INDEX('Cost_Components'!$N$2:$N$27,MATCH(E579,'Cost_Components'!$A$2:$A$27,0)),"")</f>
      </c>
      <c r="AE579" s="20" t="str">
        <f>IFERROR(INDEX('Cost_Components'!$O$2:$O$27,MATCH(E579,'Cost_Components'!$A$2:$A$27,0)),"")</f>
      </c>
      <c r="AF579" s="85" t="n">
        <v>325990.131350913</v>
      </c>
      <c r="AG579" s="86" t="n">
        <v>325987.326720607</v>
      </c>
      <c r="AH579" s="87" t="str">
        <f>IF(H579="shared-count-once",COUNTIFS($A$2:$A$1353,A579,$B$2:$B$1353,B579,$E$2:$E$1353,E579),1)</f>
      </c>
    </row>
    <row r="580">
      <c r="A580" t="s">
        <v>220</v>
      </c>
      <c r="B580" s="59" t="n">
        <v>2031</v>
      </c>
      <c r="C580" t="s">
        <v>220</v>
      </c>
      <c r="D580" t="s">
        <v>184</v>
      </c>
      <c r="E580" s="60" t="s">
        <v>316</v>
      </c>
      <c r="F580" s="61" t="s">
        <v>317</v>
      </c>
      <c r="G580" s="62" t="s">
        <v>224</v>
      </c>
      <c r="H580" s="63" t="s">
        <v>195</v>
      </c>
      <c r="I580" s="64" t="s">
        <v>170</v>
      </c>
      <c r="J580" s="65" t="str">
        <f>IFERROR(INDEX('Cost_Components'!$K$2:$K$27,MATCH(E580,'Cost_Components'!$A$2:$A$27,0)),"")</f>
      </c>
      <c r="K580" s="66" t="str">
        <f>IF(OR(L580="",Z580="",AA580="",AB580=""),"",IF(B580&lt;AA580,L580,IF(B580&gt;AB580,Z580,L580+(Z580-L580)*MIN(MAX((B580-AA580+1)/MAX(AB580-AA580+1,1),0),1))))</f>
      </c>
      <c r="L580" s="67" t="str">
        <f>IFERROR(INDEX('Cost_Components'!$S$2:$S$27,MATCH(E580,'Cost_Components'!$A$2:$A$27,0)),"")</f>
      </c>
      <c r="M580" s="68" t="str">
        <f>IFERROR(INDEX('Cost_Components'!$L$2:$L$27,MATCH(E580,'Cost_Components'!$A$2:$A$27,0)),"")</f>
      </c>
      <c r="N580" s="69" t="str">
        <f>IFERROR(INDEX('Cost_Components'!$P$2:$P$27,MATCH(E580,'Cost_Components'!$A$2:$A$27,0)),"")</f>
      </c>
      <c r="O580" s="70" t="str">
        <f>AF580*J580</f>
      </c>
      <c r="P580" s="71" t="str">
        <f>AG580*J580</f>
      </c>
      <c r="Q580" s="72" t="str">
        <f>P580*L580*M580*N580</f>
      </c>
      <c r="R580" s="73" t="str">
        <f>O580*K580*M580*N580</f>
      </c>
      <c r="S580" s="74" t="str">
        <f>R580-Q580</f>
      </c>
      <c r="T580" s="20" t="str">
        <f>IFERROR(INDEX('Cost_Components'!$R$2:$R$27,MATCH(E580,'Cost_Components'!$A$2:$A$27,0)),"")</f>
      </c>
      <c r="U580" s="75" t="str">
        <f>IFERROR(INDEX('Cost_Components'!$Q$2:$Q$27,MATCH(E580,'Cost_Components'!$A$2:$A$27,0)),"")</f>
      </c>
      <c r="V580" s="76" t="str">
        <f>1/(1+'Calculation_Assumptions'!$B$5)^(B580-'Calculation_Assumptions'!$B$2)</f>
      </c>
      <c r="W580" s="77" t="str">
        <f>Q580*V580</f>
      </c>
      <c r="X580" s="78" t="str">
        <f>R580*V580</f>
      </c>
      <c r="Y580" s="79" t="str">
        <f>S580*V580</f>
      </c>
      <c r="Z580" s="80" t="str">
        <f>IFERROR(INDEX('Cost_Components'!$T$2:$T$27,MATCH(E580,'Cost_Components'!$A$2:$A$27,0)),"")</f>
      </c>
      <c r="AA580" s="81" t="str">
        <f>IFERROR(INDEX('Cost_Components'!$U$2:$U$27,MATCH(E580,'Cost_Components'!$A$2:$A$27,0)),"")</f>
      </c>
      <c r="AB580" s="82" t="str">
        <f>IFERROR(INDEX('Cost_Components'!$V$2:$V$27,MATCH(E580,'Cost_Components'!$A$2:$A$27,0)),"")</f>
      </c>
      <c r="AC580" s="83" t="str">
        <f>IFERROR(INDEX('Cost_Components'!$M$2:$M$27,MATCH(E580,'Cost_Components'!$A$2:$A$27,0)),"")</f>
      </c>
      <c r="AD580" s="84" t="str">
        <f>IFERROR(INDEX('Cost_Components'!$N$2:$N$27,MATCH(E580,'Cost_Components'!$A$2:$A$27,0)),"")</f>
      </c>
      <c r="AE580" s="20" t="str">
        <f>IFERROR(INDEX('Cost_Components'!$O$2:$O$27,MATCH(E580,'Cost_Components'!$A$2:$A$27,0)),"")</f>
      </c>
      <c r="AF580" s="85" t="n">
        <v>327765.785096128</v>
      </c>
      <c r="AG580" s="86" t="n">
        <v>327762.232350161</v>
      </c>
      <c r="AH580" s="87" t="str">
        <f>IF(H580="shared-count-once",COUNTIFS($A$2:$A$1353,A580,$B$2:$B$1353,B580,$E$2:$E$1353,E580),1)</f>
      </c>
    </row>
    <row r="581">
      <c r="A581" t="s">
        <v>220</v>
      </c>
      <c r="B581" s="59" t="n">
        <v>2032</v>
      </c>
      <c r="C581" t="s">
        <v>220</v>
      </c>
      <c r="D581" t="s">
        <v>184</v>
      </c>
      <c r="E581" s="60" t="s">
        <v>316</v>
      </c>
      <c r="F581" s="61" t="s">
        <v>317</v>
      </c>
      <c r="G581" s="62" t="s">
        <v>224</v>
      </c>
      <c r="H581" s="63" t="s">
        <v>195</v>
      </c>
      <c r="I581" s="64" t="s">
        <v>170</v>
      </c>
      <c r="J581" s="65" t="str">
        <f>IFERROR(INDEX('Cost_Components'!$K$2:$K$27,MATCH(E581,'Cost_Components'!$A$2:$A$27,0)),"")</f>
      </c>
      <c r="K581" s="66" t="str">
        <f>IF(OR(L581="",Z581="",AA581="",AB581=""),"",IF(B581&lt;AA581,L581,IF(B581&gt;AB581,Z581,L581+(Z581-L581)*MIN(MAX((B581-AA581+1)/MAX(AB581-AA581+1,1),0),1))))</f>
      </c>
      <c r="L581" s="67" t="str">
        <f>IFERROR(INDEX('Cost_Components'!$S$2:$S$27,MATCH(E581,'Cost_Components'!$A$2:$A$27,0)),"")</f>
      </c>
      <c r="M581" s="68" t="str">
        <f>IFERROR(INDEX('Cost_Components'!$L$2:$L$27,MATCH(E581,'Cost_Components'!$A$2:$A$27,0)),"")</f>
      </c>
      <c r="N581" s="69" t="str">
        <f>IFERROR(INDEX('Cost_Components'!$P$2:$P$27,MATCH(E581,'Cost_Components'!$A$2:$A$27,0)),"")</f>
      </c>
      <c r="O581" s="70" t="str">
        <f>AF581*J581</f>
      </c>
      <c r="P581" s="71" t="str">
        <f>AG581*J581</f>
      </c>
      <c r="Q581" s="72" t="str">
        <f>P581*L581*M581*N581</f>
      </c>
      <c r="R581" s="73" t="str">
        <f>O581*K581*M581*N581</f>
      </c>
      <c r="S581" s="74" t="str">
        <f>R581-Q581</f>
      </c>
      <c r="T581" s="20" t="str">
        <f>IFERROR(INDEX('Cost_Components'!$R$2:$R$27,MATCH(E581,'Cost_Components'!$A$2:$A$27,0)),"")</f>
      </c>
      <c r="U581" s="75" t="str">
        <f>IFERROR(INDEX('Cost_Components'!$Q$2:$Q$27,MATCH(E581,'Cost_Components'!$A$2:$A$27,0)),"")</f>
      </c>
      <c r="V581" s="76" t="str">
        <f>1/(1+'Calculation_Assumptions'!$B$5)^(B581-'Calculation_Assumptions'!$B$2)</f>
      </c>
      <c r="W581" s="77" t="str">
        <f>Q581*V581</f>
      </c>
      <c r="X581" s="78" t="str">
        <f>R581*V581</f>
      </c>
      <c r="Y581" s="79" t="str">
        <f>S581*V581</f>
      </c>
      <c r="Z581" s="80" t="str">
        <f>IFERROR(INDEX('Cost_Components'!$T$2:$T$27,MATCH(E581,'Cost_Components'!$A$2:$A$27,0)),"")</f>
      </c>
      <c r="AA581" s="81" t="str">
        <f>IFERROR(INDEX('Cost_Components'!$U$2:$U$27,MATCH(E581,'Cost_Components'!$A$2:$A$27,0)),"")</f>
      </c>
      <c r="AB581" s="82" t="str">
        <f>IFERROR(INDEX('Cost_Components'!$V$2:$V$27,MATCH(E581,'Cost_Components'!$A$2:$A$27,0)),"")</f>
      </c>
      <c r="AC581" s="83" t="str">
        <f>IFERROR(INDEX('Cost_Components'!$M$2:$M$27,MATCH(E581,'Cost_Components'!$A$2:$A$27,0)),"")</f>
      </c>
      <c r="AD581" s="84" t="str">
        <f>IFERROR(INDEX('Cost_Components'!$N$2:$N$27,MATCH(E581,'Cost_Components'!$A$2:$A$27,0)),"")</f>
      </c>
      <c r="AE581" s="20" t="str">
        <f>IFERROR(INDEX('Cost_Components'!$O$2:$O$27,MATCH(E581,'Cost_Components'!$A$2:$A$27,0)),"")</f>
      </c>
      <c r="AF581" s="85" t="n">
        <v>330184.313519362</v>
      </c>
      <c r="AG581" s="86" t="n">
        <v>330179.970910655</v>
      </c>
      <c r="AH581" s="87" t="str">
        <f>IF(H581="shared-count-once",COUNTIFS($A$2:$A$1353,A581,$B$2:$B$1353,B581,$E$2:$E$1353,E581),1)</f>
      </c>
    </row>
    <row r="582">
      <c r="A582" t="s">
        <v>220</v>
      </c>
      <c r="B582" s="59" t="n">
        <v>2033</v>
      </c>
      <c r="C582" t="s">
        <v>220</v>
      </c>
      <c r="D582" t="s">
        <v>184</v>
      </c>
      <c r="E582" s="60" t="s">
        <v>316</v>
      </c>
      <c r="F582" s="61" t="s">
        <v>317</v>
      </c>
      <c r="G582" s="62" t="s">
        <v>224</v>
      </c>
      <c r="H582" s="63" t="s">
        <v>195</v>
      </c>
      <c r="I582" s="64" t="s">
        <v>170</v>
      </c>
      <c r="J582" s="65" t="str">
        <f>IFERROR(INDEX('Cost_Components'!$K$2:$K$27,MATCH(E582,'Cost_Components'!$A$2:$A$27,0)),"")</f>
      </c>
      <c r="K582" s="66" t="str">
        <f>IF(OR(L582="",Z582="",AA582="",AB582=""),"",IF(B582&lt;AA582,L582,IF(B582&gt;AB582,Z582,L582+(Z582-L582)*MIN(MAX((B582-AA582+1)/MAX(AB582-AA582+1,1),0),1))))</f>
      </c>
      <c r="L582" s="67" t="str">
        <f>IFERROR(INDEX('Cost_Components'!$S$2:$S$27,MATCH(E582,'Cost_Components'!$A$2:$A$27,0)),"")</f>
      </c>
      <c r="M582" s="68" t="str">
        <f>IFERROR(INDEX('Cost_Components'!$L$2:$L$27,MATCH(E582,'Cost_Components'!$A$2:$A$27,0)),"")</f>
      </c>
      <c r="N582" s="69" t="str">
        <f>IFERROR(INDEX('Cost_Components'!$P$2:$P$27,MATCH(E582,'Cost_Components'!$A$2:$A$27,0)),"")</f>
      </c>
      <c r="O582" s="70" t="str">
        <f>AF582*J582</f>
      </c>
      <c r="P582" s="71" t="str">
        <f>AG582*J582</f>
      </c>
      <c r="Q582" s="72" t="str">
        <f>P582*L582*M582*N582</f>
      </c>
      <c r="R582" s="73" t="str">
        <f>O582*K582*M582*N582</f>
      </c>
      <c r="S582" s="74" t="str">
        <f>R582-Q582</f>
      </c>
      <c r="T582" s="20" t="str">
        <f>IFERROR(INDEX('Cost_Components'!$R$2:$R$27,MATCH(E582,'Cost_Components'!$A$2:$A$27,0)),"")</f>
      </c>
      <c r="U582" s="75" t="str">
        <f>IFERROR(INDEX('Cost_Components'!$Q$2:$Q$27,MATCH(E582,'Cost_Components'!$A$2:$A$27,0)),"")</f>
      </c>
      <c r="V582" s="76" t="str">
        <f>1/(1+'Calculation_Assumptions'!$B$5)^(B582-'Calculation_Assumptions'!$B$2)</f>
      </c>
      <c r="W582" s="77" t="str">
        <f>Q582*V582</f>
      </c>
      <c r="X582" s="78" t="str">
        <f>R582*V582</f>
      </c>
      <c r="Y582" s="79" t="str">
        <f>S582*V582</f>
      </c>
      <c r="Z582" s="80" t="str">
        <f>IFERROR(INDEX('Cost_Components'!$T$2:$T$27,MATCH(E582,'Cost_Components'!$A$2:$A$27,0)),"")</f>
      </c>
      <c r="AA582" s="81" t="str">
        <f>IFERROR(INDEX('Cost_Components'!$U$2:$U$27,MATCH(E582,'Cost_Components'!$A$2:$A$27,0)),"")</f>
      </c>
      <c r="AB582" s="82" t="str">
        <f>IFERROR(INDEX('Cost_Components'!$V$2:$V$27,MATCH(E582,'Cost_Components'!$A$2:$A$27,0)),"")</f>
      </c>
      <c r="AC582" s="83" t="str">
        <f>IFERROR(INDEX('Cost_Components'!$M$2:$M$27,MATCH(E582,'Cost_Components'!$A$2:$A$27,0)),"")</f>
      </c>
      <c r="AD582" s="84" t="str">
        <f>IFERROR(INDEX('Cost_Components'!$N$2:$N$27,MATCH(E582,'Cost_Components'!$A$2:$A$27,0)),"")</f>
      </c>
      <c r="AE582" s="20" t="str">
        <f>IFERROR(INDEX('Cost_Components'!$O$2:$O$27,MATCH(E582,'Cost_Components'!$A$2:$A$27,0)),"")</f>
      </c>
      <c r="AF582" s="85" t="n">
        <v>333654.015777361</v>
      </c>
      <c r="AG582" s="86" t="n">
        <v>333648.867258242</v>
      </c>
      <c r="AH582" s="87" t="str">
        <f>IF(H582="shared-count-once",COUNTIFS($A$2:$A$1353,A582,$B$2:$B$1353,B582,$E$2:$E$1353,E582),1)</f>
      </c>
    </row>
    <row r="583">
      <c r="A583" t="s">
        <v>220</v>
      </c>
      <c r="B583" s="59" t="n">
        <v>2034</v>
      </c>
      <c r="C583" t="s">
        <v>220</v>
      </c>
      <c r="D583" t="s">
        <v>184</v>
      </c>
      <c r="E583" s="60" t="s">
        <v>316</v>
      </c>
      <c r="F583" s="61" t="s">
        <v>317</v>
      </c>
      <c r="G583" s="62" t="s">
        <v>224</v>
      </c>
      <c r="H583" s="63" t="s">
        <v>195</v>
      </c>
      <c r="I583" s="64" t="s">
        <v>170</v>
      </c>
      <c r="J583" s="65" t="str">
        <f>IFERROR(INDEX('Cost_Components'!$K$2:$K$27,MATCH(E583,'Cost_Components'!$A$2:$A$27,0)),"")</f>
      </c>
      <c r="K583" s="66" t="str">
        <f>IF(OR(L583="",Z583="",AA583="",AB583=""),"",IF(B583&lt;AA583,L583,IF(B583&gt;AB583,Z583,L583+(Z583-L583)*MIN(MAX((B583-AA583+1)/MAX(AB583-AA583+1,1),0),1))))</f>
      </c>
      <c r="L583" s="67" t="str">
        <f>IFERROR(INDEX('Cost_Components'!$S$2:$S$27,MATCH(E583,'Cost_Components'!$A$2:$A$27,0)),"")</f>
      </c>
      <c r="M583" s="68" t="str">
        <f>IFERROR(INDEX('Cost_Components'!$L$2:$L$27,MATCH(E583,'Cost_Components'!$A$2:$A$27,0)),"")</f>
      </c>
      <c r="N583" s="69" t="str">
        <f>IFERROR(INDEX('Cost_Components'!$P$2:$P$27,MATCH(E583,'Cost_Components'!$A$2:$A$27,0)),"")</f>
      </c>
      <c r="O583" s="70" t="str">
        <f>AF583*J583</f>
      </c>
      <c r="P583" s="71" t="str">
        <f>AG583*J583</f>
      </c>
      <c r="Q583" s="72" t="str">
        <f>P583*L583*M583*N583</f>
      </c>
      <c r="R583" s="73" t="str">
        <f>O583*K583*M583*N583</f>
      </c>
      <c r="S583" s="74" t="str">
        <f>R583-Q583</f>
      </c>
      <c r="T583" s="20" t="str">
        <f>IFERROR(INDEX('Cost_Components'!$R$2:$R$27,MATCH(E583,'Cost_Components'!$A$2:$A$27,0)),"")</f>
      </c>
      <c r="U583" s="75" t="str">
        <f>IFERROR(INDEX('Cost_Components'!$Q$2:$Q$27,MATCH(E583,'Cost_Components'!$A$2:$A$27,0)),"")</f>
      </c>
      <c r="V583" s="76" t="str">
        <f>1/(1+'Calculation_Assumptions'!$B$5)^(B583-'Calculation_Assumptions'!$B$2)</f>
      </c>
      <c r="W583" s="77" t="str">
        <f>Q583*V583</f>
      </c>
      <c r="X583" s="78" t="str">
        <f>R583*V583</f>
      </c>
      <c r="Y583" s="79" t="str">
        <f>S583*V583</f>
      </c>
      <c r="Z583" s="80" t="str">
        <f>IFERROR(INDEX('Cost_Components'!$T$2:$T$27,MATCH(E583,'Cost_Components'!$A$2:$A$27,0)),"")</f>
      </c>
      <c r="AA583" s="81" t="str">
        <f>IFERROR(INDEX('Cost_Components'!$U$2:$U$27,MATCH(E583,'Cost_Components'!$A$2:$A$27,0)),"")</f>
      </c>
      <c r="AB583" s="82" t="str">
        <f>IFERROR(INDEX('Cost_Components'!$V$2:$V$27,MATCH(E583,'Cost_Components'!$A$2:$A$27,0)),"")</f>
      </c>
      <c r="AC583" s="83" t="str">
        <f>IFERROR(INDEX('Cost_Components'!$M$2:$M$27,MATCH(E583,'Cost_Components'!$A$2:$A$27,0)),"")</f>
      </c>
      <c r="AD583" s="84" t="str">
        <f>IFERROR(INDEX('Cost_Components'!$N$2:$N$27,MATCH(E583,'Cost_Components'!$A$2:$A$27,0)),"")</f>
      </c>
      <c r="AE583" s="20" t="str">
        <f>IFERROR(INDEX('Cost_Components'!$O$2:$O$27,MATCH(E583,'Cost_Components'!$A$2:$A$27,0)),"")</f>
      </c>
      <c r="AF583" s="85" t="n">
        <v>334680.318191401</v>
      </c>
      <c r="AG583" s="86" t="n">
        <v>334674.203772287</v>
      </c>
      <c r="AH583" s="87" t="str">
        <f>IF(H583="shared-count-once",COUNTIFS($A$2:$A$1353,A583,$B$2:$B$1353,B583,$E$2:$E$1353,E583),1)</f>
      </c>
    </row>
    <row r="584">
      <c r="A584" t="s">
        <v>220</v>
      </c>
      <c r="B584" s="59" t="n">
        <v>2035</v>
      </c>
      <c r="C584" t="s">
        <v>220</v>
      </c>
      <c r="D584" t="s">
        <v>184</v>
      </c>
      <c r="E584" s="60" t="s">
        <v>316</v>
      </c>
      <c r="F584" s="61" t="s">
        <v>317</v>
      </c>
      <c r="G584" s="62" t="s">
        <v>224</v>
      </c>
      <c r="H584" s="63" t="s">
        <v>195</v>
      </c>
      <c r="I584" s="64" t="s">
        <v>170</v>
      </c>
      <c r="J584" s="65" t="str">
        <f>IFERROR(INDEX('Cost_Components'!$K$2:$K$27,MATCH(E584,'Cost_Components'!$A$2:$A$27,0)),"")</f>
      </c>
      <c r="K584" s="66" t="str">
        <f>IF(OR(L584="",Z584="",AA584="",AB584=""),"",IF(B584&lt;AA584,L584,IF(B584&gt;AB584,Z584,L584+(Z584-L584)*MIN(MAX((B584-AA584+1)/MAX(AB584-AA584+1,1),0),1))))</f>
      </c>
      <c r="L584" s="67" t="str">
        <f>IFERROR(INDEX('Cost_Components'!$S$2:$S$27,MATCH(E584,'Cost_Components'!$A$2:$A$27,0)),"")</f>
      </c>
      <c r="M584" s="68" t="str">
        <f>IFERROR(INDEX('Cost_Components'!$L$2:$L$27,MATCH(E584,'Cost_Components'!$A$2:$A$27,0)),"")</f>
      </c>
      <c r="N584" s="69" t="str">
        <f>IFERROR(INDEX('Cost_Components'!$P$2:$P$27,MATCH(E584,'Cost_Components'!$A$2:$A$27,0)),"")</f>
      </c>
      <c r="O584" s="70" t="str">
        <f>AF584*J584</f>
      </c>
      <c r="P584" s="71" t="str">
        <f>AG584*J584</f>
      </c>
      <c r="Q584" s="72" t="str">
        <f>P584*L584*M584*N584</f>
      </c>
      <c r="R584" s="73" t="str">
        <f>O584*K584*M584*N584</f>
      </c>
      <c r="S584" s="74" t="str">
        <f>R584-Q584</f>
      </c>
      <c r="T584" s="20" t="str">
        <f>IFERROR(INDEX('Cost_Components'!$R$2:$R$27,MATCH(E584,'Cost_Components'!$A$2:$A$27,0)),"")</f>
      </c>
      <c r="U584" s="75" t="str">
        <f>IFERROR(INDEX('Cost_Components'!$Q$2:$Q$27,MATCH(E584,'Cost_Components'!$A$2:$A$27,0)),"")</f>
      </c>
      <c r="V584" s="76" t="str">
        <f>1/(1+'Calculation_Assumptions'!$B$5)^(B584-'Calculation_Assumptions'!$B$2)</f>
      </c>
      <c r="W584" s="77" t="str">
        <f>Q584*V584</f>
      </c>
      <c r="X584" s="78" t="str">
        <f>R584*V584</f>
      </c>
      <c r="Y584" s="79" t="str">
        <f>S584*V584</f>
      </c>
      <c r="Z584" s="80" t="str">
        <f>IFERROR(INDEX('Cost_Components'!$T$2:$T$27,MATCH(E584,'Cost_Components'!$A$2:$A$27,0)),"")</f>
      </c>
      <c r="AA584" s="81" t="str">
        <f>IFERROR(INDEX('Cost_Components'!$U$2:$U$27,MATCH(E584,'Cost_Components'!$A$2:$A$27,0)),"")</f>
      </c>
      <c r="AB584" s="82" t="str">
        <f>IFERROR(INDEX('Cost_Components'!$V$2:$V$27,MATCH(E584,'Cost_Components'!$A$2:$A$27,0)),"")</f>
      </c>
      <c r="AC584" s="83" t="str">
        <f>IFERROR(INDEX('Cost_Components'!$M$2:$M$27,MATCH(E584,'Cost_Components'!$A$2:$A$27,0)),"")</f>
      </c>
      <c r="AD584" s="84" t="str">
        <f>IFERROR(INDEX('Cost_Components'!$N$2:$N$27,MATCH(E584,'Cost_Components'!$A$2:$A$27,0)),"")</f>
      </c>
      <c r="AE584" s="20" t="str">
        <f>IFERROR(INDEX('Cost_Components'!$O$2:$O$27,MATCH(E584,'Cost_Components'!$A$2:$A$27,0)),"")</f>
      </c>
      <c r="AF584" s="85" t="n">
        <v>337931.786696647</v>
      </c>
      <c r="AG584" s="86" t="n">
        <v>337924.768863803</v>
      </c>
      <c r="AH584" s="87" t="str">
        <f>IF(H584="shared-count-once",COUNTIFS($A$2:$A$1353,A584,$B$2:$B$1353,B584,$E$2:$E$1353,E584),1)</f>
      </c>
    </row>
    <row r="585">
      <c r="A585" t="s">
        <v>220</v>
      </c>
      <c r="B585" s="59" t="n">
        <v>2036</v>
      </c>
      <c r="C585" t="s">
        <v>220</v>
      </c>
      <c r="D585" t="s">
        <v>184</v>
      </c>
      <c r="E585" s="60" t="s">
        <v>316</v>
      </c>
      <c r="F585" s="61" t="s">
        <v>317</v>
      </c>
      <c r="G585" s="62" t="s">
        <v>224</v>
      </c>
      <c r="H585" s="63" t="s">
        <v>195</v>
      </c>
      <c r="I585" s="64" t="s">
        <v>170</v>
      </c>
      <c r="J585" s="65" t="str">
        <f>IFERROR(INDEX('Cost_Components'!$K$2:$K$27,MATCH(E585,'Cost_Components'!$A$2:$A$27,0)),"")</f>
      </c>
      <c r="K585" s="66" t="str">
        <f>IF(OR(L585="",Z585="",AA585="",AB585=""),"",IF(B585&lt;AA585,L585,IF(B585&gt;AB585,Z585,L585+(Z585-L585)*MIN(MAX((B585-AA585+1)/MAX(AB585-AA585+1,1),0),1))))</f>
      </c>
      <c r="L585" s="67" t="str">
        <f>IFERROR(INDEX('Cost_Components'!$S$2:$S$27,MATCH(E585,'Cost_Components'!$A$2:$A$27,0)),"")</f>
      </c>
      <c r="M585" s="68" t="str">
        <f>IFERROR(INDEX('Cost_Components'!$L$2:$L$27,MATCH(E585,'Cost_Components'!$A$2:$A$27,0)),"")</f>
      </c>
      <c r="N585" s="69" t="str">
        <f>IFERROR(INDEX('Cost_Components'!$P$2:$P$27,MATCH(E585,'Cost_Components'!$A$2:$A$27,0)),"")</f>
      </c>
      <c r="O585" s="70" t="str">
        <f>AF585*J585</f>
      </c>
      <c r="P585" s="71" t="str">
        <f>AG585*J585</f>
      </c>
      <c r="Q585" s="72" t="str">
        <f>P585*L585*M585*N585</f>
      </c>
      <c r="R585" s="73" t="str">
        <f>O585*K585*M585*N585</f>
      </c>
      <c r="S585" s="74" t="str">
        <f>R585-Q585</f>
      </c>
      <c r="T585" s="20" t="str">
        <f>IFERROR(INDEX('Cost_Components'!$R$2:$R$27,MATCH(E585,'Cost_Components'!$A$2:$A$27,0)),"")</f>
      </c>
      <c r="U585" s="75" t="str">
        <f>IFERROR(INDEX('Cost_Components'!$Q$2:$Q$27,MATCH(E585,'Cost_Components'!$A$2:$A$27,0)),"")</f>
      </c>
      <c r="V585" s="76" t="str">
        <f>1/(1+'Calculation_Assumptions'!$B$5)^(B585-'Calculation_Assumptions'!$B$2)</f>
      </c>
      <c r="W585" s="77" t="str">
        <f>Q585*V585</f>
      </c>
      <c r="X585" s="78" t="str">
        <f>R585*V585</f>
      </c>
      <c r="Y585" s="79" t="str">
        <f>S585*V585</f>
      </c>
      <c r="Z585" s="80" t="str">
        <f>IFERROR(INDEX('Cost_Components'!$T$2:$T$27,MATCH(E585,'Cost_Components'!$A$2:$A$27,0)),"")</f>
      </c>
      <c r="AA585" s="81" t="str">
        <f>IFERROR(INDEX('Cost_Components'!$U$2:$U$27,MATCH(E585,'Cost_Components'!$A$2:$A$27,0)),"")</f>
      </c>
      <c r="AB585" s="82" t="str">
        <f>IFERROR(INDEX('Cost_Components'!$V$2:$V$27,MATCH(E585,'Cost_Components'!$A$2:$A$27,0)),"")</f>
      </c>
      <c r="AC585" s="83" t="str">
        <f>IFERROR(INDEX('Cost_Components'!$M$2:$M$27,MATCH(E585,'Cost_Components'!$A$2:$A$27,0)),"")</f>
      </c>
      <c r="AD585" s="84" t="str">
        <f>IFERROR(INDEX('Cost_Components'!$N$2:$N$27,MATCH(E585,'Cost_Components'!$A$2:$A$27,0)),"")</f>
      </c>
      <c r="AE585" s="20" t="str">
        <f>IFERROR(INDEX('Cost_Components'!$O$2:$O$27,MATCH(E585,'Cost_Components'!$A$2:$A$27,0)),"")</f>
      </c>
      <c r="AF585" s="85" t="n">
        <v>341377.292327044</v>
      </c>
      <c r="AG585" s="86" t="n">
        <v>341369.347065037</v>
      </c>
      <c r="AH585" s="87" t="str">
        <f>IF(H585="shared-count-once",COUNTIFS($A$2:$A$1353,A585,$B$2:$B$1353,B585,$E$2:$E$1353,E585),1)</f>
      </c>
    </row>
    <row r="586">
      <c r="A586" t="s">
        <v>220</v>
      </c>
      <c r="B586" s="59" t="n">
        <v>2037</v>
      </c>
      <c r="C586" t="s">
        <v>220</v>
      </c>
      <c r="D586" t="s">
        <v>184</v>
      </c>
      <c r="E586" s="60" t="s">
        <v>316</v>
      </c>
      <c r="F586" s="61" t="s">
        <v>317</v>
      </c>
      <c r="G586" s="62" t="s">
        <v>224</v>
      </c>
      <c r="H586" s="63" t="s">
        <v>195</v>
      </c>
      <c r="I586" s="64" t="s">
        <v>170</v>
      </c>
      <c r="J586" s="65" t="str">
        <f>IFERROR(INDEX('Cost_Components'!$K$2:$K$27,MATCH(E586,'Cost_Components'!$A$2:$A$27,0)),"")</f>
      </c>
      <c r="K586" s="66" t="str">
        <f>IF(OR(L586="",Z586="",AA586="",AB586=""),"",IF(B586&lt;AA586,L586,IF(B586&gt;AB586,Z586,L586+(Z586-L586)*MIN(MAX((B586-AA586+1)/MAX(AB586-AA586+1,1),0),1))))</f>
      </c>
      <c r="L586" s="67" t="str">
        <f>IFERROR(INDEX('Cost_Components'!$S$2:$S$27,MATCH(E586,'Cost_Components'!$A$2:$A$27,0)),"")</f>
      </c>
      <c r="M586" s="68" t="str">
        <f>IFERROR(INDEX('Cost_Components'!$L$2:$L$27,MATCH(E586,'Cost_Components'!$A$2:$A$27,0)),"")</f>
      </c>
      <c r="N586" s="69" t="str">
        <f>IFERROR(INDEX('Cost_Components'!$P$2:$P$27,MATCH(E586,'Cost_Components'!$A$2:$A$27,0)),"")</f>
      </c>
      <c r="O586" s="70" t="str">
        <f>AF586*J586</f>
      </c>
      <c r="P586" s="71" t="str">
        <f>AG586*J586</f>
      </c>
      <c r="Q586" s="72" t="str">
        <f>P586*L586*M586*N586</f>
      </c>
      <c r="R586" s="73" t="str">
        <f>O586*K586*M586*N586</f>
      </c>
      <c r="S586" s="74" t="str">
        <f>R586-Q586</f>
      </c>
      <c r="T586" s="20" t="str">
        <f>IFERROR(INDEX('Cost_Components'!$R$2:$R$27,MATCH(E586,'Cost_Components'!$A$2:$A$27,0)),"")</f>
      </c>
      <c r="U586" s="75" t="str">
        <f>IFERROR(INDEX('Cost_Components'!$Q$2:$Q$27,MATCH(E586,'Cost_Components'!$A$2:$A$27,0)),"")</f>
      </c>
      <c r="V586" s="76" t="str">
        <f>1/(1+'Calculation_Assumptions'!$B$5)^(B586-'Calculation_Assumptions'!$B$2)</f>
      </c>
      <c r="W586" s="77" t="str">
        <f>Q586*V586</f>
      </c>
      <c r="X586" s="78" t="str">
        <f>R586*V586</f>
      </c>
      <c r="Y586" s="79" t="str">
        <f>S586*V586</f>
      </c>
      <c r="Z586" s="80" t="str">
        <f>IFERROR(INDEX('Cost_Components'!$T$2:$T$27,MATCH(E586,'Cost_Components'!$A$2:$A$27,0)),"")</f>
      </c>
      <c r="AA586" s="81" t="str">
        <f>IFERROR(INDEX('Cost_Components'!$U$2:$U$27,MATCH(E586,'Cost_Components'!$A$2:$A$27,0)),"")</f>
      </c>
      <c r="AB586" s="82" t="str">
        <f>IFERROR(INDEX('Cost_Components'!$V$2:$V$27,MATCH(E586,'Cost_Components'!$A$2:$A$27,0)),"")</f>
      </c>
      <c r="AC586" s="83" t="str">
        <f>IFERROR(INDEX('Cost_Components'!$M$2:$M$27,MATCH(E586,'Cost_Components'!$A$2:$A$27,0)),"")</f>
      </c>
      <c r="AD586" s="84" t="str">
        <f>IFERROR(INDEX('Cost_Components'!$N$2:$N$27,MATCH(E586,'Cost_Components'!$A$2:$A$27,0)),"")</f>
      </c>
      <c r="AE586" s="20" t="str">
        <f>IFERROR(INDEX('Cost_Components'!$O$2:$O$27,MATCH(E586,'Cost_Components'!$A$2:$A$27,0)),"")</f>
      </c>
      <c r="AF586" s="85" t="n">
        <v>345291.289048052</v>
      </c>
      <c r="AG586" s="86" t="n">
        <v>345282.393340026</v>
      </c>
      <c r="AH586" s="87" t="str">
        <f>IF(H586="shared-count-once",COUNTIFS($A$2:$A$1353,A586,$B$2:$B$1353,B586,$E$2:$E$1353,E586),1)</f>
      </c>
    </row>
    <row r="587">
      <c r="A587" t="s">
        <v>220</v>
      </c>
      <c r="B587" s="59" t="n">
        <v>2038</v>
      </c>
      <c r="C587" t="s">
        <v>220</v>
      </c>
      <c r="D587" t="s">
        <v>184</v>
      </c>
      <c r="E587" s="60" t="s">
        <v>316</v>
      </c>
      <c r="F587" s="61" t="s">
        <v>317</v>
      </c>
      <c r="G587" s="62" t="s">
        <v>224</v>
      </c>
      <c r="H587" s="63" t="s">
        <v>195</v>
      </c>
      <c r="I587" s="64" t="s">
        <v>170</v>
      </c>
      <c r="J587" s="65" t="str">
        <f>IFERROR(INDEX('Cost_Components'!$K$2:$K$27,MATCH(E587,'Cost_Components'!$A$2:$A$27,0)),"")</f>
      </c>
      <c r="K587" s="66" t="str">
        <f>IF(OR(L587="",Z587="",AA587="",AB587=""),"",IF(B587&lt;AA587,L587,IF(B587&gt;AB587,Z587,L587+(Z587-L587)*MIN(MAX((B587-AA587+1)/MAX(AB587-AA587+1,1),0),1))))</f>
      </c>
      <c r="L587" s="67" t="str">
        <f>IFERROR(INDEX('Cost_Components'!$S$2:$S$27,MATCH(E587,'Cost_Components'!$A$2:$A$27,0)),"")</f>
      </c>
      <c r="M587" s="68" t="str">
        <f>IFERROR(INDEX('Cost_Components'!$L$2:$L$27,MATCH(E587,'Cost_Components'!$A$2:$A$27,0)),"")</f>
      </c>
      <c r="N587" s="69" t="str">
        <f>IFERROR(INDEX('Cost_Components'!$P$2:$P$27,MATCH(E587,'Cost_Components'!$A$2:$A$27,0)),"")</f>
      </c>
      <c r="O587" s="70" t="str">
        <f>AF587*J587</f>
      </c>
      <c r="P587" s="71" t="str">
        <f>AG587*J587</f>
      </c>
      <c r="Q587" s="72" t="str">
        <f>P587*L587*M587*N587</f>
      </c>
      <c r="R587" s="73" t="str">
        <f>O587*K587*M587*N587</f>
      </c>
      <c r="S587" s="74" t="str">
        <f>R587-Q587</f>
      </c>
      <c r="T587" s="20" t="str">
        <f>IFERROR(INDEX('Cost_Components'!$R$2:$R$27,MATCH(E587,'Cost_Components'!$A$2:$A$27,0)),"")</f>
      </c>
      <c r="U587" s="75" t="str">
        <f>IFERROR(INDEX('Cost_Components'!$Q$2:$Q$27,MATCH(E587,'Cost_Components'!$A$2:$A$27,0)),"")</f>
      </c>
      <c r="V587" s="76" t="str">
        <f>1/(1+'Calculation_Assumptions'!$B$5)^(B587-'Calculation_Assumptions'!$B$2)</f>
      </c>
      <c r="W587" s="77" t="str">
        <f>Q587*V587</f>
      </c>
      <c r="X587" s="78" t="str">
        <f>R587*V587</f>
      </c>
      <c r="Y587" s="79" t="str">
        <f>S587*V587</f>
      </c>
      <c r="Z587" s="80" t="str">
        <f>IFERROR(INDEX('Cost_Components'!$T$2:$T$27,MATCH(E587,'Cost_Components'!$A$2:$A$27,0)),"")</f>
      </c>
      <c r="AA587" s="81" t="str">
        <f>IFERROR(INDEX('Cost_Components'!$U$2:$U$27,MATCH(E587,'Cost_Components'!$A$2:$A$27,0)),"")</f>
      </c>
      <c r="AB587" s="82" t="str">
        <f>IFERROR(INDEX('Cost_Components'!$V$2:$V$27,MATCH(E587,'Cost_Components'!$A$2:$A$27,0)),"")</f>
      </c>
      <c r="AC587" s="83" t="str">
        <f>IFERROR(INDEX('Cost_Components'!$M$2:$M$27,MATCH(E587,'Cost_Components'!$A$2:$A$27,0)),"")</f>
      </c>
      <c r="AD587" s="84" t="str">
        <f>IFERROR(INDEX('Cost_Components'!$N$2:$N$27,MATCH(E587,'Cost_Components'!$A$2:$A$27,0)),"")</f>
      </c>
      <c r="AE587" s="20" t="str">
        <f>IFERROR(INDEX('Cost_Components'!$O$2:$O$27,MATCH(E587,'Cost_Components'!$A$2:$A$27,0)),"")</f>
      </c>
      <c r="AF587" s="85" t="n">
        <v>349851.007269174</v>
      </c>
      <c r="AG587" s="86" t="n">
        <v>349841.170119383</v>
      </c>
      <c r="AH587" s="87" t="str">
        <f>IF(H587="shared-count-once",COUNTIFS($A$2:$A$1353,A587,$B$2:$B$1353,B587,$E$2:$E$1353,E587),1)</f>
      </c>
    </row>
    <row r="588">
      <c r="A588" t="s">
        <v>220</v>
      </c>
      <c r="B588" s="59" t="n">
        <v>2039</v>
      </c>
      <c r="C588" t="s">
        <v>220</v>
      </c>
      <c r="D588" t="s">
        <v>184</v>
      </c>
      <c r="E588" s="60" t="s">
        <v>316</v>
      </c>
      <c r="F588" s="61" t="s">
        <v>317</v>
      </c>
      <c r="G588" s="62" t="s">
        <v>224</v>
      </c>
      <c r="H588" s="63" t="s">
        <v>195</v>
      </c>
      <c r="I588" s="64" t="s">
        <v>170</v>
      </c>
      <c r="J588" s="65" t="str">
        <f>IFERROR(INDEX('Cost_Components'!$K$2:$K$27,MATCH(E588,'Cost_Components'!$A$2:$A$27,0)),"")</f>
      </c>
      <c r="K588" s="66" t="str">
        <f>IF(OR(L588="",Z588="",AA588="",AB588=""),"",IF(B588&lt;AA588,L588,IF(B588&gt;AB588,Z588,L588+(Z588-L588)*MIN(MAX((B588-AA588+1)/MAX(AB588-AA588+1,1),0),1))))</f>
      </c>
      <c r="L588" s="67" t="str">
        <f>IFERROR(INDEX('Cost_Components'!$S$2:$S$27,MATCH(E588,'Cost_Components'!$A$2:$A$27,0)),"")</f>
      </c>
      <c r="M588" s="68" t="str">
        <f>IFERROR(INDEX('Cost_Components'!$L$2:$L$27,MATCH(E588,'Cost_Components'!$A$2:$A$27,0)),"")</f>
      </c>
      <c r="N588" s="69" t="str">
        <f>IFERROR(INDEX('Cost_Components'!$P$2:$P$27,MATCH(E588,'Cost_Components'!$A$2:$A$27,0)),"")</f>
      </c>
      <c r="O588" s="70" t="str">
        <f>AF588*J588</f>
      </c>
      <c r="P588" s="71" t="str">
        <f>AG588*J588</f>
      </c>
      <c r="Q588" s="72" t="str">
        <f>P588*L588*M588*N588</f>
      </c>
      <c r="R588" s="73" t="str">
        <f>O588*K588*M588*N588</f>
      </c>
      <c r="S588" s="74" t="str">
        <f>R588-Q588</f>
      </c>
      <c r="T588" s="20" t="str">
        <f>IFERROR(INDEX('Cost_Components'!$R$2:$R$27,MATCH(E588,'Cost_Components'!$A$2:$A$27,0)),"")</f>
      </c>
      <c r="U588" s="75" t="str">
        <f>IFERROR(INDEX('Cost_Components'!$Q$2:$Q$27,MATCH(E588,'Cost_Components'!$A$2:$A$27,0)),"")</f>
      </c>
      <c r="V588" s="76" t="str">
        <f>1/(1+'Calculation_Assumptions'!$B$5)^(B588-'Calculation_Assumptions'!$B$2)</f>
      </c>
      <c r="W588" s="77" t="str">
        <f>Q588*V588</f>
      </c>
      <c r="X588" s="78" t="str">
        <f>R588*V588</f>
      </c>
      <c r="Y588" s="79" t="str">
        <f>S588*V588</f>
      </c>
      <c r="Z588" s="80" t="str">
        <f>IFERROR(INDEX('Cost_Components'!$T$2:$T$27,MATCH(E588,'Cost_Components'!$A$2:$A$27,0)),"")</f>
      </c>
      <c r="AA588" s="81" t="str">
        <f>IFERROR(INDEX('Cost_Components'!$U$2:$U$27,MATCH(E588,'Cost_Components'!$A$2:$A$27,0)),"")</f>
      </c>
      <c r="AB588" s="82" t="str">
        <f>IFERROR(INDEX('Cost_Components'!$V$2:$V$27,MATCH(E588,'Cost_Components'!$A$2:$A$27,0)),"")</f>
      </c>
      <c r="AC588" s="83" t="str">
        <f>IFERROR(INDEX('Cost_Components'!$M$2:$M$27,MATCH(E588,'Cost_Components'!$A$2:$A$27,0)),"")</f>
      </c>
      <c r="AD588" s="84" t="str">
        <f>IFERROR(INDEX('Cost_Components'!$N$2:$N$27,MATCH(E588,'Cost_Components'!$A$2:$A$27,0)),"")</f>
      </c>
      <c r="AE588" s="20" t="str">
        <f>IFERROR(INDEX('Cost_Components'!$O$2:$O$27,MATCH(E588,'Cost_Components'!$A$2:$A$27,0)),"")</f>
      </c>
      <c r="AF588" s="85" t="n">
        <v>352037.35372914</v>
      </c>
      <c r="AG588" s="86" t="n">
        <v>352026.389852762</v>
      </c>
      <c r="AH588" s="87" t="str">
        <f>IF(H588="shared-count-once",COUNTIFS($A$2:$A$1353,A588,$B$2:$B$1353,B588,$E$2:$E$1353,E588),1)</f>
      </c>
    </row>
    <row r="589">
      <c r="A589" t="s">
        <v>220</v>
      </c>
      <c r="B589" s="59" t="n">
        <v>2040</v>
      </c>
      <c r="C589" t="s">
        <v>220</v>
      </c>
      <c r="D589" t="s">
        <v>184</v>
      </c>
      <c r="E589" s="60" t="s">
        <v>316</v>
      </c>
      <c r="F589" s="61" t="s">
        <v>317</v>
      </c>
      <c r="G589" s="62" t="s">
        <v>224</v>
      </c>
      <c r="H589" s="63" t="s">
        <v>195</v>
      </c>
      <c r="I589" s="64" t="s">
        <v>170</v>
      </c>
      <c r="J589" s="65" t="str">
        <f>IFERROR(INDEX('Cost_Components'!$K$2:$K$27,MATCH(E589,'Cost_Components'!$A$2:$A$27,0)),"")</f>
      </c>
      <c r="K589" s="66" t="str">
        <f>IF(OR(L589="",Z589="",AA589="",AB589=""),"",IF(B589&lt;AA589,L589,IF(B589&gt;AB589,Z589,L589+(Z589-L589)*MIN(MAX((B589-AA589+1)/MAX(AB589-AA589+1,1),0),1))))</f>
      </c>
      <c r="L589" s="67" t="str">
        <f>IFERROR(INDEX('Cost_Components'!$S$2:$S$27,MATCH(E589,'Cost_Components'!$A$2:$A$27,0)),"")</f>
      </c>
      <c r="M589" s="68" t="str">
        <f>IFERROR(INDEX('Cost_Components'!$L$2:$L$27,MATCH(E589,'Cost_Components'!$A$2:$A$27,0)),"")</f>
      </c>
      <c r="N589" s="69" t="str">
        <f>IFERROR(INDEX('Cost_Components'!$P$2:$P$27,MATCH(E589,'Cost_Components'!$A$2:$A$27,0)),"")</f>
      </c>
      <c r="O589" s="70" t="str">
        <f>AF589*J589</f>
      </c>
      <c r="P589" s="71" t="str">
        <f>AG589*J589</f>
      </c>
      <c r="Q589" s="72" t="str">
        <f>P589*L589*M589*N589</f>
      </c>
      <c r="R589" s="73" t="str">
        <f>O589*K589*M589*N589</f>
      </c>
      <c r="S589" s="74" t="str">
        <f>R589-Q589</f>
      </c>
      <c r="T589" s="20" t="str">
        <f>IFERROR(INDEX('Cost_Components'!$R$2:$R$27,MATCH(E589,'Cost_Components'!$A$2:$A$27,0)),"")</f>
      </c>
      <c r="U589" s="75" t="str">
        <f>IFERROR(INDEX('Cost_Components'!$Q$2:$Q$27,MATCH(E589,'Cost_Components'!$A$2:$A$27,0)),"")</f>
      </c>
      <c r="V589" s="76" t="str">
        <f>1/(1+'Calculation_Assumptions'!$B$5)^(B589-'Calculation_Assumptions'!$B$2)</f>
      </c>
      <c r="W589" s="77" t="str">
        <f>Q589*V589</f>
      </c>
      <c r="X589" s="78" t="str">
        <f>R589*V589</f>
      </c>
      <c r="Y589" s="79" t="str">
        <f>S589*V589</f>
      </c>
      <c r="Z589" s="80" t="str">
        <f>IFERROR(INDEX('Cost_Components'!$T$2:$T$27,MATCH(E589,'Cost_Components'!$A$2:$A$27,0)),"")</f>
      </c>
      <c r="AA589" s="81" t="str">
        <f>IFERROR(INDEX('Cost_Components'!$U$2:$U$27,MATCH(E589,'Cost_Components'!$A$2:$A$27,0)),"")</f>
      </c>
      <c r="AB589" s="82" t="str">
        <f>IFERROR(INDEX('Cost_Components'!$V$2:$V$27,MATCH(E589,'Cost_Components'!$A$2:$A$27,0)),"")</f>
      </c>
      <c r="AC589" s="83" t="str">
        <f>IFERROR(INDEX('Cost_Components'!$M$2:$M$27,MATCH(E589,'Cost_Components'!$A$2:$A$27,0)),"")</f>
      </c>
      <c r="AD589" s="84" t="str">
        <f>IFERROR(INDEX('Cost_Components'!$N$2:$N$27,MATCH(E589,'Cost_Components'!$A$2:$A$27,0)),"")</f>
      </c>
      <c r="AE589" s="20" t="str">
        <f>IFERROR(INDEX('Cost_Components'!$O$2:$O$27,MATCH(E589,'Cost_Components'!$A$2:$A$27,0)),"")</f>
      </c>
      <c r="AF589" s="85" t="n">
        <v>355866.40188835</v>
      </c>
      <c r="AG589" s="86" t="n">
        <v>355854.445909176</v>
      </c>
      <c r="AH589" s="87" t="str">
        <f>IF(H589="shared-count-once",COUNTIFS($A$2:$A$1353,A589,$B$2:$B$1353,B589,$E$2:$E$1353,E589),1)</f>
      </c>
    </row>
    <row r="590">
      <c r="A590" t="s">
        <v>220</v>
      </c>
      <c r="B590" s="59" t="n">
        <v>2041</v>
      </c>
      <c r="C590" t="s">
        <v>220</v>
      </c>
      <c r="D590" t="s">
        <v>184</v>
      </c>
      <c r="E590" s="60" t="s">
        <v>316</v>
      </c>
      <c r="F590" s="61" t="s">
        <v>317</v>
      </c>
      <c r="G590" s="62" t="s">
        <v>224</v>
      </c>
      <c r="H590" s="63" t="s">
        <v>195</v>
      </c>
      <c r="I590" s="64" t="s">
        <v>170</v>
      </c>
      <c r="J590" s="65" t="str">
        <f>IFERROR(INDEX('Cost_Components'!$K$2:$K$27,MATCH(E590,'Cost_Components'!$A$2:$A$27,0)),"")</f>
      </c>
      <c r="K590" s="66" t="str">
        <f>IF(OR(L590="",Z590="",AA590="",AB590=""),"",IF(B590&lt;AA590,L590,IF(B590&gt;AB590,Z590,L590+(Z590-L590)*MIN(MAX((B590-AA590+1)/MAX(AB590-AA590+1,1),0),1))))</f>
      </c>
      <c r="L590" s="67" t="str">
        <f>IFERROR(INDEX('Cost_Components'!$S$2:$S$27,MATCH(E590,'Cost_Components'!$A$2:$A$27,0)),"")</f>
      </c>
      <c r="M590" s="68" t="str">
        <f>IFERROR(INDEX('Cost_Components'!$L$2:$L$27,MATCH(E590,'Cost_Components'!$A$2:$A$27,0)),"")</f>
      </c>
      <c r="N590" s="69" t="str">
        <f>IFERROR(INDEX('Cost_Components'!$P$2:$P$27,MATCH(E590,'Cost_Components'!$A$2:$A$27,0)),"")</f>
      </c>
      <c r="O590" s="70" t="str">
        <f>AF590*J590</f>
      </c>
      <c r="P590" s="71" t="str">
        <f>AG590*J590</f>
      </c>
      <c r="Q590" s="72" t="str">
        <f>P590*L590*M590*N590</f>
      </c>
      <c r="R590" s="73" t="str">
        <f>O590*K590*M590*N590</f>
      </c>
      <c r="S590" s="74" t="str">
        <f>R590-Q590</f>
      </c>
      <c r="T590" s="20" t="str">
        <f>IFERROR(INDEX('Cost_Components'!$R$2:$R$27,MATCH(E590,'Cost_Components'!$A$2:$A$27,0)),"")</f>
      </c>
      <c r="U590" s="75" t="str">
        <f>IFERROR(INDEX('Cost_Components'!$Q$2:$Q$27,MATCH(E590,'Cost_Components'!$A$2:$A$27,0)),"")</f>
      </c>
      <c r="V590" s="76" t="str">
        <f>1/(1+'Calculation_Assumptions'!$B$5)^(B590-'Calculation_Assumptions'!$B$2)</f>
      </c>
      <c r="W590" s="77" t="str">
        <f>Q590*V590</f>
      </c>
      <c r="X590" s="78" t="str">
        <f>R590*V590</f>
      </c>
      <c r="Y590" s="79" t="str">
        <f>S590*V590</f>
      </c>
      <c r="Z590" s="80" t="str">
        <f>IFERROR(INDEX('Cost_Components'!$T$2:$T$27,MATCH(E590,'Cost_Components'!$A$2:$A$27,0)),"")</f>
      </c>
      <c r="AA590" s="81" t="str">
        <f>IFERROR(INDEX('Cost_Components'!$U$2:$U$27,MATCH(E590,'Cost_Components'!$A$2:$A$27,0)),"")</f>
      </c>
      <c r="AB590" s="82" t="str">
        <f>IFERROR(INDEX('Cost_Components'!$V$2:$V$27,MATCH(E590,'Cost_Components'!$A$2:$A$27,0)),"")</f>
      </c>
      <c r="AC590" s="83" t="str">
        <f>IFERROR(INDEX('Cost_Components'!$M$2:$M$27,MATCH(E590,'Cost_Components'!$A$2:$A$27,0)),"")</f>
      </c>
      <c r="AD590" s="84" t="str">
        <f>IFERROR(INDEX('Cost_Components'!$N$2:$N$27,MATCH(E590,'Cost_Components'!$A$2:$A$27,0)),"")</f>
      </c>
      <c r="AE590" s="20" t="str">
        <f>IFERROR(INDEX('Cost_Components'!$O$2:$O$27,MATCH(E590,'Cost_Components'!$A$2:$A$27,0)),"")</f>
      </c>
      <c r="AF590" s="85" t="n">
        <v>359661.868784374</v>
      </c>
      <c r="AG590" s="86" t="n">
        <v>359648.918487635</v>
      </c>
      <c r="AH590" s="87" t="str">
        <f>IF(H590="shared-count-once",COUNTIFS($A$2:$A$1353,A590,$B$2:$B$1353,B590,$E$2:$E$1353,E590),1)</f>
      </c>
    </row>
    <row r="591">
      <c r="A591" t="s">
        <v>220</v>
      </c>
      <c r="B591" s="59" t="n">
        <v>2042</v>
      </c>
      <c r="C591" t="s">
        <v>220</v>
      </c>
      <c r="D591" t="s">
        <v>184</v>
      </c>
      <c r="E591" s="60" t="s">
        <v>316</v>
      </c>
      <c r="F591" s="61" t="s">
        <v>317</v>
      </c>
      <c r="G591" s="62" t="s">
        <v>224</v>
      </c>
      <c r="H591" s="63" t="s">
        <v>195</v>
      </c>
      <c r="I591" s="64" t="s">
        <v>170</v>
      </c>
      <c r="J591" s="65" t="str">
        <f>IFERROR(INDEX('Cost_Components'!$K$2:$K$27,MATCH(E591,'Cost_Components'!$A$2:$A$27,0)),"")</f>
      </c>
      <c r="K591" s="66" t="str">
        <f>IF(OR(L591="",Z591="",AA591="",AB591=""),"",IF(B591&lt;AA591,L591,IF(B591&gt;AB591,Z591,L591+(Z591-L591)*MIN(MAX((B591-AA591+1)/MAX(AB591-AA591+1,1),0),1))))</f>
      </c>
      <c r="L591" s="67" t="str">
        <f>IFERROR(INDEX('Cost_Components'!$S$2:$S$27,MATCH(E591,'Cost_Components'!$A$2:$A$27,0)),"")</f>
      </c>
      <c r="M591" s="68" t="str">
        <f>IFERROR(INDEX('Cost_Components'!$L$2:$L$27,MATCH(E591,'Cost_Components'!$A$2:$A$27,0)),"")</f>
      </c>
      <c r="N591" s="69" t="str">
        <f>IFERROR(INDEX('Cost_Components'!$P$2:$P$27,MATCH(E591,'Cost_Components'!$A$2:$A$27,0)),"")</f>
      </c>
      <c r="O591" s="70" t="str">
        <f>AF591*J591</f>
      </c>
      <c r="P591" s="71" t="str">
        <f>AG591*J591</f>
      </c>
      <c r="Q591" s="72" t="str">
        <f>P591*L591*M591*N591</f>
      </c>
      <c r="R591" s="73" t="str">
        <f>O591*K591*M591*N591</f>
      </c>
      <c r="S591" s="74" t="str">
        <f>R591-Q591</f>
      </c>
      <c r="T591" s="20" t="str">
        <f>IFERROR(INDEX('Cost_Components'!$R$2:$R$27,MATCH(E591,'Cost_Components'!$A$2:$A$27,0)),"")</f>
      </c>
      <c r="U591" s="75" t="str">
        <f>IFERROR(INDEX('Cost_Components'!$Q$2:$Q$27,MATCH(E591,'Cost_Components'!$A$2:$A$27,0)),"")</f>
      </c>
      <c r="V591" s="76" t="str">
        <f>1/(1+'Calculation_Assumptions'!$B$5)^(B591-'Calculation_Assumptions'!$B$2)</f>
      </c>
      <c r="W591" s="77" t="str">
        <f>Q591*V591</f>
      </c>
      <c r="X591" s="78" t="str">
        <f>R591*V591</f>
      </c>
      <c r="Y591" s="79" t="str">
        <f>S591*V591</f>
      </c>
      <c r="Z591" s="80" t="str">
        <f>IFERROR(INDEX('Cost_Components'!$T$2:$T$27,MATCH(E591,'Cost_Components'!$A$2:$A$27,0)),"")</f>
      </c>
      <c r="AA591" s="81" t="str">
        <f>IFERROR(INDEX('Cost_Components'!$U$2:$U$27,MATCH(E591,'Cost_Components'!$A$2:$A$27,0)),"")</f>
      </c>
      <c r="AB591" s="82" t="str">
        <f>IFERROR(INDEX('Cost_Components'!$V$2:$V$27,MATCH(E591,'Cost_Components'!$A$2:$A$27,0)),"")</f>
      </c>
      <c r="AC591" s="83" t="str">
        <f>IFERROR(INDEX('Cost_Components'!$M$2:$M$27,MATCH(E591,'Cost_Components'!$A$2:$A$27,0)),"")</f>
      </c>
      <c r="AD591" s="84" t="str">
        <f>IFERROR(INDEX('Cost_Components'!$N$2:$N$27,MATCH(E591,'Cost_Components'!$A$2:$A$27,0)),"")</f>
      </c>
      <c r="AE591" s="20" t="str">
        <f>IFERROR(INDEX('Cost_Components'!$O$2:$O$27,MATCH(E591,'Cost_Components'!$A$2:$A$27,0)),"")</f>
      </c>
      <c r="AF591" s="85" t="n">
        <v>363833.303524201</v>
      </c>
      <c r="AG591" s="86" t="n">
        <v>363819.35126225</v>
      </c>
      <c r="AH591" s="87" t="str">
        <f>IF(H591="shared-count-once",COUNTIFS($A$2:$A$1353,A591,$B$2:$B$1353,B591,$E$2:$E$1353,E591),1)</f>
      </c>
    </row>
    <row r="592">
      <c r="A592" t="s">
        <v>220</v>
      </c>
      <c r="B592" s="59" t="n">
        <v>2043</v>
      </c>
      <c r="C592" t="s">
        <v>220</v>
      </c>
      <c r="D592" t="s">
        <v>184</v>
      </c>
      <c r="E592" s="60" t="s">
        <v>316</v>
      </c>
      <c r="F592" s="61" t="s">
        <v>317</v>
      </c>
      <c r="G592" s="62" t="s">
        <v>224</v>
      </c>
      <c r="H592" s="63" t="s">
        <v>195</v>
      </c>
      <c r="I592" s="64" t="s">
        <v>170</v>
      </c>
      <c r="J592" s="65" t="str">
        <f>IFERROR(INDEX('Cost_Components'!$K$2:$K$27,MATCH(E592,'Cost_Components'!$A$2:$A$27,0)),"")</f>
      </c>
      <c r="K592" s="66" t="str">
        <f>IF(OR(L592="",Z592="",AA592="",AB592=""),"",IF(B592&lt;AA592,L592,IF(B592&gt;AB592,Z592,L592+(Z592-L592)*MIN(MAX((B592-AA592+1)/MAX(AB592-AA592+1,1),0),1))))</f>
      </c>
      <c r="L592" s="67" t="str">
        <f>IFERROR(INDEX('Cost_Components'!$S$2:$S$27,MATCH(E592,'Cost_Components'!$A$2:$A$27,0)),"")</f>
      </c>
      <c r="M592" s="68" t="str">
        <f>IFERROR(INDEX('Cost_Components'!$L$2:$L$27,MATCH(E592,'Cost_Components'!$A$2:$A$27,0)),"")</f>
      </c>
      <c r="N592" s="69" t="str">
        <f>IFERROR(INDEX('Cost_Components'!$P$2:$P$27,MATCH(E592,'Cost_Components'!$A$2:$A$27,0)),"")</f>
      </c>
      <c r="O592" s="70" t="str">
        <f>AF592*J592</f>
      </c>
      <c r="P592" s="71" t="str">
        <f>AG592*J592</f>
      </c>
      <c r="Q592" s="72" t="str">
        <f>P592*L592*M592*N592</f>
      </c>
      <c r="R592" s="73" t="str">
        <f>O592*K592*M592*N592</f>
      </c>
      <c r="S592" s="74" t="str">
        <f>R592-Q592</f>
      </c>
      <c r="T592" s="20" t="str">
        <f>IFERROR(INDEX('Cost_Components'!$R$2:$R$27,MATCH(E592,'Cost_Components'!$A$2:$A$27,0)),"")</f>
      </c>
      <c r="U592" s="75" t="str">
        <f>IFERROR(INDEX('Cost_Components'!$Q$2:$Q$27,MATCH(E592,'Cost_Components'!$A$2:$A$27,0)),"")</f>
      </c>
      <c r="V592" s="76" t="str">
        <f>1/(1+'Calculation_Assumptions'!$B$5)^(B592-'Calculation_Assumptions'!$B$2)</f>
      </c>
      <c r="W592" s="77" t="str">
        <f>Q592*V592</f>
      </c>
      <c r="X592" s="78" t="str">
        <f>R592*V592</f>
      </c>
      <c r="Y592" s="79" t="str">
        <f>S592*V592</f>
      </c>
      <c r="Z592" s="80" t="str">
        <f>IFERROR(INDEX('Cost_Components'!$T$2:$T$27,MATCH(E592,'Cost_Components'!$A$2:$A$27,0)),"")</f>
      </c>
      <c r="AA592" s="81" t="str">
        <f>IFERROR(INDEX('Cost_Components'!$U$2:$U$27,MATCH(E592,'Cost_Components'!$A$2:$A$27,0)),"")</f>
      </c>
      <c r="AB592" s="82" t="str">
        <f>IFERROR(INDEX('Cost_Components'!$V$2:$V$27,MATCH(E592,'Cost_Components'!$A$2:$A$27,0)),"")</f>
      </c>
      <c r="AC592" s="83" t="str">
        <f>IFERROR(INDEX('Cost_Components'!$M$2:$M$27,MATCH(E592,'Cost_Components'!$A$2:$A$27,0)),"")</f>
      </c>
      <c r="AD592" s="84" t="str">
        <f>IFERROR(INDEX('Cost_Components'!$N$2:$N$27,MATCH(E592,'Cost_Components'!$A$2:$A$27,0)),"")</f>
      </c>
      <c r="AE592" s="20" t="str">
        <f>IFERROR(INDEX('Cost_Components'!$O$2:$O$27,MATCH(E592,'Cost_Components'!$A$2:$A$27,0)),"")</f>
      </c>
      <c r="AF592" s="85" t="n">
        <v>368244.302119843</v>
      </c>
      <c r="AG592" s="86" t="n">
        <v>368229.364757541</v>
      </c>
      <c r="AH592" s="87" t="str">
        <f>IF(H592="shared-count-once",COUNTIFS($A$2:$A$1353,A592,$B$2:$B$1353,B592,$E$2:$E$1353,E592),1)</f>
      </c>
    </row>
    <row r="593">
      <c r="A593" t="s">
        <v>220</v>
      </c>
      <c r="B593" s="59" t="n">
        <v>2044</v>
      </c>
      <c r="C593" t="s">
        <v>220</v>
      </c>
      <c r="D593" t="s">
        <v>184</v>
      </c>
      <c r="E593" s="60" t="s">
        <v>316</v>
      </c>
      <c r="F593" s="61" t="s">
        <v>317</v>
      </c>
      <c r="G593" s="62" t="s">
        <v>224</v>
      </c>
      <c r="H593" s="63" t="s">
        <v>195</v>
      </c>
      <c r="I593" s="64" t="s">
        <v>170</v>
      </c>
      <c r="J593" s="65" t="str">
        <f>IFERROR(INDEX('Cost_Components'!$K$2:$K$27,MATCH(E593,'Cost_Components'!$A$2:$A$27,0)),"")</f>
      </c>
      <c r="K593" s="66" t="str">
        <f>IF(OR(L593="",Z593="",AA593="",AB593=""),"",IF(B593&lt;AA593,L593,IF(B593&gt;AB593,Z593,L593+(Z593-L593)*MIN(MAX((B593-AA593+1)/MAX(AB593-AA593+1,1),0),1))))</f>
      </c>
      <c r="L593" s="67" t="str">
        <f>IFERROR(INDEX('Cost_Components'!$S$2:$S$27,MATCH(E593,'Cost_Components'!$A$2:$A$27,0)),"")</f>
      </c>
      <c r="M593" s="68" t="str">
        <f>IFERROR(INDEX('Cost_Components'!$L$2:$L$27,MATCH(E593,'Cost_Components'!$A$2:$A$27,0)),"")</f>
      </c>
      <c r="N593" s="69" t="str">
        <f>IFERROR(INDEX('Cost_Components'!$P$2:$P$27,MATCH(E593,'Cost_Components'!$A$2:$A$27,0)),"")</f>
      </c>
      <c r="O593" s="70" t="str">
        <f>AF593*J593</f>
      </c>
      <c r="P593" s="71" t="str">
        <f>AG593*J593</f>
      </c>
      <c r="Q593" s="72" t="str">
        <f>P593*L593*M593*N593</f>
      </c>
      <c r="R593" s="73" t="str">
        <f>O593*K593*M593*N593</f>
      </c>
      <c r="S593" s="74" t="str">
        <f>R593-Q593</f>
      </c>
      <c r="T593" s="20" t="str">
        <f>IFERROR(INDEX('Cost_Components'!$R$2:$R$27,MATCH(E593,'Cost_Components'!$A$2:$A$27,0)),"")</f>
      </c>
      <c r="U593" s="75" t="str">
        <f>IFERROR(INDEX('Cost_Components'!$Q$2:$Q$27,MATCH(E593,'Cost_Components'!$A$2:$A$27,0)),"")</f>
      </c>
      <c r="V593" s="76" t="str">
        <f>1/(1+'Calculation_Assumptions'!$B$5)^(B593-'Calculation_Assumptions'!$B$2)</f>
      </c>
      <c r="W593" s="77" t="str">
        <f>Q593*V593</f>
      </c>
      <c r="X593" s="78" t="str">
        <f>R593*V593</f>
      </c>
      <c r="Y593" s="79" t="str">
        <f>S593*V593</f>
      </c>
      <c r="Z593" s="80" t="str">
        <f>IFERROR(INDEX('Cost_Components'!$T$2:$T$27,MATCH(E593,'Cost_Components'!$A$2:$A$27,0)),"")</f>
      </c>
      <c r="AA593" s="81" t="str">
        <f>IFERROR(INDEX('Cost_Components'!$U$2:$U$27,MATCH(E593,'Cost_Components'!$A$2:$A$27,0)),"")</f>
      </c>
      <c r="AB593" s="82" t="str">
        <f>IFERROR(INDEX('Cost_Components'!$V$2:$V$27,MATCH(E593,'Cost_Components'!$A$2:$A$27,0)),"")</f>
      </c>
      <c r="AC593" s="83" t="str">
        <f>IFERROR(INDEX('Cost_Components'!$M$2:$M$27,MATCH(E593,'Cost_Components'!$A$2:$A$27,0)),"")</f>
      </c>
      <c r="AD593" s="84" t="str">
        <f>IFERROR(INDEX('Cost_Components'!$N$2:$N$27,MATCH(E593,'Cost_Components'!$A$2:$A$27,0)),"")</f>
      </c>
      <c r="AE593" s="20" t="str">
        <f>IFERROR(INDEX('Cost_Components'!$O$2:$O$27,MATCH(E593,'Cost_Components'!$A$2:$A$27,0)),"")</f>
      </c>
      <c r="AF593" s="85" t="n">
        <v>370299.099001664</v>
      </c>
      <c r="AG593" s="86" t="n">
        <v>370283.02327632</v>
      </c>
      <c r="AH593" s="87" t="str">
        <f>IF(H593="shared-count-once",COUNTIFS($A$2:$A$1353,A593,$B$2:$B$1353,B593,$E$2:$E$1353,E593),1)</f>
      </c>
    </row>
    <row r="594">
      <c r="A594" t="s">
        <v>220</v>
      </c>
      <c r="B594" s="59" t="n">
        <v>2045</v>
      </c>
      <c r="C594" t="s">
        <v>220</v>
      </c>
      <c r="D594" t="s">
        <v>184</v>
      </c>
      <c r="E594" s="60" t="s">
        <v>316</v>
      </c>
      <c r="F594" s="61" t="s">
        <v>317</v>
      </c>
      <c r="G594" s="62" t="s">
        <v>224</v>
      </c>
      <c r="H594" s="63" t="s">
        <v>195</v>
      </c>
      <c r="I594" s="64" t="s">
        <v>170</v>
      </c>
      <c r="J594" s="65" t="str">
        <f>IFERROR(INDEX('Cost_Components'!$K$2:$K$27,MATCH(E594,'Cost_Components'!$A$2:$A$27,0)),"")</f>
      </c>
      <c r="K594" s="66" t="str">
        <f>IF(OR(L594="",Z594="",AA594="",AB594=""),"",IF(B594&lt;AA594,L594,IF(B594&gt;AB594,Z594,L594+(Z594-L594)*MIN(MAX((B594-AA594+1)/MAX(AB594-AA594+1,1),0),1))))</f>
      </c>
      <c r="L594" s="67" t="str">
        <f>IFERROR(INDEX('Cost_Components'!$S$2:$S$27,MATCH(E594,'Cost_Components'!$A$2:$A$27,0)),"")</f>
      </c>
      <c r="M594" s="68" t="str">
        <f>IFERROR(INDEX('Cost_Components'!$L$2:$L$27,MATCH(E594,'Cost_Components'!$A$2:$A$27,0)),"")</f>
      </c>
      <c r="N594" s="69" t="str">
        <f>IFERROR(INDEX('Cost_Components'!$P$2:$P$27,MATCH(E594,'Cost_Components'!$A$2:$A$27,0)),"")</f>
      </c>
      <c r="O594" s="70" t="str">
        <f>AF594*J594</f>
      </c>
      <c r="P594" s="71" t="str">
        <f>AG594*J594</f>
      </c>
      <c r="Q594" s="72" t="str">
        <f>P594*L594*M594*N594</f>
      </c>
      <c r="R594" s="73" t="str">
        <f>O594*K594*M594*N594</f>
      </c>
      <c r="S594" s="74" t="str">
        <f>R594-Q594</f>
      </c>
      <c r="T594" s="20" t="str">
        <f>IFERROR(INDEX('Cost_Components'!$R$2:$R$27,MATCH(E594,'Cost_Components'!$A$2:$A$27,0)),"")</f>
      </c>
      <c r="U594" s="75" t="str">
        <f>IFERROR(INDEX('Cost_Components'!$Q$2:$Q$27,MATCH(E594,'Cost_Components'!$A$2:$A$27,0)),"")</f>
      </c>
      <c r="V594" s="76" t="str">
        <f>1/(1+'Calculation_Assumptions'!$B$5)^(B594-'Calculation_Assumptions'!$B$2)</f>
      </c>
      <c r="W594" s="77" t="str">
        <f>Q594*V594</f>
      </c>
      <c r="X594" s="78" t="str">
        <f>R594*V594</f>
      </c>
      <c r="Y594" s="79" t="str">
        <f>S594*V594</f>
      </c>
      <c r="Z594" s="80" t="str">
        <f>IFERROR(INDEX('Cost_Components'!$T$2:$T$27,MATCH(E594,'Cost_Components'!$A$2:$A$27,0)),"")</f>
      </c>
      <c r="AA594" s="81" t="str">
        <f>IFERROR(INDEX('Cost_Components'!$U$2:$U$27,MATCH(E594,'Cost_Components'!$A$2:$A$27,0)),"")</f>
      </c>
      <c r="AB594" s="82" t="str">
        <f>IFERROR(INDEX('Cost_Components'!$V$2:$V$27,MATCH(E594,'Cost_Components'!$A$2:$A$27,0)),"")</f>
      </c>
      <c r="AC594" s="83" t="str">
        <f>IFERROR(INDEX('Cost_Components'!$M$2:$M$27,MATCH(E594,'Cost_Components'!$A$2:$A$27,0)),"")</f>
      </c>
      <c r="AD594" s="84" t="str">
        <f>IFERROR(INDEX('Cost_Components'!$N$2:$N$27,MATCH(E594,'Cost_Components'!$A$2:$A$27,0)),"")</f>
      </c>
      <c r="AE594" s="20" t="str">
        <f>IFERROR(INDEX('Cost_Components'!$O$2:$O$27,MATCH(E594,'Cost_Components'!$A$2:$A$27,0)),"")</f>
      </c>
      <c r="AF594" s="85" t="n">
        <v>373524.726051346</v>
      </c>
      <c r="AG594" s="86" t="n">
        <v>373507.682564293</v>
      </c>
      <c r="AH594" s="87" t="str">
        <f>IF(H594="shared-count-once",COUNTIFS($A$2:$A$1353,A594,$B$2:$B$1353,B594,$E$2:$E$1353,E594),1)</f>
      </c>
    </row>
    <row r="595">
      <c r="A595" t="s">
        <v>220</v>
      </c>
      <c r="B595" s="59" t="n">
        <v>2046</v>
      </c>
      <c r="C595" t="s">
        <v>220</v>
      </c>
      <c r="D595" t="s">
        <v>184</v>
      </c>
      <c r="E595" s="60" t="s">
        <v>316</v>
      </c>
      <c r="F595" s="61" t="s">
        <v>317</v>
      </c>
      <c r="G595" s="62" t="s">
        <v>224</v>
      </c>
      <c r="H595" s="63" t="s">
        <v>195</v>
      </c>
      <c r="I595" s="64" t="s">
        <v>170</v>
      </c>
      <c r="J595" s="65" t="str">
        <f>IFERROR(INDEX('Cost_Components'!$K$2:$K$27,MATCH(E595,'Cost_Components'!$A$2:$A$27,0)),"")</f>
      </c>
      <c r="K595" s="66" t="str">
        <f>IF(OR(L595="",Z595="",AA595="",AB595=""),"",IF(B595&lt;AA595,L595,IF(B595&gt;AB595,Z595,L595+(Z595-L595)*MIN(MAX((B595-AA595+1)/MAX(AB595-AA595+1,1),0),1))))</f>
      </c>
      <c r="L595" s="67" t="str">
        <f>IFERROR(INDEX('Cost_Components'!$S$2:$S$27,MATCH(E595,'Cost_Components'!$A$2:$A$27,0)),"")</f>
      </c>
      <c r="M595" s="68" t="str">
        <f>IFERROR(INDEX('Cost_Components'!$L$2:$L$27,MATCH(E595,'Cost_Components'!$A$2:$A$27,0)),"")</f>
      </c>
      <c r="N595" s="69" t="str">
        <f>IFERROR(INDEX('Cost_Components'!$P$2:$P$27,MATCH(E595,'Cost_Components'!$A$2:$A$27,0)),"")</f>
      </c>
      <c r="O595" s="70" t="str">
        <f>AF595*J595</f>
      </c>
      <c r="P595" s="71" t="str">
        <f>AG595*J595</f>
      </c>
      <c r="Q595" s="72" t="str">
        <f>P595*L595*M595*N595</f>
      </c>
      <c r="R595" s="73" t="str">
        <f>O595*K595*M595*N595</f>
      </c>
      <c r="S595" s="74" t="str">
        <f>R595-Q595</f>
      </c>
      <c r="T595" s="20" t="str">
        <f>IFERROR(INDEX('Cost_Components'!$R$2:$R$27,MATCH(E595,'Cost_Components'!$A$2:$A$27,0)),"")</f>
      </c>
      <c r="U595" s="75" t="str">
        <f>IFERROR(INDEX('Cost_Components'!$Q$2:$Q$27,MATCH(E595,'Cost_Components'!$A$2:$A$27,0)),"")</f>
      </c>
      <c r="V595" s="76" t="str">
        <f>1/(1+'Calculation_Assumptions'!$B$5)^(B595-'Calculation_Assumptions'!$B$2)</f>
      </c>
      <c r="W595" s="77" t="str">
        <f>Q595*V595</f>
      </c>
      <c r="X595" s="78" t="str">
        <f>R595*V595</f>
      </c>
      <c r="Y595" s="79" t="str">
        <f>S595*V595</f>
      </c>
      <c r="Z595" s="80" t="str">
        <f>IFERROR(INDEX('Cost_Components'!$T$2:$T$27,MATCH(E595,'Cost_Components'!$A$2:$A$27,0)),"")</f>
      </c>
      <c r="AA595" s="81" t="str">
        <f>IFERROR(INDEX('Cost_Components'!$U$2:$U$27,MATCH(E595,'Cost_Components'!$A$2:$A$27,0)),"")</f>
      </c>
      <c r="AB595" s="82" t="str">
        <f>IFERROR(INDEX('Cost_Components'!$V$2:$V$27,MATCH(E595,'Cost_Components'!$A$2:$A$27,0)),"")</f>
      </c>
      <c r="AC595" s="83" t="str">
        <f>IFERROR(INDEX('Cost_Components'!$M$2:$M$27,MATCH(E595,'Cost_Components'!$A$2:$A$27,0)),"")</f>
      </c>
      <c r="AD595" s="84" t="str">
        <f>IFERROR(INDEX('Cost_Components'!$N$2:$N$27,MATCH(E595,'Cost_Components'!$A$2:$A$27,0)),"")</f>
      </c>
      <c r="AE595" s="20" t="str">
        <f>IFERROR(INDEX('Cost_Components'!$O$2:$O$27,MATCH(E595,'Cost_Components'!$A$2:$A$27,0)),"")</f>
      </c>
      <c r="AF595" s="85" t="n">
        <v>376775.475037857</v>
      </c>
      <c r="AG595" s="86" t="n">
        <v>376757.474642468</v>
      </c>
      <c r="AH595" s="87" t="str">
        <f>IF(H595="shared-count-once",COUNTIFS($A$2:$A$1353,A595,$B$2:$B$1353,B595,$E$2:$E$1353,E595),1)</f>
      </c>
    </row>
    <row r="596">
      <c r="A596" t="s">
        <v>220</v>
      </c>
      <c r="B596" s="59" t="n">
        <v>2047</v>
      </c>
      <c r="C596" t="s">
        <v>220</v>
      </c>
      <c r="D596" t="s">
        <v>184</v>
      </c>
      <c r="E596" s="60" t="s">
        <v>316</v>
      </c>
      <c r="F596" s="61" t="s">
        <v>317</v>
      </c>
      <c r="G596" s="62" t="s">
        <v>224</v>
      </c>
      <c r="H596" s="63" t="s">
        <v>195</v>
      </c>
      <c r="I596" s="64" t="s">
        <v>170</v>
      </c>
      <c r="J596" s="65" t="str">
        <f>IFERROR(INDEX('Cost_Components'!$K$2:$K$27,MATCH(E596,'Cost_Components'!$A$2:$A$27,0)),"")</f>
      </c>
      <c r="K596" s="66" t="str">
        <f>IF(OR(L596="",Z596="",AA596="",AB596=""),"",IF(B596&lt;AA596,L596,IF(B596&gt;AB596,Z596,L596+(Z596-L596)*MIN(MAX((B596-AA596+1)/MAX(AB596-AA596+1,1),0),1))))</f>
      </c>
      <c r="L596" s="67" t="str">
        <f>IFERROR(INDEX('Cost_Components'!$S$2:$S$27,MATCH(E596,'Cost_Components'!$A$2:$A$27,0)),"")</f>
      </c>
      <c r="M596" s="68" t="str">
        <f>IFERROR(INDEX('Cost_Components'!$L$2:$L$27,MATCH(E596,'Cost_Components'!$A$2:$A$27,0)),"")</f>
      </c>
      <c r="N596" s="69" t="str">
        <f>IFERROR(INDEX('Cost_Components'!$P$2:$P$27,MATCH(E596,'Cost_Components'!$A$2:$A$27,0)),"")</f>
      </c>
      <c r="O596" s="70" t="str">
        <f>AF596*J596</f>
      </c>
      <c r="P596" s="71" t="str">
        <f>AG596*J596</f>
      </c>
      <c r="Q596" s="72" t="str">
        <f>P596*L596*M596*N596</f>
      </c>
      <c r="R596" s="73" t="str">
        <f>O596*K596*M596*N596</f>
      </c>
      <c r="S596" s="74" t="str">
        <f>R596-Q596</f>
      </c>
      <c r="T596" s="20" t="str">
        <f>IFERROR(INDEX('Cost_Components'!$R$2:$R$27,MATCH(E596,'Cost_Components'!$A$2:$A$27,0)),"")</f>
      </c>
      <c r="U596" s="75" t="str">
        <f>IFERROR(INDEX('Cost_Components'!$Q$2:$Q$27,MATCH(E596,'Cost_Components'!$A$2:$A$27,0)),"")</f>
      </c>
      <c r="V596" s="76" t="str">
        <f>1/(1+'Calculation_Assumptions'!$B$5)^(B596-'Calculation_Assumptions'!$B$2)</f>
      </c>
      <c r="W596" s="77" t="str">
        <f>Q596*V596</f>
      </c>
      <c r="X596" s="78" t="str">
        <f>R596*V596</f>
      </c>
      <c r="Y596" s="79" t="str">
        <f>S596*V596</f>
      </c>
      <c r="Z596" s="80" t="str">
        <f>IFERROR(INDEX('Cost_Components'!$T$2:$T$27,MATCH(E596,'Cost_Components'!$A$2:$A$27,0)),"")</f>
      </c>
      <c r="AA596" s="81" t="str">
        <f>IFERROR(INDEX('Cost_Components'!$U$2:$U$27,MATCH(E596,'Cost_Components'!$A$2:$A$27,0)),"")</f>
      </c>
      <c r="AB596" s="82" t="str">
        <f>IFERROR(INDEX('Cost_Components'!$V$2:$V$27,MATCH(E596,'Cost_Components'!$A$2:$A$27,0)),"")</f>
      </c>
      <c r="AC596" s="83" t="str">
        <f>IFERROR(INDEX('Cost_Components'!$M$2:$M$27,MATCH(E596,'Cost_Components'!$A$2:$A$27,0)),"")</f>
      </c>
      <c r="AD596" s="84" t="str">
        <f>IFERROR(INDEX('Cost_Components'!$N$2:$N$27,MATCH(E596,'Cost_Components'!$A$2:$A$27,0)),"")</f>
      </c>
      <c r="AE596" s="20" t="str">
        <f>IFERROR(INDEX('Cost_Components'!$O$2:$O$27,MATCH(E596,'Cost_Components'!$A$2:$A$27,0)),"")</f>
      </c>
      <c r="AF596" s="85" t="n">
        <v>380251.432057591</v>
      </c>
      <c r="AG596" s="86" t="n">
        <v>380232.464953237</v>
      </c>
      <c r="AH596" s="87" t="str">
        <f>IF(H596="shared-count-once",COUNTIFS($A$2:$A$1353,A596,$B$2:$B$1353,B596,$E$2:$E$1353,E596),1)</f>
      </c>
    </row>
    <row r="597">
      <c r="A597" t="s">
        <v>220</v>
      </c>
      <c r="B597" s="59" t="n">
        <v>2048</v>
      </c>
      <c r="C597" t="s">
        <v>220</v>
      </c>
      <c r="D597" t="s">
        <v>184</v>
      </c>
      <c r="E597" s="60" t="s">
        <v>316</v>
      </c>
      <c r="F597" s="61" t="s">
        <v>317</v>
      </c>
      <c r="G597" s="62" t="s">
        <v>224</v>
      </c>
      <c r="H597" s="63" t="s">
        <v>195</v>
      </c>
      <c r="I597" s="64" t="s">
        <v>170</v>
      </c>
      <c r="J597" s="65" t="str">
        <f>IFERROR(INDEX('Cost_Components'!$K$2:$K$27,MATCH(E597,'Cost_Components'!$A$2:$A$27,0)),"")</f>
      </c>
      <c r="K597" s="66" t="str">
        <f>IF(OR(L597="",Z597="",AA597="",AB597=""),"",IF(B597&lt;AA597,L597,IF(B597&gt;AB597,Z597,L597+(Z597-L597)*MIN(MAX((B597-AA597+1)/MAX(AB597-AA597+1,1),0),1))))</f>
      </c>
      <c r="L597" s="67" t="str">
        <f>IFERROR(INDEX('Cost_Components'!$S$2:$S$27,MATCH(E597,'Cost_Components'!$A$2:$A$27,0)),"")</f>
      </c>
      <c r="M597" s="68" t="str">
        <f>IFERROR(INDEX('Cost_Components'!$L$2:$L$27,MATCH(E597,'Cost_Components'!$A$2:$A$27,0)),"")</f>
      </c>
      <c r="N597" s="69" t="str">
        <f>IFERROR(INDEX('Cost_Components'!$P$2:$P$27,MATCH(E597,'Cost_Components'!$A$2:$A$27,0)),"")</f>
      </c>
      <c r="O597" s="70" t="str">
        <f>AF597*J597</f>
      </c>
      <c r="P597" s="71" t="str">
        <f>AG597*J597</f>
      </c>
      <c r="Q597" s="72" t="str">
        <f>P597*L597*M597*N597</f>
      </c>
      <c r="R597" s="73" t="str">
        <f>O597*K597*M597*N597</f>
      </c>
      <c r="S597" s="74" t="str">
        <f>R597-Q597</f>
      </c>
      <c r="T597" s="20" t="str">
        <f>IFERROR(INDEX('Cost_Components'!$R$2:$R$27,MATCH(E597,'Cost_Components'!$A$2:$A$27,0)),"")</f>
      </c>
      <c r="U597" s="75" t="str">
        <f>IFERROR(INDEX('Cost_Components'!$Q$2:$Q$27,MATCH(E597,'Cost_Components'!$A$2:$A$27,0)),"")</f>
      </c>
      <c r="V597" s="76" t="str">
        <f>1/(1+'Calculation_Assumptions'!$B$5)^(B597-'Calculation_Assumptions'!$B$2)</f>
      </c>
      <c r="W597" s="77" t="str">
        <f>Q597*V597</f>
      </c>
      <c r="X597" s="78" t="str">
        <f>R597*V597</f>
      </c>
      <c r="Y597" s="79" t="str">
        <f>S597*V597</f>
      </c>
      <c r="Z597" s="80" t="str">
        <f>IFERROR(INDEX('Cost_Components'!$T$2:$T$27,MATCH(E597,'Cost_Components'!$A$2:$A$27,0)),"")</f>
      </c>
      <c r="AA597" s="81" t="str">
        <f>IFERROR(INDEX('Cost_Components'!$U$2:$U$27,MATCH(E597,'Cost_Components'!$A$2:$A$27,0)),"")</f>
      </c>
      <c r="AB597" s="82" t="str">
        <f>IFERROR(INDEX('Cost_Components'!$V$2:$V$27,MATCH(E597,'Cost_Components'!$A$2:$A$27,0)),"")</f>
      </c>
      <c r="AC597" s="83" t="str">
        <f>IFERROR(INDEX('Cost_Components'!$M$2:$M$27,MATCH(E597,'Cost_Components'!$A$2:$A$27,0)),"")</f>
      </c>
      <c r="AD597" s="84" t="str">
        <f>IFERROR(INDEX('Cost_Components'!$N$2:$N$27,MATCH(E597,'Cost_Components'!$A$2:$A$27,0)),"")</f>
      </c>
      <c r="AE597" s="20" t="str">
        <f>IFERROR(INDEX('Cost_Components'!$O$2:$O$27,MATCH(E597,'Cost_Components'!$A$2:$A$27,0)),"")</f>
      </c>
      <c r="AF597" s="85" t="n">
        <v>383976.301005109</v>
      </c>
      <c r="AG597" s="86" t="n">
        <v>383956.375748744</v>
      </c>
      <c r="AH597" s="87" t="str">
        <f>IF(H597="shared-count-once",COUNTIFS($A$2:$A$1353,A597,$B$2:$B$1353,B597,$E$2:$E$1353,E597),1)</f>
      </c>
    </row>
    <row r="598">
      <c r="A598" t="s">
        <v>220</v>
      </c>
      <c r="B598" s="59" t="n">
        <v>2049</v>
      </c>
      <c r="C598" t="s">
        <v>220</v>
      </c>
      <c r="D598" t="s">
        <v>184</v>
      </c>
      <c r="E598" s="60" t="s">
        <v>316</v>
      </c>
      <c r="F598" s="61" t="s">
        <v>317</v>
      </c>
      <c r="G598" s="62" t="s">
        <v>224</v>
      </c>
      <c r="H598" s="63" t="s">
        <v>195</v>
      </c>
      <c r="I598" s="64" t="s">
        <v>170</v>
      </c>
      <c r="J598" s="65" t="str">
        <f>IFERROR(INDEX('Cost_Components'!$K$2:$K$27,MATCH(E598,'Cost_Components'!$A$2:$A$27,0)),"")</f>
      </c>
      <c r="K598" s="66" t="str">
        <f>IF(OR(L598="",Z598="",AA598="",AB598=""),"",IF(B598&lt;AA598,L598,IF(B598&gt;AB598,Z598,L598+(Z598-L598)*MIN(MAX((B598-AA598+1)/MAX(AB598-AA598+1,1),0),1))))</f>
      </c>
      <c r="L598" s="67" t="str">
        <f>IFERROR(INDEX('Cost_Components'!$S$2:$S$27,MATCH(E598,'Cost_Components'!$A$2:$A$27,0)),"")</f>
      </c>
      <c r="M598" s="68" t="str">
        <f>IFERROR(INDEX('Cost_Components'!$L$2:$L$27,MATCH(E598,'Cost_Components'!$A$2:$A$27,0)),"")</f>
      </c>
      <c r="N598" s="69" t="str">
        <f>IFERROR(INDEX('Cost_Components'!$P$2:$P$27,MATCH(E598,'Cost_Components'!$A$2:$A$27,0)),"")</f>
      </c>
      <c r="O598" s="70" t="str">
        <f>AF598*J598</f>
      </c>
      <c r="P598" s="71" t="str">
        <f>AG598*J598</f>
      </c>
      <c r="Q598" s="72" t="str">
        <f>P598*L598*M598*N598</f>
      </c>
      <c r="R598" s="73" t="str">
        <f>O598*K598*M598*N598</f>
      </c>
      <c r="S598" s="74" t="str">
        <f>R598-Q598</f>
      </c>
      <c r="T598" s="20" t="str">
        <f>IFERROR(INDEX('Cost_Components'!$R$2:$R$27,MATCH(E598,'Cost_Components'!$A$2:$A$27,0)),"")</f>
      </c>
      <c r="U598" s="75" t="str">
        <f>IFERROR(INDEX('Cost_Components'!$Q$2:$Q$27,MATCH(E598,'Cost_Components'!$A$2:$A$27,0)),"")</f>
      </c>
      <c r="V598" s="76" t="str">
        <f>1/(1+'Calculation_Assumptions'!$B$5)^(B598-'Calculation_Assumptions'!$B$2)</f>
      </c>
      <c r="W598" s="77" t="str">
        <f>Q598*V598</f>
      </c>
      <c r="X598" s="78" t="str">
        <f>R598*V598</f>
      </c>
      <c r="Y598" s="79" t="str">
        <f>S598*V598</f>
      </c>
      <c r="Z598" s="80" t="str">
        <f>IFERROR(INDEX('Cost_Components'!$T$2:$T$27,MATCH(E598,'Cost_Components'!$A$2:$A$27,0)),"")</f>
      </c>
      <c r="AA598" s="81" t="str">
        <f>IFERROR(INDEX('Cost_Components'!$U$2:$U$27,MATCH(E598,'Cost_Components'!$A$2:$A$27,0)),"")</f>
      </c>
      <c r="AB598" s="82" t="str">
        <f>IFERROR(INDEX('Cost_Components'!$V$2:$V$27,MATCH(E598,'Cost_Components'!$A$2:$A$27,0)),"")</f>
      </c>
      <c r="AC598" s="83" t="str">
        <f>IFERROR(INDEX('Cost_Components'!$M$2:$M$27,MATCH(E598,'Cost_Components'!$A$2:$A$27,0)),"")</f>
      </c>
      <c r="AD598" s="84" t="str">
        <f>IFERROR(INDEX('Cost_Components'!$N$2:$N$27,MATCH(E598,'Cost_Components'!$A$2:$A$27,0)),"")</f>
      </c>
      <c r="AE598" s="20" t="str">
        <f>IFERROR(INDEX('Cost_Components'!$O$2:$O$27,MATCH(E598,'Cost_Components'!$A$2:$A$27,0)),"")</f>
      </c>
      <c r="AF598" s="85" t="n">
        <v>385778.493001722</v>
      </c>
      <c r="AG598" s="86" t="n">
        <v>385757.489417592</v>
      </c>
      <c r="AH598" s="87" t="str">
        <f>IF(H598="shared-count-once",COUNTIFS($A$2:$A$1353,A598,$B$2:$B$1353,B598,$E$2:$E$1353,E598),1)</f>
      </c>
    </row>
    <row r="599">
      <c r="A599" t="s">
        <v>220</v>
      </c>
      <c r="B599" s="59" t="n">
        <v>2050</v>
      </c>
      <c r="C599" t="s">
        <v>220</v>
      </c>
      <c r="D599" t="s">
        <v>184</v>
      </c>
      <c r="E599" s="60" t="s">
        <v>316</v>
      </c>
      <c r="F599" s="61" t="s">
        <v>317</v>
      </c>
      <c r="G599" s="62" t="s">
        <v>224</v>
      </c>
      <c r="H599" s="63" t="s">
        <v>195</v>
      </c>
      <c r="I599" s="64" t="s">
        <v>170</v>
      </c>
      <c r="J599" s="65" t="str">
        <f>IFERROR(INDEX('Cost_Components'!$K$2:$K$27,MATCH(E599,'Cost_Components'!$A$2:$A$27,0)),"")</f>
      </c>
      <c r="K599" s="66" t="str">
        <f>IF(OR(L599="",Z599="",AA599="",AB599=""),"",IF(B599&lt;AA599,L599,IF(B599&gt;AB599,Z599,L599+(Z599-L599)*MIN(MAX((B599-AA599+1)/MAX(AB599-AA599+1,1),0),1))))</f>
      </c>
      <c r="L599" s="67" t="str">
        <f>IFERROR(INDEX('Cost_Components'!$S$2:$S$27,MATCH(E599,'Cost_Components'!$A$2:$A$27,0)),"")</f>
      </c>
      <c r="M599" s="68" t="str">
        <f>IFERROR(INDEX('Cost_Components'!$L$2:$L$27,MATCH(E599,'Cost_Components'!$A$2:$A$27,0)),"")</f>
      </c>
      <c r="N599" s="69" t="str">
        <f>IFERROR(INDEX('Cost_Components'!$P$2:$P$27,MATCH(E599,'Cost_Components'!$A$2:$A$27,0)),"")</f>
      </c>
      <c r="O599" s="70" t="str">
        <f>AF599*J599</f>
      </c>
      <c r="P599" s="71" t="str">
        <f>AG599*J599</f>
      </c>
      <c r="Q599" s="72" t="str">
        <f>P599*L599*M599*N599</f>
      </c>
      <c r="R599" s="73" t="str">
        <f>O599*K599*M599*N599</f>
      </c>
      <c r="S599" s="74" t="str">
        <f>R599-Q599</f>
      </c>
      <c r="T599" s="20" t="str">
        <f>IFERROR(INDEX('Cost_Components'!$R$2:$R$27,MATCH(E599,'Cost_Components'!$A$2:$A$27,0)),"")</f>
      </c>
      <c r="U599" s="75" t="str">
        <f>IFERROR(INDEX('Cost_Components'!$Q$2:$Q$27,MATCH(E599,'Cost_Components'!$A$2:$A$27,0)),"")</f>
      </c>
      <c r="V599" s="76" t="str">
        <f>1/(1+'Calculation_Assumptions'!$B$5)^(B599-'Calculation_Assumptions'!$B$2)</f>
      </c>
      <c r="W599" s="77" t="str">
        <f>Q599*V599</f>
      </c>
      <c r="X599" s="78" t="str">
        <f>R599*V599</f>
      </c>
      <c r="Y599" s="79" t="str">
        <f>S599*V599</f>
      </c>
      <c r="Z599" s="80" t="str">
        <f>IFERROR(INDEX('Cost_Components'!$T$2:$T$27,MATCH(E599,'Cost_Components'!$A$2:$A$27,0)),"")</f>
      </c>
      <c r="AA599" s="81" t="str">
        <f>IFERROR(INDEX('Cost_Components'!$U$2:$U$27,MATCH(E599,'Cost_Components'!$A$2:$A$27,0)),"")</f>
      </c>
      <c r="AB599" s="82" t="str">
        <f>IFERROR(INDEX('Cost_Components'!$V$2:$V$27,MATCH(E599,'Cost_Components'!$A$2:$A$27,0)),"")</f>
      </c>
      <c r="AC599" s="83" t="str">
        <f>IFERROR(INDEX('Cost_Components'!$M$2:$M$27,MATCH(E599,'Cost_Components'!$A$2:$A$27,0)),"")</f>
      </c>
      <c r="AD599" s="84" t="str">
        <f>IFERROR(INDEX('Cost_Components'!$N$2:$N$27,MATCH(E599,'Cost_Components'!$A$2:$A$27,0)),"")</f>
      </c>
      <c r="AE599" s="20" t="str">
        <f>IFERROR(INDEX('Cost_Components'!$O$2:$O$27,MATCH(E599,'Cost_Components'!$A$2:$A$27,0)),"")</f>
      </c>
      <c r="AF599" s="85" t="n">
        <v>388340.706293855</v>
      </c>
      <c r="AG599" s="86" t="n">
        <v>388318.804229393</v>
      </c>
      <c r="AH599" s="87" t="str">
        <f>IF(H599="shared-count-once",COUNTIFS($A$2:$A$1353,A599,$B$2:$B$1353,B599,$E$2:$E$1353,E599),1)</f>
      </c>
    </row>
    <row r="600">
      <c r="A600" t="s">
        <v>220</v>
      </c>
      <c r="B600" s="59" t="n">
        <v>2025</v>
      </c>
      <c r="C600" t="s">
        <v>220</v>
      </c>
      <c r="D600" t="s">
        <v>184</v>
      </c>
      <c r="E600" s="60" t="s">
        <v>318</v>
      </c>
      <c r="F600" s="61" t="s">
        <v>319</v>
      </c>
      <c r="G600" s="62" t="s">
        <v>224</v>
      </c>
      <c r="H600" s="63" t="s">
        <v>195</v>
      </c>
      <c r="I600" s="64" t="s">
        <v>267</v>
      </c>
      <c r="J600" s="65" t="str">
        <f>IFERROR(INDEX('Cost_Components'!$K$2:$K$27,MATCH(E600,'Cost_Components'!$A$2:$A$27,0)),"")</f>
      </c>
      <c r="K600" s="66" t="str">
        <f>IF(OR(L600="",Z600="",AA600="",AB600=""),"",IF(B600&lt;AA600,L600,IF(B600&gt;AB600,Z600,L600+(Z600-L600)*MIN(MAX((B600-AA600+1)/MAX(AB600-AA600+1,1),0),1))))</f>
      </c>
      <c r="L600" s="67" t="str">
        <f>IFERROR(INDEX('Cost_Components'!$S$2:$S$27,MATCH(E600,'Cost_Components'!$A$2:$A$27,0)),"")</f>
      </c>
      <c r="M600" s="68" t="str">
        <f>IFERROR(INDEX('Cost_Components'!$L$2:$L$27,MATCH(E600,'Cost_Components'!$A$2:$A$27,0)),"")</f>
      </c>
      <c r="N600" s="69" t="str">
        <f>IFERROR(INDEX('Cost_Components'!$P$2:$P$27,MATCH(E600,'Cost_Components'!$A$2:$A$27,0)),"")</f>
      </c>
      <c r="O600" s="70" t="str">
        <f>AF600*J600</f>
      </c>
      <c r="P600" s="71" t="str">
        <f>AG600*J600</f>
      </c>
      <c r="Q600" s="72" t="str">
        <f>P600*L600*M600*N600</f>
      </c>
      <c r="R600" s="73" t="str">
        <f>O600*K600*M600*N600</f>
      </c>
      <c r="S600" s="74" t="str">
        <f>R600-Q600</f>
      </c>
      <c r="T600" s="20" t="str">
        <f>IFERROR(INDEX('Cost_Components'!$R$2:$R$27,MATCH(E600,'Cost_Components'!$A$2:$A$27,0)),"")</f>
      </c>
      <c r="U600" s="75" t="str">
        <f>IFERROR(INDEX('Cost_Components'!$Q$2:$Q$27,MATCH(E600,'Cost_Components'!$A$2:$A$27,0)),"")</f>
      </c>
      <c r="V600" s="76" t="str">
        <f>1/(1+'Calculation_Assumptions'!$B$5)^(B600-'Calculation_Assumptions'!$B$2)</f>
      </c>
      <c r="W600" s="77" t="str">
        <f>Q600*V600</f>
      </c>
      <c r="X600" s="78" t="str">
        <f>R600*V600</f>
      </c>
      <c r="Y600" s="79" t="str">
        <f>S600*V600</f>
      </c>
      <c r="Z600" s="80" t="str">
        <f>IFERROR(INDEX('Cost_Components'!$T$2:$T$27,MATCH(E600,'Cost_Components'!$A$2:$A$27,0)),"")</f>
      </c>
      <c r="AA600" s="81" t="str">
        <f>IFERROR(INDEX('Cost_Components'!$U$2:$U$27,MATCH(E600,'Cost_Components'!$A$2:$A$27,0)),"")</f>
      </c>
      <c r="AB600" s="82" t="str">
        <f>IFERROR(INDEX('Cost_Components'!$V$2:$V$27,MATCH(E600,'Cost_Components'!$A$2:$A$27,0)),"")</f>
      </c>
      <c r="AC600" s="83" t="str">
        <f>IFERROR(INDEX('Cost_Components'!$M$2:$M$27,MATCH(E600,'Cost_Components'!$A$2:$A$27,0)),"")</f>
      </c>
      <c r="AD600" s="84" t="str">
        <f>IFERROR(INDEX('Cost_Components'!$N$2:$N$27,MATCH(E600,'Cost_Components'!$A$2:$A$27,0)),"")</f>
      </c>
      <c r="AE600" s="20" t="str">
        <f>IFERROR(INDEX('Cost_Components'!$O$2:$O$27,MATCH(E600,'Cost_Components'!$A$2:$A$27,0)),"")</f>
      </c>
      <c r="AF600" s="85" t="n">
        <v>3188233.30629138</v>
      </c>
      <c r="AG600" s="86" t="n">
        <v>3188117.25112586</v>
      </c>
      <c r="AH600" s="87" t="str">
        <f>IF(H600="shared-count-once",COUNTIFS($A$2:$A$1353,A600,$B$2:$B$1353,B600,$E$2:$E$1353,E600),1)</f>
      </c>
    </row>
    <row r="601">
      <c r="A601" t="s">
        <v>220</v>
      </c>
      <c r="B601" s="59" t="n">
        <v>2026</v>
      </c>
      <c r="C601" t="s">
        <v>220</v>
      </c>
      <c r="D601" t="s">
        <v>184</v>
      </c>
      <c r="E601" s="60" t="s">
        <v>318</v>
      </c>
      <c r="F601" s="61" t="s">
        <v>319</v>
      </c>
      <c r="G601" s="62" t="s">
        <v>224</v>
      </c>
      <c r="H601" s="63" t="s">
        <v>195</v>
      </c>
      <c r="I601" s="64" t="s">
        <v>267</v>
      </c>
      <c r="J601" s="65" t="str">
        <f>IFERROR(INDEX('Cost_Components'!$K$2:$K$27,MATCH(E601,'Cost_Components'!$A$2:$A$27,0)),"")</f>
      </c>
      <c r="K601" s="66" t="str">
        <f>IF(OR(L601="",Z601="",AA601="",AB601=""),"",IF(B601&lt;AA601,L601,IF(B601&gt;AB601,Z601,L601+(Z601-L601)*MIN(MAX((B601-AA601+1)/MAX(AB601-AA601+1,1),0),1))))</f>
      </c>
      <c r="L601" s="67" t="str">
        <f>IFERROR(INDEX('Cost_Components'!$S$2:$S$27,MATCH(E601,'Cost_Components'!$A$2:$A$27,0)),"")</f>
      </c>
      <c r="M601" s="68" t="str">
        <f>IFERROR(INDEX('Cost_Components'!$L$2:$L$27,MATCH(E601,'Cost_Components'!$A$2:$A$27,0)),"")</f>
      </c>
      <c r="N601" s="69" t="str">
        <f>IFERROR(INDEX('Cost_Components'!$P$2:$P$27,MATCH(E601,'Cost_Components'!$A$2:$A$27,0)),"")</f>
      </c>
      <c r="O601" s="70" t="str">
        <f>AF601*J601</f>
      </c>
      <c r="P601" s="71" t="str">
        <f>AG601*J601</f>
      </c>
      <c r="Q601" s="72" t="str">
        <f>P601*L601*M601*N601</f>
      </c>
      <c r="R601" s="73" t="str">
        <f>O601*K601*M601*N601</f>
      </c>
      <c r="S601" s="74" t="str">
        <f>R601-Q601</f>
      </c>
      <c r="T601" s="20" t="str">
        <f>IFERROR(INDEX('Cost_Components'!$R$2:$R$27,MATCH(E601,'Cost_Components'!$A$2:$A$27,0)),"")</f>
      </c>
      <c r="U601" s="75" t="str">
        <f>IFERROR(INDEX('Cost_Components'!$Q$2:$Q$27,MATCH(E601,'Cost_Components'!$A$2:$A$27,0)),"")</f>
      </c>
      <c r="V601" s="76" t="str">
        <f>1/(1+'Calculation_Assumptions'!$B$5)^(B601-'Calculation_Assumptions'!$B$2)</f>
      </c>
      <c r="W601" s="77" t="str">
        <f>Q601*V601</f>
      </c>
      <c r="X601" s="78" t="str">
        <f>R601*V601</f>
      </c>
      <c r="Y601" s="79" t="str">
        <f>S601*V601</f>
      </c>
      <c r="Z601" s="80" t="str">
        <f>IFERROR(INDEX('Cost_Components'!$T$2:$T$27,MATCH(E601,'Cost_Components'!$A$2:$A$27,0)),"")</f>
      </c>
      <c r="AA601" s="81" t="str">
        <f>IFERROR(INDEX('Cost_Components'!$U$2:$U$27,MATCH(E601,'Cost_Components'!$A$2:$A$27,0)),"")</f>
      </c>
      <c r="AB601" s="82" t="str">
        <f>IFERROR(INDEX('Cost_Components'!$V$2:$V$27,MATCH(E601,'Cost_Components'!$A$2:$A$27,0)),"")</f>
      </c>
      <c r="AC601" s="83" t="str">
        <f>IFERROR(INDEX('Cost_Components'!$M$2:$M$27,MATCH(E601,'Cost_Components'!$A$2:$A$27,0)),"")</f>
      </c>
      <c r="AD601" s="84" t="str">
        <f>IFERROR(INDEX('Cost_Components'!$N$2:$N$27,MATCH(E601,'Cost_Components'!$A$2:$A$27,0)),"")</f>
      </c>
      <c r="AE601" s="20" t="str">
        <f>IFERROR(INDEX('Cost_Components'!$O$2:$O$27,MATCH(E601,'Cost_Components'!$A$2:$A$27,0)),"")</f>
      </c>
      <c r="AF601" s="85" t="n">
        <v>3222536.77241184</v>
      </c>
      <c r="AG601" s="86" t="n">
        <v>3222204.21040927</v>
      </c>
      <c r="AH601" s="87" t="str">
        <f>IF(H601="shared-count-once",COUNTIFS($A$2:$A$1353,A601,$B$2:$B$1353,B601,$E$2:$E$1353,E601),1)</f>
      </c>
    </row>
    <row r="602">
      <c r="A602" t="s">
        <v>220</v>
      </c>
      <c r="B602" s="59" t="n">
        <v>2027</v>
      </c>
      <c r="C602" t="s">
        <v>220</v>
      </c>
      <c r="D602" t="s">
        <v>184</v>
      </c>
      <c r="E602" s="60" t="s">
        <v>318</v>
      </c>
      <c r="F602" s="61" t="s">
        <v>319</v>
      </c>
      <c r="G602" s="62" t="s">
        <v>224</v>
      </c>
      <c r="H602" s="63" t="s">
        <v>195</v>
      </c>
      <c r="I602" s="64" t="s">
        <v>267</v>
      </c>
      <c r="J602" s="65" t="str">
        <f>IFERROR(INDEX('Cost_Components'!$K$2:$K$27,MATCH(E602,'Cost_Components'!$A$2:$A$27,0)),"")</f>
      </c>
      <c r="K602" s="66" t="str">
        <f>IF(OR(L602="",Z602="",AA602="",AB602=""),"",IF(B602&lt;AA602,L602,IF(B602&gt;AB602,Z602,L602+(Z602-L602)*MIN(MAX((B602-AA602+1)/MAX(AB602-AA602+1,1),0),1))))</f>
      </c>
      <c r="L602" s="67" t="str">
        <f>IFERROR(INDEX('Cost_Components'!$S$2:$S$27,MATCH(E602,'Cost_Components'!$A$2:$A$27,0)),"")</f>
      </c>
      <c r="M602" s="68" t="str">
        <f>IFERROR(INDEX('Cost_Components'!$L$2:$L$27,MATCH(E602,'Cost_Components'!$A$2:$A$27,0)),"")</f>
      </c>
      <c r="N602" s="69" t="str">
        <f>IFERROR(INDEX('Cost_Components'!$P$2:$P$27,MATCH(E602,'Cost_Components'!$A$2:$A$27,0)),"")</f>
      </c>
      <c r="O602" s="70" t="str">
        <f>AF602*J602</f>
      </c>
      <c r="P602" s="71" t="str">
        <f>AG602*J602</f>
      </c>
      <c r="Q602" s="72" t="str">
        <f>P602*L602*M602*N602</f>
      </c>
      <c r="R602" s="73" t="str">
        <f>O602*K602*M602*N602</f>
      </c>
      <c r="S602" s="74" t="str">
        <f>R602-Q602</f>
      </c>
      <c r="T602" s="20" t="str">
        <f>IFERROR(INDEX('Cost_Components'!$R$2:$R$27,MATCH(E602,'Cost_Components'!$A$2:$A$27,0)),"")</f>
      </c>
      <c r="U602" s="75" t="str">
        <f>IFERROR(INDEX('Cost_Components'!$Q$2:$Q$27,MATCH(E602,'Cost_Components'!$A$2:$A$27,0)),"")</f>
      </c>
      <c r="V602" s="76" t="str">
        <f>1/(1+'Calculation_Assumptions'!$B$5)^(B602-'Calculation_Assumptions'!$B$2)</f>
      </c>
      <c r="W602" s="77" t="str">
        <f>Q602*V602</f>
      </c>
      <c r="X602" s="78" t="str">
        <f>R602*V602</f>
      </c>
      <c r="Y602" s="79" t="str">
        <f>S602*V602</f>
      </c>
      <c r="Z602" s="80" t="str">
        <f>IFERROR(INDEX('Cost_Components'!$T$2:$T$27,MATCH(E602,'Cost_Components'!$A$2:$A$27,0)),"")</f>
      </c>
      <c r="AA602" s="81" t="str">
        <f>IFERROR(INDEX('Cost_Components'!$U$2:$U$27,MATCH(E602,'Cost_Components'!$A$2:$A$27,0)),"")</f>
      </c>
      <c r="AB602" s="82" t="str">
        <f>IFERROR(INDEX('Cost_Components'!$V$2:$V$27,MATCH(E602,'Cost_Components'!$A$2:$A$27,0)),"")</f>
      </c>
      <c r="AC602" s="83" t="str">
        <f>IFERROR(INDEX('Cost_Components'!$M$2:$M$27,MATCH(E602,'Cost_Components'!$A$2:$A$27,0)),"")</f>
      </c>
      <c r="AD602" s="84" t="str">
        <f>IFERROR(INDEX('Cost_Components'!$N$2:$N$27,MATCH(E602,'Cost_Components'!$A$2:$A$27,0)),"")</f>
      </c>
      <c r="AE602" s="20" t="str">
        <f>IFERROR(INDEX('Cost_Components'!$O$2:$O$27,MATCH(E602,'Cost_Components'!$A$2:$A$27,0)),"")</f>
      </c>
      <c r="AF602" s="85" t="n">
        <v>3257421.36971681</v>
      </c>
      <c r="AG602" s="86" t="n">
        <v>3256783.7933962</v>
      </c>
      <c r="AH602" s="87" t="str">
        <f>IF(H602="shared-count-once",COUNTIFS($A$2:$A$1353,A602,$B$2:$B$1353,B602,$E$2:$E$1353,E602),1)</f>
      </c>
    </row>
    <row r="603">
      <c r="A603" t="s">
        <v>220</v>
      </c>
      <c r="B603" s="59" t="n">
        <v>2028</v>
      </c>
      <c r="C603" t="s">
        <v>220</v>
      </c>
      <c r="D603" t="s">
        <v>184</v>
      </c>
      <c r="E603" s="60" t="s">
        <v>318</v>
      </c>
      <c r="F603" s="61" t="s">
        <v>319</v>
      </c>
      <c r="G603" s="62" t="s">
        <v>224</v>
      </c>
      <c r="H603" s="63" t="s">
        <v>195</v>
      </c>
      <c r="I603" s="64" t="s">
        <v>267</v>
      </c>
      <c r="J603" s="65" t="str">
        <f>IFERROR(INDEX('Cost_Components'!$K$2:$K$27,MATCH(E603,'Cost_Components'!$A$2:$A$27,0)),"")</f>
      </c>
      <c r="K603" s="66" t="str">
        <f>IF(OR(L603="",Z603="",AA603="",AB603=""),"",IF(B603&lt;AA603,L603,IF(B603&gt;AB603,Z603,L603+(Z603-L603)*MIN(MAX((B603-AA603+1)/MAX(AB603-AA603+1,1),0),1))))</f>
      </c>
      <c r="L603" s="67" t="str">
        <f>IFERROR(INDEX('Cost_Components'!$S$2:$S$27,MATCH(E603,'Cost_Components'!$A$2:$A$27,0)),"")</f>
      </c>
      <c r="M603" s="68" t="str">
        <f>IFERROR(INDEX('Cost_Components'!$L$2:$L$27,MATCH(E603,'Cost_Components'!$A$2:$A$27,0)),"")</f>
      </c>
      <c r="N603" s="69" t="str">
        <f>IFERROR(INDEX('Cost_Components'!$P$2:$P$27,MATCH(E603,'Cost_Components'!$A$2:$A$27,0)),"")</f>
      </c>
      <c r="O603" s="70" t="str">
        <f>AF603*J603</f>
      </c>
      <c r="P603" s="71" t="str">
        <f>AG603*J603</f>
      </c>
      <c r="Q603" s="72" t="str">
        <f>P603*L603*M603*N603</f>
      </c>
      <c r="R603" s="73" t="str">
        <f>O603*K603*M603*N603</f>
      </c>
      <c r="S603" s="74" t="str">
        <f>R603-Q603</f>
      </c>
      <c r="T603" s="20" t="str">
        <f>IFERROR(INDEX('Cost_Components'!$R$2:$R$27,MATCH(E603,'Cost_Components'!$A$2:$A$27,0)),"")</f>
      </c>
      <c r="U603" s="75" t="str">
        <f>IFERROR(INDEX('Cost_Components'!$Q$2:$Q$27,MATCH(E603,'Cost_Components'!$A$2:$A$27,0)),"")</f>
      </c>
      <c r="V603" s="76" t="str">
        <f>1/(1+'Calculation_Assumptions'!$B$5)^(B603-'Calculation_Assumptions'!$B$2)</f>
      </c>
      <c r="W603" s="77" t="str">
        <f>Q603*V603</f>
      </c>
      <c r="X603" s="78" t="str">
        <f>R603*V603</f>
      </c>
      <c r="Y603" s="79" t="str">
        <f>S603*V603</f>
      </c>
      <c r="Z603" s="80" t="str">
        <f>IFERROR(INDEX('Cost_Components'!$T$2:$T$27,MATCH(E603,'Cost_Components'!$A$2:$A$27,0)),"")</f>
      </c>
      <c r="AA603" s="81" t="str">
        <f>IFERROR(INDEX('Cost_Components'!$U$2:$U$27,MATCH(E603,'Cost_Components'!$A$2:$A$27,0)),"")</f>
      </c>
      <c r="AB603" s="82" t="str">
        <f>IFERROR(INDEX('Cost_Components'!$V$2:$V$27,MATCH(E603,'Cost_Components'!$A$2:$A$27,0)),"")</f>
      </c>
      <c r="AC603" s="83" t="str">
        <f>IFERROR(INDEX('Cost_Components'!$M$2:$M$27,MATCH(E603,'Cost_Components'!$A$2:$A$27,0)),"")</f>
      </c>
      <c r="AD603" s="84" t="str">
        <f>IFERROR(INDEX('Cost_Components'!$N$2:$N$27,MATCH(E603,'Cost_Components'!$A$2:$A$27,0)),"")</f>
      </c>
      <c r="AE603" s="20" t="str">
        <f>IFERROR(INDEX('Cost_Components'!$O$2:$O$27,MATCH(E603,'Cost_Components'!$A$2:$A$27,0)),"")</f>
      </c>
      <c r="AF603" s="85" t="n">
        <v>3294687.50330981</v>
      </c>
      <c r="AG603" s="86" t="n">
        <v>3293666.14343879</v>
      </c>
      <c r="AH603" s="87" t="str">
        <f>IF(H603="shared-count-once",COUNTIFS($A$2:$A$1353,A603,$B$2:$B$1353,B603,$E$2:$E$1353,E603),1)</f>
      </c>
    </row>
    <row r="604">
      <c r="A604" t="s">
        <v>220</v>
      </c>
      <c r="B604" s="59" t="n">
        <v>2029</v>
      </c>
      <c r="C604" t="s">
        <v>220</v>
      </c>
      <c r="D604" t="s">
        <v>184</v>
      </c>
      <c r="E604" s="60" t="s">
        <v>318</v>
      </c>
      <c r="F604" s="61" t="s">
        <v>319</v>
      </c>
      <c r="G604" s="62" t="s">
        <v>224</v>
      </c>
      <c r="H604" s="63" t="s">
        <v>195</v>
      </c>
      <c r="I604" s="64" t="s">
        <v>267</v>
      </c>
      <c r="J604" s="65" t="str">
        <f>IFERROR(INDEX('Cost_Components'!$K$2:$K$27,MATCH(E604,'Cost_Components'!$A$2:$A$27,0)),"")</f>
      </c>
      <c r="K604" s="66" t="str">
        <f>IF(OR(L604="",Z604="",AA604="",AB604=""),"",IF(B604&lt;AA604,L604,IF(B604&gt;AB604,Z604,L604+(Z604-L604)*MIN(MAX((B604-AA604+1)/MAX(AB604-AA604+1,1),0),1))))</f>
      </c>
      <c r="L604" s="67" t="str">
        <f>IFERROR(INDEX('Cost_Components'!$S$2:$S$27,MATCH(E604,'Cost_Components'!$A$2:$A$27,0)),"")</f>
      </c>
      <c r="M604" s="68" t="str">
        <f>IFERROR(INDEX('Cost_Components'!$L$2:$L$27,MATCH(E604,'Cost_Components'!$A$2:$A$27,0)),"")</f>
      </c>
      <c r="N604" s="69" t="str">
        <f>IFERROR(INDEX('Cost_Components'!$P$2:$P$27,MATCH(E604,'Cost_Components'!$A$2:$A$27,0)),"")</f>
      </c>
      <c r="O604" s="70" t="str">
        <f>AF604*J604</f>
      </c>
      <c r="P604" s="71" t="str">
        <f>AG604*J604</f>
      </c>
      <c r="Q604" s="72" t="str">
        <f>P604*L604*M604*N604</f>
      </c>
      <c r="R604" s="73" t="str">
        <f>O604*K604*M604*N604</f>
      </c>
      <c r="S604" s="74" t="str">
        <f>R604-Q604</f>
      </c>
      <c r="T604" s="20" t="str">
        <f>IFERROR(INDEX('Cost_Components'!$R$2:$R$27,MATCH(E604,'Cost_Components'!$A$2:$A$27,0)),"")</f>
      </c>
      <c r="U604" s="75" t="str">
        <f>IFERROR(INDEX('Cost_Components'!$Q$2:$Q$27,MATCH(E604,'Cost_Components'!$A$2:$A$27,0)),"")</f>
      </c>
      <c r="V604" s="76" t="str">
        <f>1/(1+'Calculation_Assumptions'!$B$5)^(B604-'Calculation_Assumptions'!$B$2)</f>
      </c>
      <c r="W604" s="77" t="str">
        <f>Q604*V604</f>
      </c>
      <c r="X604" s="78" t="str">
        <f>R604*V604</f>
      </c>
      <c r="Y604" s="79" t="str">
        <f>S604*V604</f>
      </c>
      <c r="Z604" s="80" t="str">
        <f>IFERROR(INDEX('Cost_Components'!$T$2:$T$27,MATCH(E604,'Cost_Components'!$A$2:$A$27,0)),"")</f>
      </c>
      <c r="AA604" s="81" t="str">
        <f>IFERROR(INDEX('Cost_Components'!$U$2:$U$27,MATCH(E604,'Cost_Components'!$A$2:$A$27,0)),"")</f>
      </c>
      <c r="AB604" s="82" t="str">
        <f>IFERROR(INDEX('Cost_Components'!$V$2:$V$27,MATCH(E604,'Cost_Components'!$A$2:$A$27,0)),"")</f>
      </c>
      <c r="AC604" s="83" t="str">
        <f>IFERROR(INDEX('Cost_Components'!$M$2:$M$27,MATCH(E604,'Cost_Components'!$A$2:$A$27,0)),"")</f>
      </c>
      <c r="AD604" s="84" t="str">
        <f>IFERROR(INDEX('Cost_Components'!$N$2:$N$27,MATCH(E604,'Cost_Components'!$A$2:$A$27,0)),"")</f>
      </c>
      <c r="AE604" s="20" t="str">
        <f>IFERROR(INDEX('Cost_Components'!$O$2:$O$27,MATCH(E604,'Cost_Components'!$A$2:$A$27,0)),"")</f>
      </c>
      <c r="AF604" s="85" t="n">
        <v>3333863.63218886</v>
      </c>
      <c r="AG604" s="86" t="n">
        <v>3332379.93942688</v>
      </c>
      <c r="AH604" s="87" t="str">
        <f>IF(H604="shared-count-once",COUNTIFS($A$2:$A$1353,A604,$B$2:$B$1353,B604,$E$2:$E$1353,E604),1)</f>
      </c>
    </row>
    <row r="605">
      <c r="A605" t="s">
        <v>220</v>
      </c>
      <c r="B605" s="59" t="n">
        <v>2030</v>
      </c>
      <c r="C605" t="s">
        <v>220</v>
      </c>
      <c r="D605" t="s">
        <v>184</v>
      </c>
      <c r="E605" s="60" t="s">
        <v>318</v>
      </c>
      <c r="F605" s="61" t="s">
        <v>319</v>
      </c>
      <c r="G605" s="62" t="s">
        <v>224</v>
      </c>
      <c r="H605" s="63" t="s">
        <v>195</v>
      </c>
      <c r="I605" s="64" t="s">
        <v>267</v>
      </c>
      <c r="J605" s="65" t="str">
        <f>IFERROR(INDEX('Cost_Components'!$K$2:$K$27,MATCH(E605,'Cost_Components'!$A$2:$A$27,0)),"")</f>
      </c>
      <c r="K605" s="66" t="str">
        <f>IF(OR(L605="",Z605="",AA605="",AB605=""),"",IF(B605&lt;AA605,L605,IF(B605&gt;AB605,Z605,L605+(Z605-L605)*MIN(MAX((B605-AA605+1)/MAX(AB605-AA605+1,1),0),1))))</f>
      </c>
      <c r="L605" s="67" t="str">
        <f>IFERROR(INDEX('Cost_Components'!$S$2:$S$27,MATCH(E605,'Cost_Components'!$A$2:$A$27,0)),"")</f>
      </c>
      <c r="M605" s="68" t="str">
        <f>IFERROR(INDEX('Cost_Components'!$L$2:$L$27,MATCH(E605,'Cost_Components'!$A$2:$A$27,0)),"")</f>
      </c>
      <c r="N605" s="69" t="str">
        <f>IFERROR(INDEX('Cost_Components'!$P$2:$P$27,MATCH(E605,'Cost_Components'!$A$2:$A$27,0)),"")</f>
      </c>
      <c r="O605" s="70" t="str">
        <f>AF605*J605</f>
      </c>
      <c r="P605" s="71" t="str">
        <f>AG605*J605</f>
      </c>
      <c r="Q605" s="72" t="str">
        <f>P605*L605*M605*N605</f>
      </c>
      <c r="R605" s="73" t="str">
        <f>O605*K605*M605*N605</f>
      </c>
      <c r="S605" s="74" t="str">
        <f>R605-Q605</f>
      </c>
      <c r="T605" s="20" t="str">
        <f>IFERROR(INDEX('Cost_Components'!$R$2:$R$27,MATCH(E605,'Cost_Components'!$A$2:$A$27,0)),"")</f>
      </c>
      <c r="U605" s="75" t="str">
        <f>IFERROR(INDEX('Cost_Components'!$Q$2:$Q$27,MATCH(E605,'Cost_Components'!$A$2:$A$27,0)),"")</f>
      </c>
      <c r="V605" s="76" t="str">
        <f>1/(1+'Calculation_Assumptions'!$B$5)^(B605-'Calculation_Assumptions'!$B$2)</f>
      </c>
      <c r="W605" s="77" t="str">
        <f>Q605*V605</f>
      </c>
      <c r="X605" s="78" t="str">
        <f>R605*V605</f>
      </c>
      <c r="Y605" s="79" t="str">
        <f>S605*V605</f>
      </c>
      <c r="Z605" s="80" t="str">
        <f>IFERROR(INDEX('Cost_Components'!$T$2:$T$27,MATCH(E605,'Cost_Components'!$A$2:$A$27,0)),"")</f>
      </c>
      <c r="AA605" s="81" t="str">
        <f>IFERROR(INDEX('Cost_Components'!$U$2:$U$27,MATCH(E605,'Cost_Components'!$A$2:$A$27,0)),"")</f>
      </c>
      <c r="AB605" s="82" t="str">
        <f>IFERROR(INDEX('Cost_Components'!$V$2:$V$27,MATCH(E605,'Cost_Components'!$A$2:$A$27,0)),"")</f>
      </c>
      <c r="AC605" s="83" t="str">
        <f>IFERROR(INDEX('Cost_Components'!$M$2:$M$27,MATCH(E605,'Cost_Components'!$A$2:$A$27,0)),"")</f>
      </c>
      <c r="AD605" s="84" t="str">
        <f>IFERROR(INDEX('Cost_Components'!$N$2:$N$27,MATCH(E605,'Cost_Components'!$A$2:$A$27,0)),"")</f>
      </c>
      <c r="AE605" s="20" t="str">
        <f>IFERROR(INDEX('Cost_Components'!$O$2:$O$27,MATCH(E605,'Cost_Components'!$A$2:$A$27,0)),"")</f>
      </c>
      <c r="AF605" s="85" t="n">
        <v>3375720.89383671</v>
      </c>
      <c r="AG605" s="86" t="n">
        <v>3373705.64784687</v>
      </c>
      <c r="AH605" s="87" t="str">
        <f>IF(H605="shared-count-once",COUNTIFS($A$2:$A$1353,A605,$B$2:$B$1353,B605,$E$2:$E$1353,E605),1)</f>
      </c>
    </row>
    <row r="606">
      <c r="A606" t="s">
        <v>220</v>
      </c>
      <c r="B606" s="59" t="n">
        <v>2031</v>
      </c>
      <c r="C606" t="s">
        <v>220</v>
      </c>
      <c r="D606" t="s">
        <v>184</v>
      </c>
      <c r="E606" s="60" t="s">
        <v>318</v>
      </c>
      <c r="F606" s="61" t="s">
        <v>319</v>
      </c>
      <c r="G606" s="62" t="s">
        <v>224</v>
      </c>
      <c r="H606" s="63" t="s">
        <v>195</v>
      </c>
      <c r="I606" s="64" t="s">
        <v>267</v>
      </c>
      <c r="J606" s="65" t="str">
        <f>IFERROR(INDEX('Cost_Components'!$K$2:$K$27,MATCH(E606,'Cost_Components'!$A$2:$A$27,0)),"")</f>
      </c>
      <c r="K606" s="66" t="str">
        <f>IF(OR(L606="",Z606="",AA606="",AB606=""),"",IF(B606&lt;AA606,L606,IF(B606&gt;AB606,Z606,L606+(Z606-L606)*MIN(MAX((B606-AA606+1)/MAX(AB606-AA606+1,1),0),1))))</f>
      </c>
      <c r="L606" s="67" t="str">
        <f>IFERROR(INDEX('Cost_Components'!$S$2:$S$27,MATCH(E606,'Cost_Components'!$A$2:$A$27,0)),"")</f>
      </c>
      <c r="M606" s="68" t="str">
        <f>IFERROR(INDEX('Cost_Components'!$L$2:$L$27,MATCH(E606,'Cost_Components'!$A$2:$A$27,0)),"")</f>
      </c>
      <c r="N606" s="69" t="str">
        <f>IFERROR(INDEX('Cost_Components'!$P$2:$P$27,MATCH(E606,'Cost_Components'!$A$2:$A$27,0)),"")</f>
      </c>
      <c r="O606" s="70" t="str">
        <f>AF606*J606</f>
      </c>
      <c r="P606" s="71" t="str">
        <f>AG606*J606</f>
      </c>
      <c r="Q606" s="72" t="str">
        <f>P606*L606*M606*N606</f>
      </c>
      <c r="R606" s="73" t="str">
        <f>O606*K606*M606*N606</f>
      </c>
      <c r="S606" s="74" t="str">
        <f>R606-Q606</f>
      </c>
      <c r="T606" s="20" t="str">
        <f>IFERROR(INDEX('Cost_Components'!$R$2:$R$27,MATCH(E606,'Cost_Components'!$A$2:$A$27,0)),"")</f>
      </c>
      <c r="U606" s="75" t="str">
        <f>IFERROR(INDEX('Cost_Components'!$Q$2:$Q$27,MATCH(E606,'Cost_Components'!$A$2:$A$27,0)),"")</f>
      </c>
      <c r="V606" s="76" t="str">
        <f>1/(1+'Calculation_Assumptions'!$B$5)^(B606-'Calculation_Assumptions'!$B$2)</f>
      </c>
      <c r="W606" s="77" t="str">
        <f>Q606*V606</f>
      </c>
      <c r="X606" s="78" t="str">
        <f>R606*V606</f>
      </c>
      <c r="Y606" s="79" t="str">
        <f>S606*V606</f>
      </c>
      <c r="Z606" s="80" t="str">
        <f>IFERROR(INDEX('Cost_Components'!$T$2:$T$27,MATCH(E606,'Cost_Components'!$A$2:$A$27,0)),"")</f>
      </c>
      <c r="AA606" s="81" t="str">
        <f>IFERROR(INDEX('Cost_Components'!$U$2:$U$27,MATCH(E606,'Cost_Components'!$A$2:$A$27,0)),"")</f>
      </c>
      <c r="AB606" s="82" t="str">
        <f>IFERROR(INDEX('Cost_Components'!$V$2:$V$27,MATCH(E606,'Cost_Components'!$A$2:$A$27,0)),"")</f>
      </c>
      <c r="AC606" s="83" t="str">
        <f>IFERROR(INDEX('Cost_Components'!$M$2:$M$27,MATCH(E606,'Cost_Components'!$A$2:$A$27,0)),"")</f>
      </c>
      <c r="AD606" s="84" t="str">
        <f>IFERROR(INDEX('Cost_Components'!$N$2:$N$27,MATCH(E606,'Cost_Components'!$A$2:$A$27,0)),"")</f>
      </c>
      <c r="AE606" s="20" t="str">
        <f>IFERROR(INDEX('Cost_Components'!$O$2:$O$27,MATCH(E606,'Cost_Components'!$A$2:$A$27,0)),"")</f>
      </c>
      <c r="AF606" s="85" t="n">
        <v>3420495.52343588</v>
      </c>
      <c r="AG606" s="86" t="n">
        <v>3417886.53070673</v>
      </c>
      <c r="AH606" s="87" t="str">
        <f>IF(H606="shared-count-once",COUNTIFS($A$2:$A$1353,A606,$B$2:$B$1353,B606,$E$2:$E$1353,E606),1)</f>
      </c>
    </row>
    <row r="607">
      <c r="A607" t="s">
        <v>220</v>
      </c>
      <c r="B607" s="59" t="n">
        <v>2032</v>
      </c>
      <c r="C607" t="s">
        <v>220</v>
      </c>
      <c r="D607" t="s">
        <v>184</v>
      </c>
      <c r="E607" s="60" t="s">
        <v>318</v>
      </c>
      <c r="F607" s="61" t="s">
        <v>319</v>
      </c>
      <c r="G607" s="62" t="s">
        <v>224</v>
      </c>
      <c r="H607" s="63" t="s">
        <v>195</v>
      </c>
      <c r="I607" s="64" t="s">
        <v>267</v>
      </c>
      <c r="J607" s="65" t="str">
        <f>IFERROR(INDEX('Cost_Components'!$K$2:$K$27,MATCH(E607,'Cost_Components'!$A$2:$A$27,0)),"")</f>
      </c>
      <c r="K607" s="66" t="str">
        <f>IF(OR(L607="",Z607="",AA607="",AB607=""),"",IF(B607&lt;AA607,L607,IF(B607&gt;AB607,Z607,L607+(Z607-L607)*MIN(MAX((B607-AA607+1)/MAX(AB607-AA607+1,1),0),1))))</f>
      </c>
      <c r="L607" s="67" t="str">
        <f>IFERROR(INDEX('Cost_Components'!$S$2:$S$27,MATCH(E607,'Cost_Components'!$A$2:$A$27,0)),"")</f>
      </c>
      <c r="M607" s="68" t="str">
        <f>IFERROR(INDEX('Cost_Components'!$L$2:$L$27,MATCH(E607,'Cost_Components'!$A$2:$A$27,0)),"")</f>
      </c>
      <c r="N607" s="69" t="str">
        <f>IFERROR(INDEX('Cost_Components'!$P$2:$P$27,MATCH(E607,'Cost_Components'!$A$2:$A$27,0)),"")</f>
      </c>
      <c r="O607" s="70" t="str">
        <f>AF607*J607</f>
      </c>
      <c r="P607" s="71" t="str">
        <f>AG607*J607</f>
      </c>
      <c r="Q607" s="72" t="str">
        <f>P607*L607*M607*N607</f>
      </c>
      <c r="R607" s="73" t="str">
        <f>O607*K607*M607*N607</f>
      </c>
      <c r="S607" s="74" t="str">
        <f>R607-Q607</f>
      </c>
      <c r="T607" s="20" t="str">
        <f>IFERROR(INDEX('Cost_Components'!$R$2:$R$27,MATCH(E607,'Cost_Components'!$A$2:$A$27,0)),"")</f>
      </c>
      <c r="U607" s="75" t="str">
        <f>IFERROR(INDEX('Cost_Components'!$Q$2:$Q$27,MATCH(E607,'Cost_Components'!$A$2:$A$27,0)),"")</f>
      </c>
      <c r="V607" s="76" t="str">
        <f>1/(1+'Calculation_Assumptions'!$B$5)^(B607-'Calculation_Assumptions'!$B$2)</f>
      </c>
      <c r="W607" s="77" t="str">
        <f>Q607*V607</f>
      </c>
      <c r="X607" s="78" t="str">
        <f>R607*V607</f>
      </c>
      <c r="Y607" s="79" t="str">
        <f>S607*V607</f>
      </c>
      <c r="Z607" s="80" t="str">
        <f>IFERROR(INDEX('Cost_Components'!$T$2:$T$27,MATCH(E607,'Cost_Components'!$A$2:$A$27,0)),"")</f>
      </c>
      <c r="AA607" s="81" t="str">
        <f>IFERROR(INDEX('Cost_Components'!$U$2:$U$27,MATCH(E607,'Cost_Components'!$A$2:$A$27,0)),"")</f>
      </c>
      <c r="AB607" s="82" t="str">
        <f>IFERROR(INDEX('Cost_Components'!$V$2:$V$27,MATCH(E607,'Cost_Components'!$A$2:$A$27,0)),"")</f>
      </c>
      <c r="AC607" s="83" t="str">
        <f>IFERROR(INDEX('Cost_Components'!$M$2:$M$27,MATCH(E607,'Cost_Components'!$A$2:$A$27,0)),"")</f>
      </c>
      <c r="AD607" s="84" t="str">
        <f>IFERROR(INDEX('Cost_Components'!$N$2:$N$27,MATCH(E607,'Cost_Components'!$A$2:$A$27,0)),"")</f>
      </c>
      <c r="AE607" s="20" t="str">
        <f>IFERROR(INDEX('Cost_Components'!$O$2:$O$27,MATCH(E607,'Cost_Components'!$A$2:$A$27,0)),"")</f>
      </c>
      <c r="AF607" s="85" t="n">
        <v>3468008.47762435</v>
      </c>
      <c r="AG607" s="86" t="n">
        <v>3464746.35411179</v>
      </c>
      <c r="AH607" s="87" t="str">
        <f>IF(H607="shared-count-once",COUNTIFS($A$2:$A$1353,A607,$B$2:$B$1353,B607,$E$2:$E$1353,E607),1)</f>
      </c>
    </row>
    <row r="608">
      <c r="A608" t="s">
        <v>220</v>
      </c>
      <c r="B608" s="59" t="n">
        <v>2033</v>
      </c>
      <c r="C608" t="s">
        <v>220</v>
      </c>
      <c r="D608" t="s">
        <v>184</v>
      </c>
      <c r="E608" s="60" t="s">
        <v>318</v>
      </c>
      <c r="F608" s="61" t="s">
        <v>319</v>
      </c>
      <c r="G608" s="62" t="s">
        <v>224</v>
      </c>
      <c r="H608" s="63" t="s">
        <v>195</v>
      </c>
      <c r="I608" s="64" t="s">
        <v>267</v>
      </c>
      <c r="J608" s="65" t="str">
        <f>IFERROR(INDEX('Cost_Components'!$K$2:$K$27,MATCH(E608,'Cost_Components'!$A$2:$A$27,0)),"")</f>
      </c>
      <c r="K608" s="66" t="str">
        <f>IF(OR(L608="",Z608="",AA608="",AB608=""),"",IF(B608&lt;AA608,L608,IF(B608&gt;AB608,Z608,L608+(Z608-L608)*MIN(MAX((B608-AA608+1)/MAX(AB608-AA608+1,1),0),1))))</f>
      </c>
      <c r="L608" s="67" t="str">
        <f>IFERROR(INDEX('Cost_Components'!$S$2:$S$27,MATCH(E608,'Cost_Components'!$A$2:$A$27,0)),"")</f>
      </c>
      <c r="M608" s="68" t="str">
        <f>IFERROR(INDEX('Cost_Components'!$L$2:$L$27,MATCH(E608,'Cost_Components'!$A$2:$A$27,0)),"")</f>
      </c>
      <c r="N608" s="69" t="str">
        <f>IFERROR(INDEX('Cost_Components'!$P$2:$P$27,MATCH(E608,'Cost_Components'!$A$2:$A$27,0)),"")</f>
      </c>
      <c r="O608" s="70" t="str">
        <f>AF608*J608</f>
      </c>
      <c r="P608" s="71" t="str">
        <f>AG608*J608</f>
      </c>
      <c r="Q608" s="72" t="str">
        <f>P608*L608*M608*N608</f>
      </c>
      <c r="R608" s="73" t="str">
        <f>O608*K608*M608*N608</f>
      </c>
      <c r="S608" s="74" t="str">
        <f>R608-Q608</f>
      </c>
      <c r="T608" s="20" t="str">
        <f>IFERROR(INDEX('Cost_Components'!$R$2:$R$27,MATCH(E608,'Cost_Components'!$A$2:$A$27,0)),"")</f>
      </c>
      <c r="U608" s="75" t="str">
        <f>IFERROR(INDEX('Cost_Components'!$Q$2:$Q$27,MATCH(E608,'Cost_Components'!$A$2:$A$27,0)),"")</f>
      </c>
      <c r="V608" s="76" t="str">
        <f>1/(1+'Calculation_Assumptions'!$B$5)^(B608-'Calculation_Assumptions'!$B$2)</f>
      </c>
      <c r="W608" s="77" t="str">
        <f>Q608*V608</f>
      </c>
      <c r="X608" s="78" t="str">
        <f>R608*V608</f>
      </c>
      <c r="Y608" s="79" t="str">
        <f>S608*V608</f>
      </c>
      <c r="Z608" s="80" t="str">
        <f>IFERROR(INDEX('Cost_Components'!$T$2:$T$27,MATCH(E608,'Cost_Components'!$A$2:$A$27,0)),"")</f>
      </c>
      <c r="AA608" s="81" t="str">
        <f>IFERROR(INDEX('Cost_Components'!$U$2:$U$27,MATCH(E608,'Cost_Components'!$A$2:$A$27,0)),"")</f>
      </c>
      <c r="AB608" s="82" t="str">
        <f>IFERROR(INDEX('Cost_Components'!$V$2:$V$27,MATCH(E608,'Cost_Components'!$A$2:$A$27,0)),"")</f>
      </c>
      <c r="AC608" s="83" t="str">
        <f>IFERROR(INDEX('Cost_Components'!$M$2:$M$27,MATCH(E608,'Cost_Components'!$A$2:$A$27,0)),"")</f>
      </c>
      <c r="AD608" s="84" t="str">
        <f>IFERROR(INDEX('Cost_Components'!$N$2:$N$27,MATCH(E608,'Cost_Components'!$A$2:$A$27,0)),"")</f>
      </c>
      <c r="AE608" s="20" t="str">
        <f>IFERROR(INDEX('Cost_Components'!$O$2:$O$27,MATCH(E608,'Cost_Components'!$A$2:$A$27,0)),"")</f>
      </c>
      <c r="AF608" s="85" t="n">
        <v>3517973.35554717</v>
      </c>
      <c r="AG608" s="86" t="n">
        <v>3514003.85121205</v>
      </c>
      <c r="AH608" s="87" t="str">
        <f>IF(H608="shared-count-once",COUNTIFS($A$2:$A$1353,A608,$B$2:$B$1353,B608,$E$2:$E$1353,E608),1)</f>
      </c>
    </row>
    <row r="609">
      <c r="A609" t="s">
        <v>220</v>
      </c>
      <c r="B609" s="59" t="n">
        <v>2034</v>
      </c>
      <c r="C609" t="s">
        <v>220</v>
      </c>
      <c r="D609" t="s">
        <v>184</v>
      </c>
      <c r="E609" s="60" t="s">
        <v>318</v>
      </c>
      <c r="F609" s="61" t="s">
        <v>319</v>
      </c>
      <c r="G609" s="62" t="s">
        <v>224</v>
      </c>
      <c r="H609" s="63" t="s">
        <v>195</v>
      </c>
      <c r="I609" s="64" t="s">
        <v>267</v>
      </c>
      <c r="J609" s="65" t="str">
        <f>IFERROR(INDEX('Cost_Components'!$K$2:$K$27,MATCH(E609,'Cost_Components'!$A$2:$A$27,0)),"")</f>
      </c>
      <c r="K609" s="66" t="str">
        <f>IF(OR(L609="",Z609="",AA609="",AB609=""),"",IF(B609&lt;AA609,L609,IF(B609&gt;AB609,Z609,L609+(Z609-L609)*MIN(MAX((B609-AA609+1)/MAX(AB609-AA609+1,1),0),1))))</f>
      </c>
      <c r="L609" s="67" t="str">
        <f>IFERROR(INDEX('Cost_Components'!$S$2:$S$27,MATCH(E609,'Cost_Components'!$A$2:$A$27,0)),"")</f>
      </c>
      <c r="M609" s="68" t="str">
        <f>IFERROR(INDEX('Cost_Components'!$L$2:$L$27,MATCH(E609,'Cost_Components'!$A$2:$A$27,0)),"")</f>
      </c>
      <c r="N609" s="69" t="str">
        <f>IFERROR(INDEX('Cost_Components'!$P$2:$P$27,MATCH(E609,'Cost_Components'!$A$2:$A$27,0)),"")</f>
      </c>
      <c r="O609" s="70" t="str">
        <f>AF609*J609</f>
      </c>
      <c r="P609" s="71" t="str">
        <f>AG609*J609</f>
      </c>
      <c r="Q609" s="72" t="str">
        <f>P609*L609*M609*N609</f>
      </c>
      <c r="R609" s="73" t="str">
        <f>O609*K609*M609*N609</f>
      </c>
      <c r="S609" s="74" t="str">
        <f>R609-Q609</f>
      </c>
      <c r="T609" s="20" t="str">
        <f>IFERROR(INDEX('Cost_Components'!$R$2:$R$27,MATCH(E609,'Cost_Components'!$A$2:$A$27,0)),"")</f>
      </c>
      <c r="U609" s="75" t="str">
        <f>IFERROR(INDEX('Cost_Components'!$Q$2:$Q$27,MATCH(E609,'Cost_Components'!$A$2:$A$27,0)),"")</f>
      </c>
      <c r="V609" s="76" t="str">
        <f>1/(1+'Calculation_Assumptions'!$B$5)^(B609-'Calculation_Assumptions'!$B$2)</f>
      </c>
      <c r="W609" s="77" t="str">
        <f>Q609*V609</f>
      </c>
      <c r="X609" s="78" t="str">
        <f>R609*V609</f>
      </c>
      <c r="Y609" s="79" t="str">
        <f>S609*V609</f>
      </c>
      <c r="Z609" s="80" t="str">
        <f>IFERROR(INDEX('Cost_Components'!$T$2:$T$27,MATCH(E609,'Cost_Components'!$A$2:$A$27,0)),"")</f>
      </c>
      <c r="AA609" s="81" t="str">
        <f>IFERROR(INDEX('Cost_Components'!$U$2:$U$27,MATCH(E609,'Cost_Components'!$A$2:$A$27,0)),"")</f>
      </c>
      <c r="AB609" s="82" t="str">
        <f>IFERROR(INDEX('Cost_Components'!$V$2:$V$27,MATCH(E609,'Cost_Components'!$A$2:$A$27,0)),"")</f>
      </c>
      <c r="AC609" s="83" t="str">
        <f>IFERROR(INDEX('Cost_Components'!$M$2:$M$27,MATCH(E609,'Cost_Components'!$A$2:$A$27,0)),"")</f>
      </c>
      <c r="AD609" s="84" t="str">
        <f>IFERROR(INDEX('Cost_Components'!$N$2:$N$27,MATCH(E609,'Cost_Components'!$A$2:$A$27,0)),"")</f>
      </c>
      <c r="AE609" s="20" t="str">
        <f>IFERROR(INDEX('Cost_Components'!$O$2:$O$27,MATCH(E609,'Cost_Components'!$A$2:$A$27,0)),"")</f>
      </c>
      <c r="AF609" s="85" t="n">
        <v>3568789.2462243</v>
      </c>
      <c r="AG609" s="86" t="n">
        <v>3564054.13829594</v>
      </c>
      <c r="AH609" s="87" t="str">
        <f>IF(H609="shared-count-once",COUNTIFS($A$2:$A$1353,A609,$B$2:$B$1353,B609,$E$2:$E$1353,E609),1)</f>
      </c>
    </row>
    <row r="610">
      <c r="A610" t="s">
        <v>220</v>
      </c>
      <c r="B610" s="59" t="n">
        <v>2035</v>
      </c>
      <c r="C610" t="s">
        <v>220</v>
      </c>
      <c r="D610" t="s">
        <v>184</v>
      </c>
      <c r="E610" s="60" t="s">
        <v>318</v>
      </c>
      <c r="F610" s="61" t="s">
        <v>319</v>
      </c>
      <c r="G610" s="62" t="s">
        <v>224</v>
      </c>
      <c r="H610" s="63" t="s">
        <v>195</v>
      </c>
      <c r="I610" s="64" t="s">
        <v>267</v>
      </c>
      <c r="J610" s="65" t="str">
        <f>IFERROR(INDEX('Cost_Components'!$K$2:$K$27,MATCH(E610,'Cost_Components'!$A$2:$A$27,0)),"")</f>
      </c>
      <c r="K610" s="66" t="str">
        <f>IF(OR(L610="",Z610="",AA610="",AB610=""),"",IF(B610&lt;AA610,L610,IF(B610&gt;AB610,Z610,L610+(Z610-L610)*MIN(MAX((B610-AA610+1)/MAX(AB610-AA610+1,1),0),1))))</f>
      </c>
      <c r="L610" s="67" t="str">
        <f>IFERROR(INDEX('Cost_Components'!$S$2:$S$27,MATCH(E610,'Cost_Components'!$A$2:$A$27,0)),"")</f>
      </c>
      <c r="M610" s="68" t="str">
        <f>IFERROR(INDEX('Cost_Components'!$L$2:$L$27,MATCH(E610,'Cost_Components'!$A$2:$A$27,0)),"")</f>
      </c>
      <c r="N610" s="69" t="str">
        <f>IFERROR(INDEX('Cost_Components'!$P$2:$P$27,MATCH(E610,'Cost_Components'!$A$2:$A$27,0)),"")</f>
      </c>
      <c r="O610" s="70" t="str">
        <f>AF610*J610</f>
      </c>
      <c r="P610" s="71" t="str">
        <f>AG610*J610</f>
      </c>
      <c r="Q610" s="72" t="str">
        <f>P610*L610*M610*N610</f>
      </c>
      <c r="R610" s="73" t="str">
        <f>O610*K610*M610*N610</f>
      </c>
      <c r="S610" s="74" t="str">
        <f>R610-Q610</f>
      </c>
      <c r="T610" s="20" t="str">
        <f>IFERROR(INDEX('Cost_Components'!$R$2:$R$27,MATCH(E610,'Cost_Components'!$A$2:$A$27,0)),"")</f>
      </c>
      <c r="U610" s="75" t="str">
        <f>IFERROR(INDEX('Cost_Components'!$Q$2:$Q$27,MATCH(E610,'Cost_Components'!$A$2:$A$27,0)),"")</f>
      </c>
      <c r="V610" s="76" t="str">
        <f>1/(1+'Calculation_Assumptions'!$B$5)^(B610-'Calculation_Assumptions'!$B$2)</f>
      </c>
      <c r="W610" s="77" t="str">
        <f>Q610*V610</f>
      </c>
      <c r="X610" s="78" t="str">
        <f>R610*V610</f>
      </c>
      <c r="Y610" s="79" t="str">
        <f>S610*V610</f>
      </c>
      <c r="Z610" s="80" t="str">
        <f>IFERROR(INDEX('Cost_Components'!$T$2:$T$27,MATCH(E610,'Cost_Components'!$A$2:$A$27,0)),"")</f>
      </c>
      <c r="AA610" s="81" t="str">
        <f>IFERROR(INDEX('Cost_Components'!$U$2:$U$27,MATCH(E610,'Cost_Components'!$A$2:$A$27,0)),"")</f>
      </c>
      <c r="AB610" s="82" t="str">
        <f>IFERROR(INDEX('Cost_Components'!$V$2:$V$27,MATCH(E610,'Cost_Components'!$A$2:$A$27,0)),"")</f>
      </c>
      <c r="AC610" s="83" t="str">
        <f>IFERROR(INDEX('Cost_Components'!$M$2:$M$27,MATCH(E610,'Cost_Components'!$A$2:$A$27,0)),"")</f>
      </c>
      <c r="AD610" s="84" t="str">
        <f>IFERROR(INDEX('Cost_Components'!$N$2:$N$27,MATCH(E610,'Cost_Components'!$A$2:$A$27,0)),"")</f>
      </c>
      <c r="AE610" s="20" t="str">
        <f>IFERROR(INDEX('Cost_Components'!$O$2:$O$27,MATCH(E610,'Cost_Components'!$A$2:$A$27,0)),"")</f>
      </c>
      <c r="AF610" s="85" t="n">
        <v>3621091.67082489</v>
      </c>
      <c r="AG610" s="86" t="n">
        <v>3615546.17318505</v>
      </c>
      <c r="AH610" s="87" t="str">
        <f>IF(H610="shared-count-once",COUNTIFS($A$2:$A$1353,A610,$B$2:$B$1353,B610,$E$2:$E$1353,E610),1)</f>
      </c>
    </row>
    <row r="611">
      <c r="A611" t="s">
        <v>220</v>
      </c>
      <c r="B611" s="59" t="n">
        <v>2036</v>
      </c>
      <c r="C611" t="s">
        <v>220</v>
      </c>
      <c r="D611" t="s">
        <v>184</v>
      </c>
      <c r="E611" s="60" t="s">
        <v>318</v>
      </c>
      <c r="F611" s="61" t="s">
        <v>319</v>
      </c>
      <c r="G611" s="62" t="s">
        <v>224</v>
      </c>
      <c r="H611" s="63" t="s">
        <v>195</v>
      </c>
      <c r="I611" s="64" t="s">
        <v>267</v>
      </c>
      <c r="J611" s="65" t="str">
        <f>IFERROR(INDEX('Cost_Components'!$K$2:$K$27,MATCH(E611,'Cost_Components'!$A$2:$A$27,0)),"")</f>
      </c>
      <c r="K611" s="66" t="str">
        <f>IF(OR(L611="",Z611="",AA611="",AB611=""),"",IF(B611&lt;AA611,L611,IF(B611&gt;AB611,Z611,L611+(Z611-L611)*MIN(MAX((B611-AA611+1)/MAX(AB611-AA611+1,1),0),1))))</f>
      </c>
      <c r="L611" s="67" t="str">
        <f>IFERROR(INDEX('Cost_Components'!$S$2:$S$27,MATCH(E611,'Cost_Components'!$A$2:$A$27,0)),"")</f>
      </c>
      <c r="M611" s="68" t="str">
        <f>IFERROR(INDEX('Cost_Components'!$L$2:$L$27,MATCH(E611,'Cost_Components'!$A$2:$A$27,0)),"")</f>
      </c>
      <c r="N611" s="69" t="str">
        <f>IFERROR(INDEX('Cost_Components'!$P$2:$P$27,MATCH(E611,'Cost_Components'!$A$2:$A$27,0)),"")</f>
      </c>
      <c r="O611" s="70" t="str">
        <f>AF611*J611</f>
      </c>
      <c r="P611" s="71" t="str">
        <f>AG611*J611</f>
      </c>
      <c r="Q611" s="72" t="str">
        <f>P611*L611*M611*N611</f>
      </c>
      <c r="R611" s="73" t="str">
        <f>O611*K611*M611*N611</f>
      </c>
      <c r="S611" s="74" t="str">
        <f>R611-Q611</f>
      </c>
      <c r="T611" s="20" t="str">
        <f>IFERROR(INDEX('Cost_Components'!$R$2:$R$27,MATCH(E611,'Cost_Components'!$A$2:$A$27,0)),"")</f>
      </c>
      <c r="U611" s="75" t="str">
        <f>IFERROR(INDEX('Cost_Components'!$Q$2:$Q$27,MATCH(E611,'Cost_Components'!$A$2:$A$27,0)),"")</f>
      </c>
      <c r="V611" s="76" t="str">
        <f>1/(1+'Calculation_Assumptions'!$B$5)^(B611-'Calculation_Assumptions'!$B$2)</f>
      </c>
      <c r="W611" s="77" t="str">
        <f>Q611*V611</f>
      </c>
      <c r="X611" s="78" t="str">
        <f>R611*V611</f>
      </c>
      <c r="Y611" s="79" t="str">
        <f>S611*V611</f>
      </c>
      <c r="Z611" s="80" t="str">
        <f>IFERROR(INDEX('Cost_Components'!$T$2:$T$27,MATCH(E611,'Cost_Components'!$A$2:$A$27,0)),"")</f>
      </c>
      <c r="AA611" s="81" t="str">
        <f>IFERROR(INDEX('Cost_Components'!$U$2:$U$27,MATCH(E611,'Cost_Components'!$A$2:$A$27,0)),"")</f>
      </c>
      <c r="AB611" s="82" t="str">
        <f>IFERROR(INDEX('Cost_Components'!$V$2:$V$27,MATCH(E611,'Cost_Components'!$A$2:$A$27,0)),"")</f>
      </c>
      <c r="AC611" s="83" t="str">
        <f>IFERROR(INDEX('Cost_Components'!$M$2:$M$27,MATCH(E611,'Cost_Components'!$A$2:$A$27,0)),"")</f>
      </c>
      <c r="AD611" s="84" t="str">
        <f>IFERROR(INDEX('Cost_Components'!$N$2:$N$27,MATCH(E611,'Cost_Components'!$A$2:$A$27,0)),"")</f>
      </c>
      <c r="AE611" s="20" t="str">
        <f>IFERROR(INDEX('Cost_Components'!$O$2:$O$27,MATCH(E611,'Cost_Components'!$A$2:$A$27,0)),"")</f>
      </c>
      <c r="AF611" s="85" t="n">
        <v>3674322.41789409</v>
      </c>
      <c r="AG611" s="86" t="n">
        <v>3667928.72735175</v>
      </c>
      <c r="AH611" s="87" t="str">
        <f>IF(H611="shared-count-once",COUNTIFS($A$2:$A$1353,A611,$B$2:$B$1353,B611,$E$2:$E$1353,E611),1)</f>
      </c>
    </row>
    <row r="612">
      <c r="A612" t="s">
        <v>220</v>
      </c>
      <c r="B612" s="59" t="n">
        <v>2037</v>
      </c>
      <c r="C612" t="s">
        <v>220</v>
      </c>
      <c r="D612" t="s">
        <v>184</v>
      </c>
      <c r="E612" s="60" t="s">
        <v>318</v>
      </c>
      <c r="F612" s="61" t="s">
        <v>319</v>
      </c>
      <c r="G612" s="62" t="s">
        <v>224</v>
      </c>
      <c r="H612" s="63" t="s">
        <v>195</v>
      </c>
      <c r="I612" s="64" t="s">
        <v>267</v>
      </c>
      <c r="J612" s="65" t="str">
        <f>IFERROR(INDEX('Cost_Components'!$K$2:$K$27,MATCH(E612,'Cost_Components'!$A$2:$A$27,0)),"")</f>
      </c>
      <c r="K612" s="66" t="str">
        <f>IF(OR(L612="",Z612="",AA612="",AB612=""),"",IF(B612&lt;AA612,L612,IF(B612&gt;AB612,Z612,L612+(Z612-L612)*MIN(MAX((B612-AA612+1)/MAX(AB612-AA612+1,1),0),1))))</f>
      </c>
      <c r="L612" s="67" t="str">
        <f>IFERROR(INDEX('Cost_Components'!$S$2:$S$27,MATCH(E612,'Cost_Components'!$A$2:$A$27,0)),"")</f>
      </c>
      <c r="M612" s="68" t="str">
        <f>IFERROR(INDEX('Cost_Components'!$L$2:$L$27,MATCH(E612,'Cost_Components'!$A$2:$A$27,0)),"")</f>
      </c>
      <c r="N612" s="69" t="str">
        <f>IFERROR(INDEX('Cost_Components'!$P$2:$P$27,MATCH(E612,'Cost_Components'!$A$2:$A$27,0)),"")</f>
      </c>
      <c r="O612" s="70" t="str">
        <f>AF612*J612</f>
      </c>
      <c r="P612" s="71" t="str">
        <f>AG612*J612</f>
      </c>
      <c r="Q612" s="72" t="str">
        <f>P612*L612*M612*N612</f>
      </c>
      <c r="R612" s="73" t="str">
        <f>O612*K612*M612*N612</f>
      </c>
      <c r="S612" s="74" t="str">
        <f>R612-Q612</f>
      </c>
      <c r="T612" s="20" t="str">
        <f>IFERROR(INDEX('Cost_Components'!$R$2:$R$27,MATCH(E612,'Cost_Components'!$A$2:$A$27,0)),"")</f>
      </c>
      <c r="U612" s="75" t="str">
        <f>IFERROR(INDEX('Cost_Components'!$Q$2:$Q$27,MATCH(E612,'Cost_Components'!$A$2:$A$27,0)),"")</f>
      </c>
      <c r="V612" s="76" t="str">
        <f>1/(1+'Calculation_Assumptions'!$B$5)^(B612-'Calculation_Assumptions'!$B$2)</f>
      </c>
      <c r="W612" s="77" t="str">
        <f>Q612*V612</f>
      </c>
      <c r="X612" s="78" t="str">
        <f>R612*V612</f>
      </c>
      <c r="Y612" s="79" t="str">
        <f>S612*V612</f>
      </c>
      <c r="Z612" s="80" t="str">
        <f>IFERROR(INDEX('Cost_Components'!$T$2:$T$27,MATCH(E612,'Cost_Components'!$A$2:$A$27,0)),"")</f>
      </c>
      <c r="AA612" s="81" t="str">
        <f>IFERROR(INDEX('Cost_Components'!$U$2:$U$27,MATCH(E612,'Cost_Components'!$A$2:$A$27,0)),"")</f>
      </c>
      <c r="AB612" s="82" t="str">
        <f>IFERROR(INDEX('Cost_Components'!$V$2:$V$27,MATCH(E612,'Cost_Components'!$A$2:$A$27,0)),"")</f>
      </c>
      <c r="AC612" s="83" t="str">
        <f>IFERROR(INDEX('Cost_Components'!$M$2:$M$27,MATCH(E612,'Cost_Components'!$A$2:$A$27,0)),"")</f>
      </c>
      <c r="AD612" s="84" t="str">
        <f>IFERROR(INDEX('Cost_Components'!$N$2:$N$27,MATCH(E612,'Cost_Components'!$A$2:$A$27,0)),"")</f>
      </c>
      <c r="AE612" s="20" t="str">
        <f>IFERROR(INDEX('Cost_Components'!$O$2:$O$27,MATCH(E612,'Cost_Components'!$A$2:$A$27,0)),"")</f>
      </c>
      <c r="AF612" s="85" t="n">
        <v>3728344.92689433</v>
      </c>
      <c r="AG612" s="86" t="n">
        <v>3721068.13433463</v>
      </c>
      <c r="AH612" s="87" t="str">
        <f>IF(H612="shared-count-once",COUNTIFS($A$2:$A$1353,A612,$B$2:$B$1353,B612,$E$2:$E$1353,E612),1)</f>
      </c>
    </row>
    <row r="613">
      <c r="A613" t="s">
        <v>220</v>
      </c>
      <c r="B613" s="59" t="n">
        <v>2038</v>
      </c>
      <c r="C613" t="s">
        <v>220</v>
      </c>
      <c r="D613" t="s">
        <v>184</v>
      </c>
      <c r="E613" s="60" t="s">
        <v>318</v>
      </c>
      <c r="F613" s="61" t="s">
        <v>319</v>
      </c>
      <c r="G613" s="62" t="s">
        <v>224</v>
      </c>
      <c r="H613" s="63" t="s">
        <v>195</v>
      </c>
      <c r="I613" s="64" t="s">
        <v>267</v>
      </c>
      <c r="J613" s="65" t="str">
        <f>IFERROR(INDEX('Cost_Components'!$K$2:$K$27,MATCH(E613,'Cost_Components'!$A$2:$A$27,0)),"")</f>
      </c>
      <c r="K613" s="66" t="str">
        <f>IF(OR(L613="",Z613="",AA613="",AB613=""),"",IF(B613&lt;AA613,L613,IF(B613&gt;AB613,Z613,L613+(Z613-L613)*MIN(MAX((B613-AA613+1)/MAX(AB613-AA613+1,1),0),1))))</f>
      </c>
      <c r="L613" s="67" t="str">
        <f>IFERROR(INDEX('Cost_Components'!$S$2:$S$27,MATCH(E613,'Cost_Components'!$A$2:$A$27,0)),"")</f>
      </c>
      <c r="M613" s="68" t="str">
        <f>IFERROR(INDEX('Cost_Components'!$L$2:$L$27,MATCH(E613,'Cost_Components'!$A$2:$A$27,0)),"")</f>
      </c>
      <c r="N613" s="69" t="str">
        <f>IFERROR(INDEX('Cost_Components'!$P$2:$P$27,MATCH(E613,'Cost_Components'!$A$2:$A$27,0)),"")</f>
      </c>
      <c r="O613" s="70" t="str">
        <f>AF613*J613</f>
      </c>
      <c r="P613" s="71" t="str">
        <f>AG613*J613</f>
      </c>
      <c r="Q613" s="72" t="str">
        <f>P613*L613*M613*N613</f>
      </c>
      <c r="R613" s="73" t="str">
        <f>O613*K613*M613*N613</f>
      </c>
      <c r="S613" s="74" t="str">
        <f>R613-Q613</f>
      </c>
      <c r="T613" s="20" t="str">
        <f>IFERROR(INDEX('Cost_Components'!$R$2:$R$27,MATCH(E613,'Cost_Components'!$A$2:$A$27,0)),"")</f>
      </c>
      <c r="U613" s="75" t="str">
        <f>IFERROR(INDEX('Cost_Components'!$Q$2:$Q$27,MATCH(E613,'Cost_Components'!$A$2:$A$27,0)),"")</f>
      </c>
      <c r="V613" s="76" t="str">
        <f>1/(1+'Calculation_Assumptions'!$B$5)^(B613-'Calculation_Assumptions'!$B$2)</f>
      </c>
      <c r="W613" s="77" t="str">
        <f>Q613*V613</f>
      </c>
      <c r="X613" s="78" t="str">
        <f>R613*V613</f>
      </c>
      <c r="Y613" s="79" t="str">
        <f>S613*V613</f>
      </c>
      <c r="Z613" s="80" t="str">
        <f>IFERROR(INDEX('Cost_Components'!$T$2:$T$27,MATCH(E613,'Cost_Components'!$A$2:$A$27,0)),"")</f>
      </c>
      <c r="AA613" s="81" t="str">
        <f>IFERROR(INDEX('Cost_Components'!$U$2:$U$27,MATCH(E613,'Cost_Components'!$A$2:$A$27,0)),"")</f>
      </c>
      <c r="AB613" s="82" t="str">
        <f>IFERROR(INDEX('Cost_Components'!$V$2:$V$27,MATCH(E613,'Cost_Components'!$A$2:$A$27,0)),"")</f>
      </c>
      <c r="AC613" s="83" t="str">
        <f>IFERROR(INDEX('Cost_Components'!$M$2:$M$27,MATCH(E613,'Cost_Components'!$A$2:$A$27,0)),"")</f>
      </c>
      <c r="AD613" s="84" t="str">
        <f>IFERROR(INDEX('Cost_Components'!$N$2:$N$27,MATCH(E613,'Cost_Components'!$A$2:$A$27,0)),"")</f>
      </c>
      <c r="AE613" s="20" t="str">
        <f>IFERROR(INDEX('Cost_Components'!$O$2:$O$27,MATCH(E613,'Cost_Components'!$A$2:$A$27,0)),"")</f>
      </c>
      <c r="AF613" s="85" t="n">
        <v>3783664.74425474</v>
      </c>
      <c r="AG613" s="86" t="n">
        <v>3775472.58492593</v>
      </c>
      <c r="AH613" s="87" t="str">
        <f>IF(H613="shared-count-once",COUNTIFS($A$2:$A$1353,A613,$B$2:$B$1353,B613,$E$2:$E$1353,E613),1)</f>
      </c>
    </row>
    <row r="614">
      <c r="A614" t="s">
        <v>220</v>
      </c>
      <c r="B614" s="59" t="n">
        <v>2039</v>
      </c>
      <c r="C614" t="s">
        <v>220</v>
      </c>
      <c r="D614" t="s">
        <v>184</v>
      </c>
      <c r="E614" s="60" t="s">
        <v>318</v>
      </c>
      <c r="F614" s="61" t="s">
        <v>319</v>
      </c>
      <c r="G614" s="62" t="s">
        <v>224</v>
      </c>
      <c r="H614" s="63" t="s">
        <v>195</v>
      </c>
      <c r="I614" s="64" t="s">
        <v>267</v>
      </c>
      <c r="J614" s="65" t="str">
        <f>IFERROR(INDEX('Cost_Components'!$K$2:$K$27,MATCH(E614,'Cost_Components'!$A$2:$A$27,0)),"")</f>
      </c>
      <c r="K614" s="66" t="str">
        <f>IF(OR(L614="",Z614="",AA614="",AB614=""),"",IF(B614&lt;AA614,L614,IF(B614&gt;AB614,Z614,L614+(Z614-L614)*MIN(MAX((B614-AA614+1)/MAX(AB614-AA614+1,1),0),1))))</f>
      </c>
      <c r="L614" s="67" t="str">
        <f>IFERROR(INDEX('Cost_Components'!$S$2:$S$27,MATCH(E614,'Cost_Components'!$A$2:$A$27,0)),"")</f>
      </c>
      <c r="M614" s="68" t="str">
        <f>IFERROR(INDEX('Cost_Components'!$L$2:$L$27,MATCH(E614,'Cost_Components'!$A$2:$A$27,0)),"")</f>
      </c>
      <c r="N614" s="69" t="str">
        <f>IFERROR(INDEX('Cost_Components'!$P$2:$P$27,MATCH(E614,'Cost_Components'!$A$2:$A$27,0)),"")</f>
      </c>
      <c r="O614" s="70" t="str">
        <f>AF614*J614</f>
      </c>
      <c r="P614" s="71" t="str">
        <f>AG614*J614</f>
      </c>
      <c r="Q614" s="72" t="str">
        <f>P614*L614*M614*N614</f>
      </c>
      <c r="R614" s="73" t="str">
        <f>O614*K614*M614*N614</f>
      </c>
      <c r="S614" s="74" t="str">
        <f>R614-Q614</f>
      </c>
      <c r="T614" s="20" t="str">
        <f>IFERROR(INDEX('Cost_Components'!$R$2:$R$27,MATCH(E614,'Cost_Components'!$A$2:$A$27,0)),"")</f>
      </c>
      <c r="U614" s="75" t="str">
        <f>IFERROR(INDEX('Cost_Components'!$Q$2:$Q$27,MATCH(E614,'Cost_Components'!$A$2:$A$27,0)),"")</f>
      </c>
      <c r="V614" s="76" t="str">
        <f>1/(1+'Calculation_Assumptions'!$B$5)^(B614-'Calculation_Assumptions'!$B$2)</f>
      </c>
      <c r="W614" s="77" t="str">
        <f>Q614*V614</f>
      </c>
      <c r="X614" s="78" t="str">
        <f>R614*V614</f>
      </c>
      <c r="Y614" s="79" t="str">
        <f>S614*V614</f>
      </c>
      <c r="Z614" s="80" t="str">
        <f>IFERROR(INDEX('Cost_Components'!$T$2:$T$27,MATCH(E614,'Cost_Components'!$A$2:$A$27,0)),"")</f>
      </c>
      <c r="AA614" s="81" t="str">
        <f>IFERROR(INDEX('Cost_Components'!$U$2:$U$27,MATCH(E614,'Cost_Components'!$A$2:$A$27,0)),"")</f>
      </c>
      <c r="AB614" s="82" t="str">
        <f>IFERROR(INDEX('Cost_Components'!$V$2:$V$27,MATCH(E614,'Cost_Components'!$A$2:$A$27,0)),"")</f>
      </c>
      <c r="AC614" s="83" t="str">
        <f>IFERROR(INDEX('Cost_Components'!$M$2:$M$27,MATCH(E614,'Cost_Components'!$A$2:$A$27,0)),"")</f>
      </c>
      <c r="AD614" s="84" t="str">
        <f>IFERROR(INDEX('Cost_Components'!$N$2:$N$27,MATCH(E614,'Cost_Components'!$A$2:$A$27,0)),"")</f>
      </c>
      <c r="AE614" s="20" t="str">
        <f>IFERROR(INDEX('Cost_Components'!$O$2:$O$27,MATCH(E614,'Cost_Components'!$A$2:$A$27,0)),"")</f>
      </c>
      <c r="AF614" s="85" t="n">
        <v>3838626.22129364</v>
      </c>
      <c r="AG614" s="86" t="n">
        <v>3829480.21439614</v>
      </c>
      <c r="AH614" s="87" t="str">
        <f>IF(H614="shared-count-once",COUNTIFS($A$2:$A$1353,A614,$B$2:$B$1353,B614,$E$2:$E$1353,E614),1)</f>
      </c>
    </row>
    <row r="615">
      <c r="A615" t="s">
        <v>220</v>
      </c>
      <c r="B615" s="59" t="n">
        <v>2040</v>
      </c>
      <c r="C615" t="s">
        <v>220</v>
      </c>
      <c r="D615" t="s">
        <v>184</v>
      </c>
      <c r="E615" s="60" t="s">
        <v>318</v>
      </c>
      <c r="F615" s="61" t="s">
        <v>319</v>
      </c>
      <c r="G615" s="62" t="s">
        <v>224</v>
      </c>
      <c r="H615" s="63" t="s">
        <v>195</v>
      </c>
      <c r="I615" s="64" t="s">
        <v>267</v>
      </c>
      <c r="J615" s="65" t="str">
        <f>IFERROR(INDEX('Cost_Components'!$K$2:$K$27,MATCH(E615,'Cost_Components'!$A$2:$A$27,0)),"")</f>
      </c>
      <c r="K615" s="66" t="str">
        <f>IF(OR(L615="",Z615="",AA615="",AB615=""),"",IF(B615&lt;AA615,L615,IF(B615&gt;AB615,Z615,L615+(Z615-L615)*MIN(MAX((B615-AA615+1)/MAX(AB615-AA615+1,1),0),1))))</f>
      </c>
      <c r="L615" s="67" t="str">
        <f>IFERROR(INDEX('Cost_Components'!$S$2:$S$27,MATCH(E615,'Cost_Components'!$A$2:$A$27,0)),"")</f>
      </c>
      <c r="M615" s="68" t="str">
        <f>IFERROR(INDEX('Cost_Components'!$L$2:$L$27,MATCH(E615,'Cost_Components'!$A$2:$A$27,0)),"")</f>
      </c>
      <c r="N615" s="69" t="str">
        <f>IFERROR(INDEX('Cost_Components'!$P$2:$P$27,MATCH(E615,'Cost_Components'!$A$2:$A$27,0)),"")</f>
      </c>
      <c r="O615" s="70" t="str">
        <f>AF615*J615</f>
      </c>
      <c r="P615" s="71" t="str">
        <f>AG615*J615</f>
      </c>
      <c r="Q615" s="72" t="str">
        <f>P615*L615*M615*N615</f>
      </c>
      <c r="R615" s="73" t="str">
        <f>O615*K615*M615*N615</f>
      </c>
      <c r="S615" s="74" t="str">
        <f>R615-Q615</f>
      </c>
      <c r="T615" s="20" t="str">
        <f>IFERROR(INDEX('Cost_Components'!$R$2:$R$27,MATCH(E615,'Cost_Components'!$A$2:$A$27,0)),"")</f>
      </c>
      <c r="U615" s="75" t="str">
        <f>IFERROR(INDEX('Cost_Components'!$Q$2:$Q$27,MATCH(E615,'Cost_Components'!$A$2:$A$27,0)),"")</f>
      </c>
      <c r="V615" s="76" t="str">
        <f>1/(1+'Calculation_Assumptions'!$B$5)^(B615-'Calculation_Assumptions'!$B$2)</f>
      </c>
      <c r="W615" s="77" t="str">
        <f>Q615*V615</f>
      </c>
      <c r="X615" s="78" t="str">
        <f>R615*V615</f>
      </c>
      <c r="Y615" s="79" t="str">
        <f>S615*V615</f>
      </c>
      <c r="Z615" s="80" t="str">
        <f>IFERROR(INDEX('Cost_Components'!$T$2:$T$27,MATCH(E615,'Cost_Components'!$A$2:$A$27,0)),"")</f>
      </c>
      <c r="AA615" s="81" t="str">
        <f>IFERROR(INDEX('Cost_Components'!$U$2:$U$27,MATCH(E615,'Cost_Components'!$A$2:$A$27,0)),"")</f>
      </c>
      <c r="AB615" s="82" t="str">
        <f>IFERROR(INDEX('Cost_Components'!$V$2:$V$27,MATCH(E615,'Cost_Components'!$A$2:$A$27,0)),"")</f>
      </c>
      <c r="AC615" s="83" t="str">
        <f>IFERROR(INDEX('Cost_Components'!$M$2:$M$27,MATCH(E615,'Cost_Components'!$A$2:$A$27,0)),"")</f>
      </c>
      <c r="AD615" s="84" t="str">
        <f>IFERROR(INDEX('Cost_Components'!$N$2:$N$27,MATCH(E615,'Cost_Components'!$A$2:$A$27,0)),"")</f>
      </c>
      <c r="AE615" s="20" t="str">
        <f>IFERROR(INDEX('Cost_Components'!$O$2:$O$27,MATCH(E615,'Cost_Components'!$A$2:$A$27,0)),"")</f>
      </c>
      <c r="AF615" s="85" t="n">
        <v>3893727.18877181</v>
      </c>
      <c r="AG615" s="86" t="n">
        <v>3883598.89791547</v>
      </c>
      <c r="AH615" s="87" t="str">
        <f>IF(H615="shared-count-once",COUNTIFS($A$2:$A$1353,A615,$B$2:$B$1353,B615,$E$2:$E$1353,E615),1)</f>
      </c>
    </row>
    <row r="616">
      <c r="A616" t="s">
        <v>220</v>
      </c>
      <c r="B616" s="59" t="n">
        <v>2041</v>
      </c>
      <c r="C616" t="s">
        <v>220</v>
      </c>
      <c r="D616" t="s">
        <v>184</v>
      </c>
      <c r="E616" s="60" t="s">
        <v>318</v>
      </c>
      <c r="F616" s="61" t="s">
        <v>319</v>
      </c>
      <c r="G616" s="62" t="s">
        <v>224</v>
      </c>
      <c r="H616" s="63" t="s">
        <v>195</v>
      </c>
      <c r="I616" s="64" t="s">
        <v>267</v>
      </c>
      <c r="J616" s="65" t="str">
        <f>IFERROR(INDEX('Cost_Components'!$K$2:$K$27,MATCH(E616,'Cost_Components'!$A$2:$A$27,0)),"")</f>
      </c>
      <c r="K616" s="66" t="str">
        <f>IF(OR(L616="",Z616="",AA616="",AB616=""),"",IF(B616&lt;AA616,L616,IF(B616&gt;AB616,Z616,L616+(Z616-L616)*MIN(MAX((B616-AA616+1)/MAX(AB616-AA616+1,1),0),1))))</f>
      </c>
      <c r="L616" s="67" t="str">
        <f>IFERROR(INDEX('Cost_Components'!$S$2:$S$27,MATCH(E616,'Cost_Components'!$A$2:$A$27,0)),"")</f>
      </c>
      <c r="M616" s="68" t="str">
        <f>IFERROR(INDEX('Cost_Components'!$L$2:$L$27,MATCH(E616,'Cost_Components'!$A$2:$A$27,0)),"")</f>
      </c>
      <c r="N616" s="69" t="str">
        <f>IFERROR(INDEX('Cost_Components'!$P$2:$P$27,MATCH(E616,'Cost_Components'!$A$2:$A$27,0)),"")</f>
      </c>
      <c r="O616" s="70" t="str">
        <f>AF616*J616</f>
      </c>
      <c r="P616" s="71" t="str">
        <f>AG616*J616</f>
      </c>
      <c r="Q616" s="72" t="str">
        <f>P616*L616*M616*N616</f>
      </c>
      <c r="R616" s="73" t="str">
        <f>O616*K616*M616*N616</f>
      </c>
      <c r="S616" s="74" t="str">
        <f>R616-Q616</f>
      </c>
      <c r="T616" s="20" t="str">
        <f>IFERROR(INDEX('Cost_Components'!$R$2:$R$27,MATCH(E616,'Cost_Components'!$A$2:$A$27,0)),"")</f>
      </c>
      <c r="U616" s="75" t="str">
        <f>IFERROR(INDEX('Cost_Components'!$Q$2:$Q$27,MATCH(E616,'Cost_Components'!$A$2:$A$27,0)),"")</f>
      </c>
      <c r="V616" s="76" t="str">
        <f>1/(1+'Calculation_Assumptions'!$B$5)^(B616-'Calculation_Assumptions'!$B$2)</f>
      </c>
      <c r="W616" s="77" t="str">
        <f>Q616*V616</f>
      </c>
      <c r="X616" s="78" t="str">
        <f>R616*V616</f>
      </c>
      <c r="Y616" s="79" t="str">
        <f>S616*V616</f>
      </c>
      <c r="Z616" s="80" t="str">
        <f>IFERROR(INDEX('Cost_Components'!$T$2:$T$27,MATCH(E616,'Cost_Components'!$A$2:$A$27,0)),"")</f>
      </c>
      <c r="AA616" s="81" t="str">
        <f>IFERROR(INDEX('Cost_Components'!$U$2:$U$27,MATCH(E616,'Cost_Components'!$A$2:$A$27,0)),"")</f>
      </c>
      <c r="AB616" s="82" t="str">
        <f>IFERROR(INDEX('Cost_Components'!$V$2:$V$27,MATCH(E616,'Cost_Components'!$A$2:$A$27,0)),"")</f>
      </c>
      <c r="AC616" s="83" t="str">
        <f>IFERROR(INDEX('Cost_Components'!$M$2:$M$27,MATCH(E616,'Cost_Components'!$A$2:$A$27,0)),"")</f>
      </c>
      <c r="AD616" s="84" t="str">
        <f>IFERROR(INDEX('Cost_Components'!$N$2:$N$27,MATCH(E616,'Cost_Components'!$A$2:$A$27,0)),"")</f>
      </c>
      <c r="AE616" s="20" t="str">
        <f>IFERROR(INDEX('Cost_Components'!$O$2:$O$27,MATCH(E616,'Cost_Components'!$A$2:$A$27,0)),"")</f>
      </c>
      <c r="AF616" s="85" t="n">
        <v>3948768.54925459</v>
      </c>
      <c r="AG616" s="86" t="n">
        <v>3937634.1299724</v>
      </c>
      <c r="AH616" s="87" t="str">
        <f>IF(H616="shared-count-once",COUNTIFS($A$2:$A$1353,A616,$B$2:$B$1353,B616,$E$2:$E$1353,E616),1)</f>
      </c>
    </row>
    <row r="617">
      <c r="A617" t="s">
        <v>220</v>
      </c>
      <c r="B617" s="59" t="n">
        <v>2042</v>
      </c>
      <c r="C617" t="s">
        <v>220</v>
      </c>
      <c r="D617" t="s">
        <v>184</v>
      </c>
      <c r="E617" s="60" t="s">
        <v>318</v>
      </c>
      <c r="F617" s="61" t="s">
        <v>319</v>
      </c>
      <c r="G617" s="62" t="s">
        <v>224</v>
      </c>
      <c r="H617" s="63" t="s">
        <v>195</v>
      </c>
      <c r="I617" s="64" t="s">
        <v>267</v>
      </c>
      <c r="J617" s="65" t="str">
        <f>IFERROR(INDEX('Cost_Components'!$K$2:$K$27,MATCH(E617,'Cost_Components'!$A$2:$A$27,0)),"")</f>
      </c>
      <c r="K617" s="66" t="str">
        <f>IF(OR(L617="",Z617="",AA617="",AB617=""),"",IF(B617&lt;AA617,L617,IF(B617&gt;AB617,Z617,L617+(Z617-L617)*MIN(MAX((B617-AA617+1)/MAX(AB617-AA617+1,1),0),1))))</f>
      </c>
      <c r="L617" s="67" t="str">
        <f>IFERROR(INDEX('Cost_Components'!$S$2:$S$27,MATCH(E617,'Cost_Components'!$A$2:$A$27,0)),"")</f>
      </c>
      <c r="M617" s="68" t="str">
        <f>IFERROR(INDEX('Cost_Components'!$L$2:$L$27,MATCH(E617,'Cost_Components'!$A$2:$A$27,0)),"")</f>
      </c>
      <c r="N617" s="69" t="str">
        <f>IFERROR(INDEX('Cost_Components'!$P$2:$P$27,MATCH(E617,'Cost_Components'!$A$2:$A$27,0)),"")</f>
      </c>
      <c r="O617" s="70" t="str">
        <f>AF617*J617</f>
      </c>
      <c r="P617" s="71" t="str">
        <f>AG617*J617</f>
      </c>
      <c r="Q617" s="72" t="str">
        <f>P617*L617*M617*N617</f>
      </c>
      <c r="R617" s="73" t="str">
        <f>O617*K617*M617*N617</f>
      </c>
      <c r="S617" s="74" t="str">
        <f>R617-Q617</f>
      </c>
      <c r="T617" s="20" t="str">
        <f>IFERROR(INDEX('Cost_Components'!$R$2:$R$27,MATCH(E617,'Cost_Components'!$A$2:$A$27,0)),"")</f>
      </c>
      <c r="U617" s="75" t="str">
        <f>IFERROR(INDEX('Cost_Components'!$Q$2:$Q$27,MATCH(E617,'Cost_Components'!$A$2:$A$27,0)),"")</f>
      </c>
      <c r="V617" s="76" t="str">
        <f>1/(1+'Calculation_Assumptions'!$B$5)^(B617-'Calculation_Assumptions'!$B$2)</f>
      </c>
      <c r="W617" s="77" t="str">
        <f>Q617*V617</f>
      </c>
      <c r="X617" s="78" t="str">
        <f>R617*V617</f>
      </c>
      <c r="Y617" s="79" t="str">
        <f>S617*V617</f>
      </c>
      <c r="Z617" s="80" t="str">
        <f>IFERROR(INDEX('Cost_Components'!$T$2:$T$27,MATCH(E617,'Cost_Components'!$A$2:$A$27,0)),"")</f>
      </c>
      <c r="AA617" s="81" t="str">
        <f>IFERROR(INDEX('Cost_Components'!$U$2:$U$27,MATCH(E617,'Cost_Components'!$A$2:$A$27,0)),"")</f>
      </c>
      <c r="AB617" s="82" t="str">
        <f>IFERROR(INDEX('Cost_Components'!$V$2:$V$27,MATCH(E617,'Cost_Components'!$A$2:$A$27,0)),"")</f>
      </c>
      <c r="AC617" s="83" t="str">
        <f>IFERROR(INDEX('Cost_Components'!$M$2:$M$27,MATCH(E617,'Cost_Components'!$A$2:$A$27,0)),"")</f>
      </c>
      <c r="AD617" s="84" t="str">
        <f>IFERROR(INDEX('Cost_Components'!$N$2:$N$27,MATCH(E617,'Cost_Components'!$A$2:$A$27,0)),"")</f>
      </c>
      <c r="AE617" s="20" t="str">
        <f>IFERROR(INDEX('Cost_Components'!$O$2:$O$27,MATCH(E617,'Cost_Components'!$A$2:$A$27,0)),"")</f>
      </c>
      <c r="AF617" s="85" t="n">
        <v>4003900.37186835</v>
      </c>
      <c r="AG617" s="86" t="n">
        <v>3991736.16905114</v>
      </c>
      <c r="AH617" s="87" t="str">
        <f>IF(H617="shared-count-once",COUNTIFS($A$2:$A$1353,A617,$B$2:$B$1353,B617,$E$2:$E$1353,E617),1)</f>
      </c>
    </row>
    <row r="618">
      <c r="A618" t="s">
        <v>220</v>
      </c>
      <c r="B618" s="59" t="n">
        <v>2043</v>
      </c>
      <c r="C618" t="s">
        <v>220</v>
      </c>
      <c r="D618" t="s">
        <v>184</v>
      </c>
      <c r="E618" s="60" t="s">
        <v>318</v>
      </c>
      <c r="F618" s="61" t="s">
        <v>319</v>
      </c>
      <c r="G618" s="62" t="s">
        <v>224</v>
      </c>
      <c r="H618" s="63" t="s">
        <v>195</v>
      </c>
      <c r="I618" s="64" t="s">
        <v>267</v>
      </c>
      <c r="J618" s="65" t="str">
        <f>IFERROR(INDEX('Cost_Components'!$K$2:$K$27,MATCH(E618,'Cost_Components'!$A$2:$A$27,0)),"")</f>
      </c>
      <c r="K618" s="66" t="str">
        <f>IF(OR(L618="",Z618="",AA618="",AB618=""),"",IF(B618&lt;AA618,L618,IF(B618&gt;AB618,Z618,L618+(Z618-L618)*MIN(MAX((B618-AA618+1)/MAX(AB618-AA618+1,1),0),1))))</f>
      </c>
      <c r="L618" s="67" t="str">
        <f>IFERROR(INDEX('Cost_Components'!$S$2:$S$27,MATCH(E618,'Cost_Components'!$A$2:$A$27,0)),"")</f>
      </c>
      <c r="M618" s="68" t="str">
        <f>IFERROR(INDEX('Cost_Components'!$L$2:$L$27,MATCH(E618,'Cost_Components'!$A$2:$A$27,0)),"")</f>
      </c>
      <c r="N618" s="69" t="str">
        <f>IFERROR(INDEX('Cost_Components'!$P$2:$P$27,MATCH(E618,'Cost_Components'!$A$2:$A$27,0)),"")</f>
      </c>
      <c r="O618" s="70" t="str">
        <f>AF618*J618</f>
      </c>
      <c r="P618" s="71" t="str">
        <f>AG618*J618</f>
      </c>
      <c r="Q618" s="72" t="str">
        <f>P618*L618*M618*N618</f>
      </c>
      <c r="R618" s="73" t="str">
        <f>O618*K618*M618*N618</f>
      </c>
      <c r="S618" s="74" t="str">
        <f>R618-Q618</f>
      </c>
      <c r="T618" s="20" t="str">
        <f>IFERROR(INDEX('Cost_Components'!$R$2:$R$27,MATCH(E618,'Cost_Components'!$A$2:$A$27,0)),"")</f>
      </c>
      <c r="U618" s="75" t="str">
        <f>IFERROR(INDEX('Cost_Components'!$Q$2:$Q$27,MATCH(E618,'Cost_Components'!$A$2:$A$27,0)),"")</f>
      </c>
      <c r="V618" s="76" t="str">
        <f>1/(1+'Calculation_Assumptions'!$B$5)^(B618-'Calculation_Assumptions'!$B$2)</f>
      </c>
      <c r="W618" s="77" t="str">
        <f>Q618*V618</f>
      </c>
      <c r="X618" s="78" t="str">
        <f>R618*V618</f>
      </c>
      <c r="Y618" s="79" t="str">
        <f>S618*V618</f>
      </c>
      <c r="Z618" s="80" t="str">
        <f>IFERROR(INDEX('Cost_Components'!$T$2:$T$27,MATCH(E618,'Cost_Components'!$A$2:$A$27,0)),"")</f>
      </c>
      <c r="AA618" s="81" t="str">
        <f>IFERROR(INDEX('Cost_Components'!$U$2:$U$27,MATCH(E618,'Cost_Components'!$A$2:$A$27,0)),"")</f>
      </c>
      <c r="AB618" s="82" t="str">
        <f>IFERROR(INDEX('Cost_Components'!$V$2:$V$27,MATCH(E618,'Cost_Components'!$A$2:$A$27,0)),"")</f>
      </c>
      <c r="AC618" s="83" t="str">
        <f>IFERROR(INDEX('Cost_Components'!$M$2:$M$27,MATCH(E618,'Cost_Components'!$A$2:$A$27,0)),"")</f>
      </c>
      <c r="AD618" s="84" t="str">
        <f>IFERROR(INDEX('Cost_Components'!$N$2:$N$27,MATCH(E618,'Cost_Components'!$A$2:$A$27,0)),"")</f>
      </c>
      <c r="AE618" s="20" t="str">
        <f>IFERROR(INDEX('Cost_Components'!$O$2:$O$27,MATCH(E618,'Cost_Components'!$A$2:$A$27,0)),"")</f>
      </c>
      <c r="AF618" s="85" t="n">
        <v>4058883.66510245</v>
      </c>
      <c r="AG618" s="86" t="n">
        <v>4045667.2624209</v>
      </c>
      <c r="AH618" s="87" t="str">
        <f>IF(H618="shared-count-once",COUNTIFS($A$2:$A$1353,A618,$B$2:$B$1353,B618,$E$2:$E$1353,E618),1)</f>
      </c>
    </row>
    <row r="619">
      <c r="A619" t="s">
        <v>220</v>
      </c>
      <c r="B619" s="59" t="n">
        <v>2044</v>
      </c>
      <c r="C619" t="s">
        <v>220</v>
      </c>
      <c r="D619" t="s">
        <v>184</v>
      </c>
      <c r="E619" s="60" t="s">
        <v>318</v>
      </c>
      <c r="F619" s="61" t="s">
        <v>319</v>
      </c>
      <c r="G619" s="62" t="s">
        <v>224</v>
      </c>
      <c r="H619" s="63" t="s">
        <v>195</v>
      </c>
      <c r="I619" s="64" t="s">
        <v>267</v>
      </c>
      <c r="J619" s="65" t="str">
        <f>IFERROR(INDEX('Cost_Components'!$K$2:$K$27,MATCH(E619,'Cost_Components'!$A$2:$A$27,0)),"")</f>
      </c>
      <c r="K619" s="66" t="str">
        <f>IF(OR(L619="",Z619="",AA619="",AB619=""),"",IF(B619&lt;AA619,L619,IF(B619&gt;AB619,Z619,L619+(Z619-L619)*MIN(MAX((B619-AA619+1)/MAX(AB619-AA619+1,1),0),1))))</f>
      </c>
      <c r="L619" s="67" t="str">
        <f>IFERROR(INDEX('Cost_Components'!$S$2:$S$27,MATCH(E619,'Cost_Components'!$A$2:$A$27,0)),"")</f>
      </c>
      <c r="M619" s="68" t="str">
        <f>IFERROR(INDEX('Cost_Components'!$L$2:$L$27,MATCH(E619,'Cost_Components'!$A$2:$A$27,0)),"")</f>
      </c>
      <c r="N619" s="69" t="str">
        <f>IFERROR(INDEX('Cost_Components'!$P$2:$P$27,MATCH(E619,'Cost_Components'!$A$2:$A$27,0)),"")</f>
      </c>
      <c r="O619" s="70" t="str">
        <f>AF619*J619</f>
      </c>
      <c r="P619" s="71" t="str">
        <f>AG619*J619</f>
      </c>
      <c r="Q619" s="72" t="str">
        <f>P619*L619*M619*N619</f>
      </c>
      <c r="R619" s="73" t="str">
        <f>O619*K619*M619*N619</f>
      </c>
      <c r="S619" s="74" t="str">
        <f>R619-Q619</f>
      </c>
      <c r="T619" s="20" t="str">
        <f>IFERROR(INDEX('Cost_Components'!$R$2:$R$27,MATCH(E619,'Cost_Components'!$A$2:$A$27,0)),"")</f>
      </c>
      <c r="U619" s="75" t="str">
        <f>IFERROR(INDEX('Cost_Components'!$Q$2:$Q$27,MATCH(E619,'Cost_Components'!$A$2:$A$27,0)),"")</f>
      </c>
      <c r="V619" s="76" t="str">
        <f>1/(1+'Calculation_Assumptions'!$B$5)^(B619-'Calculation_Assumptions'!$B$2)</f>
      </c>
      <c r="W619" s="77" t="str">
        <f>Q619*V619</f>
      </c>
      <c r="X619" s="78" t="str">
        <f>R619*V619</f>
      </c>
      <c r="Y619" s="79" t="str">
        <f>S619*V619</f>
      </c>
      <c r="Z619" s="80" t="str">
        <f>IFERROR(INDEX('Cost_Components'!$T$2:$T$27,MATCH(E619,'Cost_Components'!$A$2:$A$27,0)),"")</f>
      </c>
      <c r="AA619" s="81" t="str">
        <f>IFERROR(INDEX('Cost_Components'!$U$2:$U$27,MATCH(E619,'Cost_Components'!$A$2:$A$27,0)),"")</f>
      </c>
      <c r="AB619" s="82" t="str">
        <f>IFERROR(INDEX('Cost_Components'!$V$2:$V$27,MATCH(E619,'Cost_Components'!$A$2:$A$27,0)),"")</f>
      </c>
      <c r="AC619" s="83" t="str">
        <f>IFERROR(INDEX('Cost_Components'!$M$2:$M$27,MATCH(E619,'Cost_Components'!$A$2:$A$27,0)),"")</f>
      </c>
      <c r="AD619" s="84" t="str">
        <f>IFERROR(INDEX('Cost_Components'!$N$2:$N$27,MATCH(E619,'Cost_Components'!$A$2:$A$27,0)),"")</f>
      </c>
      <c r="AE619" s="20" t="str">
        <f>IFERROR(INDEX('Cost_Components'!$O$2:$O$27,MATCH(E619,'Cost_Components'!$A$2:$A$27,0)),"")</f>
      </c>
      <c r="AF619" s="85" t="n">
        <v>4112488.88287216</v>
      </c>
      <c r="AG619" s="86" t="n">
        <v>4098192.61525517</v>
      </c>
      <c r="AH619" s="87" t="str">
        <f>IF(H619="shared-count-once",COUNTIFS($A$2:$A$1353,A619,$B$2:$B$1353,B619,$E$2:$E$1353,E619),1)</f>
      </c>
    </row>
    <row r="620">
      <c r="A620" t="s">
        <v>220</v>
      </c>
      <c r="B620" s="59" t="n">
        <v>2045</v>
      </c>
      <c r="C620" t="s">
        <v>220</v>
      </c>
      <c r="D620" t="s">
        <v>184</v>
      </c>
      <c r="E620" s="60" t="s">
        <v>318</v>
      </c>
      <c r="F620" s="61" t="s">
        <v>319</v>
      </c>
      <c r="G620" s="62" t="s">
        <v>224</v>
      </c>
      <c r="H620" s="63" t="s">
        <v>195</v>
      </c>
      <c r="I620" s="64" t="s">
        <v>267</v>
      </c>
      <c r="J620" s="65" t="str">
        <f>IFERROR(INDEX('Cost_Components'!$K$2:$K$27,MATCH(E620,'Cost_Components'!$A$2:$A$27,0)),"")</f>
      </c>
      <c r="K620" s="66" t="str">
        <f>IF(OR(L620="",Z620="",AA620="",AB620=""),"",IF(B620&lt;AA620,L620,IF(B620&gt;AB620,Z620,L620+(Z620-L620)*MIN(MAX((B620-AA620+1)/MAX(AB620-AA620+1,1),0),1))))</f>
      </c>
      <c r="L620" s="67" t="str">
        <f>IFERROR(INDEX('Cost_Components'!$S$2:$S$27,MATCH(E620,'Cost_Components'!$A$2:$A$27,0)),"")</f>
      </c>
      <c r="M620" s="68" t="str">
        <f>IFERROR(INDEX('Cost_Components'!$L$2:$L$27,MATCH(E620,'Cost_Components'!$A$2:$A$27,0)),"")</f>
      </c>
      <c r="N620" s="69" t="str">
        <f>IFERROR(INDEX('Cost_Components'!$P$2:$P$27,MATCH(E620,'Cost_Components'!$A$2:$A$27,0)),"")</f>
      </c>
      <c r="O620" s="70" t="str">
        <f>AF620*J620</f>
      </c>
      <c r="P620" s="71" t="str">
        <f>AG620*J620</f>
      </c>
      <c r="Q620" s="72" t="str">
        <f>P620*L620*M620*N620</f>
      </c>
      <c r="R620" s="73" t="str">
        <f>O620*K620*M620*N620</f>
      </c>
      <c r="S620" s="74" t="str">
        <f>R620-Q620</f>
      </c>
      <c r="T620" s="20" t="str">
        <f>IFERROR(INDEX('Cost_Components'!$R$2:$R$27,MATCH(E620,'Cost_Components'!$A$2:$A$27,0)),"")</f>
      </c>
      <c r="U620" s="75" t="str">
        <f>IFERROR(INDEX('Cost_Components'!$Q$2:$Q$27,MATCH(E620,'Cost_Components'!$A$2:$A$27,0)),"")</f>
      </c>
      <c r="V620" s="76" t="str">
        <f>1/(1+'Calculation_Assumptions'!$B$5)^(B620-'Calculation_Assumptions'!$B$2)</f>
      </c>
      <c r="W620" s="77" t="str">
        <f>Q620*V620</f>
      </c>
      <c r="X620" s="78" t="str">
        <f>R620*V620</f>
      </c>
      <c r="Y620" s="79" t="str">
        <f>S620*V620</f>
      </c>
      <c r="Z620" s="80" t="str">
        <f>IFERROR(INDEX('Cost_Components'!$T$2:$T$27,MATCH(E620,'Cost_Components'!$A$2:$A$27,0)),"")</f>
      </c>
      <c r="AA620" s="81" t="str">
        <f>IFERROR(INDEX('Cost_Components'!$U$2:$U$27,MATCH(E620,'Cost_Components'!$A$2:$A$27,0)),"")</f>
      </c>
      <c r="AB620" s="82" t="str">
        <f>IFERROR(INDEX('Cost_Components'!$V$2:$V$27,MATCH(E620,'Cost_Components'!$A$2:$A$27,0)),"")</f>
      </c>
      <c r="AC620" s="83" t="str">
        <f>IFERROR(INDEX('Cost_Components'!$M$2:$M$27,MATCH(E620,'Cost_Components'!$A$2:$A$27,0)),"")</f>
      </c>
      <c r="AD620" s="84" t="str">
        <f>IFERROR(INDEX('Cost_Components'!$N$2:$N$27,MATCH(E620,'Cost_Components'!$A$2:$A$27,0)),"")</f>
      </c>
      <c r="AE620" s="20" t="str">
        <f>IFERROR(INDEX('Cost_Components'!$O$2:$O$27,MATCH(E620,'Cost_Components'!$A$2:$A$27,0)),"")</f>
      </c>
      <c r="AF620" s="85" t="n">
        <v>4164596.04283292</v>
      </c>
      <c r="AG620" s="86" t="n">
        <v>4149200.71005982</v>
      </c>
      <c r="AH620" s="87" t="str">
        <f>IF(H620="shared-count-once",COUNTIFS($A$2:$A$1353,A620,$B$2:$B$1353,B620,$E$2:$E$1353,E620),1)</f>
      </c>
    </row>
    <row r="621">
      <c r="A621" t="s">
        <v>220</v>
      </c>
      <c r="B621" s="59" t="n">
        <v>2046</v>
      </c>
      <c r="C621" t="s">
        <v>220</v>
      </c>
      <c r="D621" t="s">
        <v>184</v>
      </c>
      <c r="E621" s="60" t="s">
        <v>318</v>
      </c>
      <c r="F621" s="61" t="s">
        <v>319</v>
      </c>
      <c r="G621" s="62" t="s">
        <v>224</v>
      </c>
      <c r="H621" s="63" t="s">
        <v>195</v>
      </c>
      <c r="I621" s="64" t="s">
        <v>267</v>
      </c>
      <c r="J621" s="65" t="str">
        <f>IFERROR(INDEX('Cost_Components'!$K$2:$K$27,MATCH(E621,'Cost_Components'!$A$2:$A$27,0)),"")</f>
      </c>
      <c r="K621" s="66" t="str">
        <f>IF(OR(L621="",Z621="",AA621="",AB621=""),"",IF(B621&lt;AA621,L621,IF(B621&gt;AB621,Z621,L621+(Z621-L621)*MIN(MAX((B621-AA621+1)/MAX(AB621-AA621+1,1),0),1))))</f>
      </c>
      <c r="L621" s="67" t="str">
        <f>IFERROR(INDEX('Cost_Components'!$S$2:$S$27,MATCH(E621,'Cost_Components'!$A$2:$A$27,0)),"")</f>
      </c>
      <c r="M621" s="68" t="str">
        <f>IFERROR(INDEX('Cost_Components'!$L$2:$L$27,MATCH(E621,'Cost_Components'!$A$2:$A$27,0)),"")</f>
      </c>
      <c r="N621" s="69" t="str">
        <f>IFERROR(INDEX('Cost_Components'!$P$2:$P$27,MATCH(E621,'Cost_Components'!$A$2:$A$27,0)),"")</f>
      </c>
      <c r="O621" s="70" t="str">
        <f>AF621*J621</f>
      </c>
      <c r="P621" s="71" t="str">
        <f>AG621*J621</f>
      </c>
      <c r="Q621" s="72" t="str">
        <f>P621*L621*M621*N621</f>
      </c>
      <c r="R621" s="73" t="str">
        <f>O621*K621*M621*N621</f>
      </c>
      <c r="S621" s="74" t="str">
        <f>R621-Q621</f>
      </c>
      <c r="T621" s="20" t="str">
        <f>IFERROR(INDEX('Cost_Components'!$R$2:$R$27,MATCH(E621,'Cost_Components'!$A$2:$A$27,0)),"")</f>
      </c>
      <c r="U621" s="75" t="str">
        <f>IFERROR(INDEX('Cost_Components'!$Q$2:$Q$27,MATCH(E621,'Cost_Components'!$A$2:$A$27,0)),"")</f>
      </c>
      <c r="V621" s="76" t="str">
        <f>1/(1+'Calculation_Assumptions'!$B$5)^(B621-'Calculation_Assumptions'!$B$2)</f>
      </c>
      <c r="W621" s="77" t="str">
        <f>Q621*V621</f>
      </c>
      <c r="X621" s="78" t="str">
        <f>R621*V621</f>
      </c>
      <c r="Y621" s="79" t="str">
        <f>S621*V621</f>
      </c>
      <c r="Z621" s="80" t="str">
        <f>IFERROR(INDEX('Cost_Components'!$T$2:$T$27,MATCH(E621,'Cost_Components'!$A$2:$A$27,0)),"")</f>
      </c>
      <c r="AA621" s="81" t="str">
        <f>IFERROR(INDEX('Cost_Components'!$U$2:$U$27,MATCH(E621,'Cost_Components'!$A$2:$A$27,0)),"")</f>
      </c>
      <c r="AB621" s="82" t="str">
        <f>IFERROR(INDEX('Cost_Components'!$V$2:$V$27,MATCH(E621,'Cost_Components'!$A$2:$A$27,0)),"")</f>
      </c>
      <c r="AC621" s="83" t="str">
        <f>IFERROR(INDEX('Cost_Components'!$M$2:$M$27,MATCH(E621,'Cost_Components'!$A$2:$A$27,0)),"")</f>
      </c>
      <c r="AD621" s="84" t="str">
        <f>IFERROR(INDEX('Cost_Components'!$N$2:$N$27,MATCH(E621,'Cost_Components'!$A$2:$A$27,0)),"")</f>
      </c>
      <c r="AE621" s="20" t="str">
        <f>IFERROR(INDEX('Cost_Components'!$O$2:$O$27,MATCH(E621,'Cost_Components'!$A$2:$A$27,0)),"")</f>
      </c>
      <c r="AF621" s="85" t="n">
        <v>4215054.90401547</v>
      </c>
      <c r="AG621" s="86" t="n">
        <v>4198546.30462015</v>
      </c>
      <c r="AH621" s="87" t="str">
        <f>IF(H621="shared-count-once",COUNTIFS($A$2:$A$1353,A621,$B$2:$B$1353,B621,$E$2:$E$1353,E621),1)</f>
      </c>
    </row>
    <row r="622">
      <c r="A622" t="s">
        <v>220</v>
      </c>
      <c r="B622" s="59" t="n">
        <v>2047</v>
      </c>
      <c r="C622" t="s">
        <v>220</v>
      </c>
      <c r="D622" t="s">
        <v>184</v>
      </c>
      <c r="E622" s="60" t="s">
        <v>318</v>
      </c>
      <c r="F622" s="61" t="s">
        <v>319</v>
      </c>
      <c r="G622" s="62" t="s">
        <v>224</v>
      </c>
      <c r="H622" s="63" t="s">
        <v>195</v>
      </c>
      <c r="I622" s="64" t="s">
        <v>267</v>
      </c>
      <c r="J622" s="65" t="str">
        <f>IFERROR(INDEX('Cost_Components'!$K$2:$K$27,MATCH(E622,'Cost_Components'!$A$2:$A$27,0)),"")</f>
      </c>
      <c r="K622" s="66" t="str">
        <f>IF(OR(L622="",Z622="",AA622="",AB622=""),"",IF(B622&lt;AA622,L622,IF(B622&gt;AB622,Z622,L622+(Z622-L622)*MIN(MAX((B622-AA622+1)/MAX(AB622-AA622+1,1),0),1))))</f>
      </c>
      <c r="L622" s="67" t="str">
        <f>IFERROR(INDEX('Cost_Components'!$S$2:$S$27,MATCH(E622,'Cost_Components'!$A$2:$A$27,0)),"")</f>
      </c>
      <c r="M622" s="68" t="str">
        <f>IFERROR(INDEX('Cost_Components'!$L$2:$L$27,MATCH(E622,'Cost_Components'!$A$2:$A$27,0)),"")</f>
      </c>
      <c r="N622" s="69" t="str">
        <f>IFERROR(INDEX('Cost_Components'!$P$2:$P$27,MATCH(E622,'Cost_Components'!$A$2:$A$27,0)),"")</f>
      </c>
      <c r="O622" s="70" t="str">
        <f>AF622*J622</f>
      </c>
      <c r="P622" s="71" t="str">
        <f>AG622*J622</f>
      </c>
      <c r="Q622" s="72" t="str">
        <f>P622*L622*M622*N622</f>
      </c>
      <c r="R622" s="73" t="str">
        <f>O622*K622*M622*N622</f>
      </c>
      <c r="S622" s="74" t="str">
        <f>R622-Q622</f>
      </c>
      <c r="T622" s="20" t="str">
        <f>IFERROR(INDEX('Cost_Components'!$R$2:$R$27,MATCH(E622,'Cost_Components'!$A$2:$A$27,0)),"")</f>
      </c>
      <c r="U622" s="75" t="str">
        <f>IFERROR(INDEX('Cost_Components'!$Q$2:$Q$27,MATCH(E622,'Cost_Components'!$A$2:$A$27,0)),"")</f>
      </c>
      <c r="V622" s="76" t="str">
        <f>1/(1+'Calculation_Assumptions'!$B$5)^(B622-'Calculation_Assumptions'!$B$2)</f>
      </c>
      <c r="W622" s="77" t="str">
        <f>Q622*V622</f>
      </c>
      <c r="X622" s="78" t="str">
        <f>R622*V622</f>
      </c>
      <c r="Y622" s="79" t="str">
        <f>S622*V622</f>
      </c>
      <c r="Z622" s="80" t="str">
        <f>IFERROR(INDEX('Cost_Components'!$T$2:$T$27,MATCH(E622,'Cost_Components'!$A$2:$A$27,0)),"")</f>
      </c>
      <c r="AA622" s="81" t="str">
        <f>IFERROR(INDEX('Cost_Components'!$U$2:$U$27,MATCH(E622,'Cost_Components'!$A$2:$A$27,0)),"")</f>
      </c>
      <c r="AB622" s="82" t="str">
        <f>IFERROR(INDEX('Cost_Components'!$V$2:$V$27,MATCH(E622,'Cost_Components'!$A$2:$A$27,0)),"")</f>
      </c>
      <c r="AC622" s="83" t="str">
        <f>IFERROR(INDEX('Cost_Components'!$M$2:$M$27,MATCH(E622,'Cost_Components'!$A$2:$A$27,0)),"")</f>
      </c>
      <c r="AD622" s="84" t="str">
        <f>IFERROR(INDEX('Cost_Components'!$N$2:$N$27,MATCH(E622,'Cost_Components'!$A$2:$A$27,0)),"")</f>
      </c>
      <c r="AE622" s="20" t="str">
        <f>IFERROR(INDEX('Cost_Components'!$O$2:$O$27,MATCH(E622,'Cost_Components'!$A$2:$A$27,0)),"")</f>
      </c>
      <c r="AF622" s="85" t="n">
        <v>4263783.84817101</v>
      </c>
      <c r="AG622" s="86" t="n">
        <v>4246148.41293331</v>
      </c>
      <c r="AH622" s="87" t="str">
        <f>IF(H622="shared-count-once",COUNTIFS($A$2:$A$1353,A622,$B$2:$B$1353,B622,$E$2:$E$1353,E622),1)</f>
      </c>
    </row>
    <row r="623">
      <c r="A623" t="s">
        <v>220</v>
      </c>
      <c r="B623" s="59" t="n">
        <v>2048</v>
      </c>
      <c r="C623" t="s">
        <v>220</v>
      </c>
      <c r="D623" t="s">
        <v>184</v>
      </c>
      <c r="E623" s="60" t="s">
        <v>318</v>
      </c>
      <c r="F623" s="61" t="s">
        <v>319</v>
      </c>
      <c r="G623" s="62" t="s">
        <v>224</v>
      </c>
      <c r="H623" s="63" t="s">
        <v>195</v>
      </c>
      <c r="I623" s="64" t="s">
        <v>267</v>
      </c>
      <c r="J623" s="65" t="str">
        <f>IFERROR(INDEX('Cost_Components'!$K$2:$K$27,MATCH(E623,'Cost_Components'!$A$2:$A$27,0)),"")</f>
      </c>
      <c r="K623" s="66" t="str">
        <f>IF(OR(L623="",Z623="",AA623="",AB623=""),"",IF(B623&lt;AA623,L623,IF(B623&gt;AB623,Z623,L623+(Z623-L623)*MIN(MAX((B623-AA623+1)/MAX(AB623-AA623+1,1),0),1))))</f>
      </c>
      <c r="L623" s="67" t="str">
        <f>IFERROR(INDEX('Cost_Components'!$S$2:$S$27,MATCH(E623,'Cost_Components'!$A$2:$A$27,0)),"")</f>
      </c>
      <c r="M623" s="68" t="str">
        <f>IFERROR(INDEX('Cost_Components'!$L$2:$L$27,MATCH(E623,'Cost_Components'!$A$2:$A$27,0)),"")</f>
      </c>
      <c r="N623" s="69" t="str">
        <f>IFERROR(INDEX('Cost_Components'!$P$2:$P$27,MATCH(E623,'Cost_Components'!$A$2:$A$27,0)),"")</f>
      </c>
      <c r="O623" s="70" t="str">
        <f>AF623*J623</f>
      </c>
      <c r="P623" s="71" t="str">
        <f>AG623*J623</f>
      </c>
      <c r="Q623" s="72" t="str">
        <f>P623*L623*M623*N623</f>
      </c>
      <c r="R623" s="73" t="str">
        <f>O623*K623*M623*N623</f>
      </c>
      <c r="S623" s="74" t="str">
        <f>R623-Q623</f>
      </c>
      <c r="T623" s="20" t="str">
        <f>IFERROR(INDEX('Cost_Components'!$R$2:$R$27,MATCH(E623,'Cost_Components'!$A$2:$A$27,0)),"")</f>
      </c>
      <c r="U623" s="75" t="str">
        <f>IFERROR(INDEX('Cost_Components'!$Q$2:$Q$27,MATCH(E623,'Cost_Components'!$A$2:$A$27,0)),"")</f>
      </c>
      <c r="V623" s="76" t="str">
        <f>1/(1+'Calculation_Assumptions'!$B$5)^(B623-'Calculation_Assumptions'!$B$2)</f>
      </c>
      <c r="W623" s="77" t="str">
        <f>Q623*V623</f>
      </c>
      <c r="X623" s="78" t="str">
        <f>R623*V623</f>
      </c>
      <c r="Y623" s="79" t="str">
        <f>S623*V623</f>
      </c>
      <c r="Z623" s="80" t="str">
        <f>IFERROR(INDEX('Cost_Components'!$T$2:$T$27,MATCH(E623,'Cost_Components'!$A$2:$A$27,0)),"")</f>
      </c>
      <c r="AA623" s="81" t="str">
        <f>IFERROR(INDEX('Cost_Components'!$U$2:$U$27,MATCH(E623,'Cost_Components'!$A$2:$A$27,0)),"")</f>
      </c>
      <c r="AB623" s="82" t="str">
        <f>IFERROR(INDEX('Cost_Components'!$V$2:$V$27,MATCH(E623,'Cost_Components'!$A$2:$A$27,0)),"")</f>
      </c>
      <c r="AC623" s="83" t="str">
        <f>IFERROR(INDEX('Cost_Components'!$M$2:$M$27,MATCH(E623,'Cost_Components'!$A$2:$A$27,0)),"")</f>
      </c>
      <c r="AD623" s="84" t="str">
        <f>IFERROR(INDEX('Cost_Components'!$N$2:$N$27,MATCH(E623,'Cost_Components'!$A$2:$A$27,0)),"")</f>
      </c>
      <c r="AE623" s="20" t="str">
        <f>IFERROR(INDEX('Cost_Components'!$O$2:$O$27,MATCH(E623,'Cost_Components'!$A$2:$A$27,0)),"")</f>
      </c>
      <c r="AF623" s="85" t="n">
        <v>4311988.47993702</v>
      </c>
      <c r="AG623" s="86" t="n">
        <v>4293214.6864212</v>
      </c>
      <c r="AH623" s="87" t="str">
        <f>IF(H623="shared-count-once",COUNTIFS($A$2:$A$1353,A623,$B$2:$B$1353,B623,$E$2:$E$1353,E623),1)</f>
      </c>
    </row>
    <row r="624">
      <c r="A624" t="s">
        <v>220</v>
      </c>
      <c r="B624" s="59" t="n">
        <v>2049</v>
      </c>
      <c r="C624" t="s">
        <v>220</v>
      </c>
      <c r="D624" t="s">
        <v>184</v>
      </c>
      <c r="E624" s="60" t="s">
        <v>318</v>
      </c>
      <c r="F624" s="61" t="s">
        <v>319</v>
      </c>
      <c r="G624" s="62" t="s">
        <v>224</v>
      </c>
      <c r="H624" s="63" t="s">
        <v>195</v>
      </c>
      <c r="I624" s="64" t="s">
        <v>267</v>
      </c>
      <c r="J624" s="65" t="str">
        <f>IFERROR(INDEX('Cost_Components'!$K$2:$K$27,MATCH(E624,'Cost_Components'!$A$2:$A$27,0)),"")</f>
      </c>
      <c r="K624" s="66" t="str">
        <f>IF(OR(L624="",Z624="",AA624="",AB624=""),"",IF(B624&lt;AA624,L624,IF(B624&gt;AB624,Z624,L624+(Z624-L624)*MIN(MAX((B624-AA624+1)/MAX(AB624-AA624+1,1),0),1))))</f>
      </c>
      <c r="L624" s="67" t="str">
        <f>IFERROR(INDEX('Cost_Components'!$S$2:$S$27,MATCH(E624,'Cost_Components'!$A$2:$A$27,0)),"")</f>
      </c>
      <c r="M624" s="68" t="str">
        <f>IFERROR(INDEX('Cost_Components'!$L$2:$L$27,MATCH(E624,'Cost_Components'!$A$2:$A$27,0)),"")</f>
      </c>
      <c r="N624" s="69" t="str">
        <f>IFERROR(INDEX('Cost_Components'!$P$2:$P$27,MATCH(E624,'Cost_Components'!$A$2:$A$27,0)),"")</f>
      </c>
      <c r="O624" s="70" t="str">
        <f>AF624*J624</f>
      </c>
      <c r="P624" s="71" t="str">
        <f>AG624*J624</f>
      </c>
      <c r="Q624" s="72" t="str">
        <f>P624*L624*M624*N624</f>
      </c>
      <c r="R624" s="73" t="str">
        <f>O624*K624*M624*N624</f>
      </c>
      <c r="S624" s="74" t="str">
        <f>R624-Q624</f>
      </c>
      <c r="T624" s="20" t="str">
        <f>IFERROR(INDEX('Cost_Components'!$R$2:$R$27,MATCH(E624,'Cost_Components'!$A$2:$A$27,0)),"")</f>
      </c>
      <c r="U624" s="75" t="str">
        <f>IFERROR(INDEX('Cost_Components'!$Q$2:$Q$27,MATCH(E624,'Cost_Components'!$A$2:$A$27,0)),"")</f>
      </c>
      <c r="V624" s="76" t="str">
        <f>1/(1+'Calculation_Assumptions'!$B$5)^(B624-'Calculation_Assumptions'!$B$2)</f>
      </c>
      <c r="W624" s="77" t="str">
        <f>Q624*V624</f>
      </c>
      <c r="X624" s="78" t="str">
        <f>R624*V624</f>
      </c>
      <c r="Y624" s="79" t="str">
        <f>S624*V624</f>
      </c>
      <c r="Z624" s="80" t="str">
        <f>IFERROR(INDEX('Cost_Components'!$T$2:$T$27,MATCH(E624,'Cost_Components'!$A$2:$A$27,0)),"")</f>
      </c>
      <c r="AA624" s="81" t="str">
        <f>IFERROR(INDEX('Cost_Components'!$U$2:$U$27,MATCH(E624,'Cost_Components'!$A$2:$A$27,0)),"")</f>
      </c>
      <c r="AB624" s="82" t="str">
        <f>IFERROR(INDEX('Cost_Components'!$V$2:$V$27,MATCH(E624,'Cost_Components'!$A$2:$A$27,0)),"")</f>
      </c>
      <c r="AC624" s="83" t="str">
        <f>IFERROR(INDEX('Cost_Components'!$M$2:$M$27,MATCH(E624,'Cost_Components'!$A$2:$A$27,0)),"")</f>
      </c>
      <c r="AD624" s="84" t="str">
        <f>IFERROR(INDEX('Cost_Components'!$N$2:$N$27,MATCH(E624,'Cost_Components'!$A$2:$A$27,0)),"")</f>
      </c>
      <c r="AE624" s="20" t="str">
        <f>IFERROR(INDEX('Cost_Components'!$O$2:$O$27,MATCH(E624,'Cost_Components'!$A$2:$A$27,0)),"")</f>
      </c>
      <c r="AF624" s="85" t="n">
        <v>4358587.09120596</v>
      </c>
      <c r="AG624" s="86" t="n">
        <v>4338658.76537223</v>
      </c>
      <c r="AH624" s="87" t="str">
        <f>IF(H624="shared-count-once",COUNTIFS($A$2:$A$1353,A624,$B$2:$B$1353,B624,$E$2:$E$1353,E624),1)</f>
      </c>
    </row>
    <row r="625">
      <c r="A625" t="s">
        <v>220</v>
      </c>
      <c r="B625" s="59" t="n">
        <v>2050</v>
      </c>
      <c r="C625" t="s">
        <v>220</v>
      </c>
      <c r="D625" t="s">
        <v>184</v>
      </c>
      <c r="E625" s="60" t="s">
        <v>318</v>
      </c>
      <c r="F625" s="61" t="s">
        <v>319</v>
      </c>
      <c r="G625" s="62" t="s">
        <v>224</v>
      </c>
      <c r="H625" s="63" t="s">
        <v>195</v>
      </c>
      <c r="I625" s="64" t="s">
        <v>267</v>
      </c>
      <c r="J625" s="65" t="str">
        <f>IFERROR(INDEX('Cost_Components'!$K$2:$K$27,MATCH(E625,'Cost_Components'!$A$2:$A$27,0)),"")</f>
      </c>
      <c r="K625" s="66" t="str">
        <f>IF(OR(L625="",Z625="",AA625="",AB625=""),"",IF(B625&lt;AA625,L625,IF(B625&gt;AB625,Z625,L625+(Z625-L625)*MIN(MAX((B625-AA625+1)/MAX(AB625-AA625+1,1),0),1))))</f>
      </c>
      <c r="L625" s="67" t="str">
        <f>IFERROR(INDEX('Cost_Components'!$S$2:$S$27,MATCH(E625,'Cost_Components'!$A$2:$A$27,0)),"")</f>
      </c>
      <c r="M625" s="68" t="str">
        <f>IFERROR(INDEX('Cost_Components'!$L$2:$L$27,MATCH(E625,'Cost_Components'!$A$2:$A$27,0)),"")</f>
      </c>
      <c r="N625" s="69" t="str">
        <f>IFERROR(INDEX('Cost_Components'!$P$2:$P$27,MATCH(E625,'Cost_Components'!$A$2:$A$27,0)),"")</f>
      </c>
      <c r="O625" s="70" t="str">
        <f>AF625*J625</f>
      </c>
      <c r="P625" s="71" t="str">
        <f>AG625*J625</f>
      </c>
      <c r="Q625" s="72" t="str">
        <f>P625*L625*M625*N625</f>
      </c>
      <c r="R625" s="73" t="str">
        <f>O625*K625*M625*N625</f>
      </c>
      <c r="S625" s="74" t="str">
        <f>R625-Q625</f>
      </c>
      <c r="T625" s="20" t="str">
        <f>IFERROR(INDEX('Cost_Components'!$R$2:$R$27,MATCH(E625,'Cost_Components'!$A$2:$A$27,0)),"")</f>
      </c>
      <c r="U625" s="75" t="str">
        <f>IFERROR(INDEX('Cost_Components'!$Q$2:$Q$27,MATCH(E625,'Cost_Components'!$A$2:$A$27,0)),"")</f>
      </c>
      <c r="V625" s="76" t="str">
        <f>1/(1+'Calculation_Assumptions'!$B$5)^(B625-'Calculation_Assumptions'!$B$2)</f>
      </c>
      <c r="W625" s="77" t="str">
        <f>Q625*V625</f>
      </c>
      <c r="X625" s="78" t="str">
        <f>R625*V625</f>
      </c>
      <c r="Y625" s="79" t="str">
        <f>S625*V625</f>
      </c>
      <c r="Z625" s="80" t="str">
        <f>IFERROR(INDEX('Cost_Components'!$T$2:$T$27,MATCH(E625,'Cost_Components'!$A$2:$A$27,0)),"")</f>
      </c>
      <c r="AA625" s="81" t="str">
        <f>IFERROR(INDEX('Cost_Components'!$U$2:$U$27,MATCH(E625,'Cost_Components'!$A$2:$A$27,0)),"")</f>
      </c>
      <c r="AB625" s="82" t="str">
        <f>IFERROR(INDEX('Cost_Components'!$V$2:$V$27,MATCH(E625,'Cost_Components'!$A$2:$A$27,0)),"")</f>
      </c>
      <c r="AC625" s="83" t="str">
        <f>IFERROR(INDEX('Cost_Components'!$M$2:$M$27,MATCH(E625,'Cost_Components'!$A$2:$A$27,0)),"")</f>
      </c>
      <c r="AD625" s="84" t="str">
        <f>IFERROR(INDEX('Cost_Components'!$N$2:$N$27,MATCH(E625,'Cost_Components'!$A$2:$A$27,0)),"")</f>
      </c>
      <c r="AE625" s="20" t="str">
        <f>IFERROR(INDEX('Cost_Components'!$O$2:$O$27,MATCH(E625,'Cost_Components'!$A$2:$A$27,0)),"")</f>
      </c>
      <c r="AF625" s="85" t="n">
        <v>4403733.07602492</v>
      </c>
      <c r="AG625" s="86" t="n">
        <v>4382641.21298528</v>
      </c>
      <c r="AH625" s="87" t="str">
        <f>IF(H625="shared-count-once",COUNTIFS($A$2:$A$1353,A625,$B$2:$B$1353,B625,$E$2:$E$1353,E625),1)</f>
      </c>
    </row>
    <row r="626">
      <c r="A626" t="s">
        <v>220</v>
      </c>
      <c r="B626" s="59" t="n">
        <v>2025</v>
      </c>
      <c r="C626" t="s">
        <v>220</v>
      </c>
      <c r="D626" t="s">
        <v>184</v>
      </c>
      <c r="E626" s="60" t="s">
        <v>320</v>
      </c>
      <c r="F626" s="61" t="s">
        <v>321</v>
      </c>
      <c r="G626" s="62" t="s">
        <v>224</v>
      </c>
      <c r="H626" s="63" t="s">
        <v>195</v>
      </c>
      <c r="I626" s="64" t="s">
        <v>267</v>
      </c>
      <c r="J626" s="65" t="str">
        <f>IFERROR(INDEX('Cost_Components'!$K$2:$K$27,MATCH(E626,'Cost_Components'!$A$2:$A$27,0)),"")</f>
      </c>
      <c r="K626" s="66" t="str">
        <f>IF(OR(L626="",Z626="",AA626="",AB626=""),"",IF(B626&lt;AA626,L626,IF(B626&gt;AB626,Z626,L626+(Z626-L626)*MIN(MAX((B626-AA626+1)/MAX(AB626-AA626+1,1),0),1))))</f>
      </c>
      <c r="L626" s="67" t="str">
        <f>IFERROR(INDEX('Cost_Components'!$S$2:$S$27,MATCH(E626,'Cost_Components'!$A$2:$A$27,0)),"")</f>
      </c>
      <c r="M626" s="68" t="str">
        <f>IFERROR(INDEX('Cost_Components'!$L$2:$L$27,MATCH(E626,'Cost_Components'!$A$2:$A$27,0)),"")</f>
      </c>
      <c r="N626" s="69" t="str">
        <f>IFERROR(INDEX('Cost_Components'!$P$2:$P$27,MATCH(E626,'Cost_Components'!$A$2:$A$27,0)),"")</f>
      </c>
      <c r="O626" s="70" t="str">
        <f>AF626*J626</f>
      </c>
      <c r="P626" s="71" t="str">
        <f>AG626*J626</f>
      </c>
      <c r="Q626" s="72" t="str">
        <f>P626*L626*M626*N626</f>
      </c>
      <c r="R626" s="73" t="str">
        <f>O626*K626*M626*N626</f>
      </c>
      <c r="S626" s="74" t="str">
        <f>R626-Q626</f>
      </c>
      <c r="T626" s="20" t="str">
        <f>IFERROR(INDEX('Cost_Components'!$R$2:$R$27,MATCH(E626,'Cost_Components'!$A$2:$A$27,0)),"")</f>
      </c>
      <c r="U626" s="75" t="str">
        <f>IFERROR(INDEX('Cost_Components'!$Q$2:$Q$27,MATCH(E626,'Cost_Components'!$A$2:$A$27,0)),"")</f>
      </c>
      <c r="V626" s="76" t="str">
        <f>1/(1+'Calculation_Assumptions'!$B$5)^(B626-'Calculation_Assumptions'!$B$2)</f>
      </c>
      <c r="W626" s="77" t="str">
        <f>Q626*V626</f>
      </c>
      <c r="X626" s="78" t="str">
        <f>R626*V626</f>
      </c>
      <c r="Y626" s="79" t="str">
        <f>S626*V626</f>
      </c>
      <c r="Z626" s="80" t="str">
        <f>IFERROR(INDEX('Cost_Components'!$T$2:$T$27,MATCH(E626,'Cost_Components'!$A$2:$A$27,0)),"")</f>
      </c>
      <c r="AA626" s="81" t="str">
        <f>IFERROR(INDEX('Cost_Components'!$U$2:$U$27,MATCH(E626,'Cost_Components'!$A$2:$A$27,0)),"")</f>
      </c>
      <c r="AB626" s="82" t="str">
        <f>IFERROR(INDEX('Cost_Components'!$V$2:$V$27,MATCH(E626,'Cost_Components'!$A$2:$A$27,0)),"")</f>
      </c>
      <c r="AC626" s="83" t="str">
        <f>IFERROR(INDEX('Cost_Components'!$M$2:$M$27,MATCH(E626,'Cost_Components'!$A$2:$A$27,0)),"")</f>
      </c>
      <c r="AD626" s="84" t="str">
        <f>IFERROR(INDEX('Cost_Components'!$N$2:$N$27,MATCH(E626,'Cost_Components'!$A$2:$A$27,0)),"")</f>
      </c>
      <c r="AE626" s="20" t="str">
        <f>IFERROR(INDEX('Cost_Components'!$O$2:$O$27,MATCH(E626,'Cost_Components'!$A$2:$A$27,0)),"")</f>
      </c>
      <c r="AF626" s="85" t="n">
        <v>3188233.30629138</v>
      </c>
      <c r="AG626" s="86" t="n">
        <v>3188117.25112586</v>
      </c>
      <c r="AH626" s="87" t="str">
        <f>IF(H626="shared-count-once",COUNTIFS($A$2:$A$1353,A626,$B$2:$B$1353,B626,$E$2:$E$1353,E626),1)</f>
      </c>
    </row>
    <row r="627">
      <c r="A627" t="s">
        <v>220</v>
      </c>
      <c r="B627" s="59" t="n">
        <v>2026</v>
      </c>
      <c r="C627" t="s">
        <v>220</v>
      </c>
      <c r="D627" t="s">
        <v>184</v>
      </c>
      <c r="E627" s="60" t="s">
        <v>320</v>
      </c>
      <c r="F627" s="61" t="s">
        <v>321</v>
      </c>
      <c r="G627" s="62" t="s">
        <v>224</v>
      </c>
      <c r="H627" s="63" t="s">
        <v>195</v>
      </c>
      <c r="I627" s="64" t="s">
        <v>267</v>
      </c>
      <c r="J627" s="65" t="str">
        <f>IFERROR(INDEX('Cost_Components'!$K$2:$K$27,MATCH(E627,'Cost_Components'!$A$2:$A$27,0)),"")</f>
      </c>
      <c r="K627" s="66" t="str">
        <f>IF(OR(L627="",Z627="",AA627="",AB627=""),"",IF(B627&lt;AA627,L627,IF(B627&gt;AB627,Z627,L627+(Z627-L627)*MIN(MAX((B627-AA627+1)/MAX(AB627-AA627+1,1),0),1))))</f>
      </c>
      <c r="L627" s="67" t="str">
        <f>IFERROR(INDEX('Cost_Components'!$S$2:$S$27,MATCH(E627,'Cost_Components'!$A$2:$A$27,0)),"")</f>
      </c>
      <c r="M627" s="68" t="str">
        <f>IFERROR(INDEX('Cost_Components'!$L$2:$L$27,MATCH(E627,'Cost_Components'!$A$2:$A$27,0)),"")</f>
      </c>
      <c r="N627" s="69" t="str">
        <f>IFERROR(INDEX('Cost_Components'!$P$2:$P$27,MATCH(E627,'Cost_Components'!$A$2:$A$27,0)),"")</f>
      </c>
      <c r="O627" s="70" t="str">
        <f>AF627*J627</f>
      </c>
      <c r="P627" s="71" t="str">
        <f>AG627*J627</f>
      </c>
      <c r="Q627" s="72" t="str">
        <f>P627*L627*M627*N627</f>
      </c>
      <c r="R627" s="73" t="str">
        <f>O627*K627*M627*N627</f>
      </c>
      <c r="S627" s="74" t="str">
        <f>R627-Q627</f>
      </c>
      <c r="T627" s="20" t="str">
        <f>IFERROR(INDEX('Cost_Components'!$R$2:$R$27,MATCH(E627,'Cost_Components'!$A$2:$A$27,0)),"")</f>
      </c>
      <c r="U627" s="75" t="str">
        <f>IFERROR(INDEX('Cost_Components'!$Q$2:$Q$27,MATCH(E627,'Cost_Components'!$A$2:$A$27,0)),"")</f>
      </c>
      <c r="V627" s="76" t="str">
        <f>1/(1+'Calculation_Assumptions'!$B$5)^(B627-'Calculation_Assumptions'!$B$2)</f>
      </c>
      <c r="W627" s="77" t="str">
        <f>Q627*V627</f>
      </c>
      <c r="X627" s="78" t="str">
        <f>R627*V627</f>
      </c>
      <c r="Y627" s="79" t="str">
        <f>S627*V627</f>
      </c>
      <c r="Z627" s="80" t="str">
        <f>IFERROR(INDEX('Cost_Components'!$T$2:$T$27,MATCH(E627,'Cost_Components'!$A$2:$A$27,0)),"")</f>
      </c>
      <c r="AA627" s="81" t="str">
        <f>IFERROR(INDEX('Cost_Components'!$U$2:$U$27,MATCH(E627,'Cost_Components'!$A$2:$A$27,0)),"")</f>
      </c>
      <c r="AB627" s="82" t="str">
        <f>IFERROR(INDEX('Cost_Components'!$V$2:$V$27,MATCH(E627,'Cost_Components'!$A$2:$A$27,0)),"")</f>
      </c>
      <c r="AC627" s="83" t="str">
        <f>IFERROR(INDEX('Cost_Components'!$M$2:$M$27,MATCH(E627,'Cost_Components'!$A$2:$A$27,0)),"")</f>
      </c>
      <c r="AD627" s="84" t="str">
        <f>IFERROR(INDEX('Cost_Components'!$N$2:$N$27,MATCH(E627,'Cost_Components'!$A$2:$A$27,0)),"")</f>
      </c>
      <c r="AE627" s="20" t="str">
        <f>IFERROR(INDEX('Cost_Components'!$O$2:$O$27,MATCH(E627,'Cost_Components'!$A$2:$A$27,0)),"")</f>
      </c>
      <c r="AF627" s="85" t="n">
        <v>3222536.77241184</v>
      </c>
      <c r="AG627" s="86" t="n">
        <v>3222204.21040927</v>
      </c>
      <c r="AH627" s="87" t="str">
        <f>IF(H627="shared-count-once",COUNTIFS($A$2:$A$1353,A627,$B$2:$B$1353,B627,$E$2:$E$1353,E627),1)</f>
      </c>
    </row>
    <row r="628">
      <c r="A628" t="s">
        <v>220</v>
      </c>
      <c r="B628" s="59" t="n">
        <v>2027</v>
      </c>
      <c r="C628" t="s">
        <v>220</v>
      </c>
      <c r="D628" t="s">
        <v>184</v>
      </c>
      <c r="E628" s="60" t="s">
        <v>320</v>
      </c>
      <c r="F628" s="61" t="s">
        <v>321</v>
      </c>
      <c r="G628" s="62" t="s">
        <v>224</v>
      </c>
      <c r="H628" s="63" t="s">
        <v>195</v>
      </c>
      <c r="I628" s="64" t="s">
        <v>267</v>
      </c>
      <c r="J628" s="65" t="str">
        <f>IFERROR(INDEX('Cost_Components'!$K$2:$K$27,MATCH(E628,'Cost_Components'!$A$2:$A$27,0)),"")</f>
      </c>
      <c r="K628" s="66" t="str">
        <f>IF(OR(L628="",Z628="",AA628="",AB628=""),"",IF(B628&lt;AA628,L628,IF(B628&gt;AB628,Z628,L628+(Z628-L628)*MIN(MAX((B628-AA628+1)/MAX(AB628-AA628+1,1),0),1))))</f>
      </c>
      <c r="L628" s="67" t="str">
        <f>IFERROR(INDEX('Cost_Components'!$S$2:$S$27,MATCH(E628,'Cost_Components'!$A$2:$A$27,0)),"")</f>
      </c>
      <c r="M628" s="68" t="str">
        <f>IFERROR(INDEX('Cost_Components'!$L$2:$L$27,MATCH(E628,'Cost_Components'!$A$2:$A$27,0)),"")</f>
      </c>
      <c r="N628" s="69" t="str">
        <f>IFERROR(INDEX('Cost_Components'!$P$2:$P$27,MATCH(E628,'Cost_Components'!$A$2:$A$27,0)),"")</f>
      </c>
      <c r="O628" s="70" t="str">
        <f>AF628*J628</f>
      </c>
      <c r="P628" s="71" t="str">
        <f>AG628*J628</f>
      </c>
      <c r="Q628" s="72" t="str">
        <f>P628*L628*M628*N628</f>
      </c>
      <c r="R628" s="73" t="str">
        <f>O628*K628*M628*N628</f>
      </c>
      <c r="S628" s="74" t="str">
        <f>R628-Q628</f>
      </c>
      <c r="T628" s="20" t="str">
        <f>IFERROR(INDEX('Cost_Components'!$R$2:$R$27,MATCH(E628,'Cost_Components'!$A$2:$A$27,0)),"")</f>
      </c>
      <c r="U628" s="75" t="str">
        <f>IFERROR(INDEX('Cost_Components'!$Q$2:$Q$27,MATCH(E628,'Cost_Components'!$A$2:$A$27,0)),"")</f>
      </c>
      <c r="V628" s="76" t="str">
        <f>1/(1+'Calculation_Assumptions'!$B$5)^(B628-'Calculation_Assumptions'!$B$2)</f>
      </c>
      <c r="W628" s="77" t="str">
        <f>Q628*V628</f>
      </c>
      <c r="X628" s="78" t="str">
        <f>R628*V628</f>
      </c>
      <c r="Y628" s="79" t="str">
        <f>S628*V628</f>
      </c>
      <c r="Z628" s="80" t="str">
        <f>IFERROR(INDEX('Cost_Components'!$T$2:$T$27,MATCH(E628,'Cost_Components'!$A$2:$A$27,0)),"")</f>
      </c>
      <c r="AA628" s="81" t="str">
        <f>IFERROR(INDEX('Cost_Components'!$U$2:$U$27,MATCH(E628,'Cost_Components'!$A$2:$A$27,0)),"")</f>
      </c>
      <c r="AB628" s="82" t="str">
        <f>IFERROR(INDEX('Cost_Components'!$V$2:$V$27,MATCH(E628,'Cost_Components'!$A$2:$A$27,0)),"")</f>
      </c>
      <c r="AC628" s="83" t="str">
        <f>IFERROR(INDEX('Cost_Components'!$M$2:$M$27,MATCH(E628,'Cost_Components'!$A$2:$A$27,0)),"")</f>
      </c>
      <c r="AD628" s="84" t="str">
        <f>IFERROR(INDEX('Cost_Components'!$N$2:$N$27,MATCH(E628,'Cost_Components'!$A$2:$A$27,0)),"")</f>
      </c>
      <c r="AE628" s="20" t="str">
        <f>IFERROR(INDEX('Cost_Components'!$O$2:$O$27,MATCH(E628,'Cost_Components'!$A$2:$A$27,0)),"")</f>
      </c>
      <c r="AF628" s="85" t="n">
        <v>3257421.36971681</v>
      </c>
      <c r="AG628" s="86" t="n">
        <v>3256783.7933962</v>
      </c>
      <c r="AH628" s="87" t="str">
        <f>IF(H628="shared-count-once",COUNTIFS($A$2:$A$1353,A628,$B$2:$B$1353,B628,$E$2:$E$1353,E628),1)</f>
      </c>
    </row>
    <row r="629">
      <c r="A629" t="s">
        <v>220</v>
      </c>
      <c r="B629" s="59" t="n">
        <v>2028</v>
      </c>
      <c r="C629" t="s">
        <v>220</v>
      </c>
      <c r="D629" t="s">
        <v>184</v>
      </c>
      <c r="E629" s="60" t="s">
        <v>320</v>
      </c>
      <c r="F629" s="61" t="s">
        <v>321</v>
      </c>
      <c r="G629" s="62" t="s">
        <v>224</v>
      </c>
      <c r="H629" s="63" t="s">
        <v>195</v>
      </c>
      <c r="I629" s="64" t="s">
        <v>267</v>
      </c>
      <c r="J629" s="65" t="str">
        <f>IFERROR(INDEX('Cost_Components'!$K$2:$K$27,MATCH(E629,'Cost_Components'!$A$2:$A$27,0)),"")</f>
      </c>
      <c r="K629" s="66" t="str">
        <f>IF(OR(L629="",Z629="",AA629="",AB629=""),"",IF(B629&lt;AA629,L629,IF(B629&gt;AB629,Z629,L629+(Z629-L629)*MIN(MAX((B629-AA629+1)/MAX(AB629-AA629+1,1),0),1))))</f>
      </c>
      <c r="L629" s="67" t="str">
        <f>IFERROR(INDEX('Cost_Components'!$S$2:$S$27,MATCH(E629,'Cost_Components'!$A$2:$A$27,0)),"")</f>
      </c>
      <c r="M629" s="68" t="str">
        <f>IFERROR(INDEX('Cost_Components'!$L$2:$L$27,MATCH(E629,'Cost_Components'!$A$2:$A$27,0)),"")</f>
      </c>
      <c r="N629" s="69" t="str">
        <f>IFERROR(INDEX('Cost_Components'!$P$2:$P$27,MATCH(E629,'Cost_Components'!$A$2:$A$27,0)),"")</f>
      </c>
      <c r="O629" s="70" t="str">
        <f>AF629*J629</f>
      </c>
      <c r="P629" s="71" t="str">
        <f>AG629*J629</f>
      </c>
      <c r="Q629" s="72" t="str">
        <f>P629*L629*M629*N629</f>
      </c>
      <c r="R629" s="73" t="str">
        <f>O629*K629*M629*N629</f>
      </c>
      <c r="S629" s="74" t="str">
        <f>R629-Q629</f>
      </c>
      <c r="T629" s="20" t="str">
        <f>IFERROR(INDEX('Cost_Components'!$R$2:$R$27,MATCH(E629,'Cost_Components'!$A$2:$A$27,0)),"")</f>
      </c>
      <c r="U629" s="75" t="str">
        <f>IFERROR(INDEX('Cost_Components'!$Q$2:$Q$27,MATCH(E629,'Cost_Components'!$A$2:$A$27,0)),"")</f>
      </c>
      <c r="V629" s="76" t="str">
        <f>1/(1+'Calculation_Assumptions'!$B$5)^(B629-'Calculation_Assumptions'!$B$2)</f>
      </c>
      <c r="W629" s="77" t="str">
        <f>Q629*V629</f>
      </c>
      <c r="X629" s="78" t="str">
        <f>R629*V629</f>
      </c>
      <c r="Y629" s="79" t="str">
        <f>S629*V629</f>
      </c>
      <c r="Z629" s="80" t="str">
        <f>IFERROR(INDEX('Cost_Components'!$T$2:$T$27,MATCH(E629,'Cost_Components'!$A$2:$A$27,0)),"")</f>
      </c>
      <c r="AA629" s="81" t="str">
        <f>IFERROR(INDEX('Cost_Components'!$U$2:$U$27,MATCH(E629,'Cost_Components'!$A$2:$A$27,0)),"")</f>
      </c>
      <c r="AB629" s="82" t="str">
        <f>IFERROR(INDEX('Cost_Components'!$V$2:$V$27,MATCH(E629,'Cost_Components'!$A$2:$A$27,0)),"")</f>
      </c>
      <c r="AC629" s="83" t="str">
        <f>IFERROR(INDEX('Cost_Components'!$M$2:$M$27,MATCH(E629,'Cost_Components'!$A$2:$A$27,0)),"")</f>
      </c>
      <c r="AD629" s="84" t="str">
        <f>IFERROR(INDEX('Cost_Components'!$N$2:$N$27,MATCH(E629,'Cost_Components'!$A$2:$A$27,0)),"")</f>
      </c>
      <c r="AE629" s="20" t="str">
        <f>IFERROR(INDEX('Cost_Components'!$O$2:$O$27,MATCH(E629,'Cost_Components'!$A$2:$A$27,0)),"")</f>
      </c>
      <c r="AF629" s="85" t="n">
        <v>3294687.50330981</v>
      </c>
      <c r="AG629" s="86" t="n">
        <v>3293666.14343879</v>
      </c>
      <c r="AH629" s="87" t="str">
        <f>IF(H629="shared-count-once",COUNTIFS($A$2:$A$1353,A629,$B$2:$B$1353,B629,$E$2:$E$1353,E629),1)</f>
      </c>
    </row>
    <row r="630">
      <c r="A630" t="s">
        <v>220</v>
      </c>
      <c r="B630" s="59" t="n">
        <v>2029</v>
      </c>
      <c r="C630" t="s">
        <v>220</v>
      </c>
      <c r="D630" t="s">
        <v>184</v>
      </c>
      <c r="E630" s="60" t="s">
        <v>320</v>
      </c>
      <c r="F630" s="61" t="s">
        <v>321</v>
      </c>
      <c r="G630" s="62" t="s">
        <v>224</v>
      </c>
      <c r="H630" s="63" t="s">
        <v>195</v>
      </c>
      <c r="I630" s="64" t="s">
        <v>267</v>
      </c>
      <c r="J630" s="65" t="str">
        <f>IFERROR(INDEX('Cost_Components'!$K$2:$K$27,MATCH(E630,'Cost_Components'!$A$2:$A$27,0)),"")</f>
      </c>
      <c r="K630" s="66" t="str">
        <f>IF(OR(L630="",Z630="",AA630="",AB630=""),"",IF(B630&lt;AA630,L630,IF(B630&gt;AB630,Z630,L630+(Z630-L630)*MIN(MAX((B630-AA630+1)/MAX(AB630-AA630+1,1),0),1))))</f>
      </c>
      <c r="L630" s="67" t="str">
        <f>IFERROR(INDEX('Cost_Components'!$S$2:$S$27,MATCH(E630,'Cost_Components'!$A$2:$A$27,0)),"")</f>
      </c>
      <c r="M630" s="68" t="str">
        <f>IFERROR(INDEX('Cost_Components'!$L$2:$L$27,MATCH(E630,'Cost_Components'!$A$2:$A$27,0)),"")</f>
      </c>
      <c r="N630" s="69" t="str">
        <f>IFERROR(INDEX('Cost_Components'!$P$2:$P$27,MATCH(E630,'Cost_Components'!$A$2:$A$27,0)),"")</f>
      </c>
      <c r="O630" s="70" t="str">
        <f>AF630*J630</f>
      </c>
      <c r="P630" s="71" t="str">
        <f>AG630*J630</f>
      </c>
      <c r="Q630" s="72" t="str">
        <f>P630*L630*M630*N630</f>
      </c>
      <c r="R630" s="73" t="str">
        <f>O630*K630*M630*N630</f>
      </c>
      <c r="S630" s="74" t="str">
        <f>R630-Q630</f>
      </c>
      <c r="T630" s="20" t="str">
        <f>IFERROR(INDEX('Cost_Components'!$R$2:$R$27,MATCH(E630,'Cost_Components'!$A$2:$A$27,0)),"")</f>
      </c>
      <c r="U630" s="75" t="str">
        <f>IFERROR(INDEX('Cost_Components'!$Q$2:$Q$27,MATCH(E630,'Cost_Components'!$A$2:$A$27,0)),"")</f>
      </c>
      <c r="V630" s="76" t="str">
        <f>1/(1+'Calculation_Assumptions'!$B$5)^(B630-'Calculation_Assumptions'!$B$2)</f>
      </c>
      <c r="W630" s="77" t="str">
        <f>Q630*V630</f>
      </c>
      <c r="X630" s="78" t="str">
        <f>R630*V630</f>
      </c>
      <c r="Y630" s="79" t="str">
        <f>S630*V630</f>
      </c>
      <c r="Z630" s="80" t="str">
        <f>IFERROR(INDEX('Cost_Components'!$T$2:$T$27,MATCH(E630,'Cost_Components'!$A$2:$A$27,0)),"")</f>
      </c>
      <c r="AA630" s="81" t="str">
        <f>IFERROR(INDEX('Cost_Components'!$U$2:$U$27,MATCH(E630,'Cost_Components'!$A$2:$A$27,0)),"")</f>
      </c>
      <c r="AB630" s="82" t="str">
        <f>IFERROR(INDEX('Cost_Components'!$V$2:$V$27,MATCH(E630,'Cost_Components'!$A$2:$A$27,0)),"")</f>
      </c>
      <c r="AC630" s="83" t="str">
        <f>IFERROR(INDEX('Cost_Components'!$M$2:$M$27,MATCH(E630,'Cost_Components'!$A$2:$A$27,0)),"")</f>
      </c>
      <c r="AD630" s="84" t="str">
        <f>IFERROR(INDEX('Cost_Components'!$N$2:$N$27,MATCH(E630,'Cost_Components'!$A$2:$A$27,0)),"")</f>
      </c>
      <c r="AE630" s="20" t="str">
        <f>IFERROR(INDEX('Cost_Components'!$O$2:$O$27,MATCH(E630,'Cost_Components'!$A$2:$A$27,0)),"")</f>
      </c>
      <c r="AF630" s="85" t="n">
        <v>3333863.63218886</v>
      </c>
      <c r="AG630" s="86" t="n">
        <v>3332379.93942688</v>
      </c>
      <c r="AH630" s="87" t="str">
        <f>IF(H630="shared-count-once",COUNTIFS($A$2:$A$1353,A630,$B$2:$B$1353,B630,$E$2:$E$1353,E630),1)</f>
      </c>
    </row>
    <row r="631">
      <c r="A631" t="s">
        <v>220</v>
      </c>
      <c r="B631" s="59" t="n">
        <v>2030</v>
      </c>
      <c r="C631" t="s">
        <v>220</v>
      </c>
      <c r="D631" t="s">
        <v>184</v>
      </c>
      <c r="E631" s="60" t="s">
        <v>320</v>
      </c>
      <c r="F631" s="61" t="s">
        <v>321</v>
      </c>
      <c r="G631" s="62" t="s">
        <v>224</v>
      </c>
      <c r="H631" s="63" t="s">
        <v>195</v>
      </c>
      <c r="I631" s="64" t="s">
        <v>267</v>
      </c>
      <c r="J631" s="65" t="str">
        <f>IFERROR(INDEX('Cost_Components'!$K$2:$K$27,MATCH(E631,'Cost_Components'!$A$2:$A$27,0)),"")</f>
      </c>
      <c r="K631" s="66" t="str">
        <f>IF(OR(L631="",Z631="",AA631="",AB631=""),"",IF(B631&lt;AA631,L631,IF(B631&gt;AB631,Z631,L631+(Z631-L631)*MIN(MAX((B631-AA631+1)/MAX(AB631-AA631+1,1),0),1))))</f>
      </c>
      <c r="L631" s="67" t="str">
        <f>IFERROR(INDEX('Cost_Components'!$S$2:$S$27,MATCH(E631,'Cost_Components'!$A$2:$A$27,0)),"")</f>
      </c>
      <c r="M631" s="68" t="str">
        <f>IFERROR(INDEX('Cost_Components'!$L$2:$L$27,MATCH(E631,'Cost_Components'!$A$2:$A$27,0)),"")</f>
      </c>
      <c r="N631" s="69" t="str">
        <f>IFERROR(INDEX('Cost_Components'!$P$2:$P$27,MATCH(E631,'Cost_Components'!$A$2:$A$27,0)),"")</f>
      </c>
      <c r="O631" s="70" t="str">
        <f>AF631*J631</f>
      </c>
      <c r="P631" s="71" t="str">
        <f>AG631*J631</f>
      </c>
      <c r="Q631" s="72" t="str">
        <f>P631*L631*M631*N631</f>
      </c>
      <c r="R631" s="73" t="str">
        <f>O631*K631*M631*N631</f>
      </c>
      <c r="S631" s="74" t="str">
        <f>R631-Q631</f>
      </c>
      <c r="T631" s="20" t="str">
        <f>IFERROR(INDEX('Cost_Components'!$R$2:$R$27,MATCH(E631,'Cost_Components'!$A$2:$A$27,0)),"")</f>
      </c>
      <c r="U631" s="75" t="str">
        <f>IFERROR(INDEX('Cost_Components'!$Q$2:$Q$27,MATCH(E631,'Cost_Components'!$A$2:$A$27,0)),"")</f>
      </c>
      <c r="V631" s="76" t="str">
        <f>1/(1+'Calculation_Assumptions'!$B$5)^(B631-'Calculation_Assumptions'!$B$2)</f>
      </c>
      <c r="W631" s="77" t="str">
        <f>Q631*V631</f>
      </c>
      <c r="X631" s="78" t="str">
        <f>R631*V631</f>
      </c>
      <c r="Y631" s="79" t="str">
        <f>S631*V631</f>
      </c>
      <c r="Z631" s="80" t="str">
        <f>IFERROR(INDEX('Cost_Components'!$T$2:$T$27,MATCH(E631,'Cost_Components'!$A$2:$A$27,0)),"")</f>
      </c>
      <c r="AA631" s="81" t="str">
        <f>IFERROR(INDEX('Cost_Components'!$U$2:$U$27,MATCH(E631,'Cost_Components'!$A$2:$A$27,0)),"")</f>
      </c>
      <c r="AB631" s="82" t="str">
        <f>IFERROR(INDEX('Cost_Components'!$V$2:$V$27,MATCH(E631,'Cost_Components'!$A$2:$A$27,0)),"")</f>
      </c>
      <c r="AC631" s="83" t="str">
        <f>IFERROR(INDEX('Cost_Components'!$M$2:$M$27,MATCH(E631,'Cost_Components'!$A$2:$A$27,0)),"")</f>
      </c>
      <c r="AD631" s="84" t="str">
        <f>IFERROR(INDEX('Cost_Components'!$N$2:$N$27,MATCH(E631,'Cost_Components'!$A$2:$A$27,0)),"")</f>
      </c>
      <c r="AE631" s="20" t="str">
        <f>IFERROR(INDEX('Cost_Components'!$O$2:$O$27,MATCH(E631,'Cost_Components'!$A$2:$A$27,0)),"")</f>
      </c>
      <c r="AF631" s="85" t="n">
        <v>3375720.89383671</v>
      </c>
      <c r="AG631" s="86" t="n">
        <v>3373705.64784687</v>
      </c>
      <c r="AH631" s="87" t="str">
        <f>IF(H631="shared-count-once",COUNTIFS($A$2:$A$1353,A631,$B$2:$B$1353,B631,$E$2:$E$1353,E631),1)</f>
      </c>
    </row>
    <row r="632">
      <c r="A632" t="s">
        <v>220</v>
      </c>
      <c r="B632" s="59" t="n">
        <v>2031</v>
      </c>
      <c r="C632" t="s">
        <v>220</v>
      </c>
      <c r="D632" t="s">
        <v>184</v>
      </c>
      <c r="E632" s="60" t="s">
        <v>320</v>
      </c>
      <c r="F632" s="61" t="s">
        <v>321</v>
      </c>
      <c r="G632" s="62" t="s">
        <v>224</v>
      </c>
      <c r="H632" s="63" t="s">
        <v>195</v>
      </c>
      <c r="I632" s="64" t="s">
        <v>267</v>
      </c>
      <c r="J632" s="65" t="str">
        <f>IFERROR(INDEX('Cost_Components'!$K$2:$K$27,MATCH(E632,'Cost_Components'!$A$2:$A$27,0)),"")</f>
      </c>
      <c r="K632" s="66" t="str">
        <f>IF(OR(L632="",Z632="",AA632="",AB632=""),"",IF(B632&lt;AA632,L632,IF(B632&gt;AB632,Z632,L632+(Z632-L632)*MIN(MAX((B632-AA632+1)/MAX(AB632-AA632+1,1),0),1))))</f>
      </c>
      <c r="L632" s="67" t="str">
        <f>IFERROR(INDEX('Cost_Components'!$S$2:$S$27,MATCH(E632,'Cost_Components'!$A$2:$A$27,0)),"")</f>
      </c>
      <c r="M632" s="68" t="str">
        <f>IFERROR(INDEX('Cost_Components'!$L$2:$L$27,MATCH(E632,'Cost_Components'!$A$2:$A$27,0)),"")</f>
      </c>
      <c r="N632" s="69" t="str">
        <f>IFERROR(INDEX('Cost_Components'!$P$2:$P$27,MATCH(E632,'Cost_Components'!$A$2:$A$27,0)),"")</f>
      </c>
      <c r="O632" s="70" t="str">
        <f>AF632*J632</f>
      </c>
      <c r="P632" s="71" t="str">
        <f>AG632*J632</f>
      </c>
      <c r="Q632" s="72" t="str">
        <f>P632*L632*M632*N632</f>
      </c>
      <c r="R632" s="73" t="str">
        <f>O632*K632*M632*N632</f>
      </c>
      <c r="S632" s="74" t="str">
        <f>R632-Q632</f>
      </c>
      <c r="T632" s="20" t="str">
        <f>IFERROR(INDEX('Cost_Components'!$R$2:$R$27,MATCH(E632,'Cost_Components'!$A$2:$A$27,0)),"")</f>
      </c>
      <c r="U632" s="75" t="str">
        <f>IFERROR(INDEX('Cost_Components'!$Q$2:$Q$27,MATCH(E632,'Cost_Components'!$A$2:$A$27,0)),"")</f>
      </c>
      <c r="V632" s="76" t="str">
        <f>1/(1+'Calculation_Assumptions'!$B$5)^(B632-'Calculation_Assumptions'!$B$2)</f>
      </c>
      <c r="W632" s="77" t="str">
        <f>Q632*V632</f>
      </c>
      <c r="X632" s="78" t="str">
        <f>R632*V632</f>
      </c>
      <c r="Y632" s="79" t="str">
        <f>S632*V632</f>
      </c>
      <c r="Z632" s="80" t="str">
        <f>IFERROR(INDEX('Cost_Components'!$T$2:$T$27,MATCH(E632,'Cost_Components'!$A$2:$A$27,0)),"")</f>
      </c>
      <c r="AA632" s="81" t="str">
        <f>IFERROR(INDEX('Cost_Components'!$U$2:$U$27,MATCH(E632,'Cost_Components'!$A$2:$A$27,0)),"")</f>
      </c>
      <c r="AB632" s="82" t="str">
        <f>IFERROR(INDEX('Cost_Components'!$V$2:$V$27,MATCH(E632,'Cost_Components'!$A$2:$A$27,0)),"")</f>
      </c>
      <c r="AC632" s="83" t="str">
        <f>IFERROR(INDEX('Cost_Components'!$M$2:$M$27,MATCH(E632,'Cost_Components'!$A$2:$A$27,0)),"")</f>
      </c>
      <c r="AD632" s="84" t="str">
        <f>IFERROR(INDEX('Cost_Components'!$N$2:$N$27,MATCH(E632,'Cost_Components'!$A$2:$A$27,0)),"")</f>
      </c>
      <c r="AE632" s="20" t="str">
        <f>IFERROR(INDEX('Cost_Components'!$O$2:$O$27,MATCH(E632,'Cost_Components'!$A$2:$A$27,0)),"")</f>
      </c>
      <c r="AF632" s="85" t="n">
        <v>3420495.52343588</v>
      </c>
      <c r="AG632" s="86" t="n">
        <v>3417886.53070673</v>
      </c>
      <c r="AH632" s="87" t="str">
        <f>IF(H632="shared-count-once",COUNTIFS($A$2:$A$1353,A632,$B$2:$B$1353,B632,$E$2:$E$1353,E632),1)</f>
      </c>
    </row>
    <row r="633">
      <c r="A633" t="s">
        <v>220</v>
      </c>
      <c r="B633" s="59" t="n">
        <v>2032</v>
      </c>
      <c r="C633" t="s">
        <v>220</v>
      </c>
      <c r="D633" t="s">
        <v>184</v>
      </c>
      <c r="E633" s="60" t="s">
        <v>320</v>
      </c>
      <c r="F633" s="61" t="s">
        <v>321</v>
      </c>
      <c r="G633" s="62" t="s">
        <v>224</v>
      </c>
      <c r="H633" s="63" t="s">
        <v>195</v>
      </c>
      <c r="I633" s="64" t="s">
        <v>267</v>
      </c>
      <c r="J633" s="65" t="str">
        <f>IFERROR(INDEX('Cost_Components'!$K$2:$K$27,MATCH(E633,'Cost_Components'!$A$2:$A$27,0)),"")</f>
      </c>
      <c r="K633" s="66" t="str">
        <f>IF(OR(L633="",Z633="",AA633="",AB633=""),"",IF(B633&lt;AA633,L633,IF(B633&gt;AB633,Z633,L633+(Z633-L633)*MIN(MAX((B633-AA633+1)/MAX(AB633-AA633+1,1),0),1))))</f>
      </c>
      <c r="L633" s="67" t="str">
        <f>IFERROR(INDEX('Cost_Components'!$S$2:$S$27,MATCH(E633,'Cost_Components'!$A$2:$A$27,0)),"")</f>
      </c>
      <c r="M633" s="68" t="str">
        <f>IFERROR(INDEX('Cost_Components'!$L$2:$L$27,MATCH(E633,'Cost_Components'!$A$2:$A$27,0)),"")</f>
      </c>
      <c r="N633" s="69" t="str">
        <f>IFERROR(INDEX('Cost_Components'!$P$2:$P$27,MATCH(E633,'Cost_Components'!$A$2:$A$27,0)),"")</f>
      </c>
      <c r="O633" s="70" t="str">
        <f>AF633*J633</f>
      </c>
      <c r="P633" s="71" t="str">
        <f>AG633*J633</f>
      </c>
      <c r="Q633" s="72" t="str">
        <f>P633*L633*M633*N633</f>
      </c>
      <c r="R633" s="73" t="str">
        <f>O633*K633*M633*N633</f>
      </c>
      <c r="S633" s="74" t="str">
        <f>R633-Q633</f>
      </c>
      <c r="T633" s="20" t="str">
        <f>IFERROR(INDEX('Cost_Components'!$R$2:$R$27,MATCH(E633,'Cost_Components'!$A$2:$A$27,0)),"")</f>
      </c>
      <c r="U633" s="75" t="str">
        <f>IFERROR(INDEX('Cost_Components'!$Q$2:$Q$27,MATCH(E633,'Cost_Components'!$A$2:$A$27,0)),"")</f>
      </c>
      <c r="V633" s="76" t="str">
        <f>1/(1+'Calculation_Assumptions'!$B$5)^(B633-'Calculation_Assumptions'!$B$2)</f>
      </c>
      <c r="W633" s="77" t="str">
        <f>Q633*V633</f>
      </c>
      <c r="X633" s="78" t="str">
        <f>R633*V633</f>
      </c>
      <c r="Y633" s="79" t="str">
        <f>S633*V633</f>
      </c>
      <c r="Z633" s="80" t="str">
        <f>IFERROR(INDEX('Cost_Components'!$T$2:$T$27,MATCH(E633,'Cost_Components'!$A$2:$A$27,0)),"")</f>
      </c>
      <c r="AA633" s="81" t="str">
        <f>IFERROR(INDEX('Cost_Components'!$U$2:$U$27,MATCH(E633,'Cost_Components'!$A$2:$A$27,0)),"")</f>
      </c>
      <c r="AB633" s="82" t="str">
        <f>IFERROR(INDEX('Cost_Components'!$V$2:$V$27,MATCH(E633,'Cost_Components'!$A$2:$A$27,0)),"")</f>
      </c>
      <c r="AC633" s="83" t="str">
        <f>IFERROR(INDEX('Cost_Components'!$M$2:$M$27,MATCH(E633,'Cost_Components'!$A$2:$A$27,0)),"")</f>
      </c>
      <c r="AD633" s="84" t="str">
        <f>IFERROR(INDEX('Cost_Components'!$N$2:$N$27,MATCH(E633,'Cost_Components'!$A$2:$A$27,0)),"")</f>
      </c>
      <c r="AE633" s="20" t="str">
        <f>IFERROR(INDEX('Cost_Components'!$O$2:$O$27,MATCH(E633,'Cost_Components'!$A$2:$A$27,0)),"")</f>
      </c>
      <c r="AF633" s="85" t="n">
        <v>3468008.47762435</v>
      </c>
      <c r="AG633" s="86" t="n">
        <v>3464746.35411179</v>
      </c>
      <c r="AH633" s="87" t="str">
        <f>IF(H633="shared-count-once",COUNTIFS($A$2:$A$1353,A633,$B$2:$B$1353,B633,$E$2:$E$1353,E633),1)</f>
      </c>
    </row>
    <row r="634">
      <c r="A634" t="s">
        <v>220</v>
      </c>
      <c r="B634" s="59" t="n">
        <v>2033</v>
      </c>
      <c r="C634" t="s">
        <v>220</v>
      </c>
      <c r="D634" t="s">
        <v>184</v>
      </c>
      <c r="E634" s="60" t="s">
        <v>320</v>
      </c>
      <c r="F634" s="61" t="s">
        <v>321</v>
      </c>
      <c r="G634" s="62" t="s">
        <v>224</v>
      </c>
      <c r="H634" s="63" t="s">
        <v>195</v>
      </c>
      <c r="I634" s="64" t="s">
        <v>267</v>
      </c>
      <c r="J634" s="65" t="str">
        <f>IFERROR(INDEX('Cost_Components'!$K$2:$K$27,MATCH(E634,'Cost_Components'!$A$2:$A$27,0)),"")</f>
      </c>
      <c r="K634" s="66" t="str">
        <f>IF(OR(L634="",Z634="",AA634="",AB634=""),"",IF(B634&lt;AA634,L634,IF(B634&gt;AB634,Z634,L634+(Z634-L634)*MIN(MAX((B634-AA634+1)/MAX(AB634-AA634+1,1),0),1))))</f>
      </c>
      <c r="L634" s="67" t="str">
        <f>IFERROR(INDEX('Cost_Components'!$S$2:$S$27,MATCH(E634,'Cost_Components'!$A$2:$A$27,0)),"")</f>
      </c>
      <c r="M634" s="68" t="str">
        <f>IFERROR(INDEX('Cost_Components'!$L$2:$L$27,MATCH(E634,'Cost_Components'!$A$2:$A$27,0)),"")</f>
      </c>
      <c r="N634" s="69" t="str">
        <f>IFERROR(INDEX('Cost_Components'!$P$2:$P$27,MATCH(E634,'Cost_Components'!$A$2:$A$27,0)),"")</f>
      </c>
      <c r="O634" s="70" t="str">
        <f>AF634*J634</f>
      </c>
      <c r="P634" s="71" t="str">
        <f>AG634*J634</f>
      </c>
      <c r="Q634" s="72" t="str">
        <f>P634*L634*M634*N634</f>
      </c>
      <c r="R634" s="73" t="str">
        <f>O634*K634*M634*N634</f>
      </c>
      <c r="S634" s="74" t="str">
        <f>R634-Q634</f>
      </c>
      <c r="T634" s="20" t="str">
        <f>IFERROR(INDEX('Cost_Components'!$R$2:$R$27,MATCH(E634,'Cost_Components'!$A$2:$A$27,0)),"")</f>
      </c>
      <c r="U634" s="75" t="str">
        <f>IFERROR(INDEX('Cost_Components'!$Q$2:$Q$27,MATCH(E634,'Cost_Components'!$A$2:$A$27,0)),"")</f>
      </c>
      <c r="V634" s="76" t="str">
        <f>1/(1+'Calculation_Assumptions'!$B$5)^(B634-'Calculation_Assumptions'!$B$2)</f>
      </c>
      <c r="W634" s="77" t="str">
        <f>Q634*V634</f>
      </c>
      <c r="X634" s="78" t="str">
        <f>R634*V634</f>
      </c>
      <c r="Y634" s="79" t="str">
        <f>S634*V634</f>
      </c>
      <c r="Z634" s="80" t="str">
        <f>IFERROR(INDEX('Cost_Components'!$T$2:$T$27,MATCH(E634,'Cost_Components'!$A$2:$A$27,0)),"")</f>
      </c>
      <c r="AA634" s="81" t="str">
        <f>IFERROR(INDEX('Cost_Components'!$U$2:$U$27,MATCH(E634,'Cost_Components'!$A$2:$A$27,0)),"")</f>
      </c>
      <c r="AB634" s="82" t="str">
        <f>IFERROR(INDEX('Cost_Components'!$V$2:$V$27,MATCH(E634,'Cost_Components'!$A$2:$A$27,0)),"")</f>
      </c>
      <c r="AC634" s="83" t="str">
        <f>IFERROR(INDEX('Cost_Components'!$M$2:$M$27,MATCH(E634,'Cost_Components'!$A$2:$A$27,0)),"")</f>
      </c>
      <c r="AD634" s="84" t="str">
        <f>IFERROR(INDEX('Cost_Components'!$N$2:$N$27,MATCH(E634,'Cost_Components'!$A$2:$A$27,0)),"")</f>
      </c>
      <c r="AE634" s="20" t="str">
        <f>IFERROR(INDEX('Cost_Components'!$O$2:$O$27,MATCH(E634,'Cost_Components'!$A$2:$A$27,0)),"")</f>
      </c>
      <c r="AF634" s="85" t="n">
        <v>3517973.35554717</v>
      </c>
      <c r="AG634" s="86" t="n">
        <v>3514003.85121205</v>
      </c>
      <c r="AH634" s="87" t="str">
        <f>IF(H634="shared-count-once",COUNTIFS($A$2:$A$1353,A634,$B$2:$B$1353,B634,$E$2:$E$1353,E634),1)</f>
      </c>
    </row>
    <row r="635">
      <c r="A635" t="s">
        <v>220</v>
      </c>
      <c r="B635" s="59" t="n">
        <v>2034</v>
      </c>
      <c r="C635" t="s">
        <v>220</v>
      </c>
      <c r="D635" t="s">
        <v>184</v>
      </c>
      <c r="E635" s="60" t="s">
        <v>320</v>
      </c>
      <c r="F635" s="61" t="s">
        <v>321</v>
      </c>
      <c r="G635" s="62" t="s">
        <v>224</v>
      </c>
      <c r="H635" s="63" t="s">
        <v>195</v>
      </c>
      <c r="I635" s="64" t="s">
        <v>267</v>
      </c>
      <c r="J635" s="65" t="str">
        <f>IFERROR(INDEX('Cost_Components'!$K$2:$K$27,MATCH(E635,'Cost_Components'!$A$2:$A$27,0)),"")</f>
      </c>
      <c r="K635" s="66" t="str">
        <f>IF(OR(L635="",Z635="",AA635="",AB635=""),"",IF(B635&lt;AA635,L635,IF(B635&gt;AB635,Z635,L635+(Z635-L635)*MIN(MAX((B635-AA635+1)/MAX(AB635-AA635+1,1),0),1))))</f>
      </c>
      <c r="L635" s="67" t="str">
        <f>IFERROR(INDEX('Cost_Components'!$S$2:$S$27,MATCH(E635,'Cost_Components'!$A$2:$A$27,0)),"")</f>
      </c>
      <c r="M635" s="68" t="str">
        <f>IFERROR(INDEX('Cost_Components'!$L$2:$L$27,MATCH(E635,'Cost_Components'!$A$2:$A$27,0)),"")</f>
      </c>
      <c r="N635" s="69" t="str">
        <f>IFERROR(INDEX('Cost_Components'!$P$2:$P$27,MATCH(E635,'Cost_Components'!$A$2:$A$27,0)),"")</f>
      </c>
      <c r="O635" s="70" t="str">
        <f>AF635*J635</f>
      </c>
      <c r="P635" s="71" t="str">
        <f>AG635*J635</f>
      </c>
      <c r="Q635" s="72" t="str">
        <f>P635*L635*M635*N635</f>
      </c>
      <c r="R635" s="73" t="str">
        <f>O635*K635*M635*N635</f>
      </c>
      <c r="S635" s="74" t="str">
        <f>R635-Q635</f>
      </c>
      <c r="T635" s="20" t="str">
        <f>IFERROR(INDEX('Cost_Components'!$R$2:$R$27,MATCH(E635,'Cost_Components'!$A$2:$A$27,0)),"")</f>
      </c>
      <c r="U635" s="75" t="str">
        <f>IFERROR(INDEX('Cost_Components'!$Q$2:$Q$27,MATCH(E635,'Cost_Components'!$A$2:$A$27,0)),"")</f>
      </c>
      <c r="V635" s="76" t="str">
        <f>1/(1+'Calculation_Assumptions'!$B$5)^(B635-'Calculation_Assumptions'!$B$2)</f>
      </c>
      <c r="W635" s="77" t="str">
        <f>Q635*V635</f>
      </c>
      <c r="X635" s="78" t="str">
        <f>R635*V635</f>
      </c>
      <c r="Y635" s="79" t="str">
        <f>S635*V635</f>
      </c>
      <c r="Z635" s="80" t="str">
        <f>IFERROR(INDEX('Cost_Components'!$T$2:$T$27,MATCH(E635,'Cost_Components'!$A$2:$A$27,0)),"")</f>
      </c>
      <c r="AA635" s="81" t="str">
        <f>IFERROR(INDEX('Cost_Components'!$U$2:$U$27,MATCH(E635,'Cost_Components'!$A$2:$A$27,0)),"")</f>
      </c>
      <c r="AB635" s="82" t="str">
        <f>IFERROR(INDEX('Cost_Components'!$V$2:$V$27,MATCH(E635,'Cost_Components'!$A$2:$A$27,0)),"")</f>
      </c>
      <c r="AC635" s="83" t="str">
        <f>IFERROR(INDEX('Cost_Components'!$M$2:$M$27,MATCH(E635,'Cost_Components'!$A$2:$A$27,0)),"")</f>
      </c>
      <c r="AD635" s="84" t="str">
        <f>IFERROR(INDEX('Cost_Components'!$N$2:$N$27,MATCH(E635,'Cost_Components'!$A$2:$A$27,0)),"")</f>
      </c>
      <c r="AE635" s="20" t="str">
        <f>IFERROR(INDEX('Cost_Components'!$O$2:$O$27,MATCH(E635,'Cost_Components'!$A$2:$A$27,0)),"")</f>
      </c>
      <c r="AF635" s="85" t="n">
        <v>3568789.2462243</v>
      </c>
      <c r="AG635" s="86" t="n">
        <v>3564054.13829594</v>
      </c>
      <c r="AH635" s="87" t="str">
        <f>IF(H635="shared-count-once",COUNTIFS($A$2:$A$1353,A635,$B$2:$B$1353,B635,$E$2:$E$1353,E635),1)</f>
      </c>
    </row>
    <row r="636">
      <c r="A636" t="s">
        <v>220</v>
      </c>
      <c r="B636" s="59" t="n">
        <v>2035</v>
      </c>
      <c r="C636" t="s">
        <v>220</v>
      </c>
      <c r="D636" t="s">
        <v>184</v>
      </c>
      <c r="E636" s="60" t="s">
        <v>320</v>
      </c>
      <c r="F636" s="61" t="s">
        <v>321</v>
      </c>
      <c r="G636" s="62" t="s">
        <v>224</v>
      </c>
      <c r="H636" s="63" t="s">
        <v>195</v>
      </c>
      <c r="I636" s="64" t="s">
        <v>267</v>
      </c>
      <c r="J636" s="65" t="str">
        <f>IFERROR(INDEX('Cost_Components'!$K$2:$K$27,MATCH(E636,'Cost_Components'!$A$2:$A$27,0)),"")</f>
      </c>
      <c r="K636" s="66" t="str">
        <f>IF(OR(L636="",Z636="",AA636="",AB636=""),"",IF(B636&lt;AA636,L636,IF(B636&gt;AB636,Z636,L636+(Z636-L636)*MIN(MAX((B636-AA636+1)/MAX(AB636-AA636+1,1),0),1))))</f>
      </c>
      <c r="L636" s="67" t="str">
        <f>IFERROR(INDEX('Cost_Components'!$S$2:$S$27,MATCH(E636,'Cost_Components'!$A$2:$A$27,0)),"")</f>
      </c>
      <c r="M636" s="68" t="str">
        <f>IFERROR(INDEX('Cost_Components'!$L$2:$L$27,MATCH(E636,'Cost_Components'!$A$2:$A$27,0)),"")</f>
      </c>
      <c r="N636" s="69" t="str">
        <f>IFERROR(INDEX('Cost_Components'!$P$2:$P$27,MATCH(E636,'Cost_Components'!$A$2:$A$27,0)),"")</f>
      </c>
      <c r="O636" s="70" t="str">
        <f>AF636*J636</f>
      </c>
      <c r="P636" s="71" t="str">
        <f>AG636*J636</f>
      </c>
      <c r="Q636" s="72" t="str">
        <f>P636*L636*M636*N636</f>
      </c>
      <c r="R636" s="73" t="str">
        <f>O636*K636*M636*N636</f>
      </c>
      <c r="S636" s="74" t="str">
        <f>R636-Q636</f>
      </c>
      <c r="T636" s="20" t="str">
        <f>IFERROR(INDEX('Cost_Components'!$R$2:$R$27,MATCH(E636,'Cost_Components'!$A$2:$A$27,0)),"")</f>
      </c>
      <c r="U636" s="75" t="str">
        <f>IFERROR(INDEX('Cost_Components'!$Q$2:$Q$27,MATCH(E636,'Cost_Components'!$A$2:$A$27,0)),"")</f>
      </c>
      <c r="V636" s="76" t="str">
        <f>1/(1+'Calculation_Assumptions'!$B$5)^(B636-'Calculation_Assumptions'!$B$2)</f>
      </c>
      <c r="W636" s="77" t="str">
        <f>Q636*V636</f>
      </c>
      <c r="X636" s="78" t="str">
        <f>R636*V636</f>
      </c>
      <c r="Y636" s="79" t="str">
        <f>S636*V636</f>
      </c>
      <c r="Z636" s="80" t="str">
        <f>IFERROR(INDEX('Cost_Components'!$T$2:$T$27,MATCH(E636,'Cost_Components'!$A$2:$A$27,0)),"")</f>
      </c>
      <c r="AA636" s="81" t="str">
        <f>IFERROR(INDEX('Cost_Components'!$U$2:$U$27,MATCH(E636,'Cost_Components'!$A$2:$A$27,0)),"")</f>
      </c>
      <c r="AB636" s="82" t="str">
        <f>IFERROR(INDEX('Cost_Components'!$V$2:$V$27,MATCH(E636,'Cost_Components'!$A$2:$A$27,0)),"")</f>
      </c>
      <c r="AC636" s="83" t="str">
        <f>IFERROR(INDEX('Cost_Components'!$M$2:$M$27,MATCH(E636,'Cost_Components'!$A$2:$A$27,0)),"")</f>
      </c>
      <c r="AD636" s="84" t="str">
        <f>IFERROR(INDEX('Cost_Components'!$N$2:$N$27,MATCH(E636,'Cost_Components'!$A$2:$A$27,0)),"")</f>
      </c>
      <c r="AE636" s="20" t="str">
        <f>IFERROR(INDEX('Cost_Components'!$O$2:$O$27,MATCH(E636,'Cost_Components'!$A$2:$A$27,0)),"")</f>
      </c>
      <c r="AF636" s="85" t="n">
        <v>3621091.67082489</v>
      </c>
      <c r="AG636" s="86" t="n">
        <v>3615546.17318505</v>
      </c>
      <c r="AH636" s="87" t="str">
        <f>IF(H636="shared-count-once",COUNTIFS($A$2:$A$1353,A636,$B$2:$B$1353,B636,$E$2:$E$1353,E636),1)</f>
      </c>
    </row>
    <row r="637">
      <c r="A637" t="s">
        <v>220</v>
      </c>
      <c r="B637" s="59" t="n">
        <v>2036</v>
      </c>
      <c r="C637" t="s">
        <v>220</v>
      </c>
      <c r="D637" t="s">
        <v>184</v>
      </c>
      <c r="E637" s="60" t="s">
        <v>320</v>
      </c>
      <c r="F637" s="61" t="s">
        <v>321</v>
      </c>
      <c r="G637" s="62" t="s">
        <v>224</v>
      </c>
      <c r="H637" s="63" t="s">
        <v>195</v>
      </c>
      <c r="I637" s="64" t="s">
        <v>267</v>
      </c>
      <c r="J637" s="65" t="str">
        <f>IFERROR(INDEX('Cost_Components'!$K$2:$K$27,MATCH(E637,'Cost_Components'!$A$2:$A$27,0)),"")</f>
      </c>
      <c r="K637" s="66" t="str">
        <f>IF(OR(L637="",Z637="",AA637="",AB637=""),"",IF(B637&lt;AA637,L637,IF(B637&gt;AB637,Z637,L637+(Z637-L637)*MIN(MAX((B637-AA637+1)/MAX(AB637-AA637+1,1),0),1))))</f>
      </c>
      <c r="L637" s="67" t="str">
        <f>IFERROR(INDEX('Cost_Components'!$S$2:$S$27,MATCH(E637,'Cost_Components'!$A$2:$A$27,0)),"")</f>
      </c>
      <c r="M637" s="68" t="str">
        <f>IFERROR(INDEX('Cost_Components'!$L$2:$L$27,MATCH(E637,'Cost_Components'!$A$2:$A$27,0)),"")</f>
      </c>
      <c r="N637" s="69" t="str">
        <f>IFERROR(INDEX('Cost_Components'!$P$2:$P$27,MATCH(E637,'Cost_Components'!$A$2:$A$27,0)),"")</f>
      </c>
      <c r="O637" s="70" t="str">
        <f>AF637*J637</f>
      </c>
      <c r="P637" s="71" t="str">
        <f>AG637*J637</f>
      </c>
      <c r="Q637" s="72" t="str">
        <f>P637*L637*M637*N637</f>
      </c>
      <c r="R637" s="73" t="str">
        <f>O637*K637*M637*N637</f>
      </c>
      <c r="S637" s="74" t="str">
        <f>R637-Q637</f>
      </c>
      <c r="T637" s="20" t="str">
        <f>IFERROR(INDEX('Cost_Components'!$R$2:$R$27,MATCH(E637,'Cost_Components'!$A$2:$A$27,0)),"")</f>
      </c>
      <c r="U637" s="75" t="str">
        <f>IFERROR(INDEX('Cost_Components'!$Q$2:$Q$27,MATCH(E637,'Cost_Components'!$A$2:$A$27,0)),"")</f>
      </c>
      <c r="V637" s="76" t="str">
        <f>1/(1+'Calculation_Assumptions'!$B$5)^(B637-'Calculation_Assumptions'!$B$2)</f>
      </c>
      <c r="W637" s="77" t="str">
        <f>Q637*V637</f>
      </c>
      <c r="X637" s="78" t="str">
        <f>R637*V637</f>
      </c>
      <c r="Y637" s="79" t="str">
        <f>S637*V637</f>
      </c>
      <c r="Z637" s="80" t="str">
        <f>IFERROR(INDEX('Cost_Components'!$T$2:$T$27,MATCH(E637,'Cost_Components'!$A$2:$A$27,0)),"")</f>
      </c>
      <c r="AA637" s="81" t="str">
        <f>IFERROR(INDEX('Cost_Components'!$U$2:$U$27,MATCH(E637,'Cost_Components'!$A$2:$A$27,0)),"")</f>
      </c>
      <c r="AB637" s="82" t="str">
        <f>IFERROR(INDEX('Cost_Components'!$V$2:$V$27,MATCH(E637,'Cost_Components'!$A$2:$A$27,0)),"")</f>
      </c>
      <c r="AC637" s="83" t="str">
        <f>IFERROR(INDEX('Cost_Components'!$M$2:$M$27,MATCH(E637,'Cost_Components'!$A$2:$A$27,0)),"")</f>
      </c>
      <c r="AD637" s="84" t="str">
        <f>IFERROR(INDEX('Cost_Components'!$N$2:$N$27,MATCH(E637,'Cost_Components'!$A$2:$A$27,0)),"")</f>
      </c>
      <c r="AE637" s="20" t="str">
        <f>IFERROR(INDEX('Cost_Components'!$O$2:$O$27,MATCH(E637,'Cost_Components'!$A$2:$A$27,0)),"")</f>
      </c>
      <c r="AF637" s="85" t="n">
        <v>3674322.41789409</v>
      </c>
      <c r="AG637" s="86" t="n">
        <v>3667928.72735175</v>
      </c>
      <c r="AH637" s="87" t="str">
        <f>IF(H637="shared-count-once",COUNTIFS($A$2:$A$1353,A637,$B$2:$B$1353,B637,$E$2:$E$1353,E637),1)</f>
      </c>
    </row>
    <row r="638">
      <c r="A638" t="s">
        <v>220</v>
      </c>
      <c r="B638" s="59" t="n">
        <v>2037</v>
      </c>
      <c r="C638" t="s">
        <v>220</v>
      </c>
      <c r="D638" t="s">
        <v>184</v>
      </c>
      <c r="E638" s="60" t="s">
        <v>320</v>
      </c>
      <c r="F638" s="61" t="s">
        <v>321</v>
      </c>
      <c r="G638" s="62" t="s">
        <v>224</v>
      </c>
      <c r="H638" s="63" t="s">
        <v>195</v>
      </c>
      <c r="I638" s="64" t="s">
        <v>267</v>
      </c>
      <c r="J638" s="65" t="str">
        <f>IFERROR(INDEX('Cost_Components'!$K$2:$K$27,MATCH(E638,'Cost_Components'!$A$2:$A$27,0)),"")</f>
      </c>
      <c r="K638" s="66" t="str">
        <f>IF(OR(L638="",Z638="",AA638="",AB638=""),"",IF(B638&lt;AA638,L638,IF(B638&gt;AB638,Z638,L638+(Z638-L638)*MIN(MAX((B638-AA638+1)/MAX(AB638-AA638+1,1),0),1))))</f>
      </c>
      <c r="L638" s="67" t="str">
        <f>IFERROR(INDEX('Cost_Components'!$S$2:$S$27,MATCH(E638,'Cost_Components'!$A$2:$A$27,0)),"")</f>
      </c>
      <c r="M638" s="68" t="str">
        <f>IFERROR(INDEX('Cost_Components'!$L$2:$L$27,MATCH(E638,'Cost_Components'!$A$2:$A$27,0)),"")</f>
      </c>
      <c r="N638" s="69" t="str">
        <f>IFERROR(INDEX('Cost_Components'!$P$2:$P$27,MATCH(E638,'Cost_Components'!$A$2:$A$27,0)),"")</f>
      </c>
      <c r="O638" s="70" t="str">
        <f>AF638*J638</f>
      </c>
      <c r="P638" s="71" t="str">
        <f>AG638*J638</f>
      </c>
      <c r="Q638" s="72" t="str">
        <f>P638*L638*M638*N638</f>
      </c>
      <c r="R638" s="73" t="str">
        <f>O638*K638*M638*N638</f>
      </c>
      <c r="S638" s="74" t="str">
        <f>R638-Q638</f>
      </c>
      <c r="T638" s="20" t="str">
        <f>IFERROR(INDEX('Cost_Components'!$R$2:$R$27,MATCH(E638,'Cost_Components'!$A$2:$A$27,0)),"")</f>
      </c>
      <c r="U638" s="75" t="str">
        <f>IFERROR(INDEX('Cost_Components'!$Q$2:$Q$27,MATCH(E638,'Cost_Components'!$A$2:$A$27,0)),"")</f>
      </c>
      <c r="V638" s="76" t="str">
        <f>1/(1+'Calculation_Assumptions'!$B$5)^(B638-'Calculation_Assumptions'!$B$2)</f>
      </c>
      <c r="W638" s="77" t="str">
        <f>Q638*V638</f>
      </c>
      <c r="X638" s="78" t="str">
        <f>R638*V638</f>
      </c>
      <c r="Y638" s="79" t="str">
        <f>S638*V638</f>
      </c>
      <c r="Z638" s="80" t="str">
        <f>IFERROR(INDEX('Cost_Components'!$T$2:$T$27,MATCH(E638,'Cost_Components'!$A$2:$A$27,0)),"")</f>
      </c>
      <c r="AA638" s="81" t="str">
        <f>IFERROR(INDEX('Cost_Components'!$U$2:$U$27,MATCH(E638,'Cost_Components'!$A$2:$A$27,0)),"")</f>
      </c>
      <c r="AB638" s="82" t="str">
        <f>IFERROR(INDEX('Cost_Components'!$V$2:$V$27,MATCH(E638,'Cost_Components'!$A$2:$A$27,0)),"")</f>
      </c>
      <c r="AC638" s="83" t="str">
        <f>IFERROR(INDEX('Cost_Components'!$M$2:$M$27,MATCH(E638,'Cost_Components'!$A$2:$A$27,0)),"")</f>
      </c>
      <c r="AD638" s="84" t="str">
        <f>IFERROR(INDEX('Cost_Components'!$N$2:$N$27,MATCH(E638,'Cost_Components'!$A$2:$A$27,0)),"")</f>
      </c>
      <c r="AE638" s="20" t="str">
        <f>IFERROR(INDEX('Cost_Components'!$O$2:$O$27,MATCH(E638,'Cost_Components'!$A$2:$A$27,0)),"")</f>
      </c>
      <c r="AF638" s="85" t="n">
        <v>3728344.92689433</v>
      </c>
      <c r="AG638" s="86" t="n">
        <v>3721068.13433463</v>
      </c>
      <c r="AH638" s="87" t="str">
        <f>IF(H638="shared-count-once",COUNTIFS($A$2:$A$1353,A638,$B$2:$B$1353,B638,$E$2:$E$1353,E638),1)</f>
      </c>
    </row>
    <row r="639">
      <c r="A639" t="s">
        <v>220</v>
      </c>
      <c r="B639" s="59" t="n">
        <v>2038</v>
      </c>
      <c r="C639" t="s">
        <v>220</v>
      </c>
      <c r="D639" t="s">
        <v>184</v>
      </c>
      <c r="E639" s="60" t="s">
        <v>320</v>
      </c>
      <c r="F639" s="61" t="s">
        <v>321</v>
      </c>
      <c r="G639" s="62" t="s">
        <v>224</v>
      </c>
      <c r="H639" s="63" t="s">
        <v>195</v>
      </c>
      <c r="I639" s="64" t="s">
        <v>267</v>
      </c>
      <c r="J639" s="65" t="str">
        <f>IFERROR(INDEX('Cost_Components'!$K$2:$K$27,MATCH(E639,'Cost_Components'!$A$2:$A$27,0)),"")</f>
      </c>
      <c r="K639" s="66" t="str">
        <f>IF(OR(L639="",Z639="",AA639="",AB639=""),"",IF(B639&lt;AA639,L639,IF(B639&gt;AB639,Z639,L639+(Z639-L639)*MIN(MAX((B639-AA639+1)/MAX(AB639-AA639+1,1),0),1))))</f>
      </c>
      <c r="L639" s="67" t="str">
        <f>IFERROR(INDEX('Cost_Components'!$S$2:$S$27,MATCH(E639,'Cost_Components'!$A$2:$A$27,0)),"")</f>
      </c>
      <c r="M639" s="68" t="str">
        <f>IFERROR(INDEX('Cost_Components'!$L$2:$L$27,MATCH(E639,'Cost_Components'!$A$2:$A$27,0)),"")</f>
      </c>
      <c r="N639" s="69" t="str">
        <f>IFERROR(INDEX('Cost_Components'!$P$2:$P$27,MATCH(E639,'Cost_Components'!$A$2:$A$27,0)),"")</f>
      </c>
      <c r="O639" s="70" t="str">
        <f>AF639*J639</f>
      </c>
      <c r="P639" s="71" t="str">
        <f>AG639*J639</f>
      </c>
      <c r="Q639" s="72" t="str">
        <f>P639*L639*M639*N639</f>
      </c>
      <c r="R639" s="73" t="str">
        <f>O639*K639*M639*N639</f>
      </c>
      <c r="S639" s="74" t="str">
        <f>R639-Q639</f>
      </c>
      <c r="T639" s="20" t="str">
        <f>IFERROR(INDEX('Cost_Components'!$R$2:$R$27,MATCH(E639,'Cost_Components'!$A$2:$A$27,0)),"")</f>
      </c>
      <c r="U639" s="75" t="str">
        <f>IFERROR(INDEX('Cost_Components'!$Q$2:$Q$27,MATCH(E639,'Cost_Components'!$A$2:$A$27,0)),"")</f>
      </c>
      <c r="V639" s="76" t="str">
        <f>1/(1+'Calculation_Assumptions'!$B$5)^(B639-'Calculation_Assumptions'!$B$2)</f>
      </c>
      <c r="W639" s="77" t="str">
        <f>Q639*V639</f>
      </c>
      <c r="X639" s="78" t="str">
        <f>R639*V639</f>
      </c>
      <c r="Y639" s="79" t="str">
        <f>S639*V639</f>
      </c>
      <c r="Z639" s="80" t="str">
        <f>IFERROR(INDEX('Cost_Components'!$T$2:$T$27,MATCH(E639,'Cost_Components'!$A$2:$A$27,0)),"")</f>
      </c>
      <c r="AA639" s="81" t="str">
        <f>IFERROR(INDEX('Cost_Components'!$U$2:$U$27,MATCH(E639,'Cost_Components'!$A$2:$A$27,0)),"")</f>
      </c>
      <c r="AB639" s="82" t="str">
        <f>IFERROR(INDEX('Cost_Components'!$V$2:$V$27,MATCH(E639,'Cost_Components'!$A$2:$A$27,0)),"")</f>
      </c>
      <c r="AC639" s="83" t="str">
        <f>IFERROR(INDEX('Cost_Components'!$M$2:$M$27,MATCH(E639,'Cost_Components'!$A$2:$A$27,0)),"")</f>
      </c>
      <c r="AD639" s="84" t="str">
        <f>IFERROR(INDEX('Cost_Components'!$N$2:$N$27,MATCH(E639,'Cost_Components'!$A$2:$A$27,0)),"")</f>
      </c>
      <c r="AE639" s="20" t="str">
        <f>IFERROR(INDEX('Cost_Components'!$O$2:$O$27,MATCH(E639,'Cost_Components'!$A$2:$A$27,0)),"")</f>
      </c>
      <c r="AF639" s="85" t="n">
        <v>3783664.74425474</v>
      </c>
      <c r="AG639" s="86" t="n">
        <v>3775472.58492593</v>
      </c>
      <c r="AH639" s="87" t="str">
        <f>IF(H639="shared-count-once",COUNTIFS($A$2:$A$1353,A639,$B$2:$B$1353,B639,$E$2:$E$1353,E639),1)</f>
      </c>
    </row>
    <row r="640">
      <c r="A640" t="s">
        <v>220</v>
      </c>
      <c r="B640" s="59" t="n">
        <v>2039</v>
      </c>
      <c r="C640" t="s">
        <v>220</v>
      </c>
      <c r="D640" t="s">
        <v>184</v>
      </c>
      <c r="E640" s="60" t="s">
        <v>320</v>
      </c>
      <c r="F640" s="61" t="s">
        <v>321</v>
      </c>
      <c r="G640" s="62" t="s">
        <v>224</v>
      </c>
      <c r="H640" s="63" t="s">
        <v>195</v>
      </c>
      <c r="I640" s="64" t="s">
        <v>267</v>
      </c>
      <c r="J640" s="65" t="str">
        <f>IFERROR(INDEX('Cost_Components'!$K$2:$K$27,MATCH(E640,'Cost_Components'!$A$2:$A$27,0)),"")</f>
      </c>
      <c r="K640" s="66" t="str">
        <f>IF(OR(L640="",Z640="",AA640="",AB640=""),"",IF(B640&lt;AA640,L640,IF(B640&gt;AB640,Z640,L640+(Z640-L640)*MIN(MAX((B640-AA640+1)/MAX(AB640-AA640+1,1),0),1))))</f>
      </c>
      <c r="L640" s="67" t="str">
        <f>IFERROR(INDEX('Cost_Components'!$S$2:$S$27,MATCH(E640,'Cost_Components'!$A$2:$A$27,0)),"")</f>
      </c>
      <c r="M640" s="68" t="str">
        <f>IFERROR(INDEX('Cost_Components'!$L$2:$L$27,MATCH(E640,'Cost_Components'!$A$2:$A$27,0)),"")</f>
      </c>
      <c r="N640" s="69" t="str">
        <f>IFERROR(INDEX('Cost_Components'!$P$2:$P$27,MATCH(E640,'Cost_Components'!$A$2:$A$27,0)),"")</f>
      </c>
      <c r="O640" s="70" t="str">
        <f>AF640*J640</f>
      </c>
      <c r="P640" s="71" t="str">
        <f>AG640*J640</f>
      </c>
      <c r="Q640" s="72" t="str">
        <f>P640*L640*M640*N640</f>
      </c>
      <c r="R640" s="73" t="str">
        <f>O640*K640*M640*N640</f>
      </c>
      <c r="S640" s="74" t="str">
        <f>R640-Q640</f>
      </c>
      <c r="T640" s="20" t="str">
        <f>IFERROR(INDEX('Cost_Components'!$R$2:$R$27,MATCH(E640,'Cost_Components'!$A$2:$A$27,0)),"")</f>
      </c>
      <c r="U640" s="75" t="str">
        <f>IFERROR(INDEX('Cost_Components'!$Q$2:$Q$27,MATCH(E640,'Cost_Components'!$A$2:$A$27,0)),"")</f>
      </c>
      <c r="V640" s="76" t="str">
        <f>1/(1+'Calculation_Assumptions'!$B$5)^(B640-'Calculation_Assumptions'!$B$2)</f>
      </c>
      <c r="W640" s="77" t="str">
        <f>Q640*V640</f>
      </c>
      <c r="X640" s="78" t="str">
        <f>R640*V640</f>
      </c>
      <c r="Y640" s="79" t="str">
        <f>S640*V640</f>
      </c>
      <c r="Z640" s="80" t="str">
        <f>IFERROR(INDEX('Cost_Components'!$T$2:$T$27,MATCH(E640,'Cost_Components'!$A$2:$A$27,0)),"")</f>
      </c>
      <c r="AA640" s="81" t="str">
        <f>IFERROR(INDEX('Cost_Components'!$U$2:$U$27,MATCH(E640,'Cost_Components'!$A$2:$A$27,0)),"")</f>
      </c>
      <c r="AB640" s="82" t="str">
        <f>IFERROR(INDEX('Cost_Components'!$V$2:$V$27,MATCH(E640,'Cost_Components'!$A$2:$A$27,0)),"")</f>
      </c>
      <c r="AC640" s="83" t="str">
        <f>IFERROR(INDEX('Cost_Components'!$M$2:$M$27,MATCH(E640,'Cost_Components'!$A$2:$A$27,0)),"")</f>
      </c>
      <c r="AD640" s="84" t="str">
        <f>IFERROR(INDEX('Cost_Components'!$N$2:$N$27,MATCH(E640,'Cost_Components'!$A$2:$A$27,0)),"")</f>
      </c>
      <c r="AE640" s="20" t="str">
        <f>IFERROR(INDEX('Cost_Components'!$O$2:$O$27,MATCH(E640,'Cost_Components'!$A$2:$A$27,0)),"")</f>
      </c>
      <c r="AF640" s="85" t="n">
        <v>3838626.22129364</v>
      </c>
      <c r="AG640" s="86" t="n">
        <v>3829480.21439614</v>
      </c>
      <c r="AH640" s="87" t="str">
        <f>IF(H640="shared-count-once",COUNTIFS($A$2:$A$1353,A640,$B$2:$B$1353,B640,$E$2:$E$1353,E640),1)</f>
      </c>
    </row>
    <row r="641">
      <c r="A641" t="s">
        <v>220</v>
      </c>
      <c r="B641" s="59" t="n">
        <v>2040</v>
      </c>
      <c r="C641" t="s">
        <v>220</v>
      </c>
      <c r="D641" t="s">
        <v>184</v>
      </c>
      <c r="E641" s="60" t="s">
        <v>320</v>
      </c>
      <c r="F641" s="61" t="s">
        <v>321</v>
      </c>
      <c r="G641" s="62" t="s">
        <v>224</v>
      </c>
      <c r="H641" s="63" t="s">
        <v>195</v>
      </c>
      <c r="I641" s="64" t="s">
        <v>267</v>
      </c>
      <c r="J641" s="65" t="str">
        <f>IFERROR(INDEX('Cost_Components'!$K$2:$K$27,MATCH(E641,'Cost_Components'!$A$2:$A$27,0)),"")</f>
      </c>
      <c r="K641" s="66" t="str">
        <f>IF(OR(L641="",Z641="",AA641="",AB641=""),"",IF(B641&lt;AA641,L641,IF(B641&gt;AB641,Z641,L641+(Z641-L641)*MIN(MAX((B641-AA641+1)/MAX(AB641-AA641+1,1),0),1))))</f>
      </c>
      <c r="L641" s="67" t="str">
        <f>IFERROR(INDEX('Cost_Components'!$S$2:$S$27,MATCH(E641,'Cost_Components'!$A$2:$A$27,0)),"")</f>
      </c>
      <c r="M641" s="68" t="str">
        <f>IFERROR(INDEX('Cost_Components'!$L$2:$L$27,MATCH(E641,'Cost_Components'!$A$2:$A$27,0)),"")</f>
      </c>
      <c r="N641" s="69" t="str">
        <f>IFERROR(INDEX('Cost_Components'!$P$2:$P$27,MATCH(E641,'Cost_Components'!$A$2:$A$27,0)),"")</f>
      </c>
      <c r="O641" s="70" t="str">
        <f>AF641*J641</f>
      </c>
      <c r="P641" s="71" t="str">
        <f>AG641*J641</f>
      </c>
      <c r="Q641" s="72" t="str">
        <f>P641*L641*M641*N641</f>
      </c>
      <c r="R641" s="73" t="str">
        <f>O641*K641*M641*N641</f>
      </c>
      <c r="S641" s="74" t="str">
        <f>R641-Q641</f>
      </c>
      <c r="T641" s="20" t="str">
        <f>IFERROR(INDEX('Cost_Components'!$R$2:$R$27,MATCH(E641,'Cost_Components'!$A$2:$A$27,0)),"")</f>
      </c>
      <c r="U641" s="75" t="str">
        <f>IFERROR(INDEX('Cost_Components'!$Q$2:$Q$27,MATCH(E641,'Cost_Components'!$A$2:$A$27,0)),"")</f>
      </c>
      <c r="V641" s="76" t="str">
        <f>1/(1+'Calculation_Assumptions'!$B$5)^(B641-'Calculation_Assumptions'!$B$2)</f>
      </c>
      <c r="W641" s="77" t="str">
        <f>Q641*V641</f>
      </c>
      <c r="X641" s="78" t="str">
        <f>R641*V641</f>
      </c>
      <c r="Y641" s="79" t="str">
        <f>S641*V641</f>
      </c>
      <c r="Z641" s="80" t="str">
        <f>IFERROR(INDEX('Cost_Components'!$T$2:$T$27,MATCH(E641,'Cost_Components'!$A$2:$A$27,0)),"")</f>
      </c>
      <c r="AA641" s="81" t="str">
        <f>IFERROR(INDEX('Cost_Components'!$U$2:$U$27,MATCH(E641,'Cost_Components'!$A$2:$A$27,0)),"")</f>
      </c>
      <c r="AB641" s="82" t="str">
        <f>IFERROR(INDEX('Cost_Components'!$V$2:$V$27,MATCH(E641,'Cost_Components'!$A$2:$A$27,0)),"")</f>
      </c>
      <c r="AC641" s="83" t="str">
        <f>IFERROR(INDEX('Cost_Components'!$M$2:$M$27,MATCH(E641,'Cost_Components'!$A$2:$A$27,0)),"")</f>
      </c>
      <c r="AD641" s="84" t="str">
        <f>IFERROR(INDEX('Cost_Components'!$N$2:$N$27,MATCH(E641,'Cost_Components'!$A$2:$A$27,0)),"")</f>
      </c>
      <c r="AE641" s="20" t="str">
        <f>IFERROR(INDEX('Cost_Components'!$O$2:$O$27,MATCH(E641,'Cost_Components'!$A$2:$A$27,0)),"")</f>
      </c>
      <c r="AF641" s="85" t="n">
        <v>3893727.18877181</v>
      </c>
      <c r="AG641" s="86" t="n">
        <v>3883598.89791547</v>
      </c>
      <c r="AH641" s="87" t="str">
        <f>IF(H641="shared-count-once",COUNTIFS($A$2:$A$1353,A641,$B$2:$B$1353,B641,$E$2:$E$1353,E641),1)</f>
      </c>
    </row>
    <row r="642">
      <c r="A642" t="s">
        <v>220</v>
      </c>
      <c r="B642" s="59" t="n">
        <v>2041</v>
      </c>
      <c r="C642" t="s">
        <v>220</v>
      </c>
      <c r="D642" t="s">
        <v>184</v>
      </c>
      <c r="E642" s="60" t="s">
        <v>320</v>
      </c>
      <c r="F642" s="61" t="s">
        <v>321</v>
      </c>
      <c r="G642" s="62" t="s">
        <v>224</v>
      </c>
      <c r="H642" s="63" t="s">
        <v>195</v>
      </c>
      <c r="I642" s="64" t="s">
        <v>267</v>
      </c>
      <c r="J642" s="65" t="str">
        <f>IFERROR(INDEX('Cost_Components'!$K$2:$K$27,MATCH(E642,'Cost_Components'!$A$2:$A$27,0)),"")</f>
      </c>
      <c r="K642" s="66" t="str">
        <f>IF(OR(L642="",Z642="",AA642="",AB642=""),"",IF(B642&lt;AA642,L642,IF(B642&gt;AB642,Z642,L642+(Z642-L642)*MIN(MAX((B642-AA642+1)/MAX(AB642-AA642+1,1),0),1))))</f>
      </c>
      <c r="L642" s="67" t="str">
        <f>IFERROR(INDEX('Cost_Components'!$S$2:$S$27,MATCH(E642,'Cost_Components'!$A$2:$A$27,0)),"")</f>
      </c>
      <c r="M642" s="68" t="str">
        <f>IFERROR(INDEX('Cost_Components'!$L$2:$L$27,MATCH(E642,'Cost_Components'!$A$2:$A$27,0)),"")</f>
      </c>
      <c r="N642" s="69" t="str">
        <f>IFERROR(INDEX('Cost_Components'!$P$2:$P$27,MATCH(E642,'Cost_Components'!$A$2:$A$27,0)),"")</f>
      </c>
      <c r="O642" s="70" t="str">
        <f>AF642*J642</f>
      </c>
      <c r="P642" s="71" t="str">
        <f>AG642*J642</f>
      </c>
      <c r="Q642" s="72" t="str">
        <f>P642*L642*M642*N642</f>
      </c>
      <c r="R642" s="73" t="str">
        <f>O642*K642*M642*N642</f>
      </c>
      <c r="S642" s="74" t="str">
        <f>R642-Q642</f>
      </c>
      <c r="T642" s="20" t="str">
        <f>IFERROR(INDEX('Cost_Components'!$R$2:$R$27,MATCH(E642,'Cost_Components'!$A$2:$A$27,0)),"")</f>
      </c>
      <c r="U642" s="75" t="str">
        <f>IFERROR(INDEX('Cost_Components'!$Q$2:$Q$27,MATCH(E642,'Cost_Components'!$A$2:$A$27,0)),"")</f>
      </c>
      <c r="V642" s="76" t="str">
        <f>1/(1+'Calculation_Assumptions'!$B$5)^(B642-'Calculation_Assumptions'!$B$2)</f>
      </c>
      <c r="W642" s="77" t="str">
        <f>Q642*V642</f>
      </c>
      <c r="X642" s="78" t="str">
        <f>R642*V642</f>
      </c>
      <c r="Y642" s="79" t="str">
        <f>S642*V642</f>
      </c>
      <c r="Z642" s="80" t="str">
        <f>IFERROR(INDEX('Cost_Components'!$T$2:$T$27,MATCH(E642,'Cost_Components'!$A$2:$A$27,0)),"")</f>
      </c>
      <c r="AA642" s="81" t="str">
        <f>IFERROR(INDEX('Cost_Components'!$U$2:$U$27,MATCH(E642,'Cost_Components'!$A$2:$A$27,0)),"")</f>
      </c>
      <c r="AB642" s="82" t="str">
        <f>IFERROR(INDEX('Cost_Components'!$V$2:$V$27,MATCH(E642,'Cost_Components'!$A$2:$A$27,0)),"")</f>
      </c>
      <c r="AC642" s="83" t="str">
        <f>IFERROR(INDEX('Cost_Components'!$M$2:$M$27,MATCH(E642,'Cost_Components'!$A$2:$A$27,0)),"")</f>
      </c>
      <c r="AD642" s="84" t="str">
        <f>IFERROR(INDEX('Cost_Components'!$N$2:$N$27,MATCH(E642,'Cost_Components'!$A$2:$A$27,0)),"")</f>
      </c>
      <c r="AE642" s="20" t="str">
        <f>IFERROR(INDEX('Cost_Components'!$O$2:$O$27,MATCH(E642,'Cost_Components'!$A$2:$A$27,0)),"")</f>
      </c>
      <c r="AF642" s="85" t="n">
        <v>3948768.54925459</v>
      </c>
      <c r="AG642" s="86" t="n">
        <v>3937634.1299724</v>
      </c>
      <c r="AH642" s="87" t="str">
        <f>IF(H642="shared-count-once",COUNTIFS($A$2:$A$1353,A642,$B$2:$B$1353,B642,$E$2:$E$1353,E642),1)</f>
      </c>
    </row>
    <row r="643">
      <c r="A643" t="s">
        <v>220</v>
      </c>
      <c r="B643" s="59" t="n">
        <v>2042</v>
      </c>
      <c r="C643" t="s">
        <v>220</v>
      </c>
      <c r="D643" t="s">
        <v>184</v>
      </c>
      <c r="E643" s="60" t="s">
        <v>320</v>
      </c>
      <c r="F643" s="61" t="s">
        <v>321</v>
      </c>
      <c r="G643" s="62" t="s">
        <v>224</v>
      </c>
      <c r="H643" s="63" t="s">
        <v>195</v>
      </c>
      <c r="I643" s="64" t="s">
        <v>267</v>
      </c>
      <c r="J643" s="65" t="str">
        <f>IFERROR(INDEX('Cost_Components'!$K$2:$K$27,MATCH(E643,'Cost_Components'!$A$2:$A$27,0)),"")</f>
      </c>
      <c r="K643" s="66" t="str">
        <f>IF(OR(L643="",Z643="",AA643="",AB643=""),"",IF(B643&lt;AA643,L643,IF(B643&gt;AB643,Z643,L643+(Z643-L643)*MIN(MAX((B643-AA643+1)/MAX(AB643-AA643+1,1),0),1))))</f>
      </c>
      <c r="L643" s="67" t="str">
        <f>IFERROR(INDEX('Cost_Components'!$S$2:$S$27,MATCH(E643,'Cost_Components'!$A$2:$A$27,0)),"")</f>
      </c>
      <c r="M643" s="68" t="str">
        <f>IFERROR(INDEX('Cost_Components'!$L$2:$L$27,MATCH(E643,'Cost_Components'!$A$2:$A$27,0)),"")</f>
      </c>
      <c r="N643" s="69" t="str">
        <f>IFERROR(INDEX('Cost_Components'!$P$2:$P$27,MATCH(E643,'Cost_Components'!$A$2:$A$27,0)),"")</f>
      </c>
      <c r="O643" s="70" t="str">
        <f>AF643*J643</f>
      </c>
      <c r="P643" s="71" t="str">
        <f>AG643*J643</f>
      </c>
      <c r="Q643" s="72" t="str">
        <f>P643*L643*M643*N643</f>
      </c>
      <c r="R643" s="73" t="str">
        <f>O643*K643*M643*N643</f>
      </c>
      <c r="S643" s="74" t="str">
        <f>R643-Q643</f>
      </c>
      <c r="T643" s="20" t="str">
        <f>IFERROR(INDEX('Cost_Components'!$R$2:$R$27,MATCH(E643,'Cost_Components'!$A$2:$A$27,0)),"")</f>
      </c>
      <c r="U643" s="75" t="str">
        <f>IFERROR(INDEX('Cost_Components'!$Q$2:$Q$27,MATCH(E643,'Cost_Components'!$A$2:$A$27,0)),"")</f>
      </c>
      <c r="V643" s="76" t="str">
        <f>1/(1+'Calculation_Assumptions'!$B$5)^(B643-'Calculation_Assumptions'!$B$2)</f>
      </c>
      <c r="W643" s="77" t="str">
        <f>Q643*V643</f>
      </c>
      <c r="X643" s="78" t="str">
        <f>R643*V643</f>
      </c>
      <c r="Y643" s="79" t="str">
        <f>S643*V643</f>
      </c>
      <c r="Z643" s="80" t="str">
        <f>IFERROR(INDEX('Cost_Components'!$T$2:$T$27,MATCH(E643,'Cost_Components'!$A$2:$A$27,0)),"")</f>
      </c>
      <c r="AA643" s="81" t="str">
        <f>IFERROR(INDEX('Cost_Components'!$U$2:$U$27,MATCH(E643,'Cost_Components'!$A$2:$A$27,0)),"")</f>
      </c>
      <c r="AB643" s="82" t="str">
        <f>IFERROR(INDEX('Cost_Components'!$V$2:$V$27,MATCH(E643,'Cost_Components'!$A$2:$A$27,0)),"")</f>
      </c>
      <c r="AC643" s="83" t="str">
        <f>IFERROR(INDEX('Cost_Components'!$M$2:$M$27,MATCH(E643,'Cost_Components'!$A$2:$A$27,0)),"")</f>
      </c>
      <c r="AD643" s="84" t="str">
        <f>IFERROR(INDEX('Cost_Components'!$N$2:$N$27,MATCH(E643,'Cost_Components'!$A$2:$A$27,0)),"")</f>
      </c>
      <c r="AE643" s="20" t="str">
        <f>IFERROR(INDEX('Cost_Components'!$O$2:$O$27,MATCH(E643,'Cost_Components'!$A$2:$A$27,0)),"")</f>
      </c>
      <c r="AF643" s="85" t="n">
        <v>4003900.37186835</v>
      </c>
      <c r="AG643" s="86" t="n">
        <v>3991736.16905114</v>
      </c>
      <c r="AH643" s="87" t="str">
        <f>IF(H643="shared-count-once",COUNTIFS($A$2:$A$1353,A643,$B$2:$B$1353,B643,$E$2:$E$1353,E643),1)</f>
      </c>
    </row>
    <row r="644">
      <c r="A644" t="s">
        <v>220</v>
      </c>
      <c r="B644" s="59" t="n">
        <v>2043</v>
      </c>
      <c r="C644" t="s">
        <v>220</v>
      </c>
      <c r="D644" t="s">
        <v>184</v>
      </c>
      <c r="E644" s="60" t="s">
        <v>320</v>
      </c>
      <c r="F644" s="61" t="s">
        <v>321</v>
      </c>
      <c r="G644" s="62" t="s">
        <v>224</v>
      </c>
      <c r="H644" s="63" t="s">
        <v>195</v>
      </c>
      <c r="I644" s="64" t="s">
        <v>267</v>
      </c>
      <c r="J644" s="65" t="str">
        <f>IFERROR(INDEX('Cost_Components'!$K$2:$K$27,MATCH(E644,'Cost_Components'!$A$2:$A$27,0)),"")</f>
      </c>
      <c r="K644" s="66" t="str">
        <f>IF(OR(L644="",Z644="",AA644="",AB644=""),"",IF(B644&lt;AA644,L644,IF(B644&gt;AB644,Z644,L644+(Z644-L644)*MIN(MAX((B644-AA644+1)/MAX(AB644-AA644+1,1),0),1))))</f>
      </c>
      <c r="L644" s="67" t="str">
        <f>IFERROR(INDEX('Cost_Components'!$S$2:$S$27,MATCH(E644,'Cost_Components'!$A$2:$A$27,0)),"")</f>
      </c>
      <c r="M644" s="68" t="str">
        <f>IFERROR(INDEX('Cost_Components'!$L$2:$L$27,MATCH(E644,'Cost_Components'!$A$2:$A$27,0)),"")</f>
      </c>
      <c r="N644" s="69" t="str">
        <f>IFERROR(INDEX('Cost_Components'!$P$2:$P$27,MATCH(E644,'Cost_Components'!$A$2:$A$27,0)),"")</f>
      </c>
      <c r="O644" s="70" t="str">
        <f>AF644*J644</f>
      </c>
      <c r="P644" s="71" t="str">
        <f>AG644*J644</f>
      </c>
      <c r="Q644" s="72" t="str">
        <f>P644*L644*M644*N644</f>
      </c>
      <c r="R644" s="73" t="str">
        <f>O644*K644*M644*N644</f>
      </c>
      <c r="S644" s="74" t="str">
        <f>R644-Q644</f>
      </c>
      <c r="T644" s="20" t="str">
        <f>IFERROR(INDEX('Cost_Components'!$R$2:$R$27,MATCH(E644,'Cost_Components'!$A$2:$A$27,0)),"")</f>
      </c>
      <c r="U644" s="75" t="str">
        <f>IFERROR(INDEX('Cost_Components'!$Q$2:$Q$27,MATCH(E644,'Cost_Components'!$A$2:$A$27,0)),"")</f>
      </c>
      <c r="V644" s="76" t="str">
        <f>1/(1+'Calculation_Assumptions'!$B$5)^(B644-'Calculation_Assumptions'!$B$2)</f>
      </c>
      <c r="W644" s="77" t="str">
        <f>Q644*V644</f>
      </c>
      <c r="X644" s="78" t="str">
        <f>R644*V644</f>
      </c>
      <c r="Y644" s="79" t="str">
        <f>S644*V644</f>
      </c>
      <c r="Z644" s="80" t="str">
        <f>IFERROR(INDEX('Cost_Components'!$T$2:$T$27,MATCH(E644,'Cost_Components'!$A$2:$A$27,0)),"")</f>
      </c>
      <c r="AA644" s="81" t="str">
        <f>IFERROR(INDEX('Cost_Components'!$U$2:$U$27,MATCH(E644,'Cost_Components'!$A$2:$A$27,0)),"")</f>
      </c>
      <c r="AB644" s="82" t="str">
        <f>IFERROR(INDEX('Cost_Components'!$V$2:$V$27,MATCH(E644,'Cost_Components'!$A$2:$A$27,0)),"")</f>
      </c>
      <c r="AC644" s="83" t="str">
        <f>IFERROR(INDEX('Cost_Components'!$M$2:$M$27,MATCH(E644,'Cost_Components'!$A$2:$A$27,0)),"")</f>
      </c>
      <c r="AD644" s="84" t="str">
        <f>IFERROR(INDEX('Cost_Components'!$N$2:$N$27,MATCH(E644,'Cost_Components'!$A$2:$A$27,0)),"")</f>
      </c>
      <c r="AE644" s="20" t="str">
        <f>IFERROR(INDEX('Cost_Components'!$O$2:$O$27,MATCH(E644,'Cost_Components'!$A$2:$A$27,0)),"")</f>
      </c>
      <c r="AF644" s="85" t="n">
        <v>4058883.66510245</v>
      </c>
      <c r="AG644" s="86" t="n">
        <v>4045667.2624209</v>
      </c>
      <c r="AH644" s="87" t="str">
        <f>IF(H644="shared-count-once",COUNTIFS($A$2:$A$1353,A644,$B$2:$B$1353,B644,$E$2:$E$1353,E644),1)</f>
      </c>
    </row>
    <row r="645">
      <c r="A645" t="s">
        <v>220</v>
      </c>
      <c r="B645" s="59" t="n">
        <v>2044</v>
      </c>
      <c r="C645" t="s">
        <v>220</v>
      </c>
      <c r="D645" t="s">
        <v>184</v>
      </c>
      <c r="E645" s="60" t="s">
        <v>320</v>
      </c>
      <c r="F645" s="61" t="s">
        <v>321</v>
      </c>
      <c r="G645" s="62" t="s">
        <v>224</v>
      </c>
      <c r="H645" s="63" t="s">
        <v>195</v>
      </c>
      <c r="I645" s="64" t="s">
        <v>267</v>
      </c>
      <c r="J645" s="65" t="str">
        <f>IFERROR(INDEX('Cost_Components'!$K$2:$K$27,MATCH(E645,'Cost_Components'!$A$2:$A$27,0)),"")</f>
      </c>
      <c r="K645" s="66" t="str">
        <f>IF(OR(L645="",Z645="",AA645="",AB645=""),"",IF(B645&lt;AA645,L645,IF(B645&gt;AB645,Z645,L645+(Z645-L645)*MIN(MAX((B645-AA645+1)/MAX(AB645-AA645+1,1),0),1))))</f>
      </c>
      <c r="L645" s="67" t="str">
        <f>IFERROR(INDEX('Cost_Components'!$S$2:$S$27,MATCH(E645,'Cost_Components'!$A$2:$A$27,0)),"")</f>
      </c>
      <c r="M645" s="68" t="str">
        <f>IFERROR(INDEX('Cost_Components'!$L$2:$L$27,MATCH(E645,'Cost_Components'!$A$2:$A$27,0)),"")</f>
      </c>
      <c r="N645" s="69" t="str">
        <f>IFERROR(INDEX('Cost_Components'!$P$2:$P$27,MATCH(E645,'Cost_Components'!$A$2:$A$27,0)),"")</f>
      </c>
      <c r="O645" s="70" t="str">
        <f>AF645*J645</f>
      </c>
      <c r="P645" s="71" t="str">
        <f>AG645*J645</f>
      </c>
      <c r="Q645" s="72" t="str">
        <f>P645*L645*M645*N645</f>
      </c>
      <c r="R645" s="73" t="str">
        <f>O645*K645*M645*N645</f>
      </c>
      <c r="S645" s="74" t="str">
        <f>R645-Q645</f>
      </c>
      <c r="T645" s="20" t="str">
        <f>IFERROR(INDEX('Cost_Components'!$R$2:$R$27,MATCH(E645,'Cost_Components'!$A$2:$A$27,0)),"")</f>
      </c>
      <c r="U645" s="75" t="str">
        <f>IFERROR(INDEX('Cost_Components'!$Q$2:$Q$27,MATCH(E645,'Cost_Components'!$A$2:$A$27,0)),"")</f>
      </c>
      <c r="V645" s="76" t="str">
        <f>1/(1+'Calculation_Assumptions'!$B$5)^(B645-'Calculation_Assumptions'!$B$2)</f>
      </c>
      <c r="W645" s="77" t="str">
        <f>Q645*V645</f>
      </c>
      <c r="X645" s="78" t="str">
        <f>R645*V645</f>
      </c>
      <c r="Y645" s="79" t="str">
        <f>S645*V645</f>
      </c>
      <c r="Z645" s="80" t="str">
        <f>IFERROR(INDEX('Cost_Components'!$T$2:$T$27,MATCH(E645,'Cost_Components'!$A$2:$A$27,0)),"")</f>
      </c>
      <c r="AA645" s="81" t="str">
        <f>IFERROR(INDEX('Cost_Components'!$U$2:$U$27,MATCH(E645,'Cost_Components'!$A$2:$A$27,0)),"")</f>
      </c>
      <c r="AB645" s="82" t="str">
        <f>IFERROR(INDEX('Cost_Components'!$V$2:$V$27,MATCH(E645,'Cost_Components'!$A$2:$A$27,0)),"")</f>
      </c>
      <c r="AC645" s="83" t="str">
        <f>IFERROR(INDEX('Cost_Components'!$M$2:$M$27,MATCH(E645,'Cost_Components'!$A$2:$A$27,0)),"")</f>
      </c>
      <c r="AD645" s="84" t="str">
        <f>IFERROR(INDEX('Cost_Components'!$N$2:$N$27,MATCH(E645,'Cost_Components'!$A$2:$A$27,0)),"")</f>
      </c>
      <c r="AE645" s="20" t="str">
        <f>IFERROR(INDEX('Cost_Components'!$O$2:$O$27,MATCH(E645,'Cost_Components'!$A$2:$A$27,0)),"")</f>
      </c>
      <c r="AF645" s="85" t="n">
        <v>4112488.88287216</v>
      </c>
      <c r="AG645" s="86" t="n">
        <v>4098192.61525517</v>
      </c>
      <c r="AH645" s="87" t="str">
        <f>IF(H645="shared-count-once",COUNTIFS($A$2:$A$1353,A645,$B$2:$B$1353,B645,$E$2:$E$1353,E645),1)</f>
      </c>
    </row>
    <row r="646">
      <c r="A646" t="s">
        <v>220</v>
      </c>
      <c r="B646" s="59" t="n">
        <v>2045</v>
      </c>
      <c r="C646" t="s">
        <v>220</v>
      </c>
      <c r="D646" t="s">
        <v>184</v>
      </c>
      <c r="E646" s="60" t="s">
        <v>320</v>
      </c>
      <c r="F646" s="61" t="s">
        <v>321</v>
      </c>
      <c r="G646" s="62" t="s">
        <v>224</v>
      </c>
      <c r="H646" s="63" t="s">
        <v>195</v>
      </c>
      <c r="I646" s="64" t="s">
        <v>267</v>
      </c>
      <c r="J646" s="65" t="str">
        <f>IFERROR(INDEX('Cost_Components'!$K$2:$K$27,MATCH(E646,'Cost_Components'!$A$2:$A$27,0)),"")</f>
      </c>
      <c r="K646" s="66" t="str">
        <f>IF(OR(L646="",Z646="",AA646="",AB646=""),"",IF(B646&lt;AA646,L646,IF(B646&gt;AB646,Z646,L646+(Z646-L646)*MIN(MAX((B646-AA646+1)/MAX(AB646-AA646+1,1),0),1))))</f>
      </c>
      <c r="L646" s="67" t="str">
        <f>IFERROR(INDEX('Cost_Components'!$S$2:$S$27,MATCH(E646,'Cost_Components'!$A$2:$A$27,0)),"")</f>
      </c>
      <c r="M646" s="68" t="str">
        <f>IFERROR(INDEX('Cost_Components'!$L$2:$L$27,MATCH(E646,'Cost_Components'!$A$2:$A$27,0)),"")</f>
      </c>
      <c r="N646" s="69" t="str">
        <f>IFERROR(INDEX('Cost_Components'!$P$2:$P$27,MATCH(E646,'Cost_Components'!$A$2:$A$27,0)),"")</f>
      </c>
      <c r="O646" s="70" t="str">
        <f>AF646*J646</f>
      </c>
      <c r="P646" s="71" t="str">
        <f>AG646*J646</f>
      </c>
      <c r="Q646" s="72" t="str">
        <f>P646*L646*M646*N646</f>
      </c>
      <c r="R646" s="73" t="str">
        <f>O646*K646*M646*N646</f>
      </c>
      <c r="S646" s="74" t="str">
        <f>R646-Q646</f>
      </c>
      <c r="T646" s="20" t="str">
        <f>IFERROR(INDEX('Cost_Components'!$R$2:$R$27,MATCH(E646,'Cost_Components'!$A$2:$A$27,0)),"")</f>
      </c>
      <c r="U646" s="75" t="str">
        <f>IFERROR(INDEX('Cost_Components'!$Q$2:$Q$27,MATCH(E646,'Cost_Components'!$A$2:$A$27,0)),"")</f>
      </c>
      <c r="V646" s="76" t="str">
        <f>1/(1+'Calculation_Assumptions'!$B$5)^(B646-'Calculation_Assumptions'!$B$2)</f>
      </c>
      <c r="W646" s="77" t="str">
        <f>Q646*V646</f>
      </c>
      <c r="X646" s="78" t="str">
        <f>R646*V646</f>
      </c>
      <c r="Y646" s="79" t="str">
        <f>S646*V646</f>
      </c>
      <c r="Z646" s="80" t="str">
        <f>IFERROR(INDEX('Cost_Components'!$T$2:$T$27,MATCH(E646,'Cost_Components'!$A$2:$A$27,0)),"")</f>
      </c>
      <c r="AA646" s="81" t="str">
        <f>IFERROR(INDEX('Cost_Components'!$U$2:$U$27,MATCH(E646,'Cost_Components'!$A$2:$A$27,0)),"")</f>
      </c>
      <c r="AB646" s="82" t="str">
        <f>IFERROR(INDEX('Cost_Components'!$V$2:$V$27,MATCH(E646,'Cost_Components'!$A$2:$A$27,0)),"")</f>
      </c>
      <c r="AC646" s="83" t="str">
        <f>IFERROR(INDEX('Cost_Components'!$M$2:$M$27,MATCH(E646,'Cost_Components'!$A$2:$A$27,0)),"")</f>
      </c>
      <c r="AD646" s="84" t="str">
        <f>IFERROR(INDEX('Cost_Components'!$N$2:$N$27,MATCH(E646,'Cost_Components'!$A$2:$A$27,0)),"")</f>
      </c>
      <c r="AE646" s="20" t="str">
        <f>IFERROR(INDEX('Cost_Components'!$O$2:$O$27,MATCH(E646,'Cost_Components'!$A$2:$A$27,0)),"")</f>
      </c>
      <c r="AF646" s="85" t="n">
        <v>4164596.04283292</v>
      </c>
      <c r="AG646" s="86" t="n">
        <v>4149200.71005982</v>
      </c>
      <c r="AH646" s="87" t="str">
        <f>IF(H646="shared-count-once",COUNTIFS($A$2:$A$1353,A646,$B$2:$B$1353,B646,$E$2:$E$1353,E646),1)</f>
      </c>
    </row>
    <row r="647">
      <c r="A647" t="s">
        <v>220</v>
      </c>
      <c r="B647" s="59" t="n">
        <v>2046</v>
      </c>
      <c r="C647" t="s">
        <v>220</v>
      </c>
      <c r="D647" t="s">
        <v>184</v>
      </c>
      <c r="E647" s="60" t="s">
        <v>320</v>
      </c>
      <c r="F647" s="61" t="s">
        <v>321</v>
      </c>
      <c r="G647" s="62" t="s">
        <v>224</v>
      </c>
      <c r="H647" s="63" t="s">
        <v>195</v>
      </c>
      <c r="I647" s="64" t="s">
        <v>267</v>
      </c>
      <c r="J647" s="65" t="str">
        <f>IFERROR(INDEX('Cost_Components'!$K$2:$K$27,MATCH(E647,'Cost_Components'!$A$2:$A$27,0)),"")</f>
      </c>
      <c r="K647" s="66" t="str">
        <f>IF(OR(L647="",Z647="",AA647="",AB647=""),"",IF(B647&lt;AA647,L647,IF(B647&gt;AB647,Z647,L647+(Z647-L647)*MIN(MAX((B647-AA647+1)/MAX(AB647-AA647+1,1),0),1))))</f>
      </c>
      <c r="L647" s="67" t="str">
        <f>IFERROR(INDEX('Cost_Components'!$S$2:$S$27,MATCH(E647,'Cost_Components'!$A$2:$A$27,0)),"")</f>
      </c>
      <c r="M647" s="68" t="str">
        <f>IFERROR(INDEX('Cost_Components'!$L$2:$L$27,MATCH(E647,'Cost_Components'!$A$2:$A$27,0)),"")</f>
      </c>
      <c r="N647" s="69" t="str">
        <f>IFERROR(INDEX('Cost_Components'!$P$2:$P$27,MATCH(E647,'Cost_Components'!$A$2:$A$27,0)),"")</f>
      </c>
      <c r="O647" s="70" t="str">
        <f>AF647*J647</f>
      </c>
      <c r="P647" s="71" t="str">
        <f>AG647*J647</f>
      </c>
      <c r="Q647" s="72" t="str">
        <f>P647*L647*M647*N647</f>
      </c>
      <c r="R647" s="73" t="str">
        <f>O647*K647*M647*N647</f>
      </c>
      <c r="S647" s="74" t="str">
        <f>R647-Q647</f>
      </c>
      <c r="T647" s="20" t="str">
        <f>IFERROR(INDEX('Cost_Components'!$R$2:$R$27,MATCH(E647,'Cost_Components'!$A$2:$A$27,0)),"")</f>
      </c>
      <c r="U647" s="75" t="str">
        <f>IFERROR(INDEX('Cost_Components'!$Q$2:$Q$27,MATCH(E647,'Cost_Components'!$A$2:$A$27,0)),"")</f>
      </c>
      <c r="V647" s="76" t="str">
        <f>1/(1+'Calculation_Assumptions'!$B$5)^(B647-'Calculation_Assumptions'!$B$2)</f>
      </c>
      <c r="W647" s="77" t="str">
        <f>Q647*V647</f>
      </c>
      <c r="X647" s="78" t="str">
        <f>R647*V647</f>
      </c>
      <c r="Y647" s="79" t="str">
        <f>S647*V647</f>
      </c>
      <c r="Z647" s="80" t="str">
        <f>IFERROR(INDEX('Cost_Components'!$T$2:$T$27,MATCH(E647,'Cost_Components'!$A$2:$A$27,0)),"")</f>
      </c>
      <c r="AA647" s="81" t="str">
        <f>IFERROR(INDEX('Cost_Components'!$U$2:$U$27,MATCH(E647,'Cost_Components'!$A$2:$A$27,0)),"")</f>
      </c>
      <c r="AB647" s="82" t="str">
        <f>IFERROR(INDEX('Cost_Components'!$V$2:$V$27,MATCH(E647,'Cost_Components'!$A$2:$A$27,0)),"")</f>
      </c>
      <c r="AC647" s="83" t="str">
        <f>IFERROR(INDEX('Cost_Components'!$M$2:$M$27,MATCH(E647,'Cost_Components'!$A$2:$A$27,0)),"")</f>
      </c>
      <c r="AD647" s="84" t="str">
        <f>IFERROR(INDEX('Cost_Components'!$N$2:$N$27,MATCH(E647,'Cost_Components'!$A$2:$A$27,0)),"")</f>
      </c>
      <c r="AE647" s="20" t="str">
        <f>IFERROR(INDEX('Cost_Components'!$O$2:$O$27,MATCH(E647,'Cost_Components'!$A$2:$A$27,0)),"")</f>
      </c>
      <c r="AF647" s="85" t="n">
        <v>4215054.90401547</v>
      </c>
      <c r="AG647" s="86" t="n">
        <v>4198546.30462015</v>
      </c>
      <c r="AH647" s="87" t="str">
        <f>IF(H647="shared-count-once",COUNTIFS($A$2:$A$1353,A647,$B$2:$B$1353,B647,$E$2:$E$1353,E647),1)</f>
      </c>
    </row>
    <row r="648">
      <c r="A648" t="s">
        <v>220</v>
      </c>
      <c r="B648" s="59" t="n">
        <v>2047</v>
      </c>
      <c r="C648" t="s">
        <v>220</v>
      </c>
      <c r="D648" t="s">
        <v>184</v>
      </c>
      <c r="E648" s="60" t="s">
        <v>320</v>
      </c>
      <c r="F648" s="61" t="s">
        <v>321</v>
      </c>
      <c r="G648" s="62" t="s">
        <v>224</v>
      </c>
      <c r="H648" s="63" t="s">
        <v>195</v>
      </c>
      <c r="I648" s="64" t="s">
        <v>267</v>
      </c>
      <c r="J648" s="65" t="str">
        <f>IFERROR(INDEX('Cost_Components'!$K$2:$K$27,MATCH(E648,'Cost_Components'!$A$2:$A$27,0)),"")</f>
      </c>
      <c r="K648" s="66" t="str">
        <f>IF(OR(L648="",Z648="",AA648="",AB648=""),"",IF(B648&lt;AA648,L648,IF(B648&gt;AB648,Z648,L648+(Z648-L648)*MIN(MAX((B648-AA648+1)/MAX(AB648-AA648+1,1),0),1))))</f>
      </c>
      <c r="L648" s="67" t="str">
        <f>IFERROR(INDEX('Cost_Components'!$S$2:$S$27,MATCH(E648,'Cost_Components'!$A$2:$A$27,0)),"")</f>
      </c>
      <c r="M648" s="68" t="str">
        <f>IFERROR(INDEX('Cost_Components'!$L$2:$L$27,MATCH(E648,'Cost_Components'!$A$2:$A$27,0)),"")</f>
      </c>
      <c r="N648" s="69" t="str">
        <f>IFERROR(INDEX('Cost_Components'!$P$2:$P$27,MATCH(E648,'Cost_Components'!$A$2:$A$27,0)),"")</f>
      </c>
      <c r="O648" s="70" t="str">
        <f>AF648*J648</f>
      </c>
      <c r="P648" s="71" t="str">
        <f>AG648*J648</f>
      </c>
      <c r="Q648" s="72" t="str">
        <f>P648*L648*M648*N648</f>
      </c>
      <c r="R648" s="73" t="str">
        <f>O648*K648*M648*N648</f>
      </c>
      <c r="S648" s="74" t="str">
        <f>R648-Q648</f>
      </c>
      <c r="T648" s="20" t="str">
        <f>IFERROR(INDEX('Cost_Components'!$R$2:$R$27,MATCH(E648,'Cost_Components'!$A$2:$A$27,0)),"")</f>
      </c>
      <c r="U648" s="75" t="str">
        <f>IFERROR(INDEX('Cost_Components'!$Q$2:$Q$27,MATCH(E648,'Cost_Components'!$A$2:$A$27,0)),"")</f>
      </c>
      <c r="V648" s="76" t="str">
        <f>1/(1+'Calculation_Assumptions'!$B$5)^(B648-'Calculation_Assumptions'!$B$2)</f>
      </c>
      <c r="W648" s="77" t="str">
        <f>Q648*V648</f>
      </c>
      <c r="X648" s="78" t="str">
        <f>R648*V648</f>
      </c>
      <c r="Y648" s="79" t="str">
        <f>S648*V648</f>
      </c>
      <c r="Z648" s="80" t="str">
        <f>IFERROR(INDEX('Cost_Components'!$T$2:$T$27,MATCH(E648,'Cost_Components'!$A$2:$A$27,0)),"")</f>
      </c>
      <c r="AA648" s="81" t="str">
        <f>IFERROR(INDEX('Cost_Components'!$U$2:$U$27,MATCH(E648,'Cost_Components'!$A$2:$A$27,0)),"")</f>
      </c>
      <c r="AB648" s="82" t="str">
        <f>IFERROR(INDEX('Cost_Components'!$V$2:$V$27,MATCH(E648,'Cost_Components'!$A$2:$A$27,0)),"")</f>
      </c>
      <c r="AC648" s="83" t="str">
        <f>IFERROR(INDEX('Cost_Components'!$M$2:$M$27,MATCH(E648,'Cost_Components'!$A$2:$A$27,0)),"")</f>
      </c>
      <c r="AD648" s="84" t="str">
        <f>IFERROR(INDEX('Cost_Components'!$N$2:$N$27,MATCH(E648,'Cost_Components'!$A$2:$A$27,0)),"")</f>
      </c>
      <c r="AE648" s="20" t="str">
        <f>IFERROR(INDEX('Cost_Components'!$O$2:$O$27,MATCH(E648,'Cost_Components'!$A$2:$A$27,0)),"")</f>
      </c>
      <c r="AF648" s="85" t="n">
        <v>4263783.84817101</v>
      </c>
      <c r="AG648" s="86" t="n">
        <v>4246148.41293331</v>
      </c>
      <c r="AH648" s="87" t="str">
        <f>IF(H648="shared-count-once",COUNTIFS($A$2:$A$1353,A648,$B$2:$B$1353,B648,$E$2:$E$1353,E648),1)</f>
      </c>
    </row>
    <row r="649">
      <c r="A649" t="s">
        <v>220</v>
      </c>
      <c r="B649" s="59" t="n">
        <v>2048</v>
      </c>
      <c r="C649" t="s">
        <v>220</v>
      </c>
      <c r="D649" t="s">
        <v>184</v>
      </c>
      <c r="E649" s="60" t="s">
        <v>320</v>
      </c>
      <c r="F649" s="61" t="s">
        <v>321</v>
      </c>
      <c r="G649" s="62" t="s">
        <v>224</v>
      </c>
      <c r="H649" s="63" t="s">
        <v>195</v>
      </c>
      <c r="I649" s="64" t="s">
        <v>267</v>
      </c>
      <c r="J649" s="65" t="str">
        <f>IFERROR(INDEX('Cost_Components'!$K$2:$K$27,MATCH(E649,'Cost_Components'!$A$2:$A$27,0)),"")</f>
      </c>
      <c r="K649" s="66" t="str">
        <f>IF(OR(L649="",Z649="",AA649="",AB649=""),"",IF(B649&lt;AA649,L649,IF(B649&gt;AB649,Z649,L649+(Z649-L649)*MIN(MAX((B649-AA649+1)/MAX(AB649-AA649+1,1),0),1))))</f>
      </c>
      <c r="L649" s="67" t="str">
        <f>IFERROR(INDEX('Cost_Components'!$S$2:$S$27,MATCH(E649,'Cost_Components'!$A$2:$A$27,0)),"")</f>
      </c>
      <c r="M649" s="68" t="str">
        <f>IFERROR(INDEX('Cost_Components'!$L$2:$L$27,MATCH(E649,'Cost_Components'!$A$2:$A$27,0)),"")</f>
      </c>
      <c r="N649" s="69" t="str">
        <f>IFERROR(INDEX('Cost_Components'!$P$2:$P$27,MATCH(E649,'Cost_Components'!$A$2:$A$27,0)),"")</f>
      </c>
      <c r="O649" s="70" t="str">
        <f>AF649*J649</f>
      </c>
      <c r="P649" s="71" t="str">
        <f>AG649*J649</f>
      </c>
      <c r="Q649" s="72" t="str">
        <f>P649*L649*M649*N649</f>
      </c>
      <c r="R649" s="73" t="str">
        <f>O649*K649*M649*N649</f>
      </c>
      <c r="S649" s="74" t="str">
        <f>R649-Q649</f>
      </c>
      <c r="T649" s="20" t="str">
        <f>IFERROR(INDEX('Cost_Components'!$R$2:$R$27,MATCH(E649,'Cost_Components'!$A$2:$A$27,0)),"")</f>
      </c>
      <c r="U649" s="75" t="str">
        <f>IFERROR(INDEX('Cost_Components'!$Q$2:$Q$27,MATCH(E649,'Cost_Components'!$A$2:$A$27,0)),"")</f>
      </c>
      <c r="V649" s="76" t="str">
        <f>1/(1+'Calculation_Assumptions'!$B$5)^(B649-'Calculation_Assumptions'!$B$2)</f>
      </c>
      <c r="W649" s="77" t="str">
        <f>Q649*V649</f>
      </c>
      <c r="X649" s="78" t="str">
        <f>R649*V649</f>
      </c>
      <c r="Y649" s="79" t="str">
        <f>S649*V649</f>
      </c>
      <c r="Z649" s="80" t="str">
        <f>IFERROR(INDEX('Cost_Components'!$T$2:$T$27,MATCH(E649,'Cost_Components'!$A$2:$A$27,0)),"")</f>
      </c>
      <c r="AA649" s="81" t="str">
        <f>IFERROR(INDEX('Cost_Components'!$U$2:$U$27,MATCH(E649,'Cost_Components'!$A$2:$A$27,0)),"")</f>
      </c>
      <c r="AB649" s="82" t="str">
        <f>IFERROR(INDEX('Cost_Components'!$V$2:$V$27,MATCH(E649,'Cost_Components'!$A$2:$A$27,0)),"")</f>
      </c>
      <c r="AC649" s="83" t="str">
        <f>IFERROR(INDEX('Cost_Components'!$M$2:$M$27,MATCH(E649,'Cost_Components'!$A$2:$A$27,0)),"")</f>
      </c>
      <c r="AD649" s="84" t="str">
        <f>IFERROR(INDEX('Cost_Components'!$N$2:$N$27,MATCH(E649,'Cost_Components'!$A$2:$A$27,0)),"")</f>
      </c>
      <c r="AE649" s="20" t="str">
        <f>IFERROR(INDEX('Cost_Components'!$O$2:$O$27,MATCH(E649,'Cost_Components'!$A$2:$A$27,0)),"")</f>
      </c>
      <c r="AF649" s="85" t="n">
        <v>4311988.47993702</v>
      </c>
      <c r="AG649" s="86" t="n">
        <v>4293214.6864212</v>
      </c>
      <c r="AH649" s="87" t="str">
        <f>IF(H649="shared-count-once",COUNTIFS($A$2:$A$1353,A649,$B$2:$B$1353,B649,$E$2:$E$1353,E649),1)</f>
      </c>
    </row>
    <row r="650">
      <c r="A650" t="s">
        <v>220</v>
      </c>
      <c r="B650" s="59" t="n">
        <v>2049</v>
      </c>
      <c r="C650" t="s">
        <v>220</v>
      </c>
      <c r="D650" t="s">
        <v>184</v>
      </c>
      <c r="E650" s="60" t="s">
        <v>320</v>
      </c>
      <c r="F650" s="61" t="s">
        <v>321</v>
      </c>
      <c r="G650" s="62" t="s">
        <v>224</v>
      </c>
      <c r="H650" s="63" t="s">
        <v>195</v>
      </c>
      <c r="I650" s="64" t="s">
        <v>267</v>
      </c>
      <c r="J650" s="65" t="str">
        <f>IFERROR(INDEX('Cost_Components'!$K$2:$K$27,MATCH(E650,'Cost_Components'!$A$2:$A$27,0)),"")</f>
      </c>
      <c r="K650" s="66" t="str">
        <f>IF(OR(L650="",Z650="",AA650="",AB650=""),"",IF(B650&lt;AA650,L650,IF(B650&gt;AB650,Z650,L650+(Z650-L650)*MIN(MAX((B650-AA650+1)/MAX(AB650-AA650+1,1),0),1))))</f>
      </c>
      <c r="L650" s="67" t="str">
        <f>IFERROR(INDEX('Cost_Components'!$S$2:$S$27,MATCH(E650,'Cost_Components'!$A$2:$A$27,0)),"")</f>
      </c>
      <c r="M650" s="68" t="str">
        <f>IFERROR(INDEX('Cost_Components'!$L$2:$L$27,MATCH(E650,'Cost_Components'!$A$2:$A$27,0)),"")</f>
      </c>
      <c r="N650" s="69" t="str">
        <f>IFERROR(INDEX('Cost_Components'!$P$2:$P$27,MATCH(E650,'Cost_Components'!$A$2:$A$27,0)),"")</f>
      </c>
      <c r="O650" s="70" t="str">
        <f>AF650*J650</f>
      </c>
      <c r="P650" s="71" t="str">
        <f>AG650*J650</f>
      </c>
      <c r="Q650" s="72" t="str">
        <f>P650*L650*M650*N650</f>
      </c>
      <c r="R650" s="73" t="str">
        <f>O650*K650*M650*N650</f>
      </c>
      <c r="S650" s="74" t="str">
        <f>R650-Q650</f>
      </c>
      <c r="T650" s="20" t="str">
        <f>IFERROR(INDEX('Cost_Components'!$R$2:$R$27,MATCH(E650,'Cost_Components'!$A$2:$A$27,0)),"")</f>
      </c>
      <c r="U650" s="75" t="str">
        <f>IFERROR(INDEX('Cost_Components'!$Q$2:$Q$27,MATCH(E650,'Cost_Components'!$A$2:$A$27,0)),"")</f>
      </c>
      <c r="V650" s="76" t="str">
        <f>1/(1+'Calculation_Assumptions'!$B$5)^(B650-'Calculation_Assumptions'!$B$2)</f>
      </c>
      <c r="W650" s="77" t="str">
        <f>Q650*V650</f>
      </c>
      <c r="X650" s="78" t="str">
        <f>R650*V650</f>
      </c>
      <c r="Y650" s="79" t="str">
        <f>S650*V650</f>
      </c>
      <c r="Z650" s="80" t="str">
        <f>IFERROR(INDEX('Cost_Components'!$T$2:$T$27,MATCH(E650,'Cost_Components'!$A$2:$A$27,0)),"")</f>
      </c>
      <c r="AA650" s="81" t="str">
        <f>IFERROR(INDEX('Cost_Components'!$U$2:$U$27,MATCH(E650,'Cost_Components'!$A$2:$A$27,0)),"")</f>
      </c>
      <c r="AB650" s="82" t="str">
        <f>IFERROR(INDEX('Cost_Components'!$V$2:$V$27,MATCH(E650,'Cost_Components'!$A$2:$A$27,0)),"")</f>
      </c>
      <c r="AC650" s="83" t="str">
        <f>IFERROR(INDEX('Cost_Components'!$M$2:$M$27,MATCH(E650,'Cost_Components'!$A$2:$A$27,0)),"")</f>
      </c>
      <c r="AD650" s="84" t="str">
        <f>IFERROR(INDEX('Cost_Components'!$N$2:$N$27,MATCH(E650,'Cost_Components'!$A$2:$A$27,0)),"")</f>
      </c>
      <c r="AE650" s="20" t="str">
        <f>IFERROR(INDEX('Cost_Components'!$O$2:$O$27,MATCH(E650,'Cost_Components'!$A$2:$A$27,0)),"")</f>
      </c>
      <c r="AF650" s="85" t="n">
        <v>4358587.09120596</v>
      </c>
      <c r="AG650" s="86" t="n">
        <v>4338658.76537223</v>
      </c>
      <c r="AH650" s="87" t="str">
        <f>IF(H650="shared-count-once",COUNTIFS($A$2:$A$1353,A650,$B$2:$B$1353,B650,$E$2:$E$1353,E650),1)</f>
      </c>
    </row>
    <row r="651">
      <c r="A651" t="s">
        <v>220</v>
      </c>
      <c r="B651" s="59" t="n">
        <v>2050</v>
      </c>
      <c r="C651" t="s">
        <v>220</v>
      </c>
      <c r="D651" t="s">
        <v>184</v>
      </c>
      <c r="E651" s="60" t="s">
        <v>320</v>
      </c>
      <c r="F651" s="61" t="s">
        <v>321</v>
      </c>
      <c r="G651" s="62" t="s">
        <v>224</v>
      </c>
      <c r="H651" s="63" t="s">
        <v>195</v>
      </c>
      <c r="I651" s="64" t="s">
        <v>267</v>
      </c>
      <c r="J651" s="65" t="str">
        <f>IFERROR(INDEX('Cost_Components'!$K$2:$K$27,MATCH(E651,'Cost_Components'!$A$2:$A$27,0)),"")</f>
      </c>
      <c r="K651" s="66" t="str">
        <f>IF(OR(L651="",Z651="",AA651="",AB651=""),"",IF(B651&lt;AA651,L651,IF(B651&gt;AB651,Z651,L651+(Z651-L651)*MIN(MAX((B651-AA651+1)/MAX(AB651-AA651+1,1),0),1))))</f>
      </c>
      <c r="L651" s="67" t="str">
        <f>IFERROR(INDEX('Cost_Components'!$S$2:$S$27,MATCH(E651,'Cost_Components'!$A$2:$A$27,0)),"")</f>
      </c>
      <c r="M651" s="68" t="str">
        <f>IFERROR(INDEX('Cost_Components'!$L$2:$L$27,MATCH(E651,'Cost_Components'!$A$2:$A$27,0)),"")</f>
      </c>
      <c r="N651" s="69" t="str">
        <f>IFERROR(INDEX('Cost_Components'!$P$2:$P$27,MATCH(E651,'Cost_Components'!$A$2:$A$27,0)),"")</f>
      </c>
      <c r="O651" s="70" t="str">
        <f>AF651*J651</f>
      </c>
      <c r="P651" s="71" t="str">
        <f>AG651*J651</f>
      </c>
      <c r="Q651" s="72" t="str">
        <f>P651*L651*M651*N651</f>
      </c>
      <c r="R651" s="73" t="str">
        <f>O651*K651*M651*N651</f>
      </c>
      <c r="S651" s="74" t="str">
        <f>R651-Q651</f>
      </c>
      <c r="T651" s="20" t="str">
        <f>IFERROR(INDEX('Cost_Components'!$R$2:$R$27,MATCH(E651,'Cost_Components'!$A$2:$A$27,0)),"")</f>
      </c>
      <c r="U651" s="75" t="str">
        <f>IFERROR(INDEX('Cost_Components'!$Q$2:$Q$27,MATCH(E651,'Cost_Components'!$A$2:$A$27,0)),"")</f>
      </c>
      <c r="V651" s="76" t="str">
        <f>1/(1+'Calculation_Assumptions'!$B$5)^(B651-'Calculation_Assumptions'!$B$2)</f>
      </c>
      <c r="W651" s="77" t="str">
        <f>Q651*V651</f>
      </c>
      <c r="X651" s="78" t="str">
        <f>R651*V651</f>
      </c>
      <c r="Y651" s="79" t="str">
        <f>S651*V651</f>
      </c>
      <c r="Z651" s="80" t="str">
        <f>IFERROR(INDEX('Cost_Components'!$T$2:$T$27,MATCH(E651,'Cost_Components'!$A$2:$A$27,0)),"")</f>
      </c>
      <c r="AA651" s="81" t="str">
        <f>IFERROR(INDEX('Cost_Components'!$U$2:$U$27,MATCH(E651,'Cost_Components'!$A$2:$A$27,0)),"")</f>
      </c>
      <c r="AB651" s="82" t="str">
        <f>IFERROR(INDEX('Cost_Components'!$V$2:$V$27,MATCH(E651,'Cost_Components'!$A$2:$A$27,0)),"")</f>
      </c>
      <c r="AC651" s="83" t="str">
        <f>IFERROR(INDEX('Cost_Components'!$M$2:$M$27,MATCH(E651,'Cost_Components'!$A$2:$A$27,0)),"")</f>
      </c>
      <c r="AD651" s="84" t="str">
        <f>IFERROR(INDEX('Cost_Components'!$N$2:$N$27,MATCH(E651,'Cost_Components'!$A$2:$A$27,0)),"")</f>
      </c>
      <c r="AE651" s="20" t="str">
        <f>IFERROR(INDEX('Cost_Components'!$O$2:$O$27,MATCH(E651,'Cost_Components'!$A$2:$A$27,0)),"")</f>
      </c>
      <c r="AF651" s="85" t="n">
        <v>4403733.07602492</v>
      </c>
      <c r="AG651" s="86" t="n">
        <v>4382641.21298528</v>
      </c>
      <c r="AH651" s="87" t="str">
        <f>IF(H651="shared-count-once",COUNTIFS($A$2:$A$1353,A651,$B$2:$B$1353,B651,$E$2:$E$1353,E651),1)</f>
      </c>
    </row>
    <row r="652">
      <c r="A652" t="s">
        <v>226</v>
      </c>
      <c r="B652" s="59" t="n">
        <v>2025</v>
      </c>
      <c r="C652" t="s">
        <v>226</v>
      </c>
      <c r="D652" t="s">
        <v>230</v>
      </c>
      <c r="E652" s="60" t="s">
        <v>322</v>
      </c>
      <c r="F652" s="61" t="s">
        <v>323</v>
      </c>
      <c r="G652" s="62" t="s">
        <v>227</v>
      </c>
      <c r="H652" s="63" t="s">
        <v>195</v>
      </c>
      <c r="I652" s="64" t="s">
        <v>267</v>
      </c>
      <c r="J652" s="65" t="str">
        <f>IFERROR(INDEX('Cost_Components'!$K$2:$K$27,MATCH(E652,'Cost_Components'!$A$2:$A$27,0)),"")</f>
      </c>
      <c r="K652" s="66" t="str">
        <f>IF(OR(L652="",Z652="",AA652="",AB652=""),"",IF(B652&lt;AA652,L652,IF(B652&gt;AB652,Z652,L652+(Z652-L652)*MIN(MAX((B652-AA652+1)/MAX(AB652-AA652+1,1),0),1))))</f>
      </c>
      <c r="L652" s="67" t="str">
        <f>IFERROR(INDEX('Cost_Components'!$S$2:$S$27,MATCH(E652,'Cost_Components'!$A$2:$A$27,0)),"")</f>
      </c>
      <c r="M652" s="68" t="str">
        <f>IFERROR(INDEX('Cost_Components'!$L$2:$L$27,MATCH(E652,'Cost_Components'!$A$2:$A$27,0)),"")</f>
      </c>
      <c r="N652" s="69" t="str">
        <f>IFERROR(INDEX('Cost_Components'!$P$2:$P$27,MATCH(E652,'Cost_Components'!$A$2:$A$27,0)),"")</f>
      </c>
      <c r="O652" s="70" t="str">
        <f>AF652*J652</f>
      </c>
      <c r="P652" s="71" t="str">
        <f>AG652*J652</f>
      </c>
      <c r="Q652" s="72" t="str">
        <f>P652*L652*M652*N652</f>
      </c>
      <c r="R652" s="73" t="str">
        <f>O652*K652*M652*N652</f>
      </c>
      <c r="S652" s="74" t="str">
        <f>R652-Q652</f>
      </c>
      <c r="T652" s="20" t="str">
        <f>IFERROR(INDEX('Cost_Components'!$R$2:$R$27,MATCH(E652,'Cost_Components'!$A$2:$A$27,0)),"")</f>
      </c>
      <c r="U652" s="75" t="str">
        <f>IFERROR(INDEX('Cost_Components'!$Q$2:$Q$27,MATCH(E652,'Cost_Components'!$A$2:$A$27,0)),"")</f>
      </c>
      <c r="V652" s="76" t="str">
        <f>1/(1+'Calculation_Assumptions'!$B$5)^(B652-'Calculation_Assumptions'!$B$2)</f>
      </c>
      <c r="W652" s="77" t="str">
        <f>Q652*V652</f>
      </c>
      <c r="X652" s="78" t="str">
        <f>R652*V652</f>
      </c>
      <c r="Y652" s="79" t="str">
        <f>S652*V652</f>
      </c>
      <c r="Z652" s="80" t="str">
        <f>IFERROR(INDEX('Cost_Components'!$T$2:$T$27,MATCH(E652,'Cost_Components'!$A$2:$A$27,0)),"")</f>
      </c>
      <c r="AA652" s="81" t="str">
        <f>IFERROR(INDEX('Cost_Components'!$U$2:$U$27,MATCH(E652,'Cost_Components'!$A$2:$A$27,0)),"")</f>
      </c>
      <c r="AB652" s="82" t="str">
        <f>IFERROR(INDEX('Cost_Components'!$V$2:$V$27,MATCH(E652,'Cost_Components'!$A$2:$A$27,0)),"")</f>
      </c>
      <c r="AC652" s="83" t="str">
        <f>IFERROR(INDEX('Cost_Components'!$M$2:$M$27,MATCH(E652,'Cost_Components'!$A$2:$A$27,0)),"")</f>
      </c>
      <c r="AD652" s="84" t="str">
        <f>IFERROR(INDEX('Cost_Components'!$N$2:$N$27,MATCH(E652,'Cost_Components'!$A$2:$A$27,0)),"")</f>
      </c>
      <c r="AE652" s="20" t="str">
        <f>IFERROR(INDEX('Cost_Components'!$O$2:$O$27,MATCH(E652,'Cost_Components'!$A$2:$A$27,0)),"")</f>
      </c>
      <c r="AF652" s="85" t="n">
        <v>16583866.0506206</v>
      </c>
      <c r="AG652" s="86" t="n">
        <v>16583118.4095299</v>
      </c>
      <c r="AH652" s="87" t="str">
        <f>IF(H652="shared-count-once",COUNTIFS($A$2:$A$1353,A652,$B$2:$B$1353,B652,$E$2:$E$1353,E652),1)</f>
      </c>
    </row>
    <row r="653">
      <c r="A653" t="s">
        <v>226</v>
      </c>
      <c r="B653" s="59" t="n">
        <v>2026</v>
      </c>
      <c r="C653" t="s">
        <v>226</v>
      </c>
      <c r="D653" t="s">
        <v>230</v>
      </c>
      <c r="E653" s="60" t="s">
        <v>322</v>
      </c>
      <c r="F653" s="61" t="s">
        <v>323</v>
      </c>
      <c r="G653" s="62" t="s">
        <v>227</v>
      </c>
      <c r="H653" s="63" t="s">
        <v>195</v>
      </c>
      <c r="I653" s="64" t="s">
        <v>267</v>
      </c>
      <c r="J653" s="65" t="str">
        <f>IFERROR(INDEX('Cost_Components'!$K$2:$K$27,MATCH(E653,'Cost_Components'!$A$2:$A$27,0)),"")</f>
      </c>
      <c r="K653" s="66" t="str">
        <f>IF(OR(L653="",Z653="",AA653="",AB653=""),"",IF(B653&lt;AA653,L653,IF(B653&gt;AB653,Z653,L653+(Z653-L653)*MIN(MAX((B653-AA653+1)/MAX(AB653-AA653+1,1),0),1))))</f>
      </c>
      <c r="L653" s="67" t="str">
        <f>IFERROR(INDEX('Cost_Components'!$S$2:$S$27,MATCH(E653,'Cost_Components'!$A$2:$A$27,0)),"")</f>
      </c>
      <c r="M653" s="68" t="str">
        <f>IFERROR(INDEX('Cost_Components'!$L$2:$L$27,MATCH(E653,'Cost_Components'!$A$2:$A$27,0)),"")</f>
      </c>
      <c r="N653" s="69" t="str">
        <f>IFERROR(INDEX('Cost_Components'!$P$2:$P$27,MATCH(E653,'Cost_Components'!$A$2:$A$27,0)),"")</f>
      </c>
      <c r="O653" s="70" t="str">
        <f>AF653*J653</f>
      </c>
      <c r="P653" s="71" t="str">
        <f>AG653*J653</f>
      </c>
      <c r="Q653" s="72" t="str">
        <f>P653*L653*M653*N653</f>
      </c>
      <c r="R653" s="73" t="str">
        <f>O653*K653*M653*N653</f>
      </c>
      <c r="S653" s="74" t="str">
        <f>R653-Q653</f>
      </c>
      <c r="T653" s="20" t="str">
        <f>IFERROR(INDEX('Cost_Components'!$R$2:$R$27,MATCH(E653,'Cost_Components'!$A$2:$A$27,0)),"")</f>
      </c>
      <c r="U653" s="75" t="str">
        <f>IFERROR(INDEX('Cost_Components'!$Q$2:$Q$27,MATCH(E653,'Cost_Components'!$A$2:$A$27,0)),"")</f>
      </c>
      <c r="V653" s="76" t="str">
        <f>1/(1+'Calculation_Assumptions'!$B$5)^(B653-'Calculation_Assumptions'!$B$2)</f>
      </c>
      <c r="W653" s="77" t="str">
        <f>Q653*V653</f>
      </c>
      <c r="X653" s="78" t="str">
        <f>R653*V653</f>
      </c>
      <c r="Y653" s="79" t="str">
        <f>S653*V653</f>
      </c>
      <c r="Z653" s="80" t="str">
        <f>IFERROR(INDEX('Cost_Components'!$T$2:$T$27,MATCH(E653,'Cost_Components'!$A$2:$A$27,0)),"")</f>
      </c>
      <c r="AA653" s="81" t="str">
        <f>IFERROR(INDEX('Cost_Components'!$U$2:$U$27,MATCH(E653,'Cost_Components'!$A$2:$A$27,0)),"")</f>
      </c>
      <c r="AB653" s="82" t="str">
        <f>IFERROR(INDEX('Cost_Components'!$V$2:$V$27,MATCH(E653,'Cost_Components'!$A$2:$A$27,0)),"")</f>
      </c>
      <c r="AC653" s="83" t="str">
        <f>IFERROR(INDEX('Cost_Components'!$M$2:$M$27,MATCH(E653,'Cost_Components'!$A$2:$A$27,0)),"")</f>
      </c>
      <c r="AD653" s="84" t="str">
        <f>IFERROR(INDEX('Cost_Components'!$N$2:$N$27,MATCH(E653,'Cost_Components'!$A$2:$A$27,0)),"")</f>
      </c>
      <c r="AE653" s="20" t="str">
        <f>IFERROR(INDEX('Cost_Components'!$O$2:$O$27,MATCH(E653,'Cost_Components'!$A$2:$A$27,0)),"")</f>
      </c>
      <c r="AF653" s="85" t="n">
        <v>17226108.6536455</v>
      </c>
      <c r="AG653" s="86" t="n">
        <v>17223813.9034495</v>
      </c>
      <c r="AH653" s="87" t="str">
        <f>IF(H653="shared-count-once",COUNTIFS($A$2:$A$1353,A653,$B$2:$B$1353,B653,$E$2:$E$1353,E653),1)</f>
      </c>
    </row>
    <row r="654">
      <c r="A654" t="s">
        <v>226</v>
      </c>
      <c r="B654" s="59" t="n">
        <v>2027</v>
      </c>
      <c r="C654" t="s">
        <v>226</v>
      </c>
      <c r="D654" t="s">
        <v>230</v>
      </c>
      <c r="E654" s="60" t="s">
        <v>322</v>
      </c>
      <c r="F654" s="61" t="s">
        <v>323</v>
      </c>
      <c r="G654" s="62" t="s">
        <v>227</v>
      </c>
      <c r="H654" s="63" t="s">
        <v>195</v>
      </c>
      <c r="I654" s="64" t="s">
        <v>267</v>
      </c>
      <c r="J654" s="65" t="str">
        <f>IFERROR(INDEX('Cost_Components'!$K$2:$K$27,MATCH(E654,'Cost_Components'!$A$2:$A$27,0)),"")</f>
      </c>
      <c r="K654" s="66" t="str">
        <f>IF(OR(L654="",Z654="",AA654="",AB654=""),"",IF(B654&lt;AA654,L654,IF(B654&gt;AB654,Z654,L654+(Z654-L654)*MIN(MAX((B654-AA654+1)/MAX(AB654-AA654+1,1),0),1))))</f>
      </c>
      <c r="L654" s="67" t="str">
        <f>IFERROR(INDEX('Cost_Components'!$S$2:$S$27,MATCH(E654,'Cost_Components'!$A$2:$A$27,0)),"")</f>
      </c>
      <c r="M654" s="68" t="str">
        <f>IFERROR(INDEX('Cost_Components'!$L$2:$L$27,MATCH(E654,'Cost_Components'!$A$2:$A$27,0)),"")</f>
      </c>
      <c r="N654" s="69" t="str">
        <f>IFERROR(INDEX('Cost_Components'!$P$2:$P$27,MATCH(E654,'Cost_Components'!$A$2:$A$27,0)),"")</f>
      </c>
      <c r="O654" s="70" t="str">
        <f>AF654*J654</f>
      </c>
      <c r="P654" s="71" t="str">
        <f>AG654*J654</f>
      </c>
      <c r="Q654" s="72" t="str">
        <f>P654*L654*M654*N654</f>
      </c>
      <c r="R654" s="73" t="str">
        <f>O654*K654*M654*N654</f>
      </c>
      <c r="S654" s="74" t="str">
        <f>R654-Q654</f>
      </c>
      <c r="T654" s="20" t="str">
        <f>IFERROR(INDEX('Cost_Components'!$R$2:$R$27,MATCH(E654,'Cost_Components'!$A$2:$A$27,0)),"")</f>
      </c>
      <c r="U654" s="75" t="str">
        <f>IFERROR(INDEX('Cost_Components'!$Q$2:$Q$27,MATCH(E654,'Cost_Components'!$A$2:$A$27,0)),"")</f>
      </c>
      <c r="V654" s="76" t="str">
        <f>1/(1+'Calculation_Assumptions'!$B$5)^(B654-'Calculation_Assumptions'!$B$2)</f>
      </c>
      <c r="W654" s="77" t="str">
        <f>Q654*V654</f>
      </c>
      <c r="X654" s="78" t="str">
        <f>R654*V654</f>
      </c>
      <c r="Y654" s="79" t="str">
        <f>S654*V654</f>
      </c>
      <c r="Z654" s="80" t="str">
        <f>IFERROR(INDEX('Cost_Components'!$T$2:$T$27,MATCH(E654,'Cost_Components'!$A$2:$A$27,0)),"")</f>
      </c>
      <c r="AA654" s="81" t="str">
        <f>IFERROR(INDEX('Cost_Components'!$U$2:$U$27,MATCH(E654,'Cost_Components'!$A$2:$A$27,0)),"")</f>
      </c>
      <c r="AB654" s="82" t="str">
        <f>IFERROR(INDEX('Cost_Components'!$V$2:$V$27,MATCH(E654,'Cost_Components'!$A$2:$A$27,0)),"")</f>
      </c>
      <c r="AC654" s="83" t="str">
        <f>IFERROR(INDEX('Cost_Components'!$M$2:$M$27,MATCH(E654,'Cost_Components'!$A$2:$A$27,0)),"")</f>
      </c>
      <c r="AD654" s="84" t="str">
        <f>IFERROR(INDEX('Cost_Components'!$N$2:$N$27,MATCH(E654,'Cost_Components'!$A$2:$A$27,0)),"")</f>
      </c>
      <c r="AE654" s="20" t="str">
        <f>IFERROR(INDEX('Cost_Components'!$O$2:$O$27,MATCH(E654,'Cost_Components'!$A$2:$A$27,0)),"")</f>
      </c>
      <c r="AF654" s="85" t="n">
        <v>17860423.4859293</v>
      </c>
      <c r="AG654" s="86" t="n">
        <v>17855733.6663566</v>
      </c>
      <c r="AH654" s="87" t="str">
        <f>IF(H654="shared-count-once",COUNTIFS($A$2:$A$1353,A654,$B$2:$B$1353,B654,$E$2:$E$1353,E654),1)</f>
      </c>
    </row>
    <row r="655">
      <c r="A655" t="s">
        <v>226</v>
      </c>
      <c r="B655" s="59" t="n">
        <v>2028</v>
      </c>
      <c r="C655" t="s">
        <v>226</v>
      </c>
      <c r="D655" t="s">
        <v>230</v>
      </c>
      <c r="E655" s="60" t="s">
        <v>322</v>
      </c>
      <c r="F655" s="61" t="s">
        <v>323</v>
      </c>
      <c r="G655" s="62" t="s">
        <v>227</v>
      </c>
      <c r="H655" s="63" t="s">
        <v>195</v>
      </c>
      <c r="I655" s="64" t="s">
        <v>267</v>
      </c>
      <c r="J655" s="65" t="str">
        <f>IFERROR(INDEX('Cost_Components'!$K$2:$K$27,MATCH(E655,'Cost_Components'!$A$2:$A$27,0)),"")</f>
      </c>
      <c r="K655" s="66" t="str">
        <f>IF(OR(L655="",Z655="",AA655="",AB655=""),"",IF(B655&lt;AA655,L655,IF(B655&gt;AB655,Z655,L655+(Z655-L655)*MIN(MAX((B655-AA655+1)/MAX(AB655-AA655+1,1),0),1))))</f>
      </c>
      <c r="L655" s="67" t="str">
        <f>IFERROR(INDEX('Cost_Components'!$S$2:$S$27,MATCH(E655,'Cost_Components'!$A$2:$A$27,0)),"")</f>
      </c>
      <c r="M655" s="68" t="str">
        <f>IFERROR(INDEX('Cost_Components'!$L$2:$L$27,MATCH(E655,'Cost_Components'!$A$2:$A$27,0)),"")</f>
      </c>
      <c r="N655" s="69" t="str">
        <f>IFERROR(INDEX('Cost_Components'!$P$2:$P$27,MATCH(E655,'Cost_Components'!$A$2:$A$27,0)),"")</f>
      </c>
      <c r="O655" s="70" t="str">
        <f>AF655*J655</f>
      </c>
      <c r="P655" s="71" t="str">
        <f>AG655*J655</f>
      </c>
      <c r="Q655" s="72" t="str">
        <f>P655*L655*M655*N655</f>
      </c>
      <c r="R655" s="73" t="str">
        <f>O655*K655*M655*N655</f>
      </c>
      <c r="S655" s="74" t="str">
        <f>R655-Q655</f>
      </c>
      <c r="T655" s="20" t="str">
        <f>IFERROR(INDEX('Cost_Components'!$R$2:$R$27,MATCH(E655,'Cost_Components'!$A$2:$A$27,0)),"")</f>
      </c>
      <c r="U655" s="75" t="str">
        <f>IFERROR(INDEX('Cost_Components'!$Q$2:$Q$27,MATCH(E655,'Cost_Components'!$A$2:$A$27,0)),"")</f>
      </c>
      <c r="V655" s="76" t="str">
        <f>1/(1+'Calculation_Assumptions'!$B$5)^(B655-'Calculation_Assumptions'!$B$2)</f>
      </c>
      <c r="W655" s="77" t="str">
        <f>Q655*V655</f>
      </c>
      <c r="X655" s="78" t="str">
        <f>R655*V655</f>
      </c>
      <c r="Y655" s="79" t="str">
        <f>S655*V655</f>
      </c>
      <c r="Z655" s="80" t="str">
        <f>IFERROR(INDEX('Cost_Components'!$T$2:$T$27,MATCH(E655,'Cost_Components'!$A$2:$A$27,0)),"")</f>
      </c>
      <c r="AA655" s="81" t="str">
        <f>IFERROR(INDEX('Cost_Components'!$U$2:$U$27,MATCH(E655,'Cost_Components'!$A$2:$A$27,0)),"")</f>
      </c>
      <c r="AB655" s="82" t="str">
        <f>IFERROR(INDEX('Cost_Components'!$V$2:$V$27,MATCH(E655,'Cost_Components'!$A$2:$A$27,0)),"")</f>
      </c>
      <c r="AC655" s="83" t="str">
        <f>IFERROR(INDEX('Cost_Components'!$M$2:$M$27,MATCH(E655,'Cost_Components'!$A$2:$A$27,0)),"")</f>
      </c>
      <c r="AD655" s="84" t="str">
        <f>IFERROR(INDEX('Cost_Components'!$N$2:$N$27,MATCH(E655,'Cost_Components'!$A$2:$A$27,0)),"")</f>
      </c>
      <c r="AE655" s="20" t="str">
        <f>IFERROR(INDEX('Cost_Components'!$O$2:$O$27,MATCH(E655,'Cost_Components'!$A$2:$A$27,0)),"")</f>
      </c>
      <c r="AF655" s="85" t="n">
        <v>18486181.7804941</v>
      </c>
      <c r="AG655" s="86" t="n">
        <v>18478203.6520042</v>
      </c>
      <c r="AH655" s="87" t="str">
        <f>IF(H655="shared-count-once",COUNTIFS($A$2:$A$1353,A655,$B$2:$B$1353,B655,$E$2:$E$1353,E655),1)</f>
      </c>
    </row>
    <row r="656">
      <c r="A656" t="s">
        <v>226</v>
      </c>
      <c r="B656" s="59" t="n">
        <v>2029</v>
      </c>
      <c r="C656" t="s">
        <v>226</v>
      </c>
      <c r="D656" t="s">
        <v>230</v>
      </c>
      <c r="E656" s="60" t="s">
        <v>322</v>
      </c>
      <c r="F656" s="61" t="s">
        <v>323</v>
      </c>
      <c r="G656" s="62" t="s">
        <v>227</v>
      </c>
      <c r="H656" s="63" t="s">
        <v>195</v>
      </c>
      <c r="I656" s="64" t="s">
        <v>267</v>
      </c>
      <c r="J656" s="65" t="str">
        <f>IFERROR(INDEX('Cost_Components'!$K$2:$K$27,MATCH(E656,'Cost_Components'!$A$2:$A$27,0)),"")</f>
      </c>
      <c r="K656" s="66" t="str">
        <f>IF(OR(L656="",Z656="",AA656="",AB656=""),"",IF(B656&lt;AA656,L656,IF(B656&gt;AB656,Z656,L656+(Z656-L656)*MIN(MAX((B656-AA656+1)/MAX(AB656-AA656+1,1),0),1))))</f>
      </c>
      <c r="L656" s="67" t="str">
        <f>IFERROR(INDEX('Cost_Components'!$S$2:$S$27,MATCH(E656,'Cost_Components'!$A$2:$A$27,0)),"")</f>
      </c>
      <c r="M656" s="68" t="str">
        <f>IFERROR(INDEX('Cost_Components'!$L$2:$L$27,MATCH(E656,'Cost_Components'!$A$2:$A$27,0)),"")</f>
      </c>
      <c r="N656" s="69" t="str">
        <f>IFERROR(INDEX('Cost_Components'!$P$2:$P$27,MATCH(E656,'Cost_Components'!$A$2:$A$27,0)),"")</f>
      </c>
      <c r="O656" s="70" t="str">
        <f>AF656*J656</f>
      </c>
      <c r="P656" s="71" t="str">
        <f>AG656*J656</f>
      </c>
      <c r="Q656" s="72" t="str">
        <f>P656*L656*M656*N656</f>
      </c>
      <c r="R656" s="73" t="str">
        <f>O656*K656*M656*N656</f>
      </c>
      <c r="S656" s="74" t="str">
        <f>R656-Q656</f>
      </c>
      <c r="T656" s="20" t="str">
        <f>IFERROR(INDEX('Cost_Components'!$R$2:$R$27,MATCH(E656,'Cost_Components'!$A$2:$A$27,0)),"")</f>
      </c>
      <c r="U656" s="75" t="str">
        <f>IFERROR(INDEX('Cost_Components'!$Q$2:$Q$27,MATCH(E656,'Cost_Components'!$A$2:$A$27,0)),"")</f>
      </c>
      <c r="V656" s="76" t="str">
        <f>1/(1+'Calculation_Assumptions'!$B$5)^(B656-'Calculation_Assumptions'!$B$2)</f>
      </c>
      <c r="W656" s="77" t="str">
        <f>Q656*V656</f>
      </c>
      <c r="X656" s="78" t="str">
        <f>R656*V656</f>
      </c>
      <c r="Y656" s="79" t="str">
        <f>S656*V656</f>
      </c>
      <c r="Z656" s="80" t="str">
        <f>IFERROR(INDEX('Cost_Components'!$T$2:$T$27,MATCH(E656,'Cost_Components'!$A$2:$A$27,0)),"")</f>
      </c>
      <c r="AA656" s="81" t="str">
        <f>IFERROR(INDEX('Cost_Components'!$U$2:$U$27,MATCH(E656,'Cost_Components'!$A$2:$A$27,0)),"")</f>
      </c>
      <c r="AB656" s="82" t="str">
        <f>IFERROR(INDEX('Cost_Components'!$V$2:$V$27,MATCH(E656,'Cost_Components'!$A$2:$A$27,0)),"")</f>
      </c>
      <c r="AC656" s="83" t="str">
        <f>IFERROR(INDEX('Cost_Components'!$M$2:$M$27,MATCH(E656,'Cost_Components'!$A$2:$A$27,0)),"")</f>
      </c>
      <c r="AD656" s="84" t="str">
        <f>IFERROR(INDEX('Cost_Components'!$N$2:$N$27,MATCH(E656,'Cost_Components'!$A$2:$A$27,0)),"")</f>
      </c>
      <c r="AE656" s="20" t="str">
        <f>IFERROR(INDEX('Cost_Components'!$O$2:$O$27,MATCH(E656,'Cost_Components'!$A$2:$A$27,0)),"")</f>
      </c>
      <c r="AF656" s="85" t="n">
        <v>19102800.6057265</v>
      </c>
      <c r="AG656" s="86" t="n">
        <v>19090598.4302994</v>
      </c>
      <c r="AH656" s="87" t="str">
        <f>IF(H656="shared-count-once",COUNTIFS($A$2:$A$1353,A656,$B$2:$B$1353,B656,$E$2:$E$1353,E656),1)</f>
      </c>
    </row>
    <row r="657">
      <c r="A657" t="s">
        <v>226</v>
      </c>
      <c r="B657" s="59" t="n">
        <v>2030</v>
      </c>
      <c r="C657" t="s">
        <v>226</v>
      </c>
      <c r="D657" t="s">
        <v>230</v>
      </c>
      <c r="E657" s="60" t="s">
        <v>322</v>
      </c>
      <c r="F657" s="61" t="s">
        <v>323</v>
      </c>
      <c r="G657" s="62" t="s">
        <v>227</v>
      </c>
      <c r="H657" s="63" t="s">
        <v>195</v>
      </c>
      <c r="I657" s="64" t="s">
        <v>267</v>
      </c>
      <c r="J657" s="65" t="str">
        <f>IFERROR(INDEX('Cost_Components'!$K$2:$K$27,MATCH(E657,'Cost_Components'!$A$2:$A$27,0)),"")</f>
      </c>
      <c r="K657" s="66" t="str">
        <f>IF(OR(L657="",Z657="",AA657="",AB657=""),"",IF(B657&lt;AA657,L657,IF(B657&gt;AB657,Z657,L657+(Z657-L657)*MIN(MAX((B657-AA657+1)/MAX(AB657-AA657+1,1),0),1))))</f>
      </c>
      <c r="L657" s="67" t="str">
        <f>IFERROR(INDEX('Cost_Components'!$S$2:$S$27,MATCH(E657,'Cost_Components'!$A$2:$A$27,0)),"")</f>
      </c>
      <c r="M657" s="68" t="str">
        <f>IFERROR(INDEX('Cost_Components'!$L$2:$L$27,MATCH(E657,'Cost_Components'!$A$2:$A$27,0)),"")</f>
      </c>
      <c r="N657" s="69" t="str">
        <f>IFERROR(INDEX('Cost_Components'!$P$2:$P$27,MATCH(E657,'Cost_Components'!$A$2:$A$27,0)),"")</f>
      </c>
      <c r="O657" s="70" t="str">
        <f>AF657*J657</f>
      </c>
      <c r="P657" s="71" t="str">
        <f>AG657*J657</f>
      </c>
      <c r="Q657" s="72" t="str">
        <f>P657*L657*M657*N657</f>
      </c>
      <c r="R657" s="73" t="str">
        <f>O657*K657*M657*N657</f>
      </c>
      <c r="S657" s="74" t="str">
        <f>R657-Q657</f>
      </c>
      <c r="T657" s="20" t="str">
        <f>IFERROR(INDEX('Cost_Components'!$R$2:$R$27,MATCH(E657,'Cost_Components'!$A$2:$A$27,0)),"")</f>
      </c>
      <c r="U657" s="75" t="str">
        <f>IFERROR(INDEX('Cost_Components'!$Q$2:$Q$27,MATCH(E657,'Cost_Components'!$A$2:$A$27,0)),"")</f>
      </c>
      <c r="V657" s="76" t="str">
        <f>1/(1+'Calculation_Assumptions'!$B$5)^(B657-'Calculation_Assumptions'!$B$2)</f>
      </c>
      <c r="W657" s="77" t="str">
        <f>Q657*V657</f>
      </c>
      <c r="X657" s="78" t="str">
        <f>R657*V657</f>
      </c>
      <c r="Y657" s="79" t="str">
        <f>S657*V657</f>
      </c>
      <c r="Z657" s="80" t="str">
        <f>IFERROR(INDEX('Cost_Components'!$T$2:$T$27,MATCH(E657,'Cost_Components'!$A$2:$A$27,0)),"")</f>
      </c>
      <c r="AA657" s="81" t="str">
        <f>IFERROR(INDEX('Cost_Components'!$U$2:$U$27,MATCH(E657,'Cost_Components'!$A$2:$A$27,0)),"")</f>
      </c>
      <c r="AB657" s="82" t="str">
        <f>IFERROR(INDEX('Cost_Components'!$V$2:$V$27,MATCH(E657,'Cost_Components'!$A$2:$A$27,0)),"")</f>
      </c>
      <c r="AC657" s="83" t="str">
        <f>IFERROR(INDEX('Cost_Components'!$M$2:$M$27,MATCH(E657,'Cost_Components'!$A$2:$A$27,0)),"")</f>
      </c>
      <c r="AD657" s="84" t="str">
        <f>IFERROR(INDEX('Cost_Components'!$N$2:$N$27,MATCH(E657,'Cost_Components'!$A$2:$A$27,0)),"")</f>
      </c>
      <c r="AE657" s="20" t="str">
        <f>IFERROR(INDEX('Cost_Components'!$O$2:$O$27,MATCH(E657,'Cost_Components'!$A$2:$A$27,0)),"")</f>
      </c>
      <c r="AF657" s="85" t="n">
        <v>19709638.3216013</v>
      </c>
      <c r="AG657" s="86" t="n">
        <v>19692236.862453</v>
      </c>
      <c r="AH657" s="87" t="str">
        <f>IF(H657="shared-count-once",COUNTIFS($A$2:$A$1353,A657,$B$2:$B$1353,B657,$E$2:$E$1353,E657),1)</f>
      </c>
    </row>
    <row r="658">
      <c r="A658" t="s">
        <v>226</v>
      </c>
      <c r="B658" s="59" t="n">
        <v>2031</v>
      </c>
      <c r="C658" t="s">
        <v>226</v>
      </c>
      <c r="D658" t="s">
        <v>230</v>
      </c>
      <c r="E658" s="60" t="s">
        <v>322</v>
      </c>
      <c r="F658" s="61" t="s">
        <v>323</v>
      </c>
      <c r="G658" s="62" t="s">
        <v>227</v>
      </c>
      <c r="H658" s="63" t="s">
        <v>195</v>
      </c>
      <c r="I658" s="64" t="s">
        <v>267</v>
      </c>
      <c r="J658" s="65" t="str">
        <f>IFERROR(INDEX('Cost_Components'!$K$2:$K$27,MATCH(E658,'Cost_Components'!$A$2:$A$27,0)),"")</f>
      </c>
      <c r="K658" s="66" t="str">
        <f>IF(OR(L658="",Z658="",AA658="",AB658=""),"",IF(B658&lt;AA658,L658,IF(B658&gt;AB658,Z658,L658+(Z658-L658)*MIN(MAX((B658-AA658+1)/MAX(AB658-AA658+1,1),0),1))))</f>
      </c>
      <c r="L658" s="67" t="str">
        <f>IFERROR(INDEX('Cost_Components'!$S$2:$S$27,MATCH(E658,'Cost_Components'!$A$2:$A$27,0)),"")</f>
      </c>
      <c r="M658" s="68" t="str">
        <f>IFERROR(INDEX('Cost_Components'!$L$2:$L$27,MATCH(E658,'Cost_Components'!$A$2:$A$27,0)),"")</f>
      </c>
      <c r="N658" s="69" t="str">
        <f>IFERROR(INDEX('Cost_Components'!$P$2:$P$27,MATCH(E658,'Cost_Components'!$A$2:$A$27,0)),"")</f>
      </c>
      <c r="O658" s="70" t="str">
        <f>AF658*J658</f>
      </c>
      <c r="P658" s="71" t="str">
        <f>AG658*J658</f>
      </c>
      <c r="Q658" s="72" t="str">
        <f>P658*L658*M658*N658</f>
      </c>
      <c r="R658" s="73" t="str">
        <f>O658*K658*M658*N658</f>
      </c>
      <c r="S658" s="74" t="str">
        <f>R658-Q658</f>
      </c>
      <c r="T658" s="20" t="str">
        <f>IFERROR(INDEX('Cost_Components'!$R$2:$R$27,MATCH(E658,'Cost_Components'!$A$2:$A$27,0)),"")</f>
      </c>
      <c r="U658" s="75" t="str">
        <f>IFERROR(INDEX('Cost_Components'!$Q$2:$Q$27,MATCH(E658,'Cost_Components'!$A$2:$A$27,0)),"")</f>
      </c>
      <c r="V658" s="76" t="str">
        <f>1/(1+'Calculation_Assumptions'!$B$5)^(B658-'Calculation_Assumptions'!$B$2)</f>
      </c>
      <c r="W658" s="77" t="str">
        <f>Q658*V658</f>
      </c>
      <c r="X658" s="78" t="str">
        <f>R658*V658</f>
      </c>
      <c r="Y658" s="79" t="str">
        <f>S658*V658</f>
      </c>
      <c r="Z658" s="80" t="str">
        <f>IFERROR(INDEX('Cost_Components'!$T$2:$T$27,MATCH(E658,'Cost_Components'!$A$2:$A$27,0)),"")</f>
      </c>
      <c r="AA658" s="81" t="str">
        <f>IFERROR(INDEX('Cost_Components'!$U$2:$U$27,MATCH(E658,'Cost_Components'!$A$2:$A$27,0)),"")</f>
      </c>
      <c r="AB658" s="82" t="str">
        <f>IFERROR(INDEX('Cost_Components'!$V$2:$V$27,MATCH(E658,'Cost_Components'!$A$2:$A$27,0)),"")</f>
      </c>
      <c r="AC658" s="83" t="str">
        <f>IFERROR(INDEX('Cost_Components'!$M$2:$M$27,MATCH(E658,'Cost_Components'!$A$2:$A$27,0)),"")</f>
      </c>
      <c r="AD658" s="84" t="str">
        <f>IFERROR(INDEX('Cost_Components'!$N$2:$N$27,MATCH(E658,'Cost_Components'!$A$2:$A$27,0)),"")</f>
      </c>
      <c r="AE658" s="20" t="str">
        <f>IFERROR(INDEX('Cost_Components'!$O$2:$O$27,MATCH(E658,'Cost_Components'!$A$2:$A$27,0)),"")</f>
      </c>
      <c r="AF658" s="85" t="n">
        <v>20306012.0640263</v>
      </c>
      <c r="AG658" s="86" t="n">
        <v>20282400.1912082</v>
      </c>
      <c r="AH658" s="87" t="str">
        <f>IF(H658="shared-count-once",COUNTIFS($A$2:$A$1353,A658,$B$2:$B$1353,B658,$E$2:$E$1353,E658),1)</f>
      </c>
    </row>
    <row r="659">
      <c r="A659" t="s">
        <v>226</v>
      </c>
      <c r="B659" s="59" t="n">
        <v>2032</v>
      </c>
      <c r="C659" t="s">
        <v>226</v>
      </c>
      <c r="D659" t="s">
        <v>230</v>
      </c>
      <c r="E659" s="60" t="s">
        <v>322</v>
      </c>
      <c r="F659" s="61" t="s">
        <v>323</v>
      </c>
      <c r="G659" s="62" t="s">
        <v>227</v>
      </c>
      <c r="H659" s="63" t="s">
        <v>195</v>
      </c>
      <c r="I659" s="64" t="s">
        <v>267</v>
      </c>
      <c r="J659" s="65" t="str">
        <f>IFERROR(INDEX('Cost_Components'!$K$2:$K$27,MATCH(E659,'Cost_Components'!$A$2:$A$27,0)),"")</f>
      </c>
      <c r="K659" s="66" t="str">
        <f>IF(OR(L659="",Z659="",AA659="",AB659=""),"",IF(B659&lt;AA659,L659,IF(B659&gt;AB659,Z659,L659+(Z659-L659)*MIN(MAX((B659-AA659+1)/MAX(AB659-AA659+1,1),0),1))))</f>
      </c>
      <c r="L659" s="67" t="str">
        <f>IFERROR(INDEX('Cost_Components'!$S$2:$S$27,MATCH(E659,'Cost_Components'!$A$2:$A$27,0)),"")</f>
      </c>
      <c r="M659" s="68" t="str">
        <f>IFERROR(INDEX('Cost_Components'!$L$2:$L$27,MATCH(E659,'Cost_Components'!$A$2:$A$27,0)),"")</f>
      </c>
      <c r="N659" s="69" t="str">
        <f>IFERROR(INDEX('Cost_Components'!$P$2:$P$27,MATCH(E659,'Cost_Components'!$A$2:$A$27,0)),"")</f>
      </c>
      <c r="O659" s="70" t="str">
        <f>AF659*J659</f>
      </c>
      <c r="P659" s="71" t="str">
        <f>AG659*J659</f>
      </c>
      <c r="Q659" s="72" t="str">
        <f>P659*L659*M659*N659</f>
      </c>
      <c r="R659" s="73" t="str">
        <f>O659*K659*M659*N659</f>
      </c>
      <c r="S659" s="74" t="str">
        <f>R659-Q659</f>
      </c>
      <c r="T659" s="20" t="str">
        <f>IFERROR(INDEX('Cost_Components'!$R$2:$R$27,MATCH(E659,'Cost_Components'!$A$2:$A$27,0)),"")</f>
      </c>
      <c r="U659" s="75" t="str">
        <f>IFERROR(INDEX('Cost_Components'!$Q$2:$Q$27,MATCH(E659,'Cost_Components'!$A$2:$A$27,0)),"")</f>
      </c>
      <c r="V659" s="76" t="str">
        <f>1/(1+'Calculation_Assumptions'!$B$5)^(B659-'Calculation_Assumptions'!$B$2)</f>
      </c>
      <c r="W659" s="77" t="str">
        <f>Q659*V659</f>
      </c>
      <c r="X659" s="78" t="str">
        <f>R659*V659</f>
      </c>
      <c r="Y659" s="79" t="str">
        <f>S659*V659</f>
      </c>
      <c r="Z659" s="80" t="str">
        <f>IFERROR(INDEX('Cost_Components'!$T$2:$T$27,MATCH(E659,'Cost_Components'!$A$2:$A$27,0)),"")</f>
      </c>
      <c r="AA659" s="81" t="str">
        <f>IFERROR(INDEX('Cost_Components'!$U$2:$U$27,MATCH(E659,'Cost_Components'!$A$2:$A$27,0)),"")</f>
      </c>
      <c r="AB659" s="82" t="str">
        <f>IFERROR(INDEX('Cost_Components'!$V$2:$V$27,MATCH(E659,'Cost_Components'!$A$2:$A$27,0)),"")</f>
      </c>
      <c r="AC659" s="83" t="str">
        <f>IFERROR(INDEX('Cost_Components'!$M$2:$M$27,MATCH(E659,'Cost_Components'!$A$2:$A$27,0)),"")</f>
      </c>
      <c r="AD659" s="84" t="str">
        <f>IFERROR(INDEX('Cost_Components'!$N$2:$N$27,MATCH(E659,'Cost_Components'!$A$2:$A$27,0)),"")</f>
      </c>
      <c r="AE659" s="20" t="str">
        <f>IFERROR(INDEX('Cost_Components'!$O$2:$O$27,MATCH(E659,'Cost_Components'!$A$2:$A$27,0)),"")</f>
      </c>
      <c r="AF659" s="85" t="n">
        <v>20891233.1947981</v>
      </c>
      <c r="AG659" s="86" t="n">
        <v>20860367.423304</v>
      </c>
      <c r="AH659" s="87" t="str">
        <f>IF(H659="shared-count-once",COUNTIFS($A$2:$A$1353,A659,$B$2:$B$1353,B659,$E$2:$E$1353,E659),1)</f>
      </c>
    </row>
    <row r="660">
      <c r="A660" t="s">
        <v>226</v>
      </c>
      <c r="B660" s="59" t="n">
        <v>2033</v>
      </c>
      <c r="C660" t="s">
        <v>226</v>
      </c>
      <c r="D660" t="s">
        <v>230</v>
      </c>
      <c r="E660" s="60" t="s">
        <v>322</v>
      </c>
      <c r="F660" s="61" t="s">
        <v>323</v>
      </c>
      <c r="G660" s="62" t="s">
        <v>227</v>
      </c>
      <c r="H660" s="63" t="s">
        <v>195</v>
      </c>
      <c r="I660" s="64" t="s">
        <v>267</v>
      </c>
      <c r="J660" s="65" t="str">
        <f>IFERROR(INDEX('Cost_Components'!$K$2:$K$27,MATCH(E660,'Cost_Components'!$A$2:$A$27,0)),"")</f>
      </c>
      <c r="K660" s="66" t="str">
        <f>IF(OR(L660="",Z660="",AA660="",AB660=""),"",IF(B660&lt;AA660,L660,IF(B660&gt;AB660,Z660,L660+(Z660-L660)*MIN(MAX((B660-AA660+1)/MAX(AB660-AA660+1,1),0),1))))</f>
      </c>
      <c r="L660" s="67" t="str">
        <f>IFERROR(INDEX('Cost_Components'!$S$2:$S$27,MATCH(E660,'Cost_Components'!$A$2:$A$27,0)),"")</f>
      </c>
      <c r="M660" s="68" t="str">
        <f>IFERROR(INDEX('Cost_Components'!$L$2:$L$27,MATCH(E660,'Cost_Components'!$A$2:$A$27,0)),"")</f>
      </c>
      <c r="N660" s="69" t="str">
        <f>IFERROR(INDEX('Cost_Components'!$P$2:$P$27,MATCH(E660,'Cost_Components'!$A$2:$A$27,0)),"")</f>
      </c>
      <c r="O660" s="70" t="str">
        <f>AF660*J660</f>
      </c>
      <c r="P660" s="71" t="str">
        <f>AG660*J660</f>
      </c>
      <c r="Q660" s="72" t="str">
        <f>P660*L660*M660*N660</f>
      </c>
      <c r="R660" s="73" t="str">
        <f>O660*K660*M660*N660</f>
      </c>
      <c r="S660" s="74" t="str">
        <f>R660-Q660</f>
      </c>
      <c r="T660" s="20" t="str">
        <f>IFERROR(INDEX('Cost_Components'!$R$2:$R$27,MATCH(E660,'Cost_Components'!$A$2:$A$27,0)),"")</f>
      </c>
      <c r="U660" s="75" t="str">
        <f>IFERROR(INDEX('Cost_Components'!$Q$2:$Q$27,MATCH(E660,'Cost_Components'!$A$2:$A$27,0)),"")</f>
      </c>
      <c r="V660" s="76" t="str">
        <f>1/(1+'Calculation_Assumptions'!$B$5)^(B660-'Calculation_Assumptions'!$B$2)</f>
      </c>
      <c r="W660" s="77" t="str">
        <f>Q660*V660</f>
      </c>
      <c r="X660" s="78" t="str">
        <f>R660*V660</f>
      </c>
      <c r="Y660" s="79" t="str">
        <f>S660*V660</f>
      </c>
      <c r="Z660" s="80" t="str">
        <f>IFERROR(INDEX('Cost_Components'!$T$2:$T$27,MATCH(E660,'Cost_Components'!$A$2:$A$27,0)),"")</f>
      </c>
      <c r="AA660" s="81" t="str">
        <f>IFERROR(INDEX('Cost_Components'!$U$2:$U$27,MATCH(E660,'Cost_Components'!$A$2:$A$27,0)),"")</f>
      </c>
      <c r="AB660" s="82" t="str">
        <f>IFERROR(INDEX('Cost_Components'!$V$2:$V$27,MATCH(E660,'Cost_Components'!$A$2:$A$27,0)),"")</f>
      </c>
      <c r="AC660" s="83" t="str">
        <f>IFERROR(INDEX('Cost_Components'!$M$2:$M$27,MATCH(E660,'Cost_Components'!$A$2:$A$27,0)),"")</f>
      </c>
      <c r="AD660" s="84" t="str">
        <f>IFERROR(INDEX('Cost_Components'!$N$2:$N$27,MATCH(E660,'Cost_Components'!$A$2:$A$27,0)),"")</f>
      </c>
      <c r="AE660" s="20" t="str">
        <f>IFERROR(INDEX('Cost_Components'!$O$2:$O$27,MATCH(E660,'Cost_Components'!$A$2:$A$27,0)),"")</f>
      </c>
      <c r="AF660" s="85" t="n">
        <v>21464528.7861242</v>
      </c>
      <c r="AG660" s="86" t="n">
        <v>21425336.2972299</v>
      </c>
      <c r="AH660" s="87" t="str">
        <f>IF(H660="shared-count-once",COUNTIFS($A$2:$A$1353,A660,$B$2:$B$1353,B660,$E$2:$E$1353,E660),1)</f>
      </c>
    </row>
    <row r="661">
      <c r="A661" t="s">
        <v>226</v>
      </c>
      <c r="B661" s="59" t="n">
        <v>2034</v>
      </c>
      <c r="C661" t="s">
        <v>226</v>
      </c>
      <c r="D661" t="s">
        <v>230</v>
      </c>
      <c r="E661" s="60" t="s">
        <v>322</v>
      </c>
      <c r="F661" s="61" t="s">
        <v>323</v>
      </c>
      <c r="G661" s="62" t="s">
        <v>227</v>
      </c>
      <c r="H661" s="63" t="s">
        <v>195</v>
      </c>
      <c r="I661" s="64" t="s">
        <v>267</v>
      </c>
      <c r="J661" s="65" t="str">
        <f>IFERROR(INDEX('Cost_Components'!$K$2:$K$27,MATCH(E661,'Cost_Components'!$A$2:$A$27,0)),"")</f>
      </c>
      <c r="K661" s="66" t="str">
        <f>IF(OR(L661="",Z661="",AA661="",AB661=""),"",IF(B661&lt;AA661,L661,IF(B661&gt;AB661,Z661,L661+(Z661-L661)*MIN(MAX((B661-AA661+1)/MAX(AB661-AA661+1,1),0),1))))</f>
      </c>
      <c r="L661" s="67" t="str">
        <f>IFERROR(INDEX('Cost_Components'!$S$2:$S$27,MATCH(E661,'Cost_Components'!$A$2:$A$27,0)),"")</f>
      </c>
      <c r="M661" s="68" t="str">
        <f>IFERROR(INDEX('Cost_Components'!$L$2:$L$27,MATCH(E661,'Cost_Components'!$A$2:$A$27,0)),"")</f>
      </c>
      <c r="N661" s="69" t="str">
        <f>IFERROR(INDEX('Cost_Components'!$P$2:$P$27,MATCH(E661,'Cost_Components'!$A$2:$A$27,0)),"")</f>
      </c>
      <c r="O661" s="70" t="str">
        <f>AF661*J661</f>
      </c>
      <c r="P661" s="71" t="str">
        <f>AG661*J661</f>
      </c>
      <c r="Q661" s="72" t="str">
        <f>P661*L661*M661*N661</f>
      </c>
      <c r="R661" s="73" t="str">
        <f>O661*K661*M661*N661</f>
      </c>
      <c r="S661" s="74" t="str">
        <f>R661-Q661</f>
      </c>
      <c r="T661" s="20" t="str">
        <f>IFERROR(INDEX('Cost_Components'!$R$2:$R$27,MATCH(E661,'Cost_Components'!$A$2:$A$27,0)),"")</f>
      </c>
      <c r="U661" s="75" t="str">
        <f>IFERROR(INDEX('Cost_Components'!$Q$2:$Q$27,MATCH(E661,'Cost_Components'!$A$2:$A$27,0)),"")</f>
      </c>
      <c r="V661" s="76" t="str">
        <f>1/(1+'Calculation_Assumptions'!$B$5)^(B661-'Calculation_Assumptions'!$B$2)</f>
      </c>
      <c r="W661" s="77" t="str">
        <f>Q661*V661</f>
      </c>
      <c r="X661" s="78" t="str">
        <f>R661*V661</f>
      </c>
      <c r="Y661" s="79" t="str">
        <f>S661*V661</f>
      </c>
      <c r="Z661" s="80" t="str">
        <f>IFERROR(INDEX('Cost_Components'!$T$2:$T$27,MATCH(E661,'Cost_Components'!$A$2:$A$27,0)),"")</f>
      </c>
      <c r="AA661" s="81" t="str">
        <f>IFERROR(INDEX('Cost_Components'!$U$2:$U$27,MATCH(E661,'Cost_Components'!$A$2:$A$27,0)),"")</f>
      </c>
      <c r="AB661" s="82" t="str">
        <f>IFERROR(INDEX('Cost_Components'!$V$2:$V$27,MATCH(E661,'Cost_Components'!$A$2:$A$27,0)),"")</f>
      </c>
      <c r="AC661" s="83" t="str">
        <f>IFERROR(INDEX('Cost_Components'!$M$2:$M$27,MATCH(E661,'Cost_Components'!$A$2:$A$27,0)),"")</f>
      </c>
      <c r="AD661" s="84" t="str">
        <f>IFERROR(INDEX('Cost_Components'!$N$2:$N$27,MATCH(E661,'Cost_Components'!$A$2:$A$27,0)),"")</f>
      </c>
      <c r="AE661" s="20" t="str">
        <f>IFERROR(INDEX('Cost_Components'!$O$2:$O$27,MATCH(E661,'Cost_Components'!$A$2:$A$27,0)),"")</f>
      </c>
      <c r="AF661" s="85" t="n">
        <v>22025214.5155611</v>
      </c>
      <c r="AG661" s="86" t="n">
        <v>21976598.1069411</v>
      </c>
      <c r="AH661" s="87" t="str">
        <f>IF(H661="shared-count-once",COUNTIFS($A$2:$A$1353,A661,$B$2:$B$1353,B661,$E$2:$E$1353,E661),1)</f>
      </c>
    </row>
    <row r="662">
      <c r="A662" t="s">
        <v>226</v>
      </c>
      <c r="B662" s="59" t="n">
        <v>2035</v>
      </c>
      <c r="C662" t="s">
        <v>226</v>
      </c>
      <c r="D662" t="s">
        <v>230</v>
      </c>
      <c r="E662" s="60" t="s">
        <v>322</v>
      </c>
      <c r="F662" s="61" t="s">
        <v>323</v>
      </c>
      <c r="G662" s="62" t="s">
        <v>227</v>
      </c>
      <c r="H662" s="63" t="s">
        <v>195</v>
      </c>
      <c r="I662" s="64" t="s">
        <v>267</v>
      </c>
      <c r="J662" s="65" t="str">
        <f>IFERROR(INDEX('Cost_Components'!$K$2:$K$27,MATCH(E662,'Cost_Components'!$A$2:$A$27,0)),"")</f>
      </c>
      <c r="K662" s="66" t="str">
        <f>IF(OR(L662="",Z662="",AA662="",AB662=""),"",IF(B662&lt;AA662,L662,IF(B662&gt;AB662,Z662,L662+(Z662-L662)*MIN(MAX((B662-AA662+1)/MAX(AB662-AA662+1,1),0),1))))</f>
      </c>
      <c r="L662" s="67" t="str">
        <f>IFERROR(INDEX('Cost_Components'!$S$2:$S$27,MATCH(E662,'Cost_Components'!$A$2:$A$27,0)),"")</f>
      </c>
      <c r="M662" s="68" t="str">
        <f>IFERROR(INDEX('Cost_Components'!$L$2:$L$27,MATCH(E662,'Cost_Components'!$A$2:$A$27,0)),"")</f>
      </c>
      <c r="N662" s="69" t="str">
        <f>IFERROR(INDEX('Cost_Components'!$P$2:$P$27,MATCH(E662,'Cost_Components'!$A$2:$A$27,0)),"")</f>
      </c>
      <c r="O662" s="70" t="str">
        <f>AF662*J662</f>
      </c>
      <c r="P662" s="71" t="str">
        <f>AG662*J662</f>
      </c>
      <c r="Q662" s="72" t="str">
        <f>P662*L662*M662*N662</f>
      </c>
      <c r="R662" s="73" t="str">
        <f>O662*K662*M662*N662</f>
      </c>
      <c r="S662" s="74" t="str">
        <f>R662-Q662</f>
      </c>
      <c r="T662" s="20" t="str">
        <f>IFERROR(INDEX('Cost_Components'!$R$2:$R$27,MATCH(E662,'Cost_Components'!$A$2:$A$27,0)),"")</f>
      </c>
      <c r="U662" s="75" t="str">
        <f>IFERROR(INDEX('Cost_Components'!$Q$2:$Q$27,MATCH(E662,'Cost_Components'!$A$2:$A$27,0)),"")</f>
      </c>
      <c r="V662" s="76" t="str">
        <f>1/(1+'Calculation_Assumptions'!$B$5)^(B662-'Calculation_Assumptions'!$B$2)</f>
      </c>
      <c r="W662" s="77" t="str">
        <f>Q662*V662</f>
      </c>
      <c r="X662" s="78" t="str">
        <f>R662*V662</f>
      </c>
      <c r="Y662" s="79" t="str">
        <f>S662*V662</f>
      </c>
      <c r="Z662" s="80" t="str">
        <f>IFERROR(INDEX('Cost_Components'!$T$2:$T$27,MATCH(E662,'Cost_Components'!$A$2:$A$27,0)),"")</f>
      </c>
      <c r="AA662" s="81" t="str">
        <f>IFERROR(INDEX('Cost_Components'!$U$2:$U$27,MATCH(E662,'Cost_Components'!$A$2:$A$27,0)),"")</f>
      </c>
      <c r="AB662" s="82" t="str">
        <f>IFERROR(INDEX('Cost_Components'!$V$2:$V$27,MATCH(E662,'Cost_Components'!$A$2:$A$27,0)),"")</f>
      </c>
      <c r="AC662" s="83" t="str">
        <f>IFERROR(INDEX('Cost_Components'!$M$2:$M$27,MATCH(E662,'Cost_Components'!$A$2:$A$27,0)),"")</f>
      </c>
      <c r="AD662" s="84" t="str">
        <f>IFERROR(INDEX('Cost_Components'!$N$2:$N$27,MATCH(E662,'Cost_Components'!$A$2:$A$27,0)),"")</f>
      </c>
      <c r="AE662" s="20" t="str">
        <f>IFERROR(INDEX('Cost_Components'!$O$2:$O$27,MATCH(E662,'Cost_Components'!$A$2:$A$27,0)),"")</f>
      </c>
      <c r="AF662" s="85" t="n">
        <v>22572744.1079952</v>
      </c>
      <c r="AG662" s="86" t="n">
        <v>22513585.7513582</v>
      </c>
      <c r="AH662" s="87" t="str">
        <f>IF(H662="shared-count-once",COUNTIFS($A$2:$A$1353,A662,$B$2:$B$1353,B662,$E$2:$E$1353,E662),1)</f>
      </c>
    </row>
    <row r="663">
      <c r="A663" t="s">
        <v>226</v>
      </c>
      <c r="B663" s="59" t="n">
        <v>2036</v>
      </c>
      <c r="C663" t="s">
        <v>226</v>
      </c>
      <c r="D663" t="s">
        <v>230</v>
      </c>
      <c r="E663" s="60" t="s">
        <v>322</v>
      </c>
      <c r="F663" s="61" t="s">
        <v>323</v>
      </c>
      <c r="G663" s="62" t="s">
        <v>227</v>
      </c>
      <c r="H663" s="63" t="s">
        <v>195</v>
      </c>
      <c r="I663" s="64" t="s">
        <v>267</v>
      </c>
      <c r="J663" s="65" t="str">
        <f>IFERROR(INDEX('Cost_Components'!$K$2:$K$27,MATCH(E663,'Cost_Components'!$A$2:$A$27,0)),"")</f>
      </c>
      <c r="K663" s="66" t="str">
        <f>IF(OR(L663="",Z663="",AA663="",AB663=""),"",IF(B663&lt;AA663,L663,IF(B663&gt;AB663,Z663,L663+(Z663-L663)*MIN(MAX((B663-AA663+1)/MAX(AB663-AA663+1,1),0),1))))</f>
      </c>
      <c r="L663" s="67" t="str">
        <f>IFERROR(INDEX('Cost_Components'!$S$2:$S$27,MATCH(E663,'Cost_Components'!$A$2:$A$27,0)),"")</f>
      </c>
      <c r="M663" s="68" t="str">
        <f>IFERROR(INDEX('Cost_Components'!$L$2:$L$27,MATCH(E663,'Cost_Components'!$A$2:$A$27,0)),"")</f>
      </c>
      <c r="N663" s="69" t="str">
        <f>IFERROR(INDEX('Cost_Components'!$P$2:$P$27,MATCH(E663,'Cost_Components'!$A$2:$A$27,0)),"")</f>
      </c>
      <c r="O663" s="70" t="str">
        <f>AF663*J663</f>
      </c>
      <c r="P663" s="71" t="str">
        <f>AG663*J663</f>
      </c>
      <c r="Q663" s="72" t="str">
        <f>P663*L663*M663*N663</f>
      </c>
      <c r="R663" s="73" t="str">
        <f>O663*K663*M663*N663</f>
      </c>
      <c r="S663" s="74" t="str">
        <f>R663-Q663</f>
      </c>
      <c r="T663" s="20" t="str">
        <f>IFERROR(INDEX('Cost_Components'!$R$2:$R$27,MATCH(E663,'Cost_Components'!$A$2:$A$27,0)),"")</f>
      </c>
      <c r="U663" s="75" t="str">
        <f>IFERROR(INDEX('Cost_Components'!$Q$2:$Q$27,MATCH(E663,'Cost_Components'!$A$2:$A$27,0)),"")</f>
      </c>
      <c r="V663" s="76" t="str">
        <f>1/(1+'Calculation_Assumptions'!$B$5)^(B663-'Calculation_Assumptions'!$B$2)</f>
      </c>
      <c r="W663" s="77" t="str">
        <f>Q663*V663</f>
      </c>
      <c r="X663" s="78" t="str">
        <f>R663*V663</f>
      </c>
      <c r="Y663" s="79" t="str">
        <f>S663*V663</f>
      </c>
      <c r="Z663" s="80" t="str">
        <f>IFERROR(INDEX('Cost_Components'!$T$2:$T$27,MATCH(E663,'Cost_Components'!$A$2:$A$27,0)),"")</f>
      </c>
      <c r="AA663" s="81" t="str">
        <f>IFERROR(INDEX('Cost_Components'!$U$2:$U$27,MATCH(E663,'Cost_Components'!$A$2:$A$27,0)),"")</f>
      </c>
      <c r="AB663" s="82" t="str">
        <f>IFERROR(INDEX('Cost_Components'!$V$2:$V$27,MATCH(E663,'Cost_Components'!$A$2:$A$27,0)),"")</f>
      </c>
      <c r="AC663" s="83" t="str">
        <f>IFERROR(INDEX('Cost_Components'!$M$2:$M$27,MATCH(E663,'Cost_Components'!$A$2:$A$27,0)),"")</f>
      </c>
      <c r="AD663" s="84" t="str">
        <f>IFERROR(INDEX('Cost_Components'!$N$2:$N$27,MATCH(E663,'Cost_Components'!$A$2:$A$27,0)),"")</f>
      </c>
      <c r="AE663" s="20" t="str">
        <f>IFERROR(INDEX('Cost_Components'!$O$2:$O$27,MATCH(E663,'Cost_Components'!$A$2:$A$27,0)),"")</f>
      </c>
      <c r="AF663" s="85" t="n">
        <v>23106782.0752341</v>
      </c>
      <c r="AG663" s="86" t="n">
        <v>23035947.1953715</v>
      </c>
      <c r="AH663" s="87" t="str">
        <f>IF(H663="shared-count-once",COUNTIFS($A$2:$A$1353,A663,$B$2:$B$1353,B663,$E$2:$E$1353,E663),1)</f>
      </c>
    </row>
    <row r="664">
      <c r="A664" t="s">
        <v>226</v>
      </c>
      <c r="B664" s="59" t="n">
        <v>2037</v>
      </c>
      <c r="C664" t="s">
        <v>226</v>
      </c>
      <c r="D664" t="s">
        <v>230</v>
      </c>
      <c r="E664" s="60" t="s">
        <v>322</v>
      </c>
      <c r="F664" s="61" t="s">
        <v>323</v>
      </c>
      <c r="G664" s="62" t="s">
        <v>227</v>
      </c>
      <c r="H664" s="63" t="s">
        <v>195</v>
      </c>
      <c r="I664" s="64" t="s">
        <v>267</v>
      </c>
      <c r="J664" s="65" t="str">
        <f>IFERROR(INDEX('Cost_Components'!$K$2:$K$27,MATCH(E664,'Cost_Components'!$A$2:$A$27,0)),"")</f>
      </c>
      <c r="K664" s="66" t="str">
        <f>IF(OR(L664="",Z664="",AA664="",AB664=""),"",IF(B664&lt;AA664,L664,IF(B664&gt;AB664,Z664,L664+(Z664-L664)*MIN(MAX((B664-AA664+1)/MAX(AB664-AA664+1,1),0),1))))</f>
      </c>
      <c r="L664" s="67" t="str">
        <f>IFERROR(INDEX('Cost_Components'!$S$2:$S$27,MATCH(E664,'Cost_Components'!$A$2:$A$27,0)),"")</f>
      </c>
      <c r="M664" s="68" t="str">
        <f>IFERROR(INDEX('Cost_Components'!$L$2:$L$27,MATCH(E664,'Cost_Components'!$A$2:$A$27,0)),"")</f>
      </c>
      <c r="N664" s="69" t="str">
        <f>IFERROR(INDEX('Cost_Components'!$P$2:$P$27,MATCH(E664,'Cost_Components'!$A$2:$A$27,0)),"")</f>
      </c>
      <c r="O664" s="70" t="str">
        <f>AF664*J664</f>
      </c>
      <c r="P664" s="71" t="str">
        <f>AG664*J664</f>
      </c>
      <c r="Q664" s="72" t="str">
        <f>P664*L664*M664*N664</f>
      </c>
      <c r="R664" s="73" t="str">
        <f>O664*K664*M664*N664</f>
      </c>
      <c r="S664" s="74" t="str">
        <f>R664-Q664</f>
      </c>
      <c r="T664" s="20" t="str">
        <f>IFERROR(INDEX('Cost_Components'!$R$2:$R$27,MATCH(E664,'Cost_Components'!$A$2:$A$27,0)),"")</f>
      </c>
      <c r="U664" s="75" t="str">
        <f>IFERROR(INDEX('Cost_Components'!$Q$2:$Q$27,MATCH(E664,'Cost_Components'!$A$2:$A$27,0)),"")</f>
      </c>
      <c r="V664" s="76" t="str">
        <f>1/(1+'Calculation_Assumptions'!$B$5)^(B664-'Calculation_Assumptions'!$B$2)</f>
      </c>
      <c r="W664" s="77" t="str">
        <f>Q664*V664</f>
      </c>
      <c r="X664" s="78" t="str">
        <f>R664*V664</f>
      </c>
      <c r="Y664" s="79" t="str">
        <f>S664*V664</f>
      </c>
      <c r="Z664" s="80" t="str">
        <f>IFERROR(INDEX('Cost_Components'!$T$2:$T$27,MATCH(E664,'Cost_Components'!$A$2:$A$27,0)),"")</f>
      </c>
      <c r="AA664" s="81" t="str">
        <f>IFERROR(INDEX('Cost_Components'!$U$2:$U$27,MATCH(E664,'Cost_Components'!$A$2:$A$27,0)),"")</f>
      </c>
      <c r="AB664" s="82" t="str">
        <f>IFERROR(INDEX('Cost_Components'!$V$2:$V$27,MATCH(E664,'Cost_Components'!$A$2:$A$27,0)),"")</f>
      </c>
      <c r="AC664" s="83" t="str">
        <f>IFERROR(INDEX('Cost_Components'!$M$2:$M$27,MATCH(E664,'Cost_Components'!$A$2:$A$27,0)),"")</f>
      </c>
      <c r="AD664" s="84" t="str">
        <f>IFERROR(INDEX('Cost_Components'!$N$2:$N$27,MATCH(E664,'Cost_Components'!$A$2:$A$27,0)),"")</f>
      </c>
      <c r="AE664" s="20" t="str">
        <f>IFERROR(INDEX('Cost_Components'!$O$2:$O$27,MATCH(E664,'Cost_Components'!$A$2:$A$27,0)),"")</f>
      </c>
      <c r="AF664" s="85" t="n">
        <v>23627125.2220391</v>
      </c>
      <c r="AG664" s="86" t="n">
        <v>23543466.6191775</v>
      </c>
      <c r="AH664" s="87" t="str">
        <f>IF(H664="shared-count-once",COUNTIFS($A$2:$A$1353,A664,$B$2:$B$1353,B664,$E$2:$E$1353,E664),1)</f>
      </c>
    </row>
    <row r="665">
      <c r="A665" t="s">
        <v>226</v>
      </c>
      <c r="B665" s="59" t="n">
        <v>2038</v>
      </c>
      <c r="C665" t="s">
        <v>226</v>
      </c>
      <c r="D665" t="s">
        <v>230</v>
      </c>
      <c r="E665" s="60" t="s">
        <v>322</v>
      </c>
      <c r="F665" s="61" t="s">
        <v>323</v>
      </c>
      <c r="G665" s="62" t="s">
        <v>227</v>
      </c>
      <c r="H665" s="63" t="s">
        <v>195</v>
      </c>
      <c r="I665" s="64" t="s">
        <v>267</v>
      </c>
      <c r="J665" s="65" t="str">
        <f>IFERROR(INDEX('Cost_Components'!$K$2:$K$27,MATCH(E665,'Cost_Components'!$A$2:$A$27,0)),"")</f>
      </c>
      <c r="K665" s="66" t="str">
        <f>IF(OR(L665="",Z665="",AA665="",AB665=""),"",IF(B665&lt;AA665,L665,IF(B665&gt;AB665,Z665,L665+(Z665-L665)*MIN(MAX((B665-AA665+1)/MAX(AB665-AA665+1,1),0),1))))</f>
      </c>
      <c r="L665" s="67" t="str">
        <f>IFERROR(INDEX('Cost_Components'!$S$2:$S$27,MATCH(E665,'Cost_Components'!$A$2:$A$27,0)),"")</f>
      </c>
      <c r="M665" s="68" t="str">
        <f>IFERROR(INDEX('Cost_Components'!$L$2:$L$27,MATCH(E665,'Cost_Components'!$A$2:$A$27,0)),"")</f>
      </c>
      <c r="N665" s="69" t="str">
        <f>IFERROR(INDEX('Cost_Components'!$P$2:$P$27,MATCH(E665,'Cost_Components'!$A$2:$A$27,0)),"")</f>
      </c>
      <c r="O665" s="70" t="str">
        <f>AF665*J665</f>
      </c>
      <c r="P665" s="71" t="str">
        <f>AG665*J665</f>
      </c>
      <c r="Q665" s="72" t="str">
        <f>P665*L665*M665*N665</f>
      </c>
      <c r="R665" s="73" t="str">
        <f>O665*K665*M665*N665</f>
      </c>
      <c r="S665" s="74" t="str">
        <f>R665-Q665</f>
      </c>
      <c r="T665" s="20" t="str">
        <f>IFERROR(INDEX('Cost_Components'!$R$2:$R$27,MATCH(E665,'Cost_Components'!$A$2:$A$27,0)),"")</f>
      </c>
      <c r="U665" s="75" t="str">
        <f>IFERROR(INDEX('Cost_Components'!$Q$2:$Q$27,MATCH(E665,'Cost_Components'!$A$2:$A$27,0)),"")</f>
      </c>
      <c r="V665" s="76" t="str">
        <f>1/(1+'Calculation_Assumptions'!$B$5)^(B665-'Calculation_Assumptions'!$B$2)</f>
      </c>
      <c r="W665" s="77" t="str">
        <f>Q665*V665</f>
      </c>
      <c r="X665" s="78" t="str">
        <f>R665*V665</f>
      </c>
      <c r="Y665" s="79" t="str">
        <f>S665*V665</f>
      </c>
      <c r="Z665" s="80" t="str">
        <f>IFERROR(INDEX('Cost_Components'!$T$2:$T$27,MATCH(E665,'Cost_Components'!$A$2:$A$27,0)),"")</f>
      </c>
      <c r="AA665" s="81" t="str">
        <f>IFERROR(INDEX('Cost_Components'!$U$2:$U$27,MATCH(E665,'Cost_Components'!$A$2:$A$27,0)),"")</f>
      </c>
      <c r="AB665" s="82" t="str">
        <f>IFERROR(INDEX('Cost_Components'!$V$2:$V$27,MATCH(E665,'Cost_Components'!$A$2:$A$27,0)),"")</f>
      </c>
      <c r="AC665" s="83" t="str">
        <f>IFERROR(INDEX('Cost_Components'!$M$2:$M$27,MATCH(E665,'Cost_Components'!$A$2:$A$27,0)),"")</f>
      </c>
      <c r="AD665" s="84" t="str">
        <f>IFERROR(INDEX('Cost_Components'!$N$2:$N$27,MATCH(E665,'Cost_Components'!$A$2:$A$27,0)),"")</f>
      </c>
      <c r="AE665" s="20" t="str">
        <f>IFERROR(INDEX('Cost_Components'!$O$2:$O$27,MATCH(E665,'Cost_Components'!$A$2:$A$27,0)),"")</f>
      </c>
      <c r="AF665" s="85" t="n">
        <v>24133607.0642399</v>
      </c>
      <c r="AG665" s="86" t="n">
        <v>24035969.3735295</v>
      </c>
      <c r="AH665" s="87" t="str">
        <f>IF(H665="shared-count-once",COUNTIFS($A$2:$A$1353,A665,$B$2:$B$1353,B665,$E$2:$E$1353,E665),1)</f>
      </c>
    </row>
    <row r="666">
      <c r="A666" t="s">
        <v>226</v>
      </c>
      <c r="B666" s="59" t="n">
        <v>2039</v>
      </c>
      <c r="C666" t="s">
        <v>226</v>
      </c>
      <c r="D666" t="s">
        <v>230</v>
      </c>
      <c r="E666" s="60" t="s">
        <v>322</v>
      </c>
      <c r="F666" s="61" t="s">
        <v>323</v>
      </c>
      <c r="G666" s="62" t="s">
        <v>227</v>
      </c>
      <c r="H666" s="63" t="s">
        <v>195</v>
      </c>
      <c r="I666" s="64" t="s">
        <v>267</v>
      </c>
      <c r="J666" s="65" t="str">
        <f>IFERROR(INDEX('Cost_Components'!$K$2:$K$27,MATCH(E666,'Cost_Components'!$A$2:$A$27,0)),"")</f>
      </c>
      <c r="K666" s="66" t="str">
        <f>IF(OR(L666="",Z666="",AA666="",AB666=""),"",IF(B666&lt;AA666,L666,IF(B666&gt;AB666,Z666,L666+(Z666-L666)*MIN(MAX((B666-AA666+1)/MAX(AB666-AA666+1,1),0),1))))</f>
      </c>
      <c r="L666" s="67" t="str">
        <f>IFERROR(INDEX('Cost_Components'!$S$2:$S$27,MATCH(E666,'Cost_Components'!$A$2:$A$27,0)),"")</f>
      </c>
      <c r="M666" s="68" t="str">
        <f>IFERROR(INDEX('Cost_Components'!$L$2:$L$27,MATCH(E666,'Cost_Components'!$A$2:$A$27,0)),"")</f>
      </c>
      <c r="N666" s="69" t="str">
        <f>IFERROR(INDEX('Cost_Components'!$P$2:$P$27,MATCH(E666,'Cost_Components'!$A$2:$A$27,0)),"")</f>
      </c>
      <c r="O666" s="70" t="str">
        <f>AF666*J666</f>
      </c>
      <c r="P666" s="71" t="str">
        <f>AG666*J666</f>
      </c>
      <c r="Q666" s="72" t="str">
        <f>P666*L666*M666*N666</f>
      </c>
      <c r="R666" s="73" t="str">
        <f>O666*K666*M666*N666</f>
      </c>
      <c r="S666" s="74" t="str">
        <f>R666-Q666</f>
      </c>
      <c r="T666" s="20" t="str">
        <f>IFERROR(INDEX('Cost_Components'!$R$2:$R$27,MATCH(E666,'Cost_Components'!$A$2:$A$27,0)),"")</f>
      </c>
      <c r="U666" s="75" t="str">
        <f>IFERROR(INDEX('Cost_Components'!$Q$2:$Q$27,MATCH(E666,'Cost_Components'!$A$2:$A$27,0)),"")</f>
      </c>
      <c r="V666" s="76" t="str">
        <f>1/(1+'Calculation_Assumptions'!$B$5)^(B666-'Calculation_Assumptions'!$B$2)</f>
      </c>
      <c r="W666" s="77" t="str">
        <f>Q666*V666</f>
      </c>
      <c r="X666" s="78" t="str">
        <f>R666*V666</f>
      </c>
      <c r="Y666" s="79" t="str">
        <f>S666*V666</f>
      </c>
      <c r="Z666" s="80" t="str">
        <f>IFERROR(INDEX('Cost_Components'!$T$2:$T$27,MATCH(E666,'Cost_Components'!$A$2:$A$27,0)),"")</f>
      </c>
      <c r="AA666" s="81" t="str">
        <f>IFERROR(INDEX('Cost_Components'!$U$2:$U$27,MATCH(E666,'Cost_Components'!$A$2:$A$27,0)),"")</f>
      </c>
      <c r="AB666" s="82" t="str">
        <f>IFERROR(INDEX('Cost_Components'!$V$2:$V$27,MATCH(E666,'Cost_Components'!$A$2:$A$27,0)),"")</f>
      </c>
      <c r="AC666" s="83" t="str">
        <f>IFERROR(INDEX('Cost_Components'!$M$2:$M$27,MATCH(E666,'Cost_Components'!$A$2:$A$27,0)),"")</f>
      </c>
      <c r="AD666" s="84" t="str">
        <f>IFERROR(INDEX('Cost_Components'!$N$2:$N$27,MATCH(E666,'Cost_Components'!$A$2:$A$27,0)),"")</f>
      </c>
      <c r="AE666" s="20" t="str">
        <f>IFERROR(INDEX('Cost_Components'!$O$2:$O$27,MATCH(E666,'Cost_Components'!$A$2:$A$27,0)),"")</f>
      </c>
      <c r="AF666" s="85" t="n">
        <v>24625733.7657353</v>
      </c>
      <c r="AG666" s="86" t="n">
        <v>24512955.2728775</v>
      </c>
      <c r="AH666" s="87" t="str">
        <f>IF(H666="shared-count-once",COUNTIFS($A$2:$A$1353,A666,$B$2:$B$1353,B666,$E$2:$E$1353,E666),1)</f>
      </c>
    </row>
    <row r="667">
      <c r="A667" t="s">
        <v>226</v>
      </c>
      <c r="B667" s="59" t="n">
        <v>2040</v>
      </c>
      <c r="C667" t="s">
        <v>226</v>
      </c>
      <c r="D667" t="s">
        <v>230</v>
      </c>
      <c r="E667" s="60" t="s">
        <v>322</v>
      </c>
      <c r="F667" s="61" t="s">
        <v>323</v>
      </c>
      <c r="G667" s="62" t="s">
        <v>227</v>
      </c>
      <c r="H667" s="63" t="s">
        <v>195</v>
      </c>
      <c r="I667" s="64" t="s">
        <v>267</v>
      </c>
      <c r="J667" s="65" t="str">
        <f>IFERROR(INDEX('Cost_Components'!$K$2:$K$27,MATCH(E667,'Cost_Components'!$A$2:$A$27,0)),"")</f>
      </c>
      <c r="K667" s="66" t="str">
        <f>IF(OR(L667="",Z667="",AA667="",AB667=""),"",IF(B667&lt;AA667,L667,IF(B667&gt;AB667,Z667,L667+(Z667-L667)*MIN(MAX((B667-AA667+1)/MAX(AB667-AA667+1,1),0),1))))</f>
      </c>
      <c r="L667" s="67" t="str">
        <f>IFERROR(INDEX('Cost_Components'!$S$2:$S$27,MATCH(E667,'Cost_Components'!$A$2:$A$27,0)),"")</f>
      </c>
      <c r="M667" s="68" t="str">
        <f>IFERROR(INDEX('Cost_Components'!$L$2:$L$27,MATCH(E667,'Cost_Components'!$A$2:$A$27,0)),"")</f>
      </c>
      <c r="N667" s="69" t="str">
        <f>IFERROR(INDEX('Cost_Components'!$P$2:$P$27,MATCH(E667,'Cost_Components'!$A$2:$A$27,0)),"")</f>
      </c>
      <c r="O667" s="70" t="str">
        <f>AF667*J667</f>
      </c>
      <c r="P667" s="71" t="str">
        <f>AG667*J667</f>
      </c>
      <c r="Q667" s="72" t="str">
        <f>P667*L667*M667*N667</f>
      </c>
      <c r="R667" s="73" t="str">
        <f>O667*K667*M667*N667</f>
      </c>
      <c r="S667" s="74" t="str">
        <f>R667-Q667</f>
      </c>
      <c r="T667" s="20" t="str">
        <f>IFERROR(INDEX('Cost_Components'!$R$2:$R$27,MATCH(E667,'Cost_Components'!$A$2:$A$27,0)),"")</f>
      </c>
      <c r="U667" s="75" t="str">
        <f>IFERROR(INDEX('Cost_Components'!$Q$2:$Q$27,MATCH(E667,'Cost_Components'!$A$2:$A$27,0)),"")</f>
      </c>
      <c r="V667" s="76" t="str">
        <f>1/(1+'Calculation_Assumptions'!$B$5)^(B667-'Calculation_Assumptions'!$B$2)</f>
      </c>
      <c r="W667" s="77" t="str">
        <f>Q667*V667</f>
      </c>
      <c r="X667" s="78" t="str">
        <f>R667*V667</f>
      </c>
      <c r="Y667" s="79" t="str">
        <f>S667*V667</f>
      </c>
      <c r="Z667" s="80" t="str">
        <f>IFERROR(INDEX('Cost_Components'!$T$2:$T$27,MATCH(E667,'Cost_Components'!$A$2:$A$27,0)),"")</f>
      </c>
      <c r="AA667" s="81" t="str">
        <f>IFERROR(INDEX('Cost_Components'!$U$2:$U$27,MATCH(E667,'Cost_Components'!$A$2:$A$27,0)),"")</f>
      </c>
      <c r="AB667" s="82" t="str">
        <f>IFERROR(INDEX('Cost_Components'!$V$2:$V$27,MATCH(E667,'Cost_Components'!$A$2:$A$27,0)),"")</f>
      </c>
      <c r="AC667" s="83" t="str">
        <f>IFERROR(INDEX('Cost_Components'!$M$2:$M$27,MATCH(E667,'Cost_Components'!$A$2:$A$27,0)),"")</f>
      </c>
      <c r="AD667" s="84" t="str">
        <f>IFERROR(INDEX('Cost_Components'!$N$2:$N$27,MATCH(E667,'Cost_Components'!$A$2:$A$27,0)),"")</f>
      </c>
      <c r="AE667" s="20" t="str">
        <f>IFERROR(INDEX('Cost_Components'!$O$2:$O$27,MATCH(E667,'Cost_Components'!$A$2:$A$27,0)),"")</f>
      </c>
      <c r="AF667" s="85" t="n">
        <v>25102970.5492609</v>
      </c>
      <c r="AG667" s="86" t="n">
        <v>24973888.0291673</v>
      </c>
      <c r="AH667" s="87" t="str">
        <f>IF(H667="shared-count-once",COUNTIFS($A$2:$A$1353,A667,$B$2:$B$1353,B667,$E$2:$E$1353,E667),1)</f>
      </c>
    </row>
    <row r="668">
      <c r="A668" t="s">
        <v>226</v>
      </c>
      <c r="B668" s="59" t="n">
        <v>2041</v>
      </c>
      <c r="C668" t="s">
        <v>226</v>
      </c>
      <c r="D668" t="s">
        <v>230</v>
      </c>
      <c r="E668" s="60" t="s">
        <v>322</v>
      </c>
      <c r="F668" s="61" t="s">
        <v>323</v>
      </c>
      <c r="G668" s="62" t="s">
        <v>227</v>
      </c>
      <c r="H668" s="63" t="s">
        <v>195</v>
      </c>
      <c r="I668" s="64" t="s">
        <v>267</v>
      </c>
      <c r="J668" s="65" t="str">
        <f>IFERROR(INDEX('Cost_Components'!$K$2:$K$27,MATCH(E668,'Cost_Components'!$A$2:$A$27,0)),"")</f>
      </c>
      <c r="K668" s="66" t="str">
        <f>IF(OR(L668="",Z668="",AA668="",AB668=""),"",IF(B668&lt;AA668,L668,IF(B668&gt;AB668,Z668,L668+(Z668-L668)*MIN(MAX((B668-AA668+1)/MAX(AB668-AA668+1,1),0),1))))</f>
      </c>
      <c r="L668" s="67" t="str">
        <f>IFERROR(INDEX('Cost_Components'!$S$2:$S$27,MATCH(E668,'Cost_Components'!$A$2:$A$27,0)),"")</f>
      </c>
      <c r="M668" s="68" t="str">
        <f>IFERROR(INDEX('Cost_Components'!$L$2:$L$27,MATCH(E668,'Cost_Components'!$A$2:$A$27,0)),"")</f>
      </c>
      <c r="N668" s="69" t="str">
        <f>IFERROR(INDEX('Cost_Components'!$P$2:$P$27,MATCH(E668,'Cost_Components'!$A$2:$A$27,0)),"")</f>
      </c>
      <c r="O668" s="70" t="str">
        <f>AF668*J668</f>
      </c>
      <c r="P668" s="71" t="str">
        <f>AG668*J668</f>
      </c>
      <c r="Q668" s="72" t="str">
        <f>P668*L668*M668*N668</f>
      </c>
      <c r="R668" s="73" t="str">
        <f>O668*K668*M668*N668</f>
      </c>
      <c r="S668" s="74" t="str">
        <f>R668-Q668</f>
      </c>
      <c r="T668" s="20" t="str">
        <f>IFERROR(INDEX('Cost_Components'!$R$2:$R$27,MATCH(E668,'Cost_Components'!$A$2:$A$27,0)),"")</f>
      </c>
      <c r="U668" s="75" t="str">
        <f>IFERROR(INDEX('Cost_Components'!$Q$2:$Q$27,MATCH(E668,'Cost_Components'!$A$2:$A$27,0)),"")</f>
      </c>
      <c r="V668" s="76" t="str">
        <f>1/(1+'Calculation_Assumptions'!$B$5)^(B668-'Calculation_Assumptions'!$B$2)</f>
      </c>
      <c r="W668" s="77" t="str">
        <f>Q668*V668</f>
      </c>
      <c r="X668" s="78" t="str">
        <f>R668*V668</f>
      </c>
      <c r="Y668" s="79" t="str">
        <f>S668*V668</f>
      </c>
      <c r="Z668" s="80" t="str">
        <f>IFERROR(INDEX('Cost_Components'!$T$2:$T$27,MATCH(E668,'Cost_Components'!$A$2:$A$27,0)),"")</f>
      </c>
      <c r="AA668" s="81" t="str">
        <f>IFERROR(INDEX('Cost_Components'!$U$2:$U$27,MATCH(E668,'Cost_Components'!$A$2:$A$27,0)),"")</f>
      </c>
      <c r="AB668" s="82" t="str">
        <f>IFERROR(INDEX('Cost_Components'!$V$2:$V$27,MATCH(E668,'Cost_Components'!$A$2:$A$27,0)),"")</f>
      </c>
      <c r="AC668" s="83" t="str">
        <f>IFERROR(INDEX('Cost_Components'!$M$2:$M$27,MATCH(E668,'Cost_Components'!$A$2:$A$27,0)),"")</f>
      </c>
      <c r="AD668" s="84" t="str">
        <f>IFERROR(INDEX('Cost_Components'!$N$2:$N$27,MATCH(E668,'Cost_Components'!$A$2:$A$27,0)),"")</f>
      </c>
      <c r="AE668" s="20" t="str">
        <f>IFERROR(INDEX('Cost_Components'!$O$2:$O$27,MATCH(E668,'Cost_Components'!$A$2:$A$27,0)),"")</f>
      </c>
      <c r="AF668" s="85" t="n">
        <v>25564772.6155267</v>
      </c>
      <c r="AG668" s="86" t="n">
        <v>25418223.3437348</v>
      </c>
      <c r="AH668" s="87" t="str">
        <f>IF(H668="shared-count-once",COUNTIFS($A$2:$A$1353,A668,$B$2:$B$1353,B668,$E$2:$E$1353,E668),1)</f>
      </c>
    </row>
    <row r="669">
      <c r="A669" t="s">
        <v>226</v>
      </c>
      <c r="B669" s="59" t="n">
        <v>2042</v>
      </c>
      <c r="C669" t="s">
        <v>226</v>
      </c>
      <c r="D669" t="s">
        <v>230</v>
      </c>
      <c r="E669" s="60" t="s">
        <v>322</v>
      </c>
      <c r="F669" s="61" t="s">
        <v>323</v>
      </c>
      <c r="G669" s="62" t="s">
        <v>227</v>
      </c>
      <c r="H669" s="63" t="s">
        <v>195</v>
      </c>
      <c r="I669" s="64" t="s">
        <v>267</v>
      </c>
      <c r="J669" s="65" t="str">
        <f>IFERROR(INDEX('Cost_Components'!$K$2:$K$27,MATCH(E669,'Cost_Components'!$A$2:$A$27,0)),"")</f>
      </c>
      <c r="K669" s="66" t="str">
        <f>IF(OR(L669="",Z669="",AA669="",AB669=""),"",IF(B669&lt;AA669,L669,IF(B669&gt;AB669,Z669,L669+(Z669-L669)*MIN(MAX((B669-AA669+1)/MAX(AB669-AA669+1,1),0),1))))</f>
      </c>
      <c r="L669" s="67" t="str">
        <f>IFERROR(INDEX('Cost_Components'!$S$2:$S$27,MATCH(E669,'Cost_Components'!$A$2:$A$27,0)),"")</f>
      </c>
      <c r="M669" s="68" t="str">
        <f>IFERROR(INDEX('Cost_Components'!$L$2:$L$27,MATCH(E669,'Cost_Components'!$A$2:$A$27,0)),"")</f>
      </c>
      <c r="N669" s="69" t="str">
        <f>IFERROR(INDEX('Cost_Components'!$P$2:$P$27,MATCH(E669,'Cost_Components'!$A$2:$A$27,0)),"")</f>
      </c>
      <c r="O669" s="70" t="str">
        <f>AF669*J669</f>
      </c>
      <c r="P669" s="71" t="str">
        <f>AG669*J669</f>
      </c>
      <c r="Q669" s="72" t="str">
        <f>P669*L669*M669*N669</f>
      </c>
      <c r="R669" s="73" t="str">
        <f>O669*K669*M669*N669</f>
      </c>
      <c r="S669" s="74" t="str">
        <f>R669-Q669</f>
      </c>
      <c r="T669" s="20" t="str">
        <f>IFERROR(INDEX('Cost_Components'!$R$2:$R$27,MATCH(E669,'Cost_Components'!$A$2:$A$27,0)),"")</f>
      </c>
      <c r="U669" s="75" t="str">
        <f>IFERROR(INDEX('Cost_Components'!$Q$2:$Q$27,MATCH(E669,'Cost_Components'!$A$2:$A$27,0)),"")</f>
      </c>
      <c r="V669" s="76" t="str">
        <f>1/(1+'Calculation_Assumptions'!$B$5)^(B669-'Calculation_Assumptions'!$B$2)</f>
      </c>
      <c r="W669" s="77" t="str">
        <f>Q669*V669</f>
      </c>
      <c r="X669" s="78" t="str">
        <f>R669*V669</f>
      </c>
      <c r="Y669" s="79" t="str">
        <f>S669*V669</f>
      </c>
      <c r="Z669" s="80" t="str">
        <f>IFERROR(INDEX('Cost_Components'!$T$2:$T$27,MATCH(E669,'Cost_Components'!$A$2:$A$27,0)),"")</f>
      </c>
      <c r="AA669" s="81" t="str">
        <f>IFERROR(INDEX('Cost_Components'!$U$2:$U$27,MATCH(E669,'Cost_Components'!$A$2:$A$27,0)),"")</f>
      </c>
      <c r="AB669" s="82" t="str">
        <f>IFERROR(INDEX('Cost_Components'!$V$2:$V$27,MATCH(E669,'Cost_Components'!$A$2:$A$27,0)),"")</f>
      </c>
      <c r="AC669" s="83" t="str">
        <f>IFERROR(INDEX('Cost_Components'!$M$2:$M$27,MATCH(E669,'Cost_Components'!$A$2:$A$27,0)),"")</f>
      </c>
      <c r="AD669" s="84" t="str">
        <f>IFERROR(INDEX('Cost_Components'!$N$2:$N$27,MATCH(E669,'Cost_Components'!$A$2:$A$27,0)),"")</f>
      </c>
      <c r="AE669" s="20" t="str">
        <f>IFERROR(INDEX('Cost_Components'!$O$2:$O$27,MATCH(E669,'Cost_Components'!$A$2:$A$27,0)),"")</f>
      </c>
      <c r="AF669" s="85" t="n">
        <v>26010582.3008862</v>
      </c>
      <c r="AG669" s="86" t="n">
        <v>25845404.6644472</v>
      </c>
      <c r="AH669" s="87" t="str">
        <f>IF(H669="shared-count-once",COUNTIFS($A$2:$A$1353,A669,$B$2:$B$1353,B669,$E$2:$E$1353,E669),1)</f>
      </c>
    </row>
    <row r="670">
      <c r="A670" t="s">
        <v>226</v>
      </c>
      <c r="B670" s="59" t="n">
        <v>2043</v>
      </c>
      <c r="C670" t="s">
        <v>226</v>
      </c>
      <c r="D670" t="s">
        <v>230</v>
      </c>
      <c r="E670" s="60" t="s">
        <v>322</v>
      </c>
      <c r="F670" s="61" t="s">
        <v>323</v>
      </c>
      <c r="G670" s="62" t="s">
        <v>227</v>
      </c>
      <c r="H670" s="63" t="s">
        <v>195</v>
      </c>
      <c r="I670" s="64" t="s">
        <v>267</v>
      </c>
      <c r="J670" s="65" t="str">
        <f>IFERROR(INDEX('Cost_Components'!$K$2:$K$27,MATCH(E670,'Cost_Components'!$A$2:$A$27,0)),"")</f>
      </c>
      <c r="K670" s="66" t="str">
        <f>IF(OR(L670="",Z670="",AA670="",AB670=""),"",IF(B670&lt;AA670,L670,IF(B670&gt;AB670,Z670,L670+(Z670-L670)*MIN(MAX((B670-AA670+1)/MAX(AB670-AA670+1,1),0),1))))</f>
      </c>
      <c r="L670" s="67" t="str">
        <f>IFERROR(INDEX('Cost_Components'!$S$2:$S$27,MATCH(E670,'Cost_Components'!$A$2:$A$27,0)),"")</f>
      </c>
      <c r="M670" s="68" t="str">
        <f>IFERROR(INDEX('Cost_Components'!$L$2:$L$27,MATCH(E670,'Cost_Components'!$A$2:$A$27,0)),"")</f>
      </c>
      <c r="N670" s="69" t="str">
        <f>IFERROR(INDEX('Cost_Components'!$P$2:$P$27,MATCH(E670,'Cost_Components'!$A$2:$A$27,0)),"")</f>
      </c>
      <c r="O670" s="70" t="str">
        <f>AF670*J670</f>
      </c>
      <c r="P670" s="71" t="str">
        <f>AG670*J670</f>
      </c>
      <c r="Q670" s="72" t="str">
        <f>P670*L670*M670*N670</f>
      </c>
      <c r="R670" s="73" t="str">
        <f>O670*K670*M670*N670</f>
      </c>
      <c r="S670" s="74" t="str">
        <f>R670-Q670</f>
      </c>
      <c r="T670" s="20" t="str">
        <f>IFERROR(INDEX('Cost_Components'!$R$2:$R$27,MATCH(E670,'Cost_Components'!$A$2:$A$27,0)),"")</f>
      </c>
      <c r="U670" s="75" t="str">
        <f>IFERROR(INDEX('Cost_Components'!$Q$2:$Q$27,MATCH(E670,'Cost_Components'!$A$2:$A$27,0)),"")</f>
      </c>
      <c r="V670" s="76" t="str">
        <f>1/(1+'Calculation_Assumptions'!$B$5)^(B670-'Calculation_Assumptions'!$B$2)</f>
      </c>
      <c r="W670" s="77" t="str">
        <f>Q670*V670</f>
      </c>
      <c r="X670" s="78" t="str">
        <f>R670*V670</f>
      </c>
      <c r="Y670" s="79" t="str">
        <f>S670*V670</f>
      </c>
      <c r="Z670" s="80" t="str">
        <f>IFERROR(INDEX('Cost_Components'!$T$2:$T$27,MATCH(E670,'Cost_Components'!$A$2:$A$27,0)),"")</f>
      </c>
      <c r="AA670" s="81" t="str">
        <f>IFERROR(INDEX('Cost_Components'!$U$2:$U$27,MATCH(E670,'Cost_Components'!$A$2:$A$27,0)),"")</f>
      </c>
      <c r="AB670" s="82" t="str">
        <f>IFERROR(INDEX('Cost_Components'!$V$2:$V$27,MATCH(E670,'Cost_Components'!$A$2:$A$27,0)),"")</f>
      </c>
      <c r="AC670" s="83" t="str">
        <f>IFERROR(INDEX('Cost_Components'!$M$2:$M$27,MATCH(E670,'Cost_Components'!$A$2:$A$27,0)),"")</f>
      </c>
      <c r="AD670" s="84" t="str">
        <f>IFERROR(INDEX('Cost_Components'!$N$2:$N$27,MATCH(E670,'Cost_Components'!$A$2:$A$27,0)),"")</f>
      </c>
      <c r="AE670" s="20" t="str">
        <f>IFERROR(INDEX('Cost_Components'!$O$2:$O$27,MATCH(E670,'Cost_Components'!$A$2:$A$27,0)),"")</f>
      </c>
      <c r="AF670" s="85" t="n">
        <v>26439915.8558866</v>
      </c>
      <c r="AG670" s="86" t="n">
        <v>26254954.9347316</v>
      </c>
      <c r="AH670" s="87" t="str">
        <f>IF(H670="shared-count-once",COUNTIFS($A$2:$A$1353,A670,$B$2:$B$1353,B670,$E$2:$E$1353,E670),1)</f>
      </c>
    </row>
    <row r="671">
      <c r="A671" t="s">
        <v>226</v>
      </c>
      <c r="B671" s="59" t="n">
        <v>2044</v>
      </c>
      <c r="C671" t="s">
        <v>226</v>
      </c>
      <c r="D671" t="s">
        <v>230</v>
      </c>
      <c r="E671" s="60" t="s">
        <v>322</v>
      </c>
      <c r="F671" s="61" t="s">
        <v>323</v>
      </c>
      <c r="G671" s="62" t="s">
        <v>227</v>
      </c>
      <c r="H671" s="63" t="s">
        <v>195</v>
      </c>
      <c r="I671" s="64" t="s">
        <v>267</v>
      </c>
      <c r="J671" s="65" t="str">
        <f>IFERROR(INDEX('Cost_Components'!$K$2:$K$27,MATCH(E671,'Cost_Components'!$A$2:$A$27,0)),"")</f>
      </c>
      <c r="K671" s="66" t="str">
        <f>IF(OR(L671="",Z671="",AA671="",AB671=""),"",IF(B671&lt;AA671,L671,IF(B671&gt;AB671,Z671,L671+(Z671-L671)*MIN(MAX((B671-AA671+1)/MAX(AB671-AA671+1,1),0),1))))</f>
      </c>
      <c r="L671" s="67" t="str">
        <f>IFERROR(INDEX('Cost_Components'!$S$2:$S$27,MATCH(E671,'Cost_Components'!$A$2:$A$27,0)),"")</f>
      </c>
      <c r="M671" s="68" t="str">
        <f>IFERROR(INDEX('Cost_Components'!$L$2:$L$27,MATCH(E671,'Cost_Components'!$A$2:$A$27,0)),"")</f>
      </c>
      <c r="N671" s="69" t="str">
        <f>IFERROR(INDEX('Cost_Components'!$P$2:$P$27,MATCH(E671,'Cost_Components'!$A$2:$A$27,0)),"")</f>
      </c>
      <c r="O671" s="70" t="str">
        <f>AF671*J671</f>
      </c>
      <c r="P671" s="71" t="str">
        <f>AG671*J671</f>
      </c>
      <c r="Q671" s="72" t="str">
        <f>P671*L671*M671*N671</f>
      </c>
      <c r="R671" s="73" t="str">
        <f>O671*K671*M671*N671</f>
      </c>
      <c r="S671" s="74" t="str">
        <f>R671-Q671</f>
      </c>
      <c r="T671" s="20" t="str">
        <f>IFERROR(INDEX('Cost_Components'!$R$2:$R$27,MATCH(E671,'Cost_Components'!$A$2:$A$27,0)),"")</f>
      </c>
      <c r="U671" s="75" t="str">
        <f>IFERROR(INDEX('Cost_Components'!$Q$2:$Q$27,MATCH(E671,'Cost_Components'!$A$2:$A$27,0)),"")</f>
      </c>
      <c r="V671" s="76" t="str">
        <f>1/(1+'Calculation_Assumptions'!$B$5)^(B671-'Calculation_Assumptions'!$B$2)</f>
      </c>
      <c r="W671" s="77" t="str">
        <f>Q671*V671</f>
      </c>
      <c r="X671" s="78" t="str">
        <f>R671*V671</f>
      </c>
      <c r="Y671" s="79" t="str">
        <f>S671*V671</f>
      </c>
      <c r="Z671" s="80" t="str">
        <f>IFERROR(INDEX('Cost_Components'!$T$2:$T$27,MATCH(E671,'Cost_Components'!$A$2:$A$27,0)),"")</f>
      </c>
      <c r="AA671" s="81" t="str">
        <f>IFERROR(INDEX('Cost_Components'!$U$2:$U$27,MATCH(E671,'Cost_Components'!$A$2:$A$27,0)),"")</f>
      </c>
      <c r="AB671" s="82" t="str">
        <f>IFERROR(INDEX('Cost_Components'!$V$2:$V$27,MATCH(E671,'Cost_Components'!$A$2:$A$27,0)),"")</f>
      </c>
      <c r="AC671" s="83" t="str">
        <f>IFERROR(INDEX('Cost_Components'!$M$2:$M$27,MATCH(E671,'Cost_Components'!$A$2:$A$27,0)),"")</f>
      </c>
      <c r="AD671" s="84" t="str">
        <f>IFERROR(INDEX('Cost_Components'!$N$2:$N$27,MATCH(E671,'Cost_Components'!$A$2:$A$27,0)),"")</f>
      </c>
      <c r="AE671" s="20" t="str">
        <f>IFERROR(INDEX('Cost_Components'!$O$2:$O$27,MATCH(E671,'Cost_Components'!$A$2:$A$27,0)),"")</f>
      </c>
      <c r="AF671" s="85" t="n">
        <v>26852639.8913518</v>
      </c>
      <c r="AG671" s="86" t="n">
        <v>26646759.4300919</v>
      </c>
      <c r="AH671" s="87" t="str">
        <f>IF(H671="shared-count-once",COUNTIFS($A$2:$A$1353,A671,$B$2:$B$1353,B671,$E$2:$E$1353,E671),1)</f>
      </c>
    </row>
    <row r="672">
      <c r="A672" t="s">
        <v>226</v>
      </c>
      <c r="B672" s="59" t="n">
        <v>2045</v>
      </c>
      <c r="C672" t="s">
        <v>226</v>
      </c>
      <c r="D672" t="s">
        <v>230</v>
      </c>
      <c r="E672" s="60" t="s">
        <v>322</v>
      </c>
      <c r="F672" s="61" t="s">
        <v>323</v>
      </c>
      <c r="G672" s="62" t="s">
        <v>227</v>
      </c>
      <c r="H672" s="63" t="s">
        <v>195</v>
      </c>
      <c r="I672" s="64" t="s">
        <v>267</v>
      </c>
      <c r="J672" s="65" t="str">
        <f>IFERROR(INDEX('Cost_Components'!$K$2:$K$27,MATCH(E672,'Cost_Components'!$A$2:$A$27,0)),"")</f>
      </c>
      <c r="K672" s="66" t="str">
        <f>IF(OR(L672="",Z672="",AA672="",AB672=""),"",IF(B672&lt;AA672,L672,IF(B672&gt;AB672,Z672,L672+(Z672-L672)*MIN(MAX((B672-AA672+1)/MAX(AB672-AA672+1,1),0),1))))</f>
      </c>
      <c r="L672" s="67" t="str">
        <f>IFERROR(INDEX('Cost_Components'!$S$2:$S$27,MATCH(E672,'Cost_Components'!$A$2:$A$27,0)),"")</f>
      </c>
      <c r="M672" s="68" t="str">
        <f>IFERROR(INDEX('Cost_Components'!$L$2:$L$27,MATCH(E672,'Cost_Components'!$A$2:$A$27,0)),"")</f>
      </c>
      <c r="N672" s="69" t="str">
        <f>IFERROR(INDEX('Cost_Components'!$P$2:$P$27,MATCH(E672,'Cost_Components'!$A$2:$A$27,0)),"")</f>
      </c>
      <c r="O672" s="70" t="str">
        <f>AF672*J672</f>
      </c>
      <c r="P672" s="71" t="str">
        <f>AG672*J672</f>
      </c>
      <c r="Q672" s="72" t="str">
        <f>P672*L672*M672*N672</f>
      </c>
      <c r="R672" s="73" t="str">
        <f>O672*K672*M672*N672</f>
      </c>
      <c r="S672" s="74" t="str">
        <f>R672-Q672</f>
      </c>
      <c r="T672" s="20" t="str">
        <f>IFERROR(INDEX('Cost_Components'!$R$2:$R$27,MATCH(E672,'Cost_Components'!$A$2:$A$27,0)),"")</f>
      </c>
      <c r="U672" s="75" t="str">
        <f>IFERROR(INDEX('Cost_Components'!$Q$2:$Q$27,MATCH(E672,'Cost_Components'!$A$2:$A$27,0)),"")</f>
      </c>
      <c r="V672" s="76" t="str">
        <f>1/(1+'Calculation_Assumptions'!$B$5)^(B672-'Calculation_Assumptions'!$B$2)</f>
      </c>
      <c r="W672" s="77" t="str">
        <f>Q672*V672</f>
      </c>
      <c r="X672" s="78" t="str">
        <f>R672*V672</f>
      </c>
      <c r="Y672" s="79" t="str">
        <f>S672*V672</f>
      </c>
      <c r="Z672" s="80" t="str">
        <f>IFERROR(INDEX('Cost_Components'!$T$2:$T$27,MATCH(E672,'Cost_Components'!$A$2:$A$27,0)),"")</f>
      </c>
      <c r="AA672" s="81" t="str">
        <f>IFERROR(INDEX('Cost_Components'!$U$2:$U$27,MATCH(E672,'Cost_Components'!$A$2:$A$27,0)),"")</f>
      </c>
      <c r="AB672" s="82" t="str">
        <f>IFERROR(INDEX('Cost_Components'!$V$2:$V$27,MATCH(E672,'Cost_Components'!$A$2:$A$27,0)),"")</f>
      </c>
      <c r="AC672" s="83" t="str">
        <f>IFERROR(INDEX('Cost_Components'!$M$2:$M$27,MATCH(E672,'Cost_Components'!$A$2:$A$27,0)),"")</f>
      </c>
      <c r="AD672" s="84" t="str">
        <f>IFERROR(INDEX('Cost_Components'!$N$2:$N$27,MATCH(E672,'Cost_Components'!$A$2:$A$27,0)),"")</f>
      </c>
      <c r="AE672" s="20" t="str">
        <f>IFERROR(INDEX('Cost_Components'!$O$2:$O$27,MATCH(E672,'Cost_Components'!$A$2:$A$27,0)),"")</f>
      </c>
      <c r="AF672" s="85" t="n">
        <v>27248713.2969272</v>
      </c>
      <c r="AG672" s="86" t="n">
        <v>27020805.7712303</v>
      </c>
      <c r="AH672" s="87" t="str">
        <f>IF(H672="shared-count-once",COUNTIFS($A$2:$A$1353,A672,$B$2:$B$1353,B672,$E$2:$E$1353,E672),1)</f>
      </c>
    </row>
    <row r="673">
      <c r="A673" t="s">
        <v>226</v>
      </c>
      <c r="B673" s="59" t="n">
        <v>2046</v>
      </c>
      <c r="C673" t="s">
        <v>226</v>
      </c>
      <c r="D673" t="s">
        <v>230</v>
      </c>
      <c r="E673" s="60" t="s">
        <v>322</v>
      </c>
      <c r="F673" s="61" t="s">
        <v>323</v>
      </c>
      <c r="G673" s="62" t="s">
        <v>227</v>
      </c>
      <c r="H673" s="63" t="s">
        <v>195</v>
      </c>
      <c r="I673" s="64" t="s">
        <v>267</v>
      </c>
      <c r="J673" s="65" t="str">
        <f>IFERROR(INDEX('Cost_Components'!$K$2:$K$27,MATCH(E673,'Cost_Components'!$A$2:$A$27,0)),"")</f>
      </c>
      <c r="K673" s="66" t="str">
        <f>IF(OR(L673="",Z673="",AA673="",AB673=""),"",IF(B673&lt;AA673,L673,IF(B673&gt;AB673,Z673,L673+(Z673-L673)*MIN(MAX((B673-AA673+1)/MAX(AB673-AA673+1,1),0),1))))</f>
      </c>
      <c r="L673" s="67" t="str">
        <f>IFERROR(INDEX('Cost_Components'!$S$2:$S$27,MATCH(E673,'Cost_Components'!$A$2:$A$27,0)),"")</f>
      </c>
      <c r="M673" s="68" t="str">
        <f>IFERROR(INDEX('Cost_Components'!$L$2:$L$27,MATCH(E673,'Cost_Components'!$A$2:$A$27,0)),"")</f>
      </c>
      <c r="N673" s="69" t="str">
        <f>IFERROR(INDEX('Cost_Components'!$P$2:$P$27,MATCH(E673,'Cost_Components'!$A$2:$A$27,0)),"")</f>
      </c>
      <c r="O673" s="70" t="str">
        <f>AF673*J673</f>
      </c>
      <c r="P673" s="71" t="str">
        <f>AG673*J673</f>
      </c>
      <c r="Q673" s="72" t="str">
        <f>P673*L673*M673*N673</f>
      </c>
      <c r="R673" s="73" t="str">
        <f>O673*K673*M673*N673</f>
      </c>
      <c r="S673" s="74" t="str">
        <f>R673-Q673</f>
      </c>
      <c r="T673" s="20" t="str">
        <f>IFERROR(INDEX('Cost_Components'!$R$2:$R$27,MATCH(E673,'Cost_Components'!$A$2:$A$27,0)),"")</f>
      </c>
      <c r="U673" s="75" t="str">
        <f>IFERROR(INDEX('Cost_Components'!$Q$2:$Q$27,MATCH(E673,'Cost_Components'!$A$2:$A$27,0)),"")</f>
      </c>
      <c r="V673" s="76" t="str">
        <f>1/(1+'Calculation_Assumptions'!$B$5)^(B673-'Calculation_Assumptions'!$B$2)</f>
      </c>
      <c r="W673" s="77" t="str">
        <f>Q673*V673</f>
      </c>
      <c r="X673" s="78" t="str">
        <f>R673*V673</f>
      </c>
      <c r="Y673" s="79" t="str">
        <f>S673*V673</f>
      </c>
      <c r="Z673" s="80" t="str">
        <f>IFERROR(INDEX('Cost_Components'!$T$2:$T$27,MATCH(E673,'Cost_Components'!$A$2:$A$27,0)),"")</f>
      </c>
      <c r="AA673" s="81" t="str">
        <f>IFERROR(INDEX('Cost_Components'!$U$2:$U$27,MATCH(E673,'Cost_Components'!$A$2:$A$27,0)),"")</f>
      </c>
      <c r="AB673" s="82" t="str">
        <f>IFERROR(INDEX('Cost_Components'!$V$2:$V$27,MATCH(E673,'Cost_Components'!$A$2:$A$27,0)),"")</f>
      </c>
      <c r="AC673" s="83" t="str">
        <f>IFERROR(INDEX('Cost_Components'!$M$2:$M$27,MATCH(E673,'Cost_Components'!$A$2:$A$27,0)),"")</f>
      </c>
      <c r="AD673" s="84" t="str">
        <f>IFERROR(INDEX('Cost_Components'!$N$2:$N$27,MATCH(E673,'Cost_Components'!$A$2:$A$27,0)),"")</f>
      </c>
      <c r="AE673" s="20" t="str">
        <f>IFERROR(INDEX('Cost_Components'!$O$2:$O$27,MATCH(E673,'Cost_Components'!$A$2:$A$27,0)),"")</f>
      </c>
      <c r="AF673" s="85" t="n">
        <v>27628141.2829055</v>
      </c>
      <c r="AG673" s="86" t="n">
        <v>27377139.1204612</v>
      </c>
      <c r="AH673" s="87" t="str">
        <f>IF(H673="shared-count-once",COUNTIFS($A$2:$A$1353,A673,$B$2:$B$1353,B673,$E$2:$E$1353,E673),1)</f>
      </c>
    </row>
    <row r="674">
      <c r="A674" t="s">
        <v>226</v>
      </c>
      <c r="B674" s="59" t="n">
        <v>2047</v>
      </c>
      <c r="C674" t="s">
        <v>226</v>
      </c>
      <c r="D674" t="s">
        <v>230</v>
      </c>
      <c r="E674" s="60" t="s">
        <v>322</v>
      </c>
      <c r="F674" s="61" t="s">
        <v>323</v>
      </c>
      <c r="G674" s="62" t="s">
        <v>227</v>
      </c>
      <c r="H674" s="63" t="s">
        <v>195</v>
      </c>
      <c r="I674" s="64" t="s">
        <v>267</v>
      </c>
      <c r="J674" s="65" t="str">
        <f>IFERROR(INDEX('Cost_Components'!$K$2:$K$27,MATCH(E674,'Cost_Components'!$A$2:$A$27,0)),"")</f>
      </c>
      <c r="K674" s="66" t="str">
        <f>IF(OR(L674="",Z674="",AA674="",AB674=""),"",IF(B674&lt;AA674,L674,IF(B674&gt;AB674,Z674,L674+(Z674-L674)*MIN(MAX((B674-AA674+1)/MAX(AB674-AA674+1,1),0),1))))</f>
      </c>
      <c r="L674" s="67" t="str">
        <f>IFERROR(INDEX('Cost_Components'!$S$2:$S$27,MATCH(E674,'Cost_Components'!$A$2:$A$27,0)),"")</f>
      </c>
      <c r="M674" s="68" t="str">
        <f>IFERROR(INDEX('Cost_Components'!$L$2:$L$27,MATCH(E674,'Cost_Components'!$A$2:$A$27,0)),"")</f>
      </c>
      <c r="N674" s="69" t="str">
        <f>IFERROR(INDEX('Cost_Components'!$P$2:$P$27,MATCH(E674,'Cost_Components'!$A$2:$A$27,0)),"")</f>
      </c>
      <c r="O674" s="70" t="str">
        <f>AF674*J674</f>
      </c>
      <c r="P674" s="71" t="str">
        <f>AG674*J674</f>
      </c>
      <c r="Q674" s="72" t="str">
        <f>P674*L674*M674*N674</f>
      </c>
      <c r="R674" s="73" t="str">
        <f>O674*K674*M674*N674</f>
      </c>
      <c r="S674" s="74" t="str">
        <f>R674-Q674</f>
      </c>
      <c r="T674" s="20" t="str">
        <f>IFERROR(INDEX('Cost_Components'!$R$2:$R$27,MATCH(E674,'Cost_Components'!$A$2:$A$27,0)),"")</f>
      </c>
      <c r="U674" s="75" t="str">
        <f>IFERROR(INDEX('Cost_Components'!$Q$2:$Q$27,MATCH(E674,'Cost_Components'!$A$2:$A$27,0)),"")</f>
      </c>
      <c r="V674" s="76" t="str">
        <f>1/(1+'Calculation_Assumptions'!$B$5)^(B674-'Calculation_Assumptions'!$B$2)</f>
      </c>
      <c r="W674" s="77" t="str">
        <f>Q674*V674</f>
      </c>
      <c r="X674" s="78" t="str">
        <f>R674*V674</f>
      </c>
      <c r="Y674" s="79" t="str">
        <f>S674*V674</f>
      </c>
      <c r="Z674" s="80" t="str">
        <f>IFERROR(INDEX('Cost_Components'!$T$2:$T$27,MATCH(E674,'Cost_Components'!$A$2:$A$27,0)),"")</f>
      </c>
      <c r="AA674" s="81" t="str">
        <f>IFERROR(INDEX('Cost_Components'!$U$2:$U$27,MATCH(E674,'Cost_Components'!$A$2:$A$27,0)),"")</f>
      </c>
      <c r="AB674" s="82" t="str">
        <f>IFERROR(INDEX('Cost_Components'!$V$2:$V$27,MATCH(E674,'Cost_Components'!$A$2:$A$27,0)),"")</f>
      </c>
      <c r="AC674" s="83" t="str">
        <f>IFERROR(INDEX('Cost_Components'!$M$2:$M$27,MATCH(E674,'Cost_Components'!$A$2:$A$27,0)),"")</f>
      </c>
      <c r="AD674" s="84" t="str">
        <f>IFERROR(INDEX('Cost_Components'!$N$2:$N$27,MATCH(E674,'Cost_Components'!$A$2:$A$27,0)),"")</f>
      </c>
      <c r="AE674" s="20" t="str">
        <f>IFERROR(INDEX('Cost_Components'!$O$2:$O$27,MATCH(E674,'Cost_Components'!$A$2:$A$27,0)),"")</f>
      </c>
      <c r="AF674" s="85" t="n">
        <v>27990931.1785145</v>
      </c>
      <c r="AG674" s="86" t="n">
        <v>27715818.0088236</v>
      </c>
      <c r="AH674" s="87" t="str">
        <f>IF(H674="shared-count-once",COUNTIFS($A$2:$A$1353,A674,$B$2:$B$1353,B674,$E$2:$E$1353,E674),1)</f>
      </c>
    </row>
    <row r="675">
      <c r="A675" t="s">
        <v>226</v>
      </c>
      <c r="B675" s="59" t="n">
        <v>2048</v>
      </c>
      <c r="C675" t="s">
        <v>226</v>
      </c>
      <c r="D675" t="s">
        <v>230</v>
      </c>
      <c r="E675" s="60" t="s">
        <v>322</v>
      </c>
      <c r="F675" s="61" t="s">
        <v>323</v>
      </c>
      <c r="G675" s="62" t="s">
        <v>227</v>
      </c>
      <c r="H675" s="63" t="s">
        <v>195</v>
      </c>
      <c r="I675" s="64" t="s">
        <v>267</v>
      </c>
      <c r="J675" s="65" t="str">
        <f>IFERROR(INDEX('Cost_Components'!$K$2:$K$27,MATCH(E675,'Cost_Components'!$A$2:$A$27,0)),"")</f>
      </c>
      <c r="K675" s="66" t="str">
        <f>IF(OR(L675="",Z675="",AA675="",AB675=""),"",IF(B675&lt;AA675,L675,IF(B675&gt;AB675,Z675,L675+(Z675-L675)*MIN(MAX((B675-AA675+1)/MAX(AB675-AA675+1,1),0),1))))</f>
      </c>
      <c r="L675" s="67" t="str">
        <f>IFERROR(INDEX('Cost_Components'!$S$2:$S$27,MATCH(E675,'Cost_Components'!$A$2:$A$27,0)),"")</f>
      </c>
      <c r="M675" s="68" t="str">
        <f>IFERROR(INDEX('Cost_Components'!$L$2:$L$27,MATCH(E675,'Cost_Components'!$A$2:$A$27,0)),"")</f>
      </c>
      <c r="N675" s="69" t="str">
        <f>IFERROR(INDEX('Cost_Components'!$P$2:$P$27,MATCH(E675,'Cost_Components'!$A$2:$A$27,0)),"")</f>
      </c>
      <c r="O675" s="70" t="str">
        <f>AF675*J675</f>
      </c>
      <c r="P675" s="71" t="str">
        <f>AG675*J675</f>
      </c>
      <c r="Q675" s="72" t="str">
        <f>P675*L675*M675*N675</f>
      </c>
      <c r="R675" s="73" t="str">
        <f>O675*K675*M675*N675</f>
      </c>
      <c r="S675" s="74" t="str">
        <f>R675-Q675</f>
      </c>
      <c r="T675" s="20" t="str">
        <f>IFERROR(INDEX('Cost_Components'!$R$2:$R$27,MATCH(E675,'Cost_Components'!$A$2:$A$27,0)),"")</f>
      </c>
      <c r="U675" s="75" t="str">
        <f>IFERROR(INDEX('Cost_Components'!$Q$2:$Q$27,MATCH(E675,'Cost_Components'!$A$2:$A$27,0)),"")</f>
      </c>
      <c r="V675" s="76" t="str">
        <f>1/(1+'Calculation_Assumptions'!$B$5)^(B675-'Calculation_Assumptions'!$B$2)</f>
      </c>
      <c r="W675" s="77" t="str">
        <f>Q675*V675</f>
      </c>
      <c r="X675" s="78" t="str">
        <f>R675*V675</f>
      </c>
      <c r="Y675" s="79" t="str">
        <f>S675*V675</f>
      </c>
      <c r="Z675" s="80" t="str">
        <f>IFERROR(INDEX('Cost_Components'!$T$2:$T$27,MATCH(E675,'Cost_Components'!$A$2:$A$27,0)),"")</f>
      </c>
      <c r="AA675" s="81" t="str">
        <f>IFERROR(INDEX('Cost_Components'!$U$2:$U$27,MATCH(E675,'Cost_Components'!$A$2:$A$27,0)),"")</f>
      </c>
      <c r="AB675" s="82" t="str">
        <f>IFERROR(INDEX('Cost_Components'!$V$2:$V$27,MATCH(E675,'Cost_Components'!$A$2:$A$27,0)),"")</f>
      </c>
      <c r="AC675" s="83" t="str">
        <f>IFERROR(INDEX('Cost_Components'!$M$2:$M$27,MATCH(E675,'Cost_Components'!$A$2:$A$27,0)),"")</f>
      </c>
      <c r="AD675" s="84" t="str">
        <f>IFERROR(INDEX('Cost_Components'!$N$2:$N$27,MATCH(E675,'Cost_Components'!$A$2:$A$27,0)),"")</f>
      </c>
      <c r="AE675" s="20" t="str">
        <f>IFERROR(INDEX('Cost_Components'!$O$2:$O$27,MATCH(E675,'Cost_Components'!$A$2:$A$27,0)),"")</f>
      </c>
      <c r="AF675" s="85" t="n">
        <v>28337286.6131986</v>
      </c>
      <c r="AG675" s="86" t="n">
        <v>28037100.5652422</v>
      </c>
      <c r="AH675" s="87" t="str">
        <f>IF(H675="shared-count-once",COUNTIFS($A$2:$A$1353,A675,$B$2:$B$1353,B675,$E$2:$E$1353,E675),1)</f>
      </c>
    </row>
    <row r="676">
      <c r="A676" t="s">
        <v>226</v>
      </c>
      <c r="B676" s="59" t="n">
        <v>2049</v>
      </c>
      <c r="C676" t="s">
        <v>226</v>
      </c>
      <c r="D676" t="s">
        <v>230</v>
      </c>
      <c r="E676" s="60" t="s">
        <v>322</v>
      </c>
      <c r="F676" s="61" t="s">
        <v>323</v>
      </c>
      <c r="G676" s="62" t="s">
        <v>227</v>
      </c>
      <c r="H676" s="63" t="s">
        <v>195</v>
      </c>
      <c r="I676" s="64" t="s">
        <v>267</v>
      </c>
      <c r="J676" s="65" t="str">
        <f>IFERROR(INDEX('Cost_Components'!$K$2:$K$27,MATCH(E676,'Cost_Components'!$A$2:$A$27,0)),"")</f>
      </c>
      <c r="K676" s="66" t="str">
        <f>IF(OR(L676="",Z676="",AA676="",AB676=""),"",IF(B676&lt;AA676,L676,IF(B676&gt;AB676,Z676,L676+(Z676-L676)*MIN(MAX((B676-AA676+1)/MAX(AB676-AA676+1,1),0),1))))</f>
      </c>
      <c r="L676" s="67" t="str">
        <f>IFERROR(INDEX('Cost_Components'!$S$2:$S$27,MATCH(E676,'Cost_Components'!$A$2:$A$27,0)),"")</f>
      </c>
      <c r="M676" s="68" t="str">
        <f>IFERROR(INDEX('Cost_Components'!$L$2:$L$27,MATCH(E676,'Cost_Components'!$A$2:$A$27,0)),"")</f>
      </c>
      <c r="N676" s="69" t="str">
        <f>IFERROR(INDEX('Cost_Components'!$P$2:$P$27,MATCH(E676,'Cost_Components'!$A$2:$A$27,0)),"")</f>
      </c>
      <c r="O676" s="70" t="str">
        <f>AF676*J676</f>
      </c>
      <c r="P676" s="71" t="str">
        <f>AG676*J676</f>
      </c>
      <c r="Q676" s="72" t="str">
        <f>P676*L676*M676*N676</f>
      </c>
      <c r="R676" s="73" t="str">
        <f>O676*K676*M676*N676</f>
      </c>
      <c r="S676" s="74" t="str">
        <f>R676-Q676</f>
      </c>
      <c r="T676" s="20" t="str">
        <f>IFERROR(INDEX('Cost_Components'!$R$2:$R$27,MATCH(E676,'Cost_Components'!$A$2:$A$27,0)),"")</f>
      </c>
      <c r="U676" s="75" t="str">
        <f>IFERROR(INDEX('Cost_Components'!$Q$2:$Q$27,MATCH(E676,'Cost_Components'!$A$2:$A$27,0)),"")</f>
      </c>
      <c r="V676" s="76" t="str">
        <f>1/(1+'Calculation_Assumptions'!$B$5)^(B676-'Calculation_Assumptions'!$B$2)</f>
      </c>
      <c r="W676" s="77" t="str">
        <f>Q676*V676</f>
      </c>
      <c r="X676" s="78" t="str">
        <f>R676*V676</f>
      </c>
      <c r="Y676" s="79" t="str">
        <f>S676*V676</f>
      </c>
      <c r="Z676" s="80" t="str">
        <f>IFERROR(INDEX('Cost_Components'!$T$2:$T$27,MATCH(E676,'Cost_Components'!$A$2:$A$27,0)),"")</f>
      </c>
      <c r="AA676" s="81" t="str">
        <f>IFERROR(INDEX('Cost_Components'!$U$2:$U$27,MATCH(E676,'Cost_Components'!$A$2:$A$27,0)),"")</f>
      </c>
      <c r="AB676" s="82" t="str">
        <f>IFERROR(INDEX('Cost_Components'!$V$2:$V$27,MATCH(E676,'Cost_Components'!$A$2:$A$27,0)),"")</f>
      </c>
      <c r="AC676" s="83" t="str">
        <f>IFERROR(INDEX('Cost_Components'!$M$2:$M$27,MATCH(E676,'Cost_Components'!$A$2:$A$27,0)),"")</f>
      </c>
      <c r="AD676" s="84" t="str">
        <f>IFERROR(INDEX('Cost_Components'!$N$2:$N$27,MATCH(E676,'Cost_Components'!$A$2:$A$27,0)),"")</f>
      </c>
      <c r="AE676" s="20" t="str">
        <f>IFERROR(INDEX('Cost_Components'!$O$2:$O$27,MATCH(E676,'Cost_Components'!$A$2:$A$27,0)),"")</f>
      </c>
      <c r="AF676" s="85" t="n">
        <v>28667470.856523</v>
      </c>
      <c r="AG676" s="86" t="n">
        <v>28341303.7307291</v>
      </c>
      <c r="AH676" s="87" t="str">
        <f>IF(H676="shared-count-once",COUNTIFS($A$2:$A$1353,A676,$B$2:$B$1353,B676,$E$2:$E$1353,E676),1)</f>
      </c>
    </row>
    <row r="677">
      <c r="A677" t="s">
        <v>226</v>
      </c>
      <c r="B677" s="59" t="n">
        <v>2050</v>
      </c>
      <c r="C677" t="s">
        <v>226</v>
      </c>
      <c r="D677" t="s">
        <v>230</v>
      </c>
      <c r="E677" s="60" t="s">
        <v>322</v>
      </c>
      <c r="F677" s="61" t="s">
        <v>323</v>
      </c>
      <c r="G677" s="62" t="s">
        <v>227</v>
      </c>
      <c r="H677" s="63" t="s">
        <v>195</v>
      </c>
      <c r="I677" s="64" t="s">
        <v>267</v>
      </c>
      <c r="J677" s="65" t="str">
        <f>IFERROR(INDEX('Cost_Components'!$K$2:$K$27,MATCH(E677,'Cost_Components'!$A$2:$A$27,0)),"")</f>
      </c>
      <c r="K677" s="66" t="str">
        <f>IF(OR(L677="",Z677="",AA677="",AB677=""),"",IF(B677&lt;AA677,L677,IF(B677&gt;AB677,Z677,L677+(Z677-L677)*MIN(MAX((B677-AA677+1)/MAX(AB677-AA677+1,1),0),1))))</f>
      </c>
      <c r="L677" s="67" t="str">
        <f>IFERROR(INDEX('Cost_Components'!$S$2:$S$27,MATCH(E677,'Cost_Components'!$A$2:$A$27,0)),"")</f>
      </c>
      <c r="M677" s="68" t="str">
        <f>IFERROR(INDEX('Cost_Components'!$L$2:$L$27,MATCH(E677,'Cost_Components'!$A$2:$A$27,0)),"")</f>
      </c>
      <c r="N677" s="69" t="str">
        <f>IFERROR(INDEX('Cost_Components'!$P$2:$P$27,MATCH(E677,'Cost_Components'!$A$2:$A$27,0)),"")</f>
      </c>
      <c r="O677" s="70" t="str">
        <f>AF677*J677</f>
      </c>
      <c r="P677" s="71" t="str">
        <f>AG677*J677</f>
      </c>
      <c r="Q677" s="72" t="str">
        <f>P677*L677*M677*N677</f>
      </c>
      <c r="R677" s="73" t="str">
        <f>O677*K677*M677*N677</f>
      </c>
      <c r="S677" s="74" t="str">
        <f>R677-Q677</f>
      </c>
      <c r="T677" s="20" t="str">
        <f>IFERROR(INDEX('Cost_Components'!$R$2:$R$27,MATCH(E677,'Cost_Components'!$A$2:$A$27,0)),"")</f>
      </c>
      <c r="U677" s="75" t="str">
        <f>IFERROR(INDEX('Cost_Components'!$Q$2:$Q$27,MATCH(E677,'Cost_Components'!$A$2:$A$27,0)),"")</f>
      </c>
      <c r="V677" s="76" t="str">
        <f>1/(1+'Calculation_Assumptions'!$B$5)^(B677-'Calculation_Assumptions'!$B$2)</f>
      </c>
      <c r="W677" s="77" t="str">
        <f>Q677*V677</f>
      </c>
      <c r="X677" s="78" t="str">
        <f>R677*V677</f>
      </c>
      <c r="Y677" s="79" t="str">
        <f>S677*V677</f>
      </c>
      <c r="Z677" s="80" t="str">
        <f>IFERROR(INDEX('Cost_Components'!$T$2:$T$27,MATCH(E677,'Cost_Components'!$A$2:$A$27,0)),"")</f>
      </c>
      <c r="AA677" s="81" t="str">
        <f>IFERROR(INDEX('Cost_Components'!$U$2:$U$27,MATCH(E677,'Cost_Components'!$A$2:$A$27,0)),"")</f>
      </c>
      <c r="AB677" s="82" t="str">
        <f>IFERROR(INDEX('Cost_Components'!$V$2:$V$27,MATCH(E677,'Cost_Components'!$A$2:$A$27,0)),"")</f>
      </c>
      <c r="AC677" s="83" t="str">
        <f>IFERROR(INDEX('Cost_Components'!$M$2:$M$27,MATCH(E677,'Cost_Components'!$A$2:$A$27,0)),"")</f>
      </c>
      <c r="AD677" s="84" t="str">
        <f>IFERROR(INDEX('Cost_Components'!$N$2:$N$27,MATCH(E677,'Cost_Components'!$A$2:$A$27,0)),"")</f>
      </c>
      <c r="AE677" s="20" t="str">
        <f>IFERROR(INDEX('Cost_Components'!$O$2:$O$27,MATCH(E677,'Cost_Components'!$A$2:$A$27,0)),"")</f>
      </c>
      <c r="AF677" s="85" t="n">
        <v>28981880.9176412</v>
      </c>
      <c r="AG677" s="86" t="n">
        <v>28628880.356226</v>
      </c>
      <c r="AH677" s="87" t="str">
        <f>IF(H677="shared-count-once",COUNTIFS($A$2:$A$1353,A677,$B$2:$B$1353,B677,$E$2:$E$1353,E677),1)</f>
      </c>
    </row>
    <row r="678">
      <c r="A678" t="s">
        <v>75</v>
      </c>
      <c r="B678" s="59" t="n">
        <v>2025</v>
      </c>
      <c r="C678" t="s">
        <v>162</v>
      </c>
      <c r="D678"/>
      <c r="E678" s="60" t="s">
        <v>260</v>
      </c>
      <c r="F678" s="61" t="s">
        <v>261</v>
      </c>
      <c r="G678" s="62" t="s">
        <v>171</v>
      </c>
      <c r="H678" s="63" t="s">
        <v>172</v>
      </c>
      <c r="I678" s="64" t="s">
        <v>75</v>
      </c>
      <c r="J678" s="65" t="str">
        <f>IFERROR(INDEX('Cost_Components'!$K$2:$K$27,MATCH(E678,'Cost_Components'!$A$2:$A$27,0)),"")</f>
      </c>
      <c r="K678" s="66" t="str">
        <f>IF(OR(L678="",Z678="",AA678="",AB678=""),"",IF(B678&lt;AA678,L678,IF(B678&gt;AB678,Z678,L678+(Z678-L678)*MIN(MAX((B678-AA678+1)/MAX(AB678-AA678+1,1),0),1))))</f>
      </c>
      <c r="L678" s="67" t="str">
        <f>IFERROR(INDEX('Cost_Components'!$S$2:$S$27,MATCH(E678,'Cost_Components'!$A$2:$A$27,0)),"")</f>
      </c>
      <c r="M678" s="68" t="str">
        <f>IFERROR(INDEX('Cost_Components'!$L$2:$L$27,MATCH(E678,'Cost_Components'!$A$2:$A$27,0)),"")</f>
      </c>
      <c r="N678" s="69" t="str">
        <f>IFERROR(INDEX('Cost_Components'!$P$2:$P$27,MATCH(E678,'Cost_Components'!$A$2:$A$27,0)),"")</f>
      </c>
      <c r="O678" s="70" t="str">
        <f>AF678*J678</f>
      </c>
      <c r="P678" s="71" t="str">
        <f>AG678*J678</f>
      </c>
      <c r="Q678" s="72" t="str">
        <f>P678*L678*M678*N678</f>
      </c>
      <c r="R678" s="73" t="str">
        <f>O678*K678*M678*N678</f>
      </c>
      <c r="S678" s="74" t="str">
        <f>R678-Q678</f>
      </c>
      <c r="T678" s="20" t="str">
        <f>IFERROR(INDEX('Cost_Components'!$R$2:$R$27,MATCH(E678,'Cost_Components'!$A$2:$A$27,0)),"")</f>
      </c>
      <c r="U678" s="75" t="str">
        <f>IFERROR(INDEX('Cost_Components'!$Q$2:$Q$27,MATCH(E678,'Cost_Components'!$A$2:$A$27,0)),"")</f>
      </c>
      <c r="V678" s="76" t="str">
        <f>1/(1+'Calculation_Assumptions'!$B$5)^(B678-'Calculation_Assumptions'!$B$2)</f>
      </c>
      <c r="W678" s="77" t="str">
        <f>Q678*V678</f>
      </c>
      <c r="X678" s="78" t="str">
        <f>R678*V678</f>
      </c>
      <c r="Y678" s="79" t="str">
        <f>S678*V678</f>
      </c>
      <c r="Z678" s="80" t="str">
        <f>IFERROR(INDEX('Cost_Components'!$T$2:$T$27,MATCH(E678,'Cost_Components'!$A$2:$A$27,0)),"")</f>
      </c>
      <c r="AA678" s="81" t="str">
        <f>IFERROR(INDEX('Cost_Components'!$U$2:$U$27,MATCH(E678,'Cost_Components'!$A$2:$A$27,0)),"")</f>
      </c>
      <c r="AB678" s="82" t="str">
        <f>IFERROR(INDEX('Cost_Components'!$V$2:$V$27,MATCH(E678,'Cost_Components'!$A$2:$A$27,0)),"")</f>
      </c>
      <c r="AC678" s="83" t="str">
        <f>IFERROR(INDEX('Cost_Components'!$M$2:$M$27,MATCH(E678,'Cost_Components'!$A$2:$A$27,0)),"")</f>
      </c>
      <c r="AD678" s="84" t="str">
        <f>IFERROR(INDEX('Cost_Components'!$N$2:$N$27,MATCH(E678,'Cost_Components'!$A$2:$A$27,0)),"")</f>
      </c>
      <c r="AE678" s="20" t="str">
        <f>IFERROR(INDEX('Cost_Components'!$O$2:$O$27,MATCH(E678,'Cost_Components'!$A$2:$A$27,0)),"")</f>
      </c>
      <c r="AF678" s="85" t="n">
        <v>303073002.512799</v>
      </c>
      <c r="AG678" s="86" t="n">
        <v>303073002.512799</v>
      </c>
      <c r="AH678" s="87" t="str">
        <f>IF(H678="shared-count-once",COUNTIFS($A$2:$A$1353,A678,$B$2:$B$1353,B678,$E$2:$E$1353,E678),1)</f>
      </c>
    </row>
    <row r="679">
      <c r="A679" t="s">
        <v>75</v>
      </c>
      <c r="B679" s="59" t="n">
        <v>2026</v>
      </c>
      <c r="C679" t="s">
        <v>162</v>
      </c>
      <c r="D679"/>
      <c r="E679" s="60" t="s">
        <v>260</v>
      </c>
      <c r="F679" s="61" t="s">
        <v>261</v>
      </c>
      <c r="G679" s="62" t="s">
        <v>171</v>
      </c>
      <c r="H679" s="63" t="s">
        <v>172</v>
      </c>
      <c r="I679" s="64" t="s">
        <v>75</v>
      </c>
      <c r="J679" s="65" t="str">
        <f>IFERROR(INDEX('Cost_Components'!$K$2:$K$27,MATCH(E679,'Cost_Components'!$A$2:$A$27,0)),"")</f>
      </c>
      <c r="K679" s="66" t="str">
        <f>IF(OR(L679="",Z679="",AA679="",AB679=""),"",IF(B679&lt;AA679,L679,IF(B679&gt;AB679,Z679,L679+(Z679-L679)*MIN(MAX((B679-AA679+1)/MAX(AB679-AA679+1,1),0),1))))</f>
      </c>
      <c r="L679" s="67" t="str">
        <f>IFERROR(INDEX('Cost_Components'!$S$2:$S$27,MATCH(E679,'Cost_Components'!$A$2:$A$27,0)),"")</f>
      </c>
      <c r="M679" s="68" t="str">
        <f>IFERROR(INDEX('Cost_Components'!$L$2:$L$27,MATCH(E679,'Cost_Components'!$A$2:$A$27,0)),"")</f>
      </c>
      <c r="N679" s="69" t="str">
        <f>IFERROR(INDEX('Cost_Components'!$P$2:$P$27,MATCH(E679,'Cost_Components'!$A$2:$A$27,0)),"")</f>
      </c>
      <c r="O679" s="70" t="str">
        <f>AF679*J679</f>
      </c>
      <c r="P679" s="71" t="str">
        <f>AG679*J679</f>
      </c>
      <c r="Q679" s="72" t="str">
        <f>P679*L679*M679*N679</f>
      </c>
      <c r="R679" s="73" t="str">
        <f>O679*K679*M679*N679</f>
      </c>
      <c r="S679" s="74" t="str">
        <f>R679-Q679</f>
      </c>
      <c r="T679" s="20" t="str">
        <f>IFERROR(INDEX('Cost_Components'!$R$2:$R$27,MATCH(E679,'Cost_Components'!$A$2:$A$27,0)),"")</f>
      </c>
      <c r="U679" s="75" t="str">
        <f>IFERROR(INDEX('Cost_Components'!$Q$2:$Q$27,MATCH(E679,'Cost_Components'!$A$2:$A$27,0)),"")</f>
      </c>
      <c r="V679" s="76" t="str">
        <f>1/(1+'Calculation_Assumptions'!$B$5)^(B679-'Calculation_Assumptions'!$B$2)</f>
      </c>
      <c r="W679" s="77" t="str">
        <f>Q679*V679</f>
      </c>
      <c r="X679" s="78" t="str">
        <f>R679*V679</f>
      </c>
      <c r="Y679" s="79" t="str">
        <f>S679*V679</f>
      </c>
      <c r="Z679" s="80" t="str">
        <f>IFERROR(INDEX('Cost_Components'!$T$2:$T$27,MATCH(E679,'Cost_Components'!$A$2:$A$27,0)),"")</f>
      </c>
      <c r="AA679" s="81" t="str">
        <f>IFERROR(INDEX('Cost_Components'!$U$2:$U$27,MATCH(E679,'Cost_Components'!$A$2:$A$27,0)),"")</f>
      </c>
      <c r="AB679" s="82" t="str">
        <f>IFERROR(INDEX('Cost_Components'!$V$2:$V$27,MATCH(E679,'Cost_Components'!$A$2:$A$27,0)),"")</f>
      </c>
      <c r="AC679" s="83" t="str">
        <f>IFERROR(INDEX('Cost_Components'!$M$2:$M$27,MATCH(E679,'Cost_Components'!$A$2:$A$27,0)),"")</f>
      </c>
      <c r="AD679" s="84" t="str">
        <f>IFERROR(INDEX('Cost_Components'!$N$2:$N$27,MATCH(E679,'Cost_Components'!$A$2:$A$27,0)),"")</f>
      </c>
      <c r="AE679" s="20" t="str">
        <f>IFERROR(INDEX('Cost_Components'!$O$2:$O$27,MATCH(E679,'Cost_Components'!$A$2:$A$27,0)),"")</f>
      </c>
      <c r="AF679" s="85" t="n">
        <v>307651765.843581</v>
      </c>
      <c r="AG679" s="86" t="n">
        <v>307646672.342745</v>
      </c>
      <c r="AH679" s="87" t="str">
        <f>IF(H679="shared-count-once",COUNTIFS($A$2:$A$1353,A679,$B$2:$B$1353,B679,$E$2:$E$1353,E679),1)</f>
      </c>
    </row>
    <row r="680">
      <c r="A680" t="s">
        <v>75</v>
      </c>
      <c r="B680" s="59" t="n">
        <v>2027</v>
      </c>
      <c r="C680" t="s">
        <v>162</v>
      </c>
      <c r="D680"/>
      <c r="E680" s="60" t="s">
        <v>260</v>
      </c>
      <c r="F680" s="61" t="s">
        <v>261</v>
      </c>
      <c r="G680" s="62" t="s">
        <v>171</v>
      </c>
      <c r="H680" s="63" t="s">
        <v>172</v>
      </c>
      <c r="I680" s="64" t="s">
        <v>75</v>
      </c>
      <c r="J680" s="65" t="str">
        <f>IFERROR(INDEX('Cost_Components'!$K$2:$K$27,MATCH(E680,'Cost_Components'!$A$2:$A$27,0)),"")</f>
      </c>
      <c r="K680" s="66" t="str">
        <f>IF(OR(L680="",Z680="",AA680="",AB680=""),"",IF(B680&lt;AA680,L680,IF(B680&gt;AB680,Z680,L680+(Z680-L680)*MIN(MAX((B680-AA680+1)/MAX(AB680-AA680+1,1),0),1))))</f>
      </c>
      <c r="L680" s="67" t="str">
        <f>IFERROR(INDEX('Cost_Components'!$S$2:$S$27,MATCH(E680,'Cost_Components'!$A$2:$A$27,0)),"")</f>
      </c>
      <c r="M680" s="68" t="str">
        <f>IFERROR(INDEX('Cost_Components'!$L$2:$L$27,MATCH(E680,'Cost_Components'!$A$2:$A$27,0)),"")</f>
      </c>
      <c r="N680" s="69" t="str">
        <f>IFERROR(INDEX('Cost_Components'!$P$2:$P$27,MATCH(E680,'Cost_Components'!$A$2:$A$27,0)),"")</f>
      </c>
      <c r="O680" s="70" t="str">
        <f>AF680*J680</f>
      </c>
      <c r="P680" s="71" t="str">
        <f>AG680*J680</f>
      </c>
      <c r="Q680" s="72" t="str">
        <f>P680*L680*M680*N680</f>
      </c>
      <c r="R680" s="73" t="str">
        <f>O680*K680*M680*N680</f>
      </c>
      <c r="S680" s="74" t="str">
        <f>R680-Q680</f>
      </c>
      <c r="T680" s="20" t="str">
        <f>IFERROR(INDEX('Cost_Components'!$R$2:$R$27,MATCH(E680,'Cost_Components'!$A$2:$A$27,0)),"")</f>
      </c>
      <c r="U680" s="75" t="str">
        <f>IFERROR(INDEX('Cost_Components'!$Q$2:$Q$27,MATCH(E680,'Cost_Components'!$A$2:$A$27,0)),"")</f>
      </c>
      <c r="V680" s="76" t="str">
        <f>1/(1+'Calculation_Assumptions'!$B$5)^(B680-'Calculation_Assumptions'!$B$2)</f>
      </c>
      <c r="W680" s="77" t="str">
        <f>Q680*V680</f>
      </c>
      <c r="X680" s="78" t="str">
        <f>R680*V680</f>
      </c>
      <c r="Y680" s="79" t="str">
        <f>S680*V680</f>
      </c>
      <c r="Z680" s="80" t="str">
        <f>IFERROR(INDEX('Cost_Components'!$T$2:$T$27,MATCH(E680,'Cost_Components'!$A$2:$A$27,0)),"")</f>
      </c>
      <c r="AA680" s="81" t="str">
        <f>IFERROR(INDEX('Cost_Components'!$U$2:$U$27,MATCH(E680,'Cost_Components'!$A$2:$A$27,0)),"")</f>
      </c>
      <c r="AB680" s="82" t="str">
        <f>IFERROR(INDEX('Cost_Components'!$V$2:$V$27,MATCH(E680,'Cost_Components'!$A$2:$A$27,0)),"")</f>
      </c>
      <c r="AC680" s="83" t="str">
        <f>IFERROR(INDEX('Cost_Components'!$M$2:$M$27,MATCH(E680,'Cost_Components'!$A$2:$A$27,0)),"")</f>
      </c>
      <c r="AD680" s="84" t="str">
        <f>IFERROR(INDEX('Cost_Components'!$N$2:$N$27,MATCH(E680,'Cost_Components'!$A$2:$A$27,0)),"")</f>
      </c>
      <c r="AE680" s="20" t="str">
        <f>IFERROR(INDEX('Cost_Components'!$O$2:$O$27,MATCH(E680,'Cost_Components'!$A$2:$A$27,0)),"")</f>
      </c>
      <c r="AF680" s="85" t="n">
        <v>312282004.630698</v>
      </c>
      <c r="AG680" s="86" t="n">
        <v>311975096.156765</v>
      </c>
      <c r="AH680" s="87" t="str">
        <f>IF(H680="shared-count-once",COUNTIFS($A$2:$A$1353,A680,$B$2:$B$1353,B680,$E$2:$E$1353,E680),1)</f>
      </c>
    </row>
    <row r="681">
      <c r="A681" t="s">
        <v>75</v>
      </c>
      <c r="B681" s="59" t="n">
        <v>2028</v>
      </c>
      <c r="C681" t="s">
        <v>162</v>
      </c>
      <c r="D681"/>
      <c r="E681" s="60" t="s">
        <v>260</v>
      </c>
      <c r="F681" s="61" t="s">
        <v>261</v>
      </c>
      <c r="G681" s="62" t="s">
        <v>171</v>
      </c>
      <c r="H681" s="63" t="s">
        <v>172</v>
      </c>
      <c r="I681" s="64" t="s">
        <v>75</v>
      </c>
      <c r="J681" s="65" t="str">
        <f>IFERROR(INDEX('Cost_Components'!$K$2:$K$27,MATCH(E681,'Cost_Components'!$A$2:$A$27,0)),"")</f>
      </c>
      <c r="K681" s="66" t="str">
        <f>IF(OR(L681="",Z681="",AA681="",AB681=""),"",IF(B681&lt;AA681,L681,IF(B681&gt;AB681,Z681,L681+(Z681-L681)*MIN(MAX((B681-AA681+1)/MAX(AB681-AA681+1,1),0),1))))</f>
      </c>
      <c r="L681" s="67" t="str">
        <f>IFERROR(INDEX('Cost_Components'!$S$2:$S$27,MATCH(E681,'Cost_Components'!$A$2:$A$27,0)),"")</f>
      </c>
      <c r="M681" s="68" t="str">
        <f>IFERROR(INDEX('Cost_Components'!$L$2:$L$27,MATCH(E681,'Cost_Components'!$A$2:$A$27,0)),"")</f>
      </c>
      <c r="N681" s="69" t="str">
        <f>IFERROR(INDEX('Cost_Components'!$P$2:$P$27,MATCH(E681,'Cost_Components'!$A$2:$A$27,0)),"")</f>
      </c>
      <c r="O681" s="70" t="str">
        <f>AF681*J681</f>
      </c>
      <c r="P681" s="71" t="str">
        <f>AG681*J681</f>
      </c>
      <c r="Q681" s="72" t="str">
        <f>P681*L681*M681*N681</f>
      </c>
      <c r="R681" s="73" t="str">
        <f>O681*K681*M681*N681</f>
      </c>
      <c r="S681" s="74" t="str">
        <f>R681-Q681</f>
      </c>
      <c r="T681" s="20" t="str">
        <f>IFERROR(INDEX('Cost_Components'!$R$2:$R$27,MATCH(E681,'Cost_Components'!$A$2:$A$27,0)),"")</f>
      </c>
      <c r="U681" s="75" t="str">
        <f>IFERROR(INDEX('Cost_Components'!$Q$2:$Q$27,MATCH(E681,'Cost_Components'!$A$2:$A$27,0)),"")</f>
      </c>
      <c r="V681" s="76" t="str">
        <f>1/(1+'Calculation_Assumptions'!$B$5)^(B681-'Calculation_Assumptions'!$B$2)</f>
      </c>
      <c r="W681" s="77" t="str">
        <f>Q681*V681</f>
      </c>
      <c r="X681" s="78" t="str">
        <f>R681*V681</f>
      </c>
      <c r="Y681" s="79" t="str">
        <f>S681*V681</f>
      </c>
      <c r="Z681" s="80" t="str">
        <f>IFERROR(INDEX('Cost_Components'!$T$2:$T$27,MATCH(E681,'Cost_Components'!$A$2:$A$27,0)),"")</f>
      </c>
      <c r="AA681" s="81" t="str">
        <f>IFERROR(INDEX('Cost_Components'!$U$2:$U$27,MATCH(E681,'Cost_Components'!$A$2:$A$27,0)),"")</f>
      </c>
      <c r="AB681" s="82" t="str">
        <f>IFERROR(INDEX('Cost_Components'!$V$2:$V$27,MATCH(E681,'Cost_Components'!$A$2:$A$27,0)),"")</f>
      </c>
      <c r="AC681" s="83" t="str">
        <f>IFERROR(INDEX('Cost_Components'!$M$2:$M$27,MATCH(E681,'Cost_Components'!$A$2:$A$27,0)),"")</f>
      </c>
      <c r="AD681" s="84" t="str">
        <f>IFERROR(INDEX('Cost_Components'!$N$2:$N$27,MATCH(E681,'Cost_Components'!$A$2:$A$27,0)),"")</f>
      </c>
      <c r="AE681" s="20" t="str">
        <f>IFERROR(INDEX('Cost_Components'!$O$2:$O$27,MATCH(E681,'Cost_Components'!$A$2:$A$27,0)),"")</f>
      </c>
      <c r="AF681" s="85" t="n">
        <v>316839927.788679</v>
      </c>
      <c r="AG681" s="86" t="n">
        <v>316531358.04392</v>
      </c>
      <c r="AH681" s="87" t="str">
        <f>IF(H681="shared-count-once",COUNTIFS($A$2:$A$1353,A681,$B$2:$B$1353,B681,$E$2:$E$1353,E681),1)</f>
      </c>
    </row>
    <row r="682">
      <c r="A682" t="s">
        <v>75</v>
      </c>
      <c r="B682" s="59" t="n">
        <v>2029</v>
      </c>
      <c r="C682" t="s">
        <v>162</v>
      </c>
      <c r="D682"/>
      <c r="E682" s="60" t="s">
        <v>260</v>
      </c>
      <c r="F682" s="61" t="s">
        <v>261</v>
      </c>
      <c r="G682" s="62" t="s">
        <v>171</v>
      </c>
      <c r="H682" s="63" t="s">
        <v>172</v>
      </c>
      <c r="I682" s="64" t="s">
        <v>75</v>
      </c>
      <c r="J682" s="65" t="str">
        <f>IFERROR(INDEX('Cost_Components'!$K$2:$K$27,MATCH(E682,'Cost_Components'!$A$2:$A$27,0)),"")</f>
      </c>
      <c r="K682" s="66" t="str">
        <f>IF(OR(L682="",Z682="",AA682="",AB682=""),"",IF(B682&lt;AA682,L682,IF(B682&gt;AB682,Z682,L682+(Z682-L682)*MIN(MAX((B682-AA682+1)/MAX(AB682-AA682+1,1),0),1))))</f>
      </c>
      <c r="L682" s="67" t="str">
        <f>IFERROR(INDEX('Cost_Components'!$S$2:$S$27,MATCH(E682,'Cost_Components'!$A$2:$A$27,0)),"")</f>
      </c>
      <c r="M682" s="68" t="str">
        <f>IFERROR(INDEX('Cost_Components'!$L$2:$L$27,MATCH(E682,'Cost_Components'!$A$2:$A$27,0)),"")</f>
      </c>
      <c r="N682" s="69" t="str">
        <f>IFERROR(INDEX('Cost_Components'!$P$2:$P$27,MATCH(E682,'Cost_Components'!$A$2:$A$27,0)),"")</f>
      </c>
      <c r="O682" s="70" t="str">
        <f>AF682*J682</f>
      </c>
      <c r="P682" s="71" t="str">
        <f>AG682*J682</f>
      </c>
      <c r="Q682" s="72" t="str">
        <f>P682*L682*M682*N682</f>
      </c>
      <c r="R682" s="73" t="str">
        <f>O682*K682*M682*N682</f>
      </c>
      <c r="S682" s="74" t="str">
        <f>R682-Q682</f>
      </c>
      <c r="T682" s="20" t="str">
        <f>IFERROR(INDEX('Cost_Components'!$R$2:$R$27,MATCH(E682,'Cost_Components'!$A$2:$A$27,0)),"")</f>
      </c>
      <c r="U682" s="75" t="str">
        <f>IFERROR(INDEX('Cost_Components'!$Q$2:$Q$27,MATCH(E682,'Cost_Components'!$A$2:$A$27,0)),"")</f>
      </c>
      <c r="V682" s="76" t="str">
        <f>1/(1+'Calculation_Assumptions'!$B$5)^(B682-'Calculation_Assumptions'!$B$2)</f>
      </c>
      <c r="W682" s="77" t="str">
        <f>Q682*V682</f>
      </c>
      <c r="X682" s="78" t="str">
        <f>R682*V682</f>
      </c>
      <c r="Y682" s="79" t="str">
        <f>S682*V682</f>
      </c>
      <c r="Z682" s="80" t="str">
        <f>IFERROR(INDEX('Cost_Components'!$T$2:$T$27,MATCH(E682,'Cost_Components'!$A$2:$A$27,0)),"")</f>
      </c>
      <c r="AA682" s="81" t="str">
        <f>IFERROR(INDEX('Cost_Components'!$U$2:$U$27,MATCH(E682,'Cost_Components'!$A$2:$A$27,0)),"")</f>
      </c>
      <c r="AB682" s="82" t="str">
        <f>IFERROR(INDEX('Cost_Components'!$V$2:$V$27,MATCH(E682,'Cost_Components'!$A$2:$A$27,0)),"")</f>
      </c>
      <c r="AC682" s="83" t="str">
        <f>IFERROR(INDEX('Cost_Components'!$M$2:$M$27,MATCH(E682,'Cost_Components'!$A$2:$A$27,0)),"")</f>
      </c>
      <c r="AD682" s="84" t="str">
        <f>IFERROR(INDEX('Cost_Components'!$N$2:$N$27,MATCH(E682,'Cost_Components'!$A$2:$A$27,0)),"")</f>
      </c>
      <c r="AE682" s="20" t="str">
        <f>IFERROR(INDEX('Cost_Components'!$O$2:$O$27,MATCH(E682,'Cost_Components'!$A$2:$A$27,0)),"")</f>
      </c>
      <c r="AF682" s="85" t="n">
        <v>321246344.468892</v>
      </c>
      <c r="AG682" s="86" t="n">
        <v>320925578.014746</v>
      </c>
      <c r="AH682" s="87" t="str">
        <f>IF(H682="shared-count-once",COUNTIFS($A$2:$A$1353,A682,$B$2:$B$1353,B682,$E$2:$E$1353,E682),1)</f>
      </c>
    </row>
    <row r="683">
      <c r="A683" t="s">
        <v>75</v>
      </c>
      <c r="B683" s="59" t="n">
        <v>2030</v>
      </c>
      <c r="C683" t="s">
        <v>162</v>
      </c>
      <c r="D683"/>
      <c r="E683" s="60" t="s">
        <v>260</v>
      </c>
      <c r="F683" s="61" t="s">
        <v>261</v>
      </c>
      <c r="G683" s="62" t="s">
        <v>171</v>
      </c>
      <c r="H683" s="63" t="s">
        <v>172</v>
      </c>
      <c r="I683" s="64" t="s">
        <v>75</v>
      </c>
      <c r="J683" s="65" t="str">
        <f>IFERROR(INDEX('Cost_Components'!$K$2:$K$27,MATCH(E683,'Cost_Components'!$A$2:$A$27,0)),"")</f>
      </c>
      <c r="K683" s="66" t="str">
        <f>IF(OR(L683="",Z683="",AA683="",AB683=""),"",IF(B683&lt;AA683,L683,IF(B683&gt;AB683,Z683,L683+(Z683-L683)*MIN(MAX((B683-AA683+1)/MAX(AB683-AA683+1,1),0),1))))</f>
      </c>
      <c r="L683" s="67" t="str">
        <f>IFERROR(INDEX('Cost_Components'!$S$2:$S$27,MATCH(E683,'Cost_Components'!$A$2:$A$27,0)),"")</f>
      </c>
      <c r="M683" s="68" t="str">
        <f>IFERROR(INDEX('Cost_Components'!$L$2:$L$27,MATCH(E683,'Cost_Components'!$A$2:$A$27,0)),"")</f>
      </c>
      <c r="N683" s="69" t="str">
        <f>IFERROR(INDEX('Cost_Components'!$P$2:$P$27,MATCH(E683,'Cost_Components'!$A$2:$A$27,0)),"")</f>
      </c>
      <c r="O683" s="70" t="str">
        <f>AF683*J683</f>
      </c>
      <c r="P683" s="71" t="str">
        <f>AG683*J683</f>
      </c>
      <c r="Q683" s="72" t="str">
        <f>P683*L683*M683*N683</f>
      </c>
      <c r="R683" s="73" t="str">
        <f>O683*K683*M683*N683</f>
      </c>
      <c r="S683" s="74" t="str">
        <f>R683-Q683</f>
      </c>
      <c r="T683" s="20" t="str">
        <f>IFERROR(INDEX('Cost_Components'!$R$2:$R$27,MATCH(E683,'Cost_Components'!$A$2:$A$27,0)),"")</f>
      </c>
      <c r="U683" s="75" t="str">
        <f>IFERROR(INDEX('Cost_Components'!$Q$2:$Q$27,MATCH(E683,'Cost_Components'!$A$2:$A$27,0)),"")</f>
      </c>
      <c r="V683" s="76" t="str">
        <f>1/(1+'Calculation_Assumptions'!$B$5)^(B683-'Calculation_Assumptions'!$B$2)</f>
      </c>
      <c r="W683" s="77" t="str">
        <f>Q683*V683</f>
      </c>
      <c r="X683" s="78" t="str">
        <f>R683*V683</f>
      </c>
      <c r="Y683" s="79" t="str">
        <f>S683*V683</f>
      </c>
      <c r="Z683" s="80" t="str">
        <f>IFERROR(INDEX('Cost_Components'!$T$2:$T$27,MATCH(E683,'Cost_Components'!$A$2:$A$27,0)),"")</f>
      </c>
      <c r="AA683" s="81" t="str">
        <f>IFERROR(INDEX('Cost_Components'!$U$2:$U$27,MATCH(E683,'Cost_Components'!$A$2:$A$27,0)),"")</f>
      </c>
      <c r="AB683" s="82" t="str">
        <f>IFERROR(INDEX('Cost_Components'!$V$2:$V$27,MATCH(E683,'Cost_Components'!$A$2:$A$27,0)),"")</f>
      </c>
      <c r="AC683" s="83" t="str">
        <f>IFERROR(INDEX('Cost_Components'!$M$2:$M$27,MATCH(E683,'Cost_Components'!$A$2:$A$27,0)),"")</f>
      </c>
      <c r="AD683" s="84" t="str">
        <f>IFERROR(INDEX('Cost_Components'!$N$2:$N$27,MATCH(E683,'Cost_Components'!$A$2:$A$27,0)),"")</f>
      </c>
      <c r="AE683" s="20" t="str">
        <f>IFERROR(INDEX('Cost_Components'!$O$2:$O$27,MATCH(E683,'Cost_Components'!$A$2:$A$27,0)),"")</f>
      </c>
      <c r="AF683" s="85" t="n">
        <v>325465854.700106</v>
      </c>
      <c r="AG683" s="86" t="n">
        <v>325136961.43476</v>
      </c>
      <c r="AH683" s="87" t="str">
        <f>IF(H683="shared-count-once",COUNTIFS($A$2:$A$1353,A683,$B$2:$B$1353,B683,$E$2:$E$1353,E683),1)</f>
      </c>
    </row>
    <row r="684">
      <c r="A684" t="s">
        <v>75</v>
      </c>
      <c r="B684" s="59" t="n">
        <v>2031</v>
      </c>
      <c r="C684" t="s">
        <v>162</v>
      </c>
      <c r="D684"/>
      <c r="E684" s="60" t="s">
        <v>260</v>
      </c>
      <c r="F684" s="61" t="s">
        <v>261</v>
      </c>
      <c r="G684" s="62" t="s">
        <v>171</v>
      </c>
      <c r="H684" s="63" t="s">
        <v>172</v>
      </c>
      <c r="I684" s="64" t="s">
        <v>75</v>
      </c>
      <c r="J684" s="65" t="str">
        <f>IFERROR(INDEX('Cost_Components'!$K$2:$K$27,MATCH(E684,'Cost_Components'!$A$2:$A$27,0)),"")</f>
      </c>
      <c r="K684" s="66" t="str">
        <f>IF(OR(L684="",Z684="",AA684="",AB684=""),"",IF(B684&lt;AA684,L684,IF(B684&gt;AB684,Z684,L684+(Z684-L684)*MIN(MAX((B684-AA684+1)/MAX(AB684-AA684+1,1),0),1))))</f>
      </c>
      <c r="L684" s="67" t="str">
        <f>IFERROR(INDEX('Cost_Components'!$S$2:$S$27,MATCH(E684,'Cost_Components'!$A$2:$A$27,0)),"")</f>
      </c>
      <c r="M684" s="68" t="str">
        <f>IFERROR(INDEX('Cost_Components'!$L$2:$L$27,MATCH(E684,'Cost_Components'!$A$2:$A$27,0)),"")</f>
      </c>
      <c r="N684" s="69" t="str">
        <f>IFERROR(INDEX('Cost_Components'!$P$2:$P$27,MATCH(E684,'Cost_Components'!$A$2:$A$27,0)),"")</f>
      </c>
      <c r="O684" s="70" t="str">
        <f>AF684*J684</f>
      </c>
      <c r="P684" s="71" t="str">
        <f>AG684*J684</f>
      </c>
      <c r="Q684" s="72" t="str">
        <f>P684*L684*M684*N684</f>
      </c>
      <c r="R684" s="73" t="str">
        <f>O684*K684*M684*N684</f>
      </c>
      <c r="S684" s="74" t="str">
        <f>R684-Q684</f>
      </c>
      <c r="T684" s="20" t="str">
        <f>IFERROR(INDEX('Cost_Components'!$R$2:$R$27,MATCH(E684,'Cost_Components'!$A$2:$A$27,0)),"")</f>
      </c>
      <c r="U684" s="75" t="str">
        <f>IFERROR(INDEX('Cost_Components'!$Q$2:$Q$27,MATCH(E684,'Cost_Components'!$A$2:$A$27,0)),"")</f>
      </c>
      <c r="V684" s="76" t="str">
        <f>1/(1+'Calculation_Assumptions'!$B$5)^(B684-'Calculation_Assumptions'!$B$2)</f>
      </c>
      <c r="W684" s="77" t="str">
        <f>Q684*V684</f>
      </c>
      <c r="X684" s="78" t="str">
        <f>R684*V684</f>
      </c>
      <c r="Y684" s="79" t="str">
        <f>S684*V684</f>
      </c>
      <c r="Z684" s="80" t="str">
        <f>IFERROR(INDEX('Cost_Components'!$T$2:$T$27,MATCH(E684,'Cost_Components'!$A$2:$A$27,0)),"")</f>
      </c>
      <c r="AA684" s="81" t="str">
        <f>IFERROR(INDEX('Cost_Components'!$U$2:$U$27,MATCH(E684,'Cost_Components'!$A$2:$A$27,0)),"")</f>
      </c>
      <c r="AB684" s="82" t="str">
        <f>IFERROR(INDEX('Cost_Components'!$V$2:$V$27,MATCH(E684,'Cost_Components'!$A$2:$A$27,0)),"")</f>
      </c>
      <c r="AC684" s="83" t="str">
        <f>IFERROR(INDEX('Cost_Components'!$M$2:$M$27,MATCH(E684,'Cost_Components'!$A$2:$A$27,0)),"")</f>
      </c>
      <c r="AD684" s="84" t="str">
        <f>IFERROR(INDEX('Cost_Components'!$N$2:$N$27,MATCH(E684,'Cost_Components'!$A$2:$A$27,0)),"")</f>
      </c>
      <c r="AE684" s="20" t="str">
        <f>IFERROR(INDEX('Cost_Components'!$O$2:$O$27,MATCH(E684,'Cost_Components'!$A$2:$A$27,0)),"")</f>
      </c>
      <c r="AF684" s="85" t="n">
        <v>329625676.917931</v>
      </c>
      <c r="AG684" s="86" t="n">
        <v>329259809.173501</v>
      </c>
      <c r="AH684" s="87" t="str">
        <f>IF(H684="shared-count-once",COUNTIFS($A$2:$A$1353,A684,$B$2:$B$1353,B684,$E$2:$E$1353,E684),1)</f>
      </c>
    </row>
    <row r="685">
      <c r="A685" t="s">
        <v>75</v>
      </c>
      <c r="B685" s="59" t="n">
        <v>2032</v>
      </c>
      <c r="C685" t="s">
        <v>162</v>
      </c>
      <c r="D685"/>
      <c r="E685" s="60" t="s">
        <v>260</v>
      </c>
      <c r="F685" s="61" t="s">
        <v>261</v>
      </c>
      <c r="G685" s="62" t="s">
        <v>171</v>
      </c>
      <c r="H685" s="63" t="s">
        <v>172</v>
      </c>
      <c r="I685" s="64" t="s">
        <v>75</v>
      </c>
      <c r="J685" s="65" t="str">
        <f>IFERROR(INDEX('Cost_Components'!$K$2:$K$27,MATCH(E685,'Cost_Components'!$A$2:$A$27,0)),"")</f>
      </c>
      <c r="K685" s="66" t="str">
        <f>IF(OR(L685="",Z685="",AA685="",AB685=""),"",IF(B685&lt;AA685,L685,IF(B685&gt;AB685,Z685,L685+(Z685-L685)*MIN(MAX((B685-AA685+1)/MAX(AB685-AA685+1,1),0),1))))</f>
      </c>
      <c r="L685" s="67" t="str">
        <f>IFERROR(INDEX('Cost_Components'!$S$2:$S$27,MATCH(E685,'Cost_Components'!$A$2:$A$27,0)),"")</f>
      </c>
      <c r="M685" s="68" t="str">
        <f>IFERROR(INDEX('Cost_Components'!$L$2:$L$27,MATCH(E685,'Cost_Components'!$A$2:$A$27,0)),"")</f>
      </c>
      <c r="N685" s="69" t="str">
        <f>IFERROR(INDEX('Cost_Components'!$P$2:$P$27,MATCH(E685,'Cost_Components'!$A$2:$A$27,0)),"")</f>
      </c>
      <c r="O685" s="70" t="str">
        <f>AF685*J685</f>
      </c>
      <c r="P685" s="71" t="str">
        <f>AG685*J685</f>
      </c>
      <c r="Q685" s="72" t="str">
        <f>P685*L685*M685*N685</f>
      </c>
      <c r="R685" s="73" t="str">
        <f>O685*K685*M685*N685</f>
      </c>
      <c r="S685" s="74" t="str">
        <f>R685-Q685</f>
      </c>
      <c r="T685" s="20" t="str">
        <f>IFERROR(INDEX('Cost_Components'!$R$2:$R$27,MATCH(E685,'Cost_Components'!$A$2:$A$27,0)),"")</f>
      </c>
      <c r="U685" s="75" t="str">
        <f>IFERROR(INDEX('Cost_Components'!$Q$2:$Q$27,MATCH(E685,'Cost_Components'!$A$2:$A$27,0)),"")</f>
      </c>
      <c r="V685" s="76" t="str">
        <f>1/(1+'Calculation_Assumptions'!$B$5)^(B685-'Calculation_Assumptions'!$B$2)</f>
      </c>
      <c r="W685" s="77" t="str">
        <f>Q685*V685</f>
      </c>
      <c r="X685" s="78" t="str">
        <f>R685*V685</f>
      </c>
      <c r="Y685" s="79" t="str">
        <f>S685*V685</f>
      </c>
      <c r="Z685" s="80" t="str">
        <f>IFERROR(INDEX('Cost_Components'!$T$2:$T$27,MATCH(E685,'Cost_Components'!$A$2:$A$27,0)),"")</f>
      </c>
      <c r="AA685" s="81" t="str">
        <f>IFERROR(INDEX('Cost_Components'!$U$2:$U$27,MATCH(E685,'Cost_Components'!$A$2:$A$27,0)),"")</f>
      </c>
      <c r="AB685" s="82" t="str">
        <f>IFERROR(INDEX('Cost_Components'!$V$2:$V$27,MATCH(E685,'Cost_Components'!$A$2:$A$27,0)),"")</f>
      </c>
      <c r="AC685" s="83" t="str">
        <f>IFERROR(INDEX('Cost_Components'!$M$2:$M$27,MATCH(E685,'Cost_Components'!$A$2:$A$27,0)),"")</f>
      </c>
      <c r="AD685" s="84" t="str">
        <f>IFERROR(INDEX('Cost_Components'!$N$2:$N$27,MATCH(E685,'Cost_Components'!$A$2:$A$27,0)),"")</f>
      </c>
      <c r="AE685" s="20" t="str">
        <f>IFERROR(INDEX('Cost_Components'!$O$2:$O$27,MATCH(E685,'Cost_Components'!$A$2:$A$27,0)),"")</f>
      </c>
      <c r="AF685" s="85" t="n">
        <v>333747668.77104</v>
      </c>
      <c r="AG685" s="86" t="n">
        <v>333331540.946644</v>
      </c>
      <c r="AH685" s="87" t="str">
        <f>IF(H685="shared-count-once",COUNTIFS($A$2:$A$1353,A685,$B$2:$B$1353,B685,$E$2:$E$1353,E685),1)</f>
      </c>
    </row>
    <row r="686">
      <c r="A686" t="s">
        <v>75</v>
      </c>
      <c r="B686" s="59" t="n">
        <v>2033</v>
      </c>
      <c r="C686" t="s">
        <v>162</v>
      </c>
      <c r="D686"/>
      <c r="E686" s="60" t="s">
        <v>260</v>
      </c>
      <c r="F686" s="61" t="s">
        <v>261</v>
      </c>
      <c r="G686" s="62" t="s">
        <v>171</v>
      </c>
      <c r="H686" s="63" t="s">
        <v>172</v>
      </c>
      <c r="I686" s="64" t="s">
        <v>75</v>
      </c>
      <c r="J686" s="65" t="str">
        <f>IFERROR(INDEX('Cost_Components'!$K$2:$K$27,MATCH(E686,'Cost_Components'!$A$2:$A$27,0)),"")</f>
      </c>
      <c r="K686" s="66" t="str">
        <f>IF(OR(L686="",Z686="",AA686="",AB686=""),"",IF(B686&lt;AA686,L686,IF(B686&gt;AB686,Z686,L686+(Z686-L686)*MIN(MAX((B686-AA686+1)/MAX(AB686-AA686+1,1),0),1))))</f>
      </c>
      <c r="L686" s="67" t="str">
        <f>IFERROR(INDEX('Cost_Components'!$S$2:$S$27,MATCH(E686,'Cost_Components'!$A$2:$A$27,0)),"")</f>
      </c>
      <c r="M686" s="68" t="str">
        <f>IFERROR(INDEX('Cost_Components'!$L$2:$L$27,MATCH(E686,'Cost_Components'!$A$2:$A$27,0)),"")</f>
      </c>
      <c r="N686" s="69" t="str">
        <f>IFERROR(INDEX('Cost_Components'!$P$2:$P$27,MATCH(E686,'Cost_Components'!$A$2:$A$27,0)),"")</f>
      </c>
      <c r="O686" s="70" t="str">
        <f>AF686*J686</f>
      </c>
      <c r="P686" s="71" t="str">
        <f>AG686*J686</f>
      </c>
      <c r="Q686" s="72" t="str">
        <f>P686*L686*M686*N686</f>
      </c>
      <c r="R686" s="73" t="str">
        <f>O686*K686*M686*N686</f>
      </c>
      <c r="S686" s="74" t="str">
        <f>R686-Q686</f>
      </c>
      <c r="T686" s="20" t="str">
        <f>IFERROR(INDEX('Cost_Components'!$R$2:$R$27,MATCH(E686,'Cost_Components'!$A$2:$A$27,0)),"")</f>
      </c>
      <c r="U686" s="75" t="str">
        <f>IFERROR(INDEX('Cost_Components'!$Q$2:$Q$27,MATCH(E686,'Cost_Components'!$A$2:$A$27,0)),"")</f>
      </c>
      <c r="V686" s="76" t="str">
        <f>1/(1+'Calculation_Assumptions'!$B$5)^(B686-'Calculation_Assumptions'!$B$2)</f>
      </c>
      <c r="W686" s="77" t="str">
        <f>Q686*V686</f>
      </c>
      <c r="X686" s="78" t="str">
        <f>R686*V686</f>
      </c>
      <c r="Y686" s="79" t="str">
        <f>S686*V686</f>
      </c>
      <c r="Z686" s="80" t="str">
        <f>IFERROR(INDEX('Cost_Components'!$T$2:$T$27,MATCH(E686,'Cost_Components'!$A$2:$A$27,0)),"")</f>
      </c>
      <c r="AA686" s="81" t="str">
        <f>IFERROR(INDEX('Cost_Components'!$U$2:$U$27,MATCH(E686,'Cost_Components'!$A$2:$A$27,0)),"")</f>
      </c>
      <c r="AB686" s="82" t="str">
        <f>IFERROR(INDEX('Cost_Components'!$V$2:$V$27,MATCH(E686,'Cost_Components'!$A$2:$A$27,0)),"")</f>
      </c>
      <c r="AC686" s="83" t="str">
        <f>IFERROR(INDEX('Cost_Components'!$M$2:$M$27,MATCH(E686,'Cost_Components'!$A$2:$A$27,0)),"")</f>
      </c>
      <c r="AD686" s="84" t="str">
        <f>IFERROR(INDEX('Cost_Components'!$N$2:$N$27,MATCH(E686,'Cost_Components'!$A$2:$A$27,0)),"")</f>
      </c>
      <c r="AE686" s="20" t="str">
        <f>IFERROR(INDEX('Cost_Components'!$O$2:$O$27,MATCH(E686,'Cost_Components'!$A$2:$A$27,0)),"")</f>
      </c>
      <c r="AF686" s="85" t="n">
        <v>337829647.844903</v>
      </c>
      <c r="AG686" s="86" t="n">
        <v>337349600.363372</v>
      </c>
      <c r="AH686" s="87" t="str">
        <f>IF(H686="shared-count-once",COUNTIFS($A$2:$A$1353,A686,$B$2:$B$1353,B686,$E$2:$E$1353,E686),1)</f>
      </c>
    </row>
    <row r="687">
      <c r="A687" t="s">
        <v>75</v>
      </c>
      <c r="B687" s="59" t="n">
        <v>2034</v>
      </c>
      <c r="C687" t="s">
        <v>162</v>
      </c>
      <c r="D687"/>
      <c r="E687" s="60" t="s">
        <v>260</v>
      </c>
      <c r="F687" s="61" t="s">
        <v>261</v>
      </c>
      <c r="G687" s="62" t="s">
        <v>171</v>
      </c>
      <c r="H687" s="63" t="s">
        <v>172</v>
      </c>
      <c r="I687" s="64" t="s">
        <v>75</v>
      </c>
      <c r="J687" s="65" t="str">
        <f>IFERROR(INDEX('Cost_Components'!$K$2:$K$27,MATCH(E687,'Cost_Components'!$A$2:$A$27,0)),"")</f>
      </c>
      <c r="K687" s="66" t="str">
        <f>IF(OR(L687="",Z687="",AA687="",AB687=""),"",IF(B687&lt;AA687,L687,IF(B687&gt;AB687,Z687,L687+(Z687-L687)*MIN(MAX((B687-AA687+1)/MAX(AB687-AA687+1,1),0),1))))</f>
      </c>
      <c r="L687" s="67" t="str">
        <f>IFERROR(INDEX('Cost_Components'!$S$2:$S$27,MATCH(E687,'Cost_Components'!$A$2:$A$27,0)),"")</f>
      </c>
      <c r="M687" s="68" t="str">
        <f>IFERROR(INDEX('Cost_Components'!$L$2:$L$27,MATCH(E687,'Cost_Components'!$A$2:$A$27,0)),"")</f>
      </c>
      <c r="N687" s="69" t="str">
        <f>IFERROR(INDEX('Cost_Components'!$P$2:$P$27,MATCH(E687,'Cost_Components'!$A$2:$A$27,0)),"")</f>
      </c>
      <c r="O687" s="70" t="str">
        <f>AF687*J687</f>
      </c>
      <c r="P687" s="71" t="str">
        <f>AG687*J687</f>
      </c>
      <c r="Q687" s="72" t="str">
        <f>P687*L687*M687*N687</f>
      </c>
      <c r="R687" s="73" t="str">
        <f>O687*K687*M687*N687</f>
      </c>
      <c r="S687" s="74" t="str">
        <f>R687-Q687</f>
      </c>
      <c r="T687" s="20" t="str">
        <f>IFERROR(INDEX('Cost_Components'!$R$2:$R$27,MATCH(E687,'Cost_Components'!$A$2:$A$27,0)),"")</f>
      </c>
      <c r="U687" s="75" t="str">
        <f>IFERROR(INDEX('Cost_Components'!$Q$2:$Q$27,MATCH(E687,'Cost_Components'!$A$2:$A$27,0)),"")</f>
      </c>
      <c r="V687" s="76" t="str">
        <f>1/(1+'Calculation_Assumptions'!$B$5)^(B687-'Calculation_Assumptions'!$B$2)</f>
      </c>
      <c r="W687" s="77" t="str">
        <f>Q687*V687</f>
      </c>
      <c r="X687" s="78" t="str">
        <f>R687*V687</f>
      </c>
      <c r="Y687" s="79" t="str">
        <f>S687*V687</f>
      </c>
      <c r="Z687" s="80" t="str">
        <f>IFERROR(INDEX('Cost_Components'!$T$2:$T$27,MATCH(E687,'Cost_Components'!$A$2:$A$27,0)),"")</f>
      </c>
      <c r="AA687" s="81" t="str">
        <f>IFERROR(INDEX('Cost_Components'!$U$2:$U$27,MATCH(E687,'Cost_Components'!$A$2:$A$27,0)),"")</f>
      </c>
      <c r="AB687" s="82" t="str">
        <f>IFERROR(INDEX('Cost_Components'!$V$2:$V$27,MATCH(E687,'Cost_Components'!$A$2:$A$27,0)),"")</f>
      </c>
      <c r="AC687" s="83" t="str">
        <f>IFERROR(INDEX('Cost_Components'!$M$2:$M$27,MATCH(E687,'Cost_Components'!$A$2:$A$27,0)),"")</f>
      </c>
      <c r="AD687" s="84" t="str">
        <f>IFERROR(INDEX('Cost_Components'!$N$2:$N$27,MATCH(E687,'Cost_Components'!$A$2:$A$27,0)),"")</f>
      </c>
      <c r="AE687" s="20" t="str">
        <f>IFERROR(INDEX('Cost_Components'!$O$2:$O$27,MATCH(E687,'Cost_Components'!$A$2:$A$27,0)),"")</f>
      </c>
      <c r="AF687" s="85" t="n">
        <v>341911740.682985</v>
      </c>
      <c r="AG687" s="86" t="n">
        <v>341352820.609966</v>
      </c>
      <c r="AH687" s="87" t="str">
        <f>IF(H687="shared-count-once",COUNTIFS($A$2:$A$1353,A687,$B$2:$B$1353,B687,$E$2:$E$1353,E687),1)</f>
      </c>
    </row>
    <row r="688">
      <c r="A688" t="s">
        <v>75</v>
      </c>
      <c r="B688" s="59" t="n">
        <v>2035</v>
      </c>
      <c r="C688" t="s">
        <v>162</v>
      </c>
      <c r="D688"/>
      <c r="E688" s="60" t="s">
        <v>260</v>
      </c>
      <c r="F688" s="61" t="s">
        <v>261</v>
      </c>
      <c r="G688" s="62" t="s">
        <v>171</v>
      </c>
      <c r="H688" s="63" t="s">
        <v>172</v>
      </c>
      <c r="I688" s="64" t="s">
        <v>75</v>
      </c>
      <c r="J688" s="65" t="str">
        <f>IFERROR(INDEX('Cost_Components'!$K$2:$K$27,MATCH(E688,'Cost_Components'!$A$2:$A$27,0)),"")</f>
      </c>
      <c r="K688" s="66" t="str">
        <f>IF(OR(L688="",Z688="",AA688="",AB688=""),"",IF(B688&lt;AA688,L688,IF(B688&gt;AB688,Z688,L688+(Z688-L688)*MIN(MAX((B688-AA688+1)/MAX(AB688-AA688+1,1),0),1))))</f>
      </c>
      <c r="L688" s="67" t="str">
        <f>IFERROR(INDEX('Cost_Components'!$S$2:$S$27,MATCH(E688,'Cost_Components'!$A$2:$A$27,0)),"")</f>
      </c>
      <c r="M688" s="68" t="str">
        <f>IFERROR(INDEX('Cost_Components'!$L$2:$L$27,MATCH(E688,'Cost_Components'!$A$2:$A$27,0)),"")</f>
      </c>
      <c r="N688" s="69" t="str">
        <f>IFERROR(INDEX('Cost_Components'!$P$2:$P$27,MATCH(E688,'Cost_Components'!$A$2:$A$27,0)),"")</f>
      </c>
      <c r="O688" s="70" t="str">
        <f>AF688*J688</f>
      </c>
      <c r="P688" s="71" t="str">
        <f>AG688*J688</f>
      </c>
      <c r="Q688" s="72" t="str">
        <f>P688*L688*M688*N688</f>
      </c>
      <c r="R688" s="73" t="str">
        <f>O688*K688*M688*N688</f>
      </c>
      <c r="S688" s="74" t="str">
        <f>R688-Q688</f>
      </c>
      <c r="T688" s="20" t="str">
        <f>IFERROR(INDEX('Cost_Components'!$R$2:$R$27,MATCH(E688,'Cost_Components'!$A$2:$A$27,0)),"")</f>
      </c>
      <c r="U688" s="75" t="str">
        <f>IFERROR(INDEX('Cost_Components'!$Q$2:$Q$27,MATCH(E688,'Cost_Components'!$A$2:$A$27,0)),"")</f>
      </c>
      <c r="V688" s="76" t="str">
        <f>1/(1+'Calculation_Assumptions'!$B$5)^(B688-'Calculation_Assumptions'!$B$2)</f>
      </c>
      <c r="W688" s="77" t="str">
        <f>Q688*V688</f>
      </c>
      <c r="X688" s="78" t="str">
        <f>R688*V688</f>
      </c>
      <c r="Y688" s="79" t="str">
        <f>S688*V688</f>
      </c>
      <c r="Z688" s="80" t="str">
        <f>IFERROR(INDEX('Cost_Components'!$T$2:$T$27,MATCH(E688,'Cost_Components'!$A$2:$A$27,0)),"")</f>
      </c>
      <c r="AA688" s="81" t="str">
        <f>IFERROR(INDEX('Cost_Components'!$U$2:$U$27,MATCH(E688,'Cost_Components'!$A$2:$A$27,0)),"")</f>
      </c>
      <c r="AB688" s="82" t="str">
        <f>IFERROR(INDEX('Cost_Components'!$V$2:$V$27,MATCH(E688,'Cost_Components'!$A$2:$A$27,0)),"")</f>
      </c>
      <c r="AC688" s="83" t="str">
        <f>IFERROR(INDEX('Cost_Components'!$M$2:$M$27,MATCH(E688,'Cost_Components'!$A$2:$A$27,0)),"")</f>
      </c>
      <c r="AD688" s="84" t="str">
        <f>IFERROR(INDEX('Cost_Components'!$N$2:$N$27,MATCH(E688,'Cost_Components'!$A$2:$A$27,0)),"")</f>
      </c>
      <c r="AE688" s="20" t="str">
        <f>IFERROR(INDEX('Cost_Components'!$O$2:$O$27,MATCH(E688,'Cost_Components'!$A$2:$A$27,0)),"")</f>
      </c>
      <c r="AF688" s="85" t="n">
        <v>346101231.856099</v>
      </c>
      <c r="AG688" s="86" t="n">
        <v>345429256.615921</v>
      </c>
      <c r="AH688" s="87" t="str">
        <f>IF(H688="shared-count-once",COUNTIFS($A$2:$A$1353,A688,$B$2:$B$1353,B688,$E$2:$E$1353,E688),1)</f>
      </c>
    </row>
    <row r="689">
      <c r="A689" t="s">
        <v>75</v>
      </c>
      <c r="B689" s="59" t="n">
        <v>2036</v>
      </c>
      <c r="C689" t="s">
        <v>162</v>
      </c>
      <c r="D689"/>
      <c r="E689" s="60" t="s">
        <v>260</v>
      </c>
      <c r="F689" s="61" t="s">
        <v>261</v>
      </c>
      <c r="G689" s="62" t="s">
        <v>171</v>
      </c>
      <c r="H689" s="63" t="s">
        <v>172</v>
      </c>
      <c r="I689" s="64" t="s">
        <v>75</v>
      </c>
      <c r="J689" s="65" t="str">
        <f>IFERROR(INDEX('Cost_Components'!$K$2:$K$27,MATCH(E689,'Cost_Components'!$A$2:$A$27,0)),"")</f>
      </c>
      <c r="K689" s="66" t="str">
        <f>IF(OR(L689="",Z689="",AA689="",AB689=""),"",IF(B689&lt;AA689,L689,IF(B689&gt;AB689,Z689,L689+(Z689-L689)*MIN(MAX((B689-AA689+1)/MAX(AB689-AA689+1,1),0),1))))</f>
      </c>
      <c r="L689" s="67" t="str">
        <f>IFERROR(INDEX('Cost_Components'!$S$2:$S$27,MATCH(E689,'Cost_Components'!$A$2:$A$27,0)),"")</f>
      </c>
      <c r="M689" s="68" t="str">
        <f>IFERROR(INDEX('Cost_Components'!$L$2:$L$27,MATCH(E689,'Cost_Components'!$A$2:$A$27,0)),"")</f>
      </c>
      <c r="N689" s="69" t="str">
        <f>IFERROR(INDEX('Cost_Components'!$P$2:$P$27,MATCH(E689,'Cost_Components'!$A$2:$A$27,0)),"")</f>
      </c>
      <c r="O689" s="70" t="str">
        <f>AF689*J689</f>
      </c>
      <c r="P689" s="71" t="str">
        <f>AG689*J689</f>
      </c>
      <c r="Q689" s="72" t="str">
        <f>P689*L689*M689*N689</f>
      </c>
      <c r="R689" s="73" t="str">
        <f>O689*K689*M689*N689</f>
      </c>
      <c r="S689" s="74" t="str">
        <f>R689-Q689</f>
      </c>
      <c r="T689" s="20" t="str">
        <f>IFERROR(INDEX('Cost_Components'!$R$2:$R$27,MATCH(E689,'Cost_Components'!$A$2:$A$27,0)),"")</f>
      </c>
      <c r="U689" s="75" t="str">
        <f>IFERROR(INDEX('Cost_Components'!$Q$2:$Q$27,MATCH(E689,'Cost_Components'!$A$2:$A$27,0)),"")</f>
      </c>
      <c r="V689" s="76" t="str">
        <f>1/(1+'Calculation_Assumptions'!$B$5)^(B689-'Calculation_Assumptions'!$B$2)</f>
      </c>
      <c r="W689" s="77" t="str">
        <f>Q689*V689</f>
      </c>
      <c r="X689" s="78" t="str">
        <f>R689*V689</f>
      </c>
      <c r="Y689" s="79" t="str">
        <f>S689*V689</f>
      </c>
      <c r="Z689" s="80" t="str">
        <f>IFERROR(INDEX('Cost_Components'!$T$2:$T$27,MATCH(E689,'Cost_Components'!$A$2:$A$27,0)),"")</f>
      </c>
      <c r="AA689" s="81" t="str">
        <f>IFERROR(INDEX('Cost_Components'!$U$2:$U$27,MATCH(E689,'Cost_Components'!$A$2:$A$27,0)),"")</f>
      </c>
      <c r="AB689" s="82" t="str">
        <f>IFERROR(INDEX('Cost_Components'!$V$2:$V$27,MATCH(E689,'Cost_Components'!$A$2:$A$27,0)),"")</f>
      </c>
      <c r="AC689" s="83" t="str">
        <f>IFERROR(INDEX('Cost_Components'!$M$2:$M$27,MATCH(E689,'Cost_Components'!$A$2:$A$27,0)),"")</f>
      </c>
      <c r="AD689" s="84" t="str">
        <f>IFERROR(INDEX('Cost_Components'!$N$2:$N$27,MATCH(E689,'Cost_Components'!$A$2:$A$27,0)),"")</f>
      </c>
      <c r="AE689" s="20" t="str">
        <f>IFERROR(INDEX('Cost_Components'!$O$2:$O$27,MATCH(E689,'Cost_Components'!$A$2:$A$27,0)),"")</f>
      </c>
      <c r="AF689" s="85" t="n">
        <v>350395753.603005</v>
      </c>
      <c r="AG689" s="86" t="n">
        <v>349633455.684602</v>
      </c>
      <c r="AH689" s="87" t="str">
        <f>IF(H689="shared-count-once",COUNTIFS($A$2:$A$1353,A689,$B$2:$B$1353,B689,$E$2:$E$1353,E689),1)</f>
      </c>
    </row>
    <row r="690">
      <c r="A690" t="s">
        <v>75</v>
      </c>
      <c r="B690" s="59" t="n">
        <v>2037</v>
      </c>
      <c r="C690" t="s">
        <v>162</v>
      </c>
      <c r="D690"/>
      <c r="E690" s="60" t="s">
        <v>260</v>
      </c>
      <c r="F690" s="61" t="s">
        <v>261</v>
      </c>
      <c r="G690" s="62" t="s">
        <v>171</v>
      </c>
      <c r="H690" s="63" t="s">
        <v>172</v>
      </c>
      <c r="I690" s="64" t="s">
        <v>75</v>
      </c>
      <c r="J690" s="65" t="str">
        <f>IFERROR(INDEX('Cost_Components'!$K$2:$K$27,MATCH(E690,'Cost_Components'!$A$2:$A$27,0)),"")</f>
      </c>
      <c r="K690" s="66" t="str">
        <f>IF(OR(L690="",Z690="",AA690="",AB690=""),"",IF(B690&lt;AA690,L690,IF(B690&gt;AB690,Z690,L690+(Z690-L690)*MIN(MAX((B690-AA690+1)/MAX(AB690-AA690+1,1),0),1))))</f>
      </c>
      <c r="L690" s="67" t="str">
        <f>IFERROR(INDEX('Cost_Components'!$S$2:$S$27,MATCH(E690,'Cost_Components'!$A$2:$A$27,0)),"")</f>
      </c>
      <c r="M690" s="68" t="str">
        <f>IFERROR(INDEX('Cost_Components'!$L$2:$L$27,MATCH(E690,'Cost_Components'!$A$2:$A$27,0)),"")</f>
      </c>
      <c r="N690" s="69" t="str">
        <f>IFERROR(INDEX('Cost_Components'!$P$2:$P$27,MATCH(E690,'Cost_Components'!$A$2:$A$27,0)),"")</f>
      </c>
      <c r="O690" s="70" t="str">
        <f>AF690*J690</f>
      </c>
      <c r="P690" s="71" t="str">
        <f>AG690*J690</f>
      </c>
      <c r="Q690" s="72" t="str">
        <f>P690*L690*M690*N690</f>
      </c>
      <c r="R690" s="73" t="str">
        <f>O690*K690*M690*N690</f>
      </c>
      <c r="S690" s="74" t="str">
        <f>R690-Q690</f>
      </c>
      <c r="T690" s="20" t="str">
        <f>IFERROR(INDEX('Cost_Components'!$R$2:$R$27,MATCH(E690,'Cost_Components'!$A$2:$A$27,0)),"")</f>
      </c>
      <c r="U690" s="75" t="str">
        <f>IFERROR(INDEX('Cost_Components'!$Q$2:$Q$27,MATCH(E690,'Cost_Components'!$A$2:$A$27,0)),"")</f>
      </c>
      <c r="V690" s="76" t="str">
        <f>1/(1+'Calculation_Assumptions'!$B$5)^(B690-'Calculation_Assumptions'!$B$2)</f>
      </c>
      <c r="W690" s="77" t="str">
        <f>Q690*V690</f>
      </c>
      <c r="X690" s="78" t="str">
        <f>R690*V690</f>
      </c>
      <c r="Y690" s="79" t="str">
        <f>S690*V690</f>
      </c>
      <c r="Z690" s="80" t="str">
        <f>IFERROR(INDEX('Cost_Components'!$T$2:$T$27,MATCH(E690,'Cost_Components'!$A$2:$A$27,0)),"")</f>
      </c>
      <c r="AA690" s="81" t="str">
        <f>IFERROR(INDEX('Cost_Components'!$U$2:$U$27,MATCH(E690,'Cost_Components'!$A$2:$A$27,0)),"")</f>
      </c>
      <c r="AB690" s="82" t="str">
        <f>IFERROR(INDEX('Cost_Components'!$V$2:$V$27,MATCH(E690,'Cost_Components'!$A$2:$A$27,0)),"")</f>
      </c>
      <c r="AC690" s="83" t="str">
        <f>IFERROR(INDEX('Cost_Components'!$M$2:$M$27,MATCH(E690,'Cost_Components'!$A$2:$A$27,0)),"")</f>
      </c>
      <c r="AD690" s="84" t="str">
        <f>IFERROR(INDEX('Cost_Components'!$N$2:$N$27,MATCH(E690,'Cost_Components'!$A$2:$A$27,0)),"")</f>
      </c>
      <c r="AE690" s="20" t="str">
        <f>IFERROR(INDEX('Cost_Components'!$O$2:$O$27,MATCH(E690,'Cost_Components'!$A$2:$A$27,0)),"")</f>
      </c>
      <c r="AF690" s="85" t="n">
        <v>354744679.167246</v>
      </c>
      <c r="AG690" s="86" t="n">
        <v>353857255.838185</v>
      </c>
      <c r="AH690" s="87" t="str">
        <f>IF(H690="shared-count-once",COUNTIFS($A$2:$A$1353,A690,$B$2:$B$1353,B690,$E$2:$E$1353,E690),1)</f>
      </c>
    </row>
    <row r="691">
      <c r="A691" t="s">
        <v>75</v>
      </c>
      <c r="B691" s="59" t="n">
        <v>2038</v>
      </c>
      <c r="C691" t="s">
        <v>162</v>
      </c>
      <c r="D691"/>
      <c r="E691" s="60" t="s">
        <v>260</v>
      </c>
      <c r="F691" s="61" t="s">
        <v>261</v>
      </c>
      <c r="G691" s="62" t="s">
        <v>171</v>
      </c>
      <c r="H691" s="63" t="s">
        <v>172</v>
      </c>
      <c r="I691" s="64" t="s">
        <v>75</v>
      </c>
      <c r="J691" s="65" t="str">
        <f>IFERROR(INDEX('Cost_Components'!$K$2:$K$27,MATCH(E691,'Cost_Components'!$A$2:$A$27,0)),"")</f>
      </c>
      <c r="K691" s="66" t="str">
        <f>IF(OR(L691="",Z691="",AA691="",AB691=""),"",IF(B691&lt;AA691,L691,IF(B691&gt;AB691,Z691,L691+(Z691-L691)*MIN(MAX((B691-AA691+1)/MAX(AB691-AA691+1,1),0),1))))</f>
      </c>
      <c r="L691" s="67" t="str">
        <f>IFERROR(INDEX('Cost_Components'!$S$2:$S$27,MATCH(E691,'Cost_Components'!$A$2:$A$27,0)),"")</f>
      </c>
      <c r="M691" s="68" t="str">
        <f>IFERROR(INDEX('Cost_Components'!$L$2:$L$27,MATCH(E691,'Cost_Components'!$A$2:$A$27,0)),"")</f>
      </c>
      <c r="N691" s="69" t="str">
        <f>IFERROR(INDEX('Cost_Components'!$P$2:$P$27,MATCH(E691,'Cost_Components'!$A$2:$A$27,0)),"")</f>
      </c>
      <c r="O691" s="70" t="str">
        <f>AF691*J691</f>
      </c>
      <c r="P691" s="71" t="str">
        <f>AG691*J691</f>
      </c>
      <c r="Q691" s="72" t="str">
        <f>P691*L691*M691*N691</f>
      </c>
      <c r="R691" s="73" t="str">
        <f>O691*K691*M691*N691</f>
      </c>
      <c r="S691" s="74" t="str">
        <f>R691-Q691</f>
      </c>
      <c r="T691" s="20" t="str">
        <f>IFERROR(INDEX('Cost_Components'!$R$2:$R$27,MATCH(E691,'Cost_Components'!$A$2:$A$27,0)),"")</f>
      </c>
      <c r="U691" s="75" t="str">
        <f>IFERROR(INDEX('Cost_Components'!$Q$2:$Q$27,MATCH(E691,'Cost_Components'!$A$2:$A$27,0)),"")</f>
      </c>
      <c r="V691" s="76" t="str">
        <f>1/(1+'Calculation_Assumptions'!$B$5)^(B691-'Calculation_Assumptions'!$B$2)</f>
      </c>
      <c r="W691" s="77" t="str">
        <f>Q691*V691</f>
      </c>
      <c r="X691" s="78" t="str">
        <f>R691*V691</f>
      </c>
      <c r="Y691" s="79" t="str">
        <f>S691*V691</f>
      </c>
      <c r="Z691" s="80" t="str">
        <f>IFERROR(INDEX('Cost_Components'!$T$2:$T$27,MATCH(E691,'Cost_Components'!$A$2:$A$27,0)),"")</f>
      </c>
      <c r="AA691" s="81" t="str">
        <f>IFERROR(INDEX('Cost_Components'!$U$2:$U$27,MATCH(E691,'Cost_Components'!$A$2:$A$27,0)),"")</f>
      </c>
      <c r="AB691" s="82" t="str">
        <f>IFERROR(INDEX('Cost_Components'!$V$2:$V$27,MATCH(E691,'Cost_Components'!$A$2:$A$27,0)),"")</f>
      </c>
      <c r="AC691" s="83" t="str">
        <f>IFERROR(INDEX('Cost_Components'!$M$2:$M$27,MATCH(E691,'Cost_Components'!$A$2:$A$27,0)),"")</f>
      </c>
      <c r="AD691" s="84" t="str">
        <f>IFERROR(INDEX('Cost_Components'!$N$2:$N$27,MATCH(E691,'Cost_Components'!$A$2:$A$27,0)),"")</f>
      </c>
      <c r="AE691" s="20" t="str">
        <f>IFERROR(INDEX('Cost_Components'!$O$2:$O$27,MATCH(E691,'Cost_Components'!$A$2:$A$27,0)),"")</f>
      </c>
      <c r="AF691" s="85" t="n">
        <v>359056527.541325</v>
      </c>
      <c r="AG691" s="86" t="n">
        <v>358007680.685344</v>
      </c>
      <c r="AH691" s="87" t="str">
        <f>IF(H691="shared-count-once",COUNTIFS($A$2:$A$1353,A691,$B$2:$B$1353,B691,$E$2:$E$1353,E691),1)</f>
      </c>
    </row>
    <row r="692">
      <c r="A692" t="s">
        <v>75</v>
      </c>
      <c r="B692" s="59" t="n">
        <v>2039</v>
      </c>
      <c r="C692" t="s">
        <v>162</v>
      </c>
      <c r="D692"/>
      <c r="E692" s="60" t="s">
        <v>260</v>
      </c>
      <c r="F692" s="61" t="s">
        <v>261</v>
      </c>
      <c r="G692" s="62" t="s">
        <v>171</v>
      </c>
      <c r="H692" s="63" t="s">
        <v>172</v>
      </c>
      <c r="I692" s="64" t="s">
        <v>75</v>
      </c>
      <c r="J692" s="65" t="str">
        <f>IFERROR(INDEX('Cost_Components'!$K$2:$K$27,MATCH(E692,'Cost_Components'!$A$2:$A$27,0)),"")</f>
      </c>
      <c r="K692" s="66" t="str">
        <f>IF(OR(L692="",Z692="",AA692="",AB692=""),"",IF(B692&lt;AA692,L692,IF(B692&gt;AB692,Z692,L692+(Z692-L692)*MIN(MAX((B692-AA692+1)/MAX(AB692-AA692+1,1),0),1))))</f>
      </c>
      <c r="L692" s="67" t="str">
        <f>IFERROR(INDEX('Cost_Components'!$S$2:$S$27,MATCH(E692,'Cost_Components'!$A$2:$A$27,0)),"")</f>
      </c>
      <c r="M692" s="68" t="str">
        <f>IFERROR(INDEX('Cost_Components'!$L$2:$L$27,MATCH(E692,'Cost_Components'!$A$2:$A$27,0)),"")</f>
      </c>
      <c r="N692" s="69" t="str">
        <f>IFERROR(INDEX('Cost_Components'!$P$2:$P$27,MATCH(E692,'Cost_Components'!$A$2:$A$27,0)),"")</f>
      </c>
      <c r="O692" s="70" t="str">
        <f>AF692*J692</f>
      </c>
      <c r="P692" s="71" t="str">
        <f>AG692*J692</f>
      </c>
      <c r="Q692" s="72" t="str">
        <f>P692*L692*M692*N692</f>
      </c>
      <c r="R692" s="73" t="str">
        <f>O692*K692*M692*N692</f>
      </c>
      <c r="S692" s="74" t="str">
        <f>R692-Q692</f>
      </c>
      <c r="T692" s="20" t="str">
        <f>IFERROR(INDEX('Cost_Components'!$R$2:$R$27,MATCH(E692,'Cost_Components'!$A$2:$A$27,0)),"")</f>
      </c>
      <c r="U692" s="75" t="str">
        <f>IFERROR(INDEX('Cost_Components'!$Q$2:$Q$27,MATCH(E692,'Cost_Components'!$A$2:$A$27,0)),"")</f>
      </c>
      <c r="V692" s="76" t="str">
        <f>1/(1+'Calculation_Assumptions'!$B$5)^(B692-'Calculation_Assumptions'!$B$2)</f>
      </c>
      <c r="W692" s="77" t="str">
        <f>Q692*V692</f>
      </c>
      <c r="X692" s="78" t="str">
        <f>R692*V692</f>
      </c>
      <c r="Y692" s="79" t="str">
        <f>S692*V692</f>
      </c>
      <c r="Z692" s="80" t="str">
        <f>IFERROR(INDEX('Cost_Components'!$T$2:$T$27,MATCH(E692,'Cost_Components'!$A$2:$A$27,0)),"")</f>
      </c>
      <c r="AA692" s="81" t="str">
        <f>IFERROR(INDEX('Cost_Components'!$U$2:$U$27,MATCH(E692,'Cost_Components'!$A$2:$A$27,0)),"")</f>
      </c>
      <c r="AB692" s="82" t="str">
        <f>IFERROR(INDEX('Cost_Components'!$V$2:$V$27,MATCH(E692,'Cost_Components'!$A$2:$A$27,0)),"")</f>
      </c>
      <c r="AC692" s="83" t="str">
        <f>IFERROR(INDEX('Cost_Components'!$M$2:$M$27,MATCH(E692,'Cost_Components'!$A$2:$A$27,0)),"")</f>
      </c>
      <c r="AD692" s="84" t="str">
        <f>IFERROR(INDEX('Cost_Components'!$N$2:$N$27,MATCH(E692,'Cost_Components'!$A$2:$A$27,0)),"")</f>
      </c>
      <c r="AE692" s="20" t="str">
        <f>IFERROR(INDEX('Cost_Components'!$O$2:$O$27,MATCH(E692,'Cost_Components'!$A$2:$A$27,0)),"")</f>
      </c>
      <c r="AF692" s="85" t="n">
        <v>363285366.19534</v>
      </c>
      <c r="AG692" s="86" t="n">
        <v>362079729.17759</v>
      </c>
      <c r="AH692" s="87" t="str">
        <f>IF(H692="shared-count-once",COUNTIFS($A$2:$A$1353,A692,$B$2:$B$1353,B692,$E$2:$E$1353,E692),1)</f>
      </c>
    </row>
    <row r="693">
      <c r="A693" t="s">
        <v>75</v>
      </c>
      <c r="B693" s="59" t="n">
        <v>2040</v>
      </c>
      <c r="C693" t="s">
        <v>162</v>
      </c>
      <c r="D693"/>
      <c r="E693" s="60" t="s">
        <v>260</v>
      </c>
      <c r="F693" s="61" t="s">
        <v>261</v>
      </c>
      <c r="G693" s="62" t="s">
        <v>171</v>
      </c>
      <c r="H693" s="63" t="s">
        <v>172</v>
      </c>
      <c r="I693" s="64" t="s">
        <v>75</v>
      </c>
      <c r="J693" s="65" t="str">
        <f>IFERROR(INDEX('Cost_Components'!$K$2:$K$27,MATCH(E693,'Cost_Components'!$A$2:$A$27,0)),"")</f>
      </c>
      <c r="K693" s="66" t="str">
        <f>IF(OR(L693="",Z693="",AA693="",AB693=""),"",IF(B693&lt;AA693,L693,IF(B693&gt;AB693,Z693,L693+(Z693-L693)*MIN(MAX((B693-AA693+1)/MAX(AB693-AA693+1,1),0),1))))</f>
      </c>
      <c r="L693" s="67" t="str">
        <f>IFERROR(INDEX('Cost_Components'!$S$2:$S$27,MATCH(E693,'Cost_Components'!$A$2:$A$27,0)),"")</f>
      </c>
      <c r="M693" s="68" t="str">
        <f>IFERROR(INDEX('Cost_Components'!$L$2:$L$27,MATCH(E693,'Cost_Components'!$A$2:$A$27,0)),"")</f>
      </c>
      <c r="N693" s="69" t="str">
        <f>IFERROR(INDEX('Cost_Components'!$P$2:$P$27,MATCH(E693,'Cost_Components'!$A$2:$A$27,0)),"")</f>
      </c>
      <c r="O693" s="70" t="str">
        <f>AF693*J693</f>
      </c>
      <c r="P693" s="71" t="str">
        <f>AG693*J693</f>
      </c>
      <c r="Q693" s="72" t="str">
        <f>P693*L693*M693*N693</f>
      </c>
      <c r="R693" s="73" t="str">
        <f>O693*K693*M693*N693</f>
      </c>
      <c r="S693" s="74" t="str">
        <f>R693-Q693</f>
      </c>
      <c r="T693" s="20" t="str">
        <f>IFERROR(INDEX('Cost_Components'!$R$2:$R$27,MATCH(E693,'Cost_Components'!$A$2:$A$27,0)),"")</f>
      </c>
      <c r="U693" s="75" t="str">
        <f>IFERROR(INDEX('Cost_Components'!$Q$2:$Q$27,MATCH(E693,'Cost_Components'!$A$2:$A$27,0)),"")</f>
      </c>
      <c r="V693" s="76" t="str">
        <f>1/(1+'Calculation_Assumptions'!$B$5)^(B693-'Calculation_Assumptions'!$B$2)</f>
      </c>
      <c r="W693" s="77" t="str">
        <f>Q693*V693</f>
      </c>
      <c r="X693" s="78" t="str">
        <f>R693*V693</f>
      </c>
      <c r="Y693" s="79" t="str">
        <f>S693*V693</f>
      </c>
      <c r="Z693" s="80" t="str">
        <f>IFERROR(INDEX('Cost_Components'!$T$2:$T$27,MATCH(E693,'Cost_Components'!$A$2:$A$27,0)),"")</f>
      </c>
      <c r="AA693" s="81" t="str">
        <f>IFERROR(INDEX('Cost_Components'!$U$2:$U$27,MATCH(E693,'Cost_Components'!$A$2:$A$27,0)),"")</f>
      </c>
      <c r="AB693" s="82" t="str">
        <f>IFERROR(INDEX('Cost_Components'!$V$2:$V$27,MATCH(E693,'Cost_Components'!$A$2:$A$27,0)),"")</f>
      </c>
      <c r="AC693" s="83" t="str">
        <f>IFERROR(INDEX('Cost_Components'!$M$2:$M$27,MATCH(E693,'Cost_Components'!$A$2:$A$27,0)),"")</f>
      </c>
      <c r="AD693" s="84" t="str">
        <f>IFERROR(INDEX('Cost_Components'!$N$2:$N$27,MATCH(E693,'Cost_Components'!$A$2:$A$27,0)),"")</f>
      </c>
      <c r="AE693" s="20" t="str">
        <f>IFERROR(INDEX('Cost_Components'!$O$2:$O$27,MATCH(E693,'Cost_Components'!$A$2:$A$27,0)),"")</f>
      </c>
      <c r="AF693" s="85" t="n">
        <v>367526796.077184</v>
      </c>
      <c r="AG693" s="86" t="n">
        <v>366148497.336983</v>
      </c>
      <c r="AH693" s="87" t="str">
        <f>IF(H693="shared-count-once",COUNTIFS($A$2:$A$1353,A693,$B$2:$B$1353,B693,$E$2:$E$1353,E693),1)</f>
      </c>
    </row>
    <row r="694">
      <c r="A694" t="s">
        <v>75</v>
      </c>
      <c r="B694" s="59" t="n">
        <v>2041</v>
      </c>
      <c r="C694" t="s">
        <v>162</v>
      </c>
      <c r="D694"/>
      <c r="E694" s="60" t="s">
        <v>260</v>
      </c>
      <c r="F694" s="61" t="s">
        <v>261</v>
      </c>
      <c r="G694" s="62" t="s">
        <v>171</v>
      </c>
      <c r="H694" s="63" t="s">
        <v>172</v>
      </c>
      <c r="I694" s="64" t="s">
        <v>75</v>
      </c>
      <c r="J694" s="65" t="str">
        <f>IFERROR(INDEX('Cost_Components'!$K$2:$K$27,MATCH(E694,'Cost_Components'!$A$2:$A$27,0)),"")</f>
      </c>
      <c r="K694" s="66" t="str">
        <f>IF(OR(L694="",Z694="",AA694="",AB694=""),"",IF(B694&lt;AA694,L694,IF(B694&gt;AB694,Z694,L694+(Z694-L694)*MIN(MAX((B694-AA694+1)/MAX(AB694-AA694+1,1),0),1))))</f>
      </c>
      <c r="L694" s="67" t="str">
        <f>IFERROR(INDEX('Cost_Components'!$S$2:$S$27,MATCH(E694,'Cost_Components'!$A$2:$A$27,0)),"")</f>
      </c>
      <c r="M694" s="68" t="str">
        <f>IFERROR(INDEX('Cost_Components'!$L$2:$L$27,MATCH(E694,'Cost_Components'!$A$2:$A$27,0)),"")</f>
      </c>
      <c r="N694" s="69" t="str">
        <f>IFERROR(INDEX('Cost_Components'!$P$2:$P$27,MATCH(E694,'Cost_Components'!$A$2:$A$27,0)),"")</f>
      </c>
      <c r="O694" s="70" t="str">
        <f>AF694*J694</f>
      </c>
      <c r="P694" s="71" t="str">
        <f>AG694*J694</f>
      </c>
      <c r="Q694" s="72" t="str">
        <f>P694*L694*M694*N694</f>
      </c>
      <c r="R694" s="73" t="str">
        <f>O694*K694*M694*N694</f>
      </c>
      <c r="S694" s="74" t="str">
        <f>R694-Q694</f>
      </c>
      <c r="T694" s="20" t="str">
        <f>IFERROR(INDEX('Cost_Components'!$R$2:$R$27,MATCH(E694,'Cost_Components'!$A$2:$A$27,0)),"")</f>
      </c>
      <c r="U694" s="75" t="str">
        <f>IFERROR(INDEX('Cost_Components'!$Q$2:$Q$27,MATCH(E694,'Cost_Components'!$A$2:$A$27,0)),"")</f>
      </c>
      <c r="V694" s="76" t="str">
        <f>1/(1+'Calculation_Assumptions'!$B$5)^(B694-'Calculation_Assumptions'!$B$2)</f>
      </c>
      <c r="W694" s="77" t="str">
        <f>Q694*V694</f>
      </c>
      <c r="X694" s="78" t="str">
        <f>R694*V694</f>
      </c>
      <c r="Y694" s="79" t="str">
        <f>S694*V694</f>
      </c>
      <c r="Z694" s="80" t="str">
        <f>IFERROR(INDEX('Cost_Components'!$T$2:$T$27,MATCH(E694,'Cost_Components'!$A$2:$A$27,0)),"")</f>
      </c>
      <c r="AA694" s="81" t="str">
        <f>IFERROR(INDEX('Cost_Components'!$U$2:$U$27,MATCH(E694,'Cost_Components'!$A$2:$A$27,0)),"")</f>
      </c>
      <c r="AB694" s="82" t="str">
        <f>IFERROR(INDEX('Cost_Components'!$V$2:$V$27,MATCH(E694,'Cost_Components'!$A$2:$A$27,0)),"")</f>
      </c>
      <c r="AC694" s="83" t="str">
        <f>IFERROR(INDEX('Cost_Components'!$M$2:$M$27,MATCH(E694,'Cost_Components'!$A$2:$A$27,0)),"")</f>
      </c>
      <c r="AD694" s="84" t="str">
        <f>IFERROR(INDEX('Cost_Components'!$N$2:$N$27,MATCH(E694,'Cost_Components'!$A$2:$A$27,0)),"")</f>
      </c>
      <c r="AE694" s="20" t="str">
        <f>IFERROR(INDEX('Cost_Components'!$O$2:$O$27,MATCH(E694,'Cost_Components'!$A$2:$A$27,0)),"")</f>
      </c>
      <c r="AF694" s="85" t="n">
        <v>371873872.933798</v>
      </c>
      <c r="AG694" s="86" t="n">
        <v>370307519.955221</v>
      </c>
      <c r="AH694" s="87" t="str">
        <f>IF(H694="shared-count-once",COUNTIFS($A$2:$A$1353,A694,$B$2:$B$1353,B694,$E$2:$E$1353,E694),1)</f>
      </c>
    </row>
    <row r="695">
      <c r="A695" t="s">
        <v>75</v>
      </c>
      <c r="B695" s="59" t="n">
        <v>2042</v>
      </c>
      <c r="C695" t="s">
        <v>162</v>
      </c>
      <c r="D695"/>
      <c r="E695" s="60" t="s">
        <v>260</v>
      </c>
      <c r="F695" s="61" t="s">
        <v>261</v>
      </c>
      <c r="G695" s="62" t="s">
        <v>171</v>
      </c>
      <c r="H695" s="63" t="s">
        <v>172</v>
      </c>
      <c r="I695" s="64" t="s">
        <v>75</v>
      </c>
      <c r="J695" s="65" t="str">
        <f>IFERROR(INDEX('Cost_Components'!$K$2:$K$27,MATCH(E695,'Cost_Components'!$A$2:$A$27,0)),"")</f>
      </c>
      <c r="K695" s="66" t="str">
        <f>IF(OR(L695="",Z695="",AA695="",AB695=""),"",IF(B695&lt;AA695,L695,IF(B695&gt;AB695,Z695,L695+(Z695-L695)*MIN(MAX((B695-AA695+1)/MAX(AB695-AA695+1,1),0),1))))</f>
      </c>
      <c r="L695" s="67" t="str">
        <f>IFERROR(INDEX('Cost_Components'!$S$2:$S$27,MATCH(E695,'Cost_Components'!$A$2:$A$27,0)),"")</f>
      </c>
      <c r="M695" s="68" t="str">
        <f>IFERROR(INDEX('Cost_Components'!$L$2:$L$27,MATCH(E695,'Cost_Components'!$A$2:$A$27,0)),"")</f>
      </c>
      <c r="N695" s="69" t="str">
        <f>IFERROR(INDEX('Cost_Components'!$P$2:$P$27,MATCH(E695,'Cost_Components'!$A$2:$A$27,0)),"")</f>
      </c>
      <c r="O695" s="70" t="str">
        <f>AF695*J695</f>
      </c>
      <c r="P695" s="71" t="str">
        <f>AG695*J695</f>
      </c>
      <c r="Q695" s="72" t="str">
        <f>P695*L695*M695*N695</f>
      </c>
      <c r="R695" s="73" t="str">
        <f>O695*K695*M695*N695</f>
      </c>
      <c r="S695" s="74" t="str">
        <f>R695-Q695</f>
      </c>
      <c r="T695" s="20" t="str">
        <f>IFERROR(INDEX('Cost_Components'!$R$2:$R$27,MATCH(E695,'Cost_Components'!$A$2:$A$27,0)),"")</f>
      </c>
      <c r="U695" s="75" t="str">
        <f>IFERROR(INDEX('Cost_Components'!$Q$2:$Q$27,MATCH(E695,'Cost_Components'!$A$2:$A$27,0)),"")</f>
      </c>
      <c r="V695" s="76" t="str">
        <f>1/(1+'Calculation_Assumptions'!$B$5)^(B695-'Calculation_Assumptions'!$B$2)</f>
      </c>
      <c r="W695" s="77" t="str">
        <f>Q695*V695</f>
      </c>
      <c r="X695" s="78" t="str">
        <f>R695*V695</f>
      </c>
      <c r="Y695" s="79" t="str">
        <f>S695*V695</f>
      </c>
      <c r="Z695" s="80" t="str">
        <f>IFERROR(INDEX('Cost_Components'!$T$2:$T$27,MATCH(E695,'Cost_Components'!$A$2:$A$27,0)),"")</f>
      </c>
      <c r="AA695" s="81" t="str">
        <f>IFERROR(INDEX('Cost_Components'!$U$2:$U$27,MATCH(E695,'Cost_Components'!$A$2:$A$27,0)),"")</f>
      </c>
      <c r="AB695" s="82" t="str">
        <f>IFERROR(INDEX('Cost_Components'!$V$2:$V$27,MATCH(E695,'Cost_Components'!$A$2:$A$27,0)),"")</f>
      </c>
      <c r="AC695" s="83" t="str">
        <f>IFERROR(INDEX('Cost_Components'!$M$2:$M$27,MATCH(E695,'Cost_Components'!$A$2:$A$27,0)),"")</f>
      </c>
      <c r="AD695" s="84" t="str">
        <f>IFERROR(INDEX('Cost_Components'!$N$2:$N$27,MATCH(E695,'Cost_Components'!$A$2:$A$27,0)),"")</f>
      </c>
      <c r="AE695" s="20" t="str">
        <f>IFERROR(INDEX('Cost_Components'!$O$2:$O$27,MATCH(E695,'Cost_Components'!$A$2:$A$27,0)),"")</f>
      </c>
      <c r="AF695" s="85" t="n">
        <v>376281134.878198</v>
      </c>
      <c r="AG695" s="86" t="n">
        <v>374511498.051548</v>
      </c>
      <c r="AH695" s="87" t="str">
        <f>IF(H695="shared-count-once",COUNTIFS($A$2:$A$1353,A695,$B$2:$B$1353,B695,$E$2:$E$1353,E695),1)</f>
      </c>
    </row>
    <row r="696">
      <c r="A696" t="s">
        <v>75</v>
      </c>
      <c r="B696" s="59" t="n">
        <v>2043</v>
      </c>
      <c r="C696" t="s">
        <v>162</v>
      </c>
      <c r="D696"/>
      <c r="E696" s="60" t="s">
        <v>260</v>
      </c>
      <c r="F696" s="61" t="s">
        <v>261</v>
      </c>
      <c r="G696" s="62" t="s">
        <v>171</v>
      </c>
      <c r="H696" s="63" t="s">
        <v>172</v>
      </c>
      <c r="I696" s="64" t="s">
        <v>75</v>
      </c>
      <c r="J696" s="65" t="str">
        <f>IFERROR(INDEX('Cost_Components'!$K$2:$K$27,MATCH(E696,'Cost_Components'!$A$2:$A$27,0)),"")</f>
      </c>
      <c r="K696" s="66" t="str">
        <f>IF(OR(L696="",Z696="",AA696="",AB696=""),"",IF(B696&lt;AA696,L696,IF(B696&gt;AB696,Z696,L696+(Z696-L696)*MIN(MAX((B696-AA696+1)/MAX(AB696-AA696+1,1),0),1))))</f>
      </c>
      <c r="L696" s="67" t="str">
        <f>IFERROR(INDEX('Cost_Components'!$S$2:$S$27,MATCH(E696,'Cost_Components'!$A$2:$A$27,0)),"")</f>
      </c>
      <c r="M696" s="68" t="str">
        <f>IFERROR(INDEX('Cost_Components'!$L$2:$L$27,MATCH(E696,'Cost_Components'!$A$2:$A$27,0)),"")</f>
      </c>
      <c r="N696" s="69" t="str">
        <f>IFERROR(INDEX('Cost_Components'!$P$2:$P$27,MATCH(E696,'Cost_Components'!$A$2:$A$27,0)),"")</f>
      </c>
      <c r="O696" s="70" t="str">
        <f>AF696*J696</f>
      </c>
      <c r="P696" s="71" t="str">
        <f>AG696*J696</f>
      </c>
      <c r="Q696" s="72" t="str">
        <f>P696*L696*M696*N696</f>
      </c>
      <c r="R696" s="73" t="str">
        <f>O696*K696*M696*N696</f>
      </c>
      <c r="S696" s="74" t="str">
        <f>R696-Q696</f>
      </c>
      <c r="T696" s="20" t="str">
        <f>IFERROR(INDEX('Cost_Components'!$R$2:$R$27,MATCH(E696,'Cost_Components'!$A$2:$A$27,0)),"")</f>
      </c>
      <c r="U696" s="75" t="str">
        <f>IFERROR(INDEX('Cost_Components'!$Q$2:$Q$27,MATCH(E696,'Cost_Components'!$A$2:$A$27,0)),"")</f>
      </c>
      <c r="V696" s="76" t="str">
        <f>1/(1+'Calculation_Assumptions'!$B$5)^(B696-'Calculation_Assumptions'!$B$2)</f>
      </c>
      <c r="W696" s="77" t="str">
        <f>Q696*V696</f>
      </c>
      <c r="X696" s="78" t="str">
        <f>R696*V696</f>
      </c>
      <c r="Y696" s="79" t="str">
        <f>S696*V696</f>
      </c>
      <c r="Z696" s="80" t="str">
        <f>IFERROR(INDEX('Cost_Components'!$T$2:$T$27,MATCH(E696,'Cost_Components'!$A$2:$A$27,0)),"")</f>
      </c>
      <c r="AA696" s="81" t="str">
        <f>IFERROR(INDEX('Cost_Components'!$U$2:$U$27,MATCH(E696,'Cost_Components'!$A$2:$A$27,0)),"")</f>
      </c>
      <c r="AB696" s="82" t="str">
        <f>IFERROR(INDEX('Cost_Components'!$V$2:$V$27,MATCH(E696,'Cost_Components'!$A$2:$A$27,0)),"")</f>
      </c>
      <c r="AC696" s="83" t="str">
        <f>IFERROR(INDEX('Cost_Components'!$M$2:$M$27,MATCH(E696,'Cost_Components'!$A$2:$A$27,0)),"")</f>
      </c>
      <c r="AD696" s="84" t="str">
        <f>IFERROR(INDEX('Cost_Components'!$N$2:$N$27,MATCH(E696,'Cost_Components'!$A$2:$A$27,0)),"")</f>
      </c>
      <c r="AE696" s="20" t="str">
        <f>IFERROR(INDEX('Cost_Components'!$O$2:$O$27,MATCH(E696,'Cost_Components'!$A$2:$A$27,0)),"")</f>
      </c>
      <c r="AF696" s="85" t="n">
        <v>380452418.880279</v>
      </c>
      <c r="AG696" s="86" t="n">
        <v>378524407.122942</v>
      </c>
      <c r="AH696" s="87" t="str">
        <f>IF(H696="shared-count-once",COUNTIFS($A$2:$A$1353,A696,$B$2:$B$1353,B696,$E$2:$E$1353,E696),1)</f>
      </c>
    </row>
    <row r="697">
      <c r="A697" t="s">
        <v>75</v>
      </c>
      <c r="B697" s="59" t="n">
        <v>2044</v>
      </c>
      <c r="C697" t="s">
        <v>162</v>
      </c>
      <c r="D697"/>
      <c r="E697" s="60" t="s">
        <v>260</v>
      </c>
      <c r="F697" s="61" t="s">
        <v>261</v>
      </c>
      <c r="G697" s="62" t="s">
        <v>171</v>
      </c>
      <c r="H697" s="63" t="s">
        <v>172</v>
      </c>
      <c r="I697" s="64" t="s">
        <v>75</v>
      </c>
      <c r="J697" s="65" t="str">
        <f>IFERROR(INDEX('Cost_Components'!$K$2:$K$27,MATCH(E697,'Cost_Components'!$A$2:$A$27,0)),"")</f>
      </c>
      <c r="K697" s="66" t="str">
        <f>IF(OR(L697="",Z697="",AA697="",AB697=""),"",IF(B697&lt;AA697,L697,IF(B697&gt;AB697,Z697,L697+(Z697-L697)*MIN(MAX((B697-AA697+1)/MAX(AB697-AA697+1,1),0),1))))</f>
      </c>
      <c r="L697" s="67" t="str">
        <f>IFERROR(INDEX('Cost_Components'!$S$2:$S$27,MATCH(E697,'Cost_Components'!$A$2:$A$27,0)),"")</f>
      </c>
      <c r="M697" s="68" t="str">
        <f>IFERROR(INDEX('Cost_Components'!$L$2:$L$27,MATCH(E697,'Cost_Components'!$A$2:$A$27,0)),"")</f>
      </c>
      <c r="N697" s="69" t="str">
        <f>IFERROR(INDEX('Cost_Components'!$P$2:$P$27,MATCH(E697,'Cost_Components'!$A$2:$A$27,0)),"")</f>
      </c>
      <c r="O697" s="70" t="str">
        <f>AF697*J697</f>
      </c>
      <c r="P697" s="71" t="str">
        <f>AG697*J697</f>
      </c>
      <c r="Q697" s="72" t="str">
        <f>P697*L697*M697*N697</f>
      </c>
      <c r="R697" s="73" t="str">
        <f>O697*K697*M697*N697</f>
      </c>
      <c r="S697" s="74" t="str">
        <f>R697-Q697</f>
      </c>
      <c r="T697" s="20" t="str">
        <f>IFERROR(INDEX('Cost_Components'!$R$2:$R$27,MATCH(E697,'Cost_Components'!$A$2:$A$27,0)),"")</f>
      </c>
      <c r="U697" s="75" t="str">
        <f>IFERROR(INDEX('Cost_Components'!$Q$2:$Q$27,MATCH(E697,'Cost_Components'!$A$2:$A$27,0)),"")</f>
      </c>
      <c r="V697" s="76" t="str">
        <f>1/(1+'Calculation_Assumptions'!$B$5)^(B697-'Calculation_Assumptions'!$B$2)</f>
      </c>
      <c r="W697" s="77" t="str">
        <f>Q697*V697</f>
      </c>
      <c r="X697" s="78" t="str">
        <f>R697*V697</f>
      </c>
      <c r="Y697" s="79" t="str">
        <f>S697*V697</f>
      </c>
      <c r="Z697" s="80" t="str">
        <f>IFERROR(INDEX('Cost_Components'!$T$2:$T$27,MATCH(E697,'Cost_Components'!$A$2:$A$27,0)),"")</f>
      </c>
      <c r="AA697" s="81" t="str">
        <f>IFERROR(INDEX('Cost_Components'!$U$2:$U$27,MATCH(E697,'Cost_Components'!$A$2:$A$27,0)),"")</f>
      </c>
      <c r="AB697" s="82" t="str">
        <f>IFERROR(INDEX('Cost_Components'!$V$2:$V$27,MATCH(E697,'Cost_Components'!$A$2:$A$27,0)),"")</f>
      </c>
      <c r="AC697" s="83" t="str">
        <f>IFERROR(INDEX('Cost_Components'!$M$2:$M$27,MATCH(E697,'Cost_Components'!$A$2:$A$27,0)),"")</f>
      </c>
      <c r="AD697" s="84" t="str">
        <f>IFERROR(INDEX('Cost_Components'!$N$2:$N$27,MATCH(E697,'Cost_Components'!$A$2:$A$27,0)),"")</f>
      </c>
      <c r="AE697" s="20" t="str">
        <f>IFERROR(INDEX('Cost_Components'!$O$2:$O$27,MATCH(E697,'Cost_Components'!$A$2:$A$27,0)),"")</f>
      </c>
      <c r="AF697" s="85" t="n">
        <v>384398777.580148</v>
      </c>
      <c r="AG697" s="86" t="n">
        <v>382230245.423005</v>
      </c>
      <c r="AH697" s="87" t="str">
        <f>IF(H697="shared-count-once",COUNTIFS($A$2:$A$1353,A697,$B$2:$B$1353,B697,$E$2:$E$1353,E697),1)</f>
      </c>
    </row>
    <row r="698">
      <c r="A698" t="s">
        <v>75</v>
      </c>
      <c r="B698" s="59" t="n">
        <v>2045</v>
      </c>
      <c r="C698" t="s">
        <v>162</v>
      </c>
      <c r="D698"/>
      <c r="E698" s="60" t="s">
        <v>260</v>
      </c>
      <c r="F698" s="61" t="s">
        <v>261</v>
      </c>
      <c r="G698" s="62" t="s">
        <v>171</v>
      </c>
      <c r="H698" s="63" t="s">
        <v>172</v>
      </c>
      <c r="I698" s="64" t="s">
        <v>75</v>
      </c>
      <c r="J698" s="65" t="str">
        <f>IFERROR(INDEX('Cost_Components'!$K$2:$K$27,MATCH(E698,'Cost_Components'!$A$2:$A$27,0)),"")</f>
      </c>
      <c r="K698" s="66" t="str">
        <f>IF(OR(L698="",Z698="",AA698="",AB698=""),"",IF(B698&lt;AA698,L698,IF(B698&gt;AB698,Z698,L698+(Z698-L698)*MIN(MAX((B698-AA698+1)/MAX(AB698-AA698+1,1),0),1))))</f>
      </c>
      <c r="L698" s="67" t="str">
        <f>IFERROR(INDEX('Cost_Components'!$S$2:$S$27,MATCH(E698,'Cost_Components'!$A$2:$A$27,0)),"")</f>
      </c>
      <c r="M698" s="68" t="str">
        <f>IFERROR(INDEX('Cost_Components'!$L$2:$L$27,MATCH(E698,'Cost_Components'!$A$2:$A$27,0)),"")</f>
      </c>
      <c r="N698" s="69" t="str">
        <f>IFERROR(INDEX('Cost_Components'!$P$2:$P$27,MATCH(E698,'Cost_Components'!$A$2:$A$27,0)),"")</f>
      </c>
      <c r="O698" s="70" t="str">
        <f>AF698*J698</f>
      </c>
      <c r="P698" s="71" t="str">
        <f>AG698*J698</f>
      </c>
      <c r="Q698" s="72" t="str">
        <f>P698*L698*M698*N698</f>
      </c>
      <c r="R698" s="73" t="str">
        <f>O698*K698*M698*N698</f>
      </c>
      <c r="S698" s="74" t="str">
        <f>R698-Q698</f>
      </c>
      <c r="T698" s="20" t="str">
        <f>IFERROR(INDEX('Cost_Components'!$R$2:$R$27,MATCH(E698,'Cost_Components'!$A$2:$A$27,0)),"")</f>
      </c>
      <c r="U698" s="75" t="str">
        <f>IFERROR(INDEX('Cost_Components'!$Q$2:$Q$27,MATCH(E698,'Cost_Components'!$A$2:$A$27,0)),"")</f>
      </c>
      <c r="V698" s="76" t="str">
        <f>1/(1+'Calculation_Assumptions'!$B$5)^(B698-'Calculation_Assumptions'!$B$2)</f>
      </c>
      <c r="W698" s="77" t="str">
        <f>Q698*V698</f>
      </c>
      <c r="X698" s="78" t="str">
        <f>R698*V698</f>
      </c>
      <c r="Y698" s="79" t="str">
        <f>S698*V698</f>
      </c>
      <c r="Z698" s="80" t="str">
        <f>IFERROR(INDEX('Cost_Components'!$T$2:$T$27,MATCH(E698,'Cost_Components'!$A$2:$A$27,0)),"")</f>
      </c>
      <c r="AA698" s="81" t="str">
        <f>IFERROR(INDEX('Cost_Components'!$U$2:$U$27,MATCH(E698,'Cost_Components'!$A$2:$A$27,0)),"")</f>
      </c>
      <c r="AB698" s="82" t="str">
        <f>IFERROR(INDEX('Cost_Components'!$V$2:$V$27,MATCH(E698,'Cost_Components'!$A$2:$A$27,0)),"")</f>
      </c>
      <c r="AC698" s="83" t="str">
        <f>IFERROR(INDEX('Cost_Components'!$M$2:$M$27,MATCH(E698,'Cost_Components'!$A$2:$A$27,0)),"")</f>
      </c>
      <c r="AD698" s="84" t="str">
        <f>IFERROR(INDEX('Cost_Components'!$N$2:$N$27,MATCH(E698,'Cost_Components'!$A$2:$A$27,0)),"")</f>
      </c>
      <c r="AE698" s="20" t="str">
        <f>IFERROR(INDEX('Cost_Components'!$O$2:$O$27,MATCH(E698,'Cost_Components'!$A$2:$A$27,0)),"")</f>
      </c>
      <c r="AF698" s="85" t="n">
        <v>388099018.886488</v>
      </c>
      <c r="AG698" s="86" t="n">
        <v>385676256.67371</v>
      </c>
      <c r="AH698" s="87" t="str">
        <f>IF(H698="shared-count-once",COUNTIFS($A$2:$A$1353,A698,$B$2:$B$1353,B698,$E$2:$E$1353,E698),1)</f>
      </c>
    </row>
    <row r="699">
      <c r="A699" t="s">
        <v>75</v>
      </c>
      <c r="B699" s="59" t="n">
        <v>2046</v>
      </c>
      <c r="C699" t="s">
        <v>162</v>
      </c>
      <c r="D699"/>
      <c r="E699" s="60" t="s">
        <v>260</v>
      </c>
      <c r="F699" s="61" t="s">
        <v>261</v>
      </c>
      <c r="G699" s="62" t="s">
        <v>171</v>
      </c>
      <c r="H699" s="63" t="s">
        <v>172</v>
      </c>
      <c r="I699" s="64" t="s">
        <v>75</v>
      </c>
      <c r="J699" s="65" t="str">
        <f>IFERROR(INDEX('Cost_Components'!$K$2:$K$27,MATCH(E699,'Cost_Components'!$A$2:$A$27,0)),"")</f>
      </c>
      <c r="K699" s="66" t="str">
        <f>IF(OR(L699="",Z699="",AA699="",AB699=""),"",IF(B699&lt;AA699,L699,IF(B699&gt;AB699,Z699,L699+(Z699-L699)*MIN(MAX((B699-AA699+1)/MAX(AB699-AA699+1,1),0),1))))</f>
      </c>
      <c r="L699" s="67" t="str">
        <f>IFERROR(INDEX('Cost_Components'!$S$2:$S$27,MATCH(E699,'Cost_Components'!$A$2:$A$27,0)),"")</f>
      </c>
      <c r="M699" s="68" t="str">
        <f>IFERROR(INDEX('Cost_Components'!$L$2:$L$27,MATCH(E699,'Cost_Components'!$A$2:$A$27,0)),"")</f>
      </c>
      <c r="N699" s="69" t="str">
        <f>IFERROR(INDEX('Cost_Components'!$P$2:$P$27,MATCH(E699,'Cost_Components'!$A$2:$A$27,0)),"")</f>
      </c>
      <c r="O699" s="70" t="str">
        <f>AF699*J699</f>
      </c>
      <c r="P699" s="71" t="str">
        <f>AG699*J699</f>
      </c>
      <c r="Q699" s="72" t="str">
        <f>P699*L699*M699*N699</f>
      </c>
      <c r="R699" s="73" t="str">
        <f>O699*K699*M699*N699</f>
      </c>
      <c r="S699" s="74" t="str">
        <f>R699-Q699</f>
      </c>
      <c r="T699" s="20" t="str">
        <f>IFERROR(INDEX('Cost_Components'!$R$2:$R$27,MATCH(E699,'Cost_Components'!$A$2:$A$27,0)),"")</f>
      </c>
      <c r="U699" s="75" t="str">
        <f>IFERROR(INDEX('Cost_Components'!$Q$2:$Q$27,MATCH(E699,'Cost_Components'!$A$2:$A$27,0)),"")</f>
      </c>
      <c r="V699" s="76" t="str">
        <f>1/(1+'Calculation_Assumptions'!$B$5)^(B699-'Calculation_Assumptions'!$B$2)</f>
      </c>
      <c r="W699" s="77" t="str">
        <f>Q699*V699</f>
      </c>
      <c r="X699" s="78" t="str">
        <f>R699*V699</f>
      </c>
      <c r="Y699" s="79" t="str">
        <f>S699*V699</f>
      </c>
      <c r="Z699" s="80" t="str">
        <f>IFERROR(INDEX('Cost_Components'!$T$2:$T$27,MATCH(E699,'Cost_Components'!$A$2:$A$27,0)),"")</f>
      </c>
      <c r="AA699" s="81" t="str">
        <f>IFERROR(INDEX('Cost_Components'!$U$2:$U$27,MATCH(E699,'Cost_Components'!$A$2:$A$27,0)),"")</f>
      </c>
      <c r="AB699" s="82" t="str">
        <f>IFERROR(INDEX('Cost_Components'!$V$2:$V$27,MATCH(E699,'Cost_Components'!$A$2:$A$27,0)),"")</f>
      </c>
      <c r="AC699" s="83" t="str">
        <f>IFERROR(INDEX('Cost_Components'!$M$2:$M$27,MATCH(E699,'Cost_Components'!$A$2:$A$27,0)),"")</f>
      </c>
      <c r="AD699" s="84" t="str">
        <f>IFERROR(INDEX('Cost_Components'!$N$2:$N$27,MATCH(E699,'Cost_Components'!$A$2:$A$27,0)),"")</f>
      </c>
      <c r="AE699" s="20" t="str">
        <f>IFERROR(INDEX('Cost_Components'!$O$2:$O$27,MATCH(E699,'Cost_Components'!$A$2:$A$27,0)),"")</f>
      </c>
      <c r="AF699" s="85" t="n">
        <v>391572254.061739</v>
      </c>
      <c r="AG699" s="86" t="n">
        <v>388881995.226141</v>
      </c>
      <c r="AH699" s="87" t="str">
        <f>IF(H699="shared-count-once",COUNTIFS($A$2:$A$1353,A699,$B$2:$B$1353,B699,$E$2:$E$1353,E699),1)</f>
      </c>
    </row>
    <row r="700">
      <c r="A700" t="s">
        <v>75</v>
      </c>
      <c r="B700" s="59" t="n">
        <v>2047</v>
      </c>
      <c r="C700" t="s">
        <v>162</v>
      </c>
      <c r="D700"/>
      <c r="E700" s="60" t="s">
        <v>260</v>
      </c>
      <c r="F700" s="61" t="s">
        <v>261</v>
      </c>
      <c r="G700" s="62" t="s">
        <v>171</v>
      </c>
      <c r="H700" s="63" t="s">
        <v>172</v>
      </c>
      <c r="I700" s="64" t="s">
        <v>75</v>
      </c>
      <c r="J700" s="65" t="str">
        <f>IFERROR(INDEX('Cost_Components'!$K$2:$K$27,MATCH(E700,'Cost_Components'!$A$2:$A$27,0)),"")</f>
      </c>
      <c r="K700" s="66" t="str">
        <f>IF(OR(L700="",Z700="",AA700="",AB700=""),"",IF(B700&lt;AA700,L700,IF(B700&gt;AB700,Z700,L700+(Z700-L700)*MIN(MAX((B700-AA700+1)/MAX(AB700-AA700+1,1),0),1))))</f>
      </c>
      <c r="L700" s="67" t="str">
        <f>IFERROR(INDEX('Cost_Components'!$S$2:$S$27,MATCH(E700,'Cost_Components'!$A$2:$A$27,0)),"")</f>
      </c>
      <c r="M700" s="68" t="str">
        <f>IFERROR(INDEX('Cost_Components'!$L$2:$L$27,MATCH(E700,'Cost_Components'!$A$2:$A$27,0)),"")</f>
      </c>
      <c r="N700" s="69" t="str">
        <f>IFERROR(INDEX('Cost_Components'!$P$2:$P$27,MATCH(E700,'Cost_Components'!$A$2:$A$27,0)),"")</f>
      </c>
      <c r="O700" s="70" t="str">
        <f>AF700*J700</f>
      </c>
      <c r="P700" s="71" t="str">
        <f>AG700*J700</f>
      </c>
      <c r="Q700" s="72" t="str">
        <f>P700*L700*M700*N700</f>
      </c>
      <c r="R700" s="73" t="str">
        <f>O700*K700*M700*N700</f>
      </c>
      <c r="S700" s="74" t="str">
        <f>R700-Q700</f>
      </c>
      <c r="T700" s="20" t="str">
        <f>IFERROR(INDEX('Cost_Components'!$R$2:$R$27,MATCH(E700,'Cost_Components'!$A$2:$A$27,0)),"")</f>
      </c>
      <c r="U700" s="75" t="str">
        <f>IFERROR(INDEX('Cost_Components'!$Q$2:$Q$27,MATCH(E700,'Cost_Components'!$A$2:$A$27,0)),"")</f>
      </c>
      <c r="V700" s="76" t="str">
        <f>1/(1+'Calculation_Assumptions'!$B$5)^(B700-'Calculation_Assumptions'!$B$2)</f>
      </c>
      <c r="W700" s="77" t="str">
        <f>Q700*V700</f>
      </c>
      <c r="X700" s="78" t="str">
        <f>R700*V700</f>
      </c>
      <c r="Y700" s="79" t="str">
        <f>S700*V700</f>
      </c>
      <c r="Z700" s="80" t="str">
        <f>IFERROR(INDEX('Cost_Components'!$T$2:$T$27,MATCH(E700,'Cost_Components'!$A$2:$A$27,0)),"")</f>
      </c>
      <c r="AA700" s="81" t="str">
        <f>IFERROR(INDEX('Cost_Components'!$U$2:$U$27,MATCH(E700,'Cost_Components'!$A$2:$A$27,0)),"")</f>
      </c>
      <c r="AB700" s="82" t="str">
        <f>IFERROR(INDEX('Cost_Components'!$V$2:$V$27,MATCH(E700,'Cost_Components'!$A$2:$A$27,0)),"")</f>
      </c>
      <c r="AC700" s="83" t="str">
        <f>IFERROR(INDEX('Cost_Components'!$M$2:$M$27,MATCH(E700,'Cost_Components'!$A$2:$A$27,0)),"")</f>
      </c>
      <c r="AD700" s="84" t="str">
        <f>IFERROR(INDEX('Cost_Components'!$N$2:$N$27,MATCH(E700,'Cost_Components'!$A$2:$A$27,0)),"")</f>
      </c>
      <c r="AE700" s="20" t="str">
        <f>IFERROR(INDEX('Cost_Components'!$O$2:$O$27,MATCH(E700,'Cost_Components'!$A$2:$A$27,0)),"")</f>
      </c>
      <c r="AF700" s="85" t="n">
        <v>394439080.922961</v>
      </c>
      <c r="AG700" s="86" t="n">
        <v>391500205.031394</v>
      </c>
      <c r="AH700" s="87" t="str">
        <f>IF(H700="shared-count-once",COUNTIFS($A$2:$A$1353,A700,$B$2:$B$1353,B700,$E$2:$E$1353,E700),1)</f>
      </c>
    </row>
    <row r="701">
      <c r="A701" t="s">
        <v>75</v>
      </c>
      <c r="B701" s="59" t="n">
        <v>2048</v>
      </c>
      <c r="C701" t="s">
        <v>162</v>
      </c>
      <c r="D701"/>
      <c r="E701" s="60" t="s">
        <v>260</v>
      </c>
      <c r="F701" s="61" t="s">
        <v>261</v>
      </c>
      <c r="G701" s="62" t="s">
        <v>171</v>
      </c>
      <c r="H701" s="63" t="s">
        <v>172</v>
      </c>
      <c r="I701" s="64" t="s">
        <v>75</v>
      </c>
      <c r="J701" s="65" t="str">
        <f>IFERROR(INDEX('Cost_Components'!$K$2:$K$27,MATCH(E701,'Cost_Components'!$A$2:$A$27,0)),"")</f>
      </c>
      <c r="K701" s="66" t="str">
        <f>IF(OR(L701="",Z701="",AA701="",AB701=""),"",IF(B701&lt;AA701,L701,IF(B701&gt;AB701,Z701,L701+(Z701-L701)*MIN(MAX((B701-AA701+1)/MAX(AB701-AA701+1,1),0),1))))</f>
      </c>
      <c r="L701" s="67" t="str">
        <f>IFERROR(INDEX('Cost_Components'!$S$2:$S$27,MATCH(E701,'Cost_Components'!$A$2:$A$27,0)),"")</f>
      </c>
      <c r="M701" s="68" t="str">
        <f>IFERROR(INDEX('Cost_Components'!$L$2:$L$27,MATCH(E701,'Cost_Components'!$A$2:$A$27,0)),"")</f>
      </c>
      <c r="N701" s="69" t="str">
        <f>IFERROR(INDEX('Cost_Components'!$P$2:$P$27,MATCH(E701,'Cost_Components'!$A$2:$A$27,0)),"")</f>
      </c>
      <c r="O701" s="70" t="str">
        <f>AF701*J701</f>
      </c>
      <c r="P701" s="71" t="str">
        <f>AG701*J701</f>
      </c>
      <c r="Q701" s="72" t="str">
        <f>P701*L701*M701*N701</f>
      </c>
      <c r="R701" s="73" t="str">
        <f>O701*K701*M701*N701</f>
      </c>
      <c r="S701" s="74" t="str">
        <f>R701-Q701</f>
      </c>
      <c r="T701" s="20" t="str">
        <f>IFERROR(INDEX('Cost_Components'!$R$2:$R$27,MATCH(E701,'Cost_Components'!$A$2:$A$27,0)),"")</f>
      </c>
      <c r="U701" s="75" t="str">
        <f>IFERROR(INDEX('Cost_Components'!$Q$2:$Q$27,MATCH(E701,'Cost_Components'!$A$2:$A$27,0)),"")</f>
      </c>
      <c r="V701" s="76" t="str">
        <f>1/(1+'Calculation_Assumptions'!$B$5)^(B701-'Calculation_Assumptions'!$B$2)</f>
      </c>
      <c r="W701" s="77" t="str">
        <f>Q701*V701</f>
      </c>
      <c r="X701" s="78" t="str">
        <f>R701*V701</f>
      </c>
      <c r="Y701" s="79" t="str">
        <f>S701*V701</f>
      </c>
      <c r="Z701" s="80" t="str">
        <f>IFERROR(INDEX('Cost_Components'!$T$2:$T$27,MATCH(E701,'Cost_Components'!$A$2:$A$27,0)),"")</f>
      </c>
      <c r="AA701" s="81" t="str">
        <f>IFERROR(INDEX('Cost_Components'!$U$2:$U$27,MATCH(E701,'Cost_Components'!$A$2:$A$27,0)),"")</f>
      </c>
      <c r="AB701" s="82" t="str">
        <f>IFERROR(INDEX('Cost_Components'!$V$2:$V$27,MATCH(E701,'Cost_Components'!$A$2:$A$27,0)),"")</f>
      </c>
      <c r="AC701" s="83" t="str">
        <f>IFERROR(INDEX('Cost_Components'!$M$2:$M$27,MATCH(E701,'Cost_Components'!$A$2:$A$27,0)),"")</f>
      </c>
      <c r="AD701" s="84" t="str">
        <f>IFERROR(INDEX('Cost_Components'!$N$2:$N$27,MATCH(E701,'Cost_Components'!$A$2:$A$27,0)),"")</f>
      </c>
      <c r="AE701" s="20" t="str">
        <f>IFERROR(INDEX('Cost_Components'!$O$2:$O$27,MATCH(E701,'Cost_Components'!$A$2:$A$27,0)),"")</f>
      </c>
      <c r="AF701" s="85" t="n">
        <v>397102838.147282</v>
      </c>
      <c r="AG701" s="86" t="n">
        <v>393875413.3351</v>
      </c>
      <c r="AH701" s="87" t="str">
        <f>IF(H701="shared-count-once",COUNTIFS($A$2:$A$1353,A701,$B$2:$B$1353,B701,$E$2:$E$1353,E701),1)</f>
      </c>
    </row>
    <row r="702">
      <c r="A702" t="s">
        <v>75</v>
      </c>
      <c r="B702" s="59" t="n">
        <v>2049</v>
      </c>
      <c r="C702" t="s">
        <v>162</v>
      </c>
      <c r="D702"/>
      <c r="E702" s="60" t="s">
        <v>260</v>
      </c>
      <c r="F702" s="61" t="s">
        <v>261</v>
      </c>
      <c r="G702" s="62" t="s">
        <v>171</v>
      </c>
      <c r="H702" s="63" t="s">
        <v>172</v>
      </c>
      <c r="I702" s="64" t="s">
        <v>75</v>
      </c>
      <c r="J702" s="65" t="str">
        <f>IFERROR(INDEX('Cost_Components'!$K$2:$K$27,MATCH(E702,'Cost_Components'!$A$2:$A$27,0)),"")</f>
      </c>
      <c r="K702" s="66" t="str">
        <f>IF(OR(L702="",Z702="",AA702="",AB702=""),"",IF(B702&lt;AA702,L702,IF(B702&gt;AB702,Z702,L702+(Z702-L702)*MIN(MAX((B702-AA702+1)/MAX(AB702-AA702+1,1),0),1))))</f>
      </c>
      <c r="L702" s="67" t="str">
        <f>IFERROR(INDEX('Cost_Components'!$S$2:$S$27,MATCH(E702,'Cost_Components'!$A$2:$A$27,0)),"")</f>
      </c>
      <c r="M702" s="68" t="str">
        <f>IFERROR(INDEX('Cost_Components'!$L$2:$L$27,MATCH(E702,'Cost_Components'!$A$2:$A$27,0)),"")</f>
      </c>
      <c r="N702" s="69" t="str">
        <f>IFERROR(INDEX('Cost_Components'!$P$2:$P$27,MATCH(E702,'Cost_Components'!$A$2:$A$27,0)),"")</f>
      </c>
      <c r="O702" s="70" t="str">
        <f>AF702*J702</f>
      </c>
      <c r="P702" s="71" t="str">
        <f>AG702*J702</f>
      </c>
      <c r="Q702" s="72" t="str">
        <f>P702*L702*M702*N702</f>
      </c>
      <c r="R702" s="73" t="str">
        <f>O702*K702*M702*N702</f>
      </c>
      <c r="S702" s="74" t="str">
        <f>R702-Q702</f>
      </c>
      <c r="T702" s="20" t="str">
        <f>IFERROR(INDEX('Cost_Components'!$R$2:$R$27,MATCH(E702,'Cost_Components'!$A$2:$A$27,0)),"")</f>
      </c>
      <c r="U702" s="75" t="str">
        <f>IFERROR(INDEX('Cost_Components'!$Q$2:$Q$27,MATCH(E702,'Cost_Components'!$A$2:$A$27,0)),"")</f>
      </c>
      <c r="V702" s="76" t="str">
        <f>1/(1+'Calculation_Assumptions'!$B$5)^(B702-'Calculation_Assumptions'!$B$2)</f>
      </c>
      <c r="W702" s="77" t="str">
        <f>Q702*V702</f>
      </c>
      <c r="X702" s="78" t="str">
        <f>R702*V702</f>
      </c>
      <c r="Y702" s="79" t="str">
        <f>S702*V702</f>
      </c>
      <c r="Z702" s="80" t="str">
        <f>IFERROR(INDEX('Cost_Components'!$T$2:$T$27,MATCH(E702,'Cost_Components'!$A$2:$A$27,0)),"")</f>
      </c>
      <c r="AA702" s="81" t="str">
        <f>IFERROR(INDEX('Cost_Components'!$U$2:$U$27,MATCH(E702,'Cost_Components'!$A$2:$A$27,0)),"")</f>
      </c>
      <c r="AB702" s="82" t="str">
        <f>IFERROR(INDEX('Cost_Components'!$V$2:$V$27,MATCH(E702,'Cost_Components'!$A$2:$A$27,0)),"")</f>
      </c>
      <c r="AC702" s="83" t="str">
        <f>IFERROR(INDEX('Cost_Components'!$M$2:$M$27,MATCH(E702,'Cost_Components'!$A$2:$A$27,0)),"")</f>
      </c>
      <c r="AD702" s="84" t="str">
        <f>IFERROR(INDEX('Cost_Components'!$N$2:$N$27,MATCH(E702,'Cost_Components'!$A$2:$A$27,0)),"")</f>
      </c>
      <c r="AE702" s="20" t="str">
        <f>IFERROR(INDEX('Cost_Components'!$O$2:$O$27,MATCH(E702,'Cost_Components'!$A$2:$A$27,0)),"")</f>
      </c>
      <c r="AF702" s="85" t="n">
        <v>399596609.327014</v>
      </c>
      <c r="AG702" s="86" t="n">
        <v>396033415.146226</v>
      </c>
      <c r="AH702" s="87" t="str">
        <f>IF(H702="shared-count-once",COUNTIFS($A$2:$A$1353,A702,$B$2:$B$1353,B702,$E$2:$E$1353,E702),1)</f>
      </c>
    </row>
    <row r="703">
      <c r="A703" t="s">
        <v>75</v>
      </c>
      <c r="B703" s="59" t="n">
        <v>2050</v>
      </c>
      <c r="C703" t="s">
        <v>162</v>
      </c>
      <c r="D703"/>
      <c r="E703" s="60" t="s">
        <v>260</v>
      </c>
      <c r="F703" s="61" t="s">
        <v>261</v>
      </c>
      <c r="G703" s="62" t="s">
        <v>171</v>
      </c>
      <c r="H703" s="63" t="s">
        <v>172</v>
      </c>
      <c r="I703" s="64" t="s">
        <v>75</v>
      </c>
      <c r="J703" s="65" t="str">
        <f>IFERROR(INDEX('Cost_Components'!$K$2:$K$27,MATCH(E703,'Cost_Components'!$A$2:$A$27,0)),"")</f>
      </c>
      <c r="K703" s="66" t="str">
        <f>IF(OR(L703="",Z703="",AA703="",AB703=""),"",IF(B703&lt;AA703,L703,IF(B703&gt;AB703,Z703,L703+(Z703-L703)*MIN(MAX((B703-AA703+1)/MAX(AB703-AA703+1,1),0),1))))</f>
      </c>
      <c r="L703" s="67" t="str">
        <f>IFERROR(INDEX('Cost_Components'!$S$2:$S$27,MATCH(E703,'Cost_Components'!$A$2:$A$27,0)),"")</f>
      </c>
      <c r="M703" s="68" t="str">
        <f>IFERROR(INDEX('Cost_Components'!$L$2:$L$27,MATCH(E703,'Cost_Components'!$A$2:$A$27,0)),"")</f>
      </c>
      <c r="N703" s="69" t="str">
        <f>IFERROR(INDEX('Cost_Components'!$P$2:$P$27,MATCH(E703,'Cost_Components'!$A$2:$A$27,0)),"")</f>
      </c>
      <c r="O703" s="70" t="str">
        <f>AF703*J703</f>
      </c>
      <c r="P703" s="71" t="str">
        <f>AG703*J703</f>
      </c>
      <c r="Q703" s="72" t="str">
        <f>P703*L703*M703*N703</f>
      </c>
      <c r="R703" s="73" t="str">
        <f>O703*K703*M703*N703</f>
      </c>
      <c r="S703" s="74" t="str">
        <f>R703-Q703</f>
      </c>
      <c r="T703" s="20" t="str">
        <f>IFERROR(INDEX('Cost_Components'!$R$2:$R$27,MATCH(E703,'Cost_Components'!$A$2:$A$27,0)),"")</f>
      </c>
      <c r="U703" s="75" t="str">
        <f>IFERROR(INDEX('Cost_Components'!$Q$2:$Q$27,MATCH(E703,'Cost_Components'!$A$2:$A$27,0)),"")</f>
      </c>
      <c r="V703" s="76" t="str">
        <f>1/(1+'Calculation_Assumptions'!$B$5)^(B703-'Calculation_Assumptions'!$B$2)</f>
      </c>
      <c r="W703" s="77" t="str">
        <f>Q703*V703</f>
      </c>
      <c r="X703" s="78" t="str">
        <f>R703*V703</f>
      </c>
      <c r="Y703" s="79" t="str">
        <f>S703*V703</f>
      </c>
      <c r="Z703" s="80" t="str">
        <f>IFERROR(INDEX('Cost_Components'!$T$2:$T$27,MATCH(E703,'Cost_Components'!$A$2:$A$27,0)),"")</f>
      </c>
      <c r="AA703" s="81" t="str">
        <f>IFERROR(INDEX('Cost_Components'!$U$2:$U$27,MATCH(E703,'Cost_Components'!$A$2:$A$27,0)),"")</f>
      </c>
      <c r="AB703" s="82" t="str">
        <f>IFERROR(INDEX('Cost_Components'!$V$2:$V$27,MATCH(E703,'Cost_Components'!$A$2:$A$27,0)),"")</f>
      </c>
      <c r="AC703" s="83" t="str">
        <f>IFERROR(INDEX('Cost_Components'!$M$2:$M$27,MATCH(E703,'Cost_Components'!$A$2:$A$27,0)),"")</f>
      </c>
      <c r="AD703" s="84" t="str">
        <f>IFERROR(INDEX('Cost_Components'!$N$2:$N$27,MATCH(E703,'Cost_Components'!$A$2:$A$27,0)),"")</f>
      </c>
      <c r="AE703" s="20" t="str">
        <f>IFERROR(INDEX('Cost_Components'!$O$2:$O$27,MATCH(E703,'Cost_Components'!$A$2:$A$27,0)),"")</f>
      </c>
      <c r="AF703" s="85" t="n">
        <v>402010348.359409</v>
      </c>
      <c r="AG703" s="86" t="n">
        <v>398132538.931365</v>
      </c>
      <c r="AH703" s="87" t="str">
        <f>IF(H703="shared-count-once",COUNTIFS($A$2:$A$1353,A703,$B$2:$B$1353,B703,$E$2:$E$1353,E703),1)</f>
      </c>
    </row>
    <row r="704">
      <c r="A704" t="s">
        <v>75</v>
      </c>
      <c r="B704" s="59" t="n">
        <v>2025</v>
      </c>
      <c r="C704" t="s">
        <v>162</v>
      </c>
      <c r="D704"/>
      <c r="E704" s="60" t="s">
        <v>254</v>
      </c>
      <c r="F704" s="61" t="s">
        <v>255</v>
      </c>
      <c r="G704" s="62" t="s">
        <v>171</v>
      </c>
      <c r="H704" s="63" t="s">
        <v>172</v>
      </c>
      <c r="I704" s="64" t="s">
        <v>75</v>
      </c>
      <c r="J704" s="65" t="str">
        <f>IFERROR(INDEX('Cost_Components'!$K$2:$K$27,MATCH(E704,'Cost_Components'!$A$2:$A$27,0)),"")</f>
      </c>
      <c r="K704" s="66" t="str">
        <f>IF(OR(L704="",Z704="",AA704="",AB704=""),"",IF(B704&lt;AA704,L704,IF(B704&gt;AB704,Z704,L704+(Z704-L704)*MIN(MAX((B704-AA704+1)/MAX(AB704-AA704+1,1),0),1))))</f>
      </c>
      <c r="L704" s="67" t="str">
        <f>IFERROR(INDEX('Cost_Components'!$S$2:$S$27,MATCH(E704,'Cost_Components'!$A$2:$A$27,0)),"")</f>
      </c>
      <c r="M704" s="68" t="str">
        <f>IFERROR(INDEX('Cost_Components'!$L$2:$L$27,MATCH(E704,'Cost_Components'!$A$2:$A$27,0)),"")</f>
      </c>
      <c r="N704" s="69" t="str">
        <f>IFERROR(INDEX('Cost_Components'!$P$2:$P$27,MATCH(E704,'Cost_Components'!$A$2:$A$27,0)),"")</f>
      </c>
      <c r="O704" s="70" t="str">
        <f>AF704*J704</f>
      </c>
      <c r="P704" s="71" t="str">
        <f>AG704*J704</f>
      </c>
      <c r="Q704" s="72" t="str">
        <f>P704*L704*M704*N704</f>
      </c>
      <c r="R704" s="73" t="str">
        <f>O704*K704*M704*N704</f>
      </c>
      <c r="S704" s="74" t="str">
        <f>R704-Q704</f>
      </c>
      <c r="T704" s="20" t="str">
        <f>IFERROR(INDEX('Cost_Components'!$R$2:$R$27,MATCH(E704,'Cost_Components'!$A$2:$A$27,0)),"")</f>
      </c>
      <c r="U704" s="75" t="str">
        <f>IFERROR(INDEX('Cost_Components'!$Q$2:$Q$27,MATCH(E704,'Cost_Components'!$A$2:$A$27,0)),"")</f>
      </c>
      <c r="V704" s="76" t="str">
        <f>1/(1+'Calculation_Assumptions'!$B$5)^(B704-'Calculation_Assumptions'!$B$2)</f>
      </c>
      <c r="W704" s="77" t="str">
        <f>Q704*V704</f>
      </c>
      <c r="X704" s="78" t="str">
        <f>R704*V704</f>
      </c>
      <c r="Y704" s="79" t="str">
        <f>S704*V704</f>
      </c>
      <c r="Z704" s="80" t="str">
        <f>IFERROR(INDEX('Cost_Components'!$T$2:$T$27,MATCH(E704,'Cost_Components'!$A$2:$A$27,0)),"")</f>
      </c>
      <c r="AA704" s="81" t="str">
        <f>IFERROR(INDEX('Cost_Components'!$U$2:$U$27,MATCH(E704,'Cost_Components'!$A$2:$A$27,0)),"")</f>
      </c>
      <c r="AB704" s="82" t="str">
        <f>IFERROR(INDEX('Cost_Components'!$V$2:$V$27,MATCH(E704,'Cost_Components'!$A$2:$A$27,0)),"")</f>
      </c>
      <c r="AC704" s="83" t="str">
        <f>IFERROR(INDEX('Cost_Components'!$M$2:$M$27,MATCH(E704,'Cost_Components'!$A$2:$A$27,0)),"")</f>
      </c>
      <c r="AD704" s="84" t="str">
        <f>IFERROR(INDEX('Cost_Components'!$N$2:$N$27,MATCH(E704,'Cost_Components'!$A$2:$A$27,0)),"")</f>
      </c>
      <c r="AE704" s="20" t="str">
        <f>IFERROR(INDEX('Cost_Components'!$O$2:$O$27,MATCH(E704,'Cost_Components'!$A$2:$A$27,0)),"")</f>
      </c>
      <c r="AF704" s="85" t="n">
        <v>303073002.512799</v>
      </c>
      <c r="AG704" s="86" t="n">
        <v>303073002.512799</v>
      </c>
      <c r="AH704" s="87" t="str">
        <f>IF(H704="shared-count-once",COUNTIFS($A$2:$A$1353,A704,$B$2:$B$1353,B704,$E$2:$E$1353,E704),1)</f>
      </c>
    </row>
    <row r="705">
      <c r="A705" t="s">
        <v>75</v>
      </c>
      <c r="B705" s="59" t="n">
        <v>2026</v>
      </c>
      <c r="C705" t="s">
        <v>162</v>
      </c>
      <c r="D705"/>
      <c r="E705" s="60" t="s">
        <v>254</v>
      </c>
      <c r="F705" s="61" t="s">
        <v>255</v>
      </c>
      <c r="G705" s="62" t="s">
        <v>171</v>
      </c>
      <c r="H705" s="63" t="s">
        <v>172</v>
      </c>
      <c r="I705" s="64" t="s">
        <v>75</v>
      </c>
      <c r="J705" s="65" t="str">
        <f>IFERROR(INDEX('Cost_Components'!$K$2:$K$27,MATCH(E705,'Cost_Components'!$A$2:$A$27,0)),"")</f>
      </c>
      <c r="K705" s="66" t="str">
        <f>IF(OR(L705="",Z705="",AA705="",AB705=""),"",IF(B705&lt;AA705,L705,IF(B705&gt;AB705,Z705,L705+(Z705-L705)*MIN(MAX((B705-AA705+1)/MAX(AB705-AA705+1,1),0),1))))</f>
      </c>
      <c r="L705" s="67" t="str">
        <f>IFERROR(INDEX('Cost_Components'!$S$2:$S$27,MATCH(E705,'Cost_Components'!$A$2:$A$27,0)),"")</f>
      </c>
      <c r="M705" s="68" t="str">
        <f>IFERROR(INDEX('Cost_Components'!$L$2:$L$27,MATCH(E705,'Cost_Components'!$A$2:$A$27,0)),"")</f>
      </c>
      <c r="N705" s="69" t="str">
        <f>IFERROR(INDEX('Cost_Components'!$P$2:$P$27,MATCH(E705,'Cost_Components'!$A$2:$A$27,0)),"")</f>
      </c>
      <c r="O705" s="70" t="str">
        <f>AF705*J705</f>
      </c>
      <c r="P705" s="71" t="str">
        <f>AG705*J705</f>
      </c>
      <c r="Q705" s="72" t="str">
        <f>P705*L705*M705*N705</f>
      </c>
      <c r="R705" s="73" t="str">
        <f>O705*K705*M705*N705</f>
      </c>
      <c r="S705" s="74" t="str">
        <f>R705-Q705</f>
      </c>
      <c r="T705" s="20" t="str">
        <f>IFERROR(INDEX('Cost_Components'!$R$2:$R$27,MATCH(E705,'Cost_Components'!$A$2:$A$27,0)),"")</f>
      </c>
      <c r="U705" s="75" t="str">
        <f>IFERROR(INDEX('Cost_Components'!$Q$2:$Q$27,MATCH(E705,'Cost_Components'!$A$2:$A$27,0)),"")</f>
      </c>
      <c r="V705" s="76" t="str">
        <f>1/(1+'Calculation_Assumptions'!$B$5)^(B705-'Calculation_Assumptions'!$B$2)</f>
      </c>
      <c r="W705" s="77" t="str">
        <f>Q705*V705</f>
      </c>
      <c r="X705" s="78" t="str">
        <f>R705*V705</f>
      </c>
      <c r="Y705" s="79" t="str">
        <f>S705*V705</f>
      </c>
      <c r="Z705" s="80" t="str">
        <f>IFERROR(INDEX('Cost_Components'!$T$2:$T$27,MATCH(E705,'Cost_Components'!$A$2:$A$27,0)),"")</f>
      </c>
      <c r="AA705" s="81" t="str">
        <f>IFERROR(INDEX('Cost_Components'!$U$2:$U$27,MATCH(E705,'Cost_Components'!$A$2:$A$27,0)),"")</f>
      </c>
      <c r="AB705" s="82" t="str">
        <f>IFERROR(INDEX('Cost_Components'!$V$2:$V$27,MATCH(E705,'Cost_Components'!$A$2:$A$27,0)),"")</f>
      </c>
      <c r="AC705" s="83" t="str">
        <f>IFERROR(INDEX('Cost_Components'!$M$2:$M$27,MATCH(E705,'Cost_Components'!$A$2:$A$27,0)),"")</f>
      </c>
      <c r="AD705" s="84" t="str">
        <f>IFERROR(INDEX('Cost_Components'!$N$2:$N$27,MATCH(E705,'Cost_Components'!$A$2:$A$27,0)),"")</f>
      </c>
      <c r="AE705" s="20" t="str">
        <f>IFERROR(INDEX('Cost_Components'!$O$2:$O$27,MATCH(E705,'Cost_Components'!$A$2:$A$27,0)),"")</f>
      </c>
      <c r="AF705" s="85" t="n">
        <v>307651765.843581</v>
      </c>
      <c r="AG705" s="86" t="n">
        <v>307646672.342745</v>
      </c>
      <c r="AH705" s="87" t="str">
        <f>IF(H705="shared-count-once",COUNTIFS($A$2:$A$1353,A705,$B$2:$B$1353,B705,$E$2:$E$1353,E705),1)</f>
      </c>
    </row>
    <row r="706">
      <c r="A706" t="s">
        <v>75</v>
      </c>
      <c r="B706" s="59" t="n">
        <v>2027</v>
      </c>
      <c r="C706" t="s">
        <v>162</v>
      </c>
      <c r="D706"/>
      <c r="E706" s="60" t="s">
        <v>254</v>
      </c>
      <c r="F706" s="61" t="s">
        <v>255</v>
      </c>
      <c r="G706" s="62" t="s">
        <v>171</v>
      </c>
      <c r="H706" s="63" t="s">
        <v>172</v>
      </c>
      <c r="I706" s="64" t="s">
        <v>75</v>
      </c>
      <c r="J706" s="65" t="str">
        <f>IFERROR(INDEX('Cost_Components'!$K$2:$K$27,MATCH(E706,'Cost_Components'!$A$2:$A$27,0)),"")</f>
      </c>
      <c r="K706" s="66" t="str">
        <f>IF(OR(L706="",Z706="",AA706="",AB706=""),"",IF(B706&lt;AA706,L706,IF(B706&gt;AB706,Z706,L706+(Z706-L706)*MIN(MAX((B706-AA706+1)/MAX(AB706-AA706+1,1),0),1))))</f>
      </c>
      <c r="L706" s="67" t="str">
        <f>IFERROR(INDEX('Cost_Components'!$S$2:$S$27,MATCH(E706,'Cost_Components'!$A$2:$A$27,0)),"")</f>
      </c>
      <c r="M706" s="68" t="str">
        <f>IFERROR(INDEX('Cost_Components'!$L$2:$L$27,MATCH(E706,'Cost_Components'!$A$2:$A$27,0)),"")</f>
      </c>
      <c r="N706" s="69" t="str">
        <f>IFERROR(INDEX('Cost_Components'!$P$2:$P$27,MATCH(E706,'Cost_Components'!$A$2:$A$27,0)),"")</f>
      </c>
      <c r="O706" s="70" t="str">
        <f>AF706*J706</f>
      </c>
      <c r="P706" s="71" t="str">
        <f>AG706*J706</f>
      </c>
      <c r="Q706" s="72" t="str">
        <f>P706*L706*M706*N706</f>
      </c>
      <c r="R706" s="73" t="str">
        <f>O706*K706*M706*N706</f>
      </c>
      <c r="S706" s="74" t="str">
        <f>R706-Q706</f>
      </c>
      <c r="T706" s="20" t="str">
        <f>IFERROR(INDEX('Cost_Components'!$R$2:$R$27,MATCH(E706,'Cost_Components'!$A$2:$A$27,0)),"")</f>
      </c>
      <c r="U706" s="75" t="str">
        <f>IFERROR(INDEX('Cost_Components'!$Q$2:$Q$27,MATCH(E706,'Cost_Components'!$A$2:$A$27,0)),"")</f>
      </c>
      <c r="V706" s="76" t="str">
        <f>1/(1+'Calculation_Assumptions'!$B$5)^(B706-'Calculation_Assumptions'!$B$2)</f>
      </c>
      <c r="W706" s="77" t="str">
        <f>Q706*V706</f>
      </c>
      <c r="X706" s="78" t="str">
        <f>R706*V706</f>
      </c>
      <c r="Y706" s="79" t="str">
        <f>S706*V706</f>
      </c>
      <c r="Z706" s="80" t="str">
        <f>IFERROR(INDEX('Cost_Components'!$T$2:$T$27,MATCH(E706,'Cost_Components'!$A$2:$A$27,0)),"")</f>
      </c>
      <c r="AA706" s="81" t="str">
        <f>IFERROR(INDEX('Cost_Components'!$U$2:$U$27,MATCH(E706,'Cost_Components'!$A$2:$A$27,0)),"")</f>
      </c>
      <c r="AB706" s="82" t="str">
        <f>IFERROR(INDEX('Cost_Components'!$V$2:$V$27,MATCH(E706,'Cost_Components'!$A$2:$A$27,0)),"")</f>
      </c>
      <c r="AC706" s="83" t="str">
        <f>IFERROR(INDEX('Cost_Components'!$M$2:$M$27,MATCH(E706,'Cost_Components'!$A$2:$A$27,0)),"")</f>
      </c>
      <c r="AD706" s="84" t="str">
        <f>IFERROR(INDEX('Cost_Components'!$N$2:$N$27,MATCH(E706,'Cost_Components'!$A$2:$A$27,0)),"")</f>
      </c>
      <c r="AE706" s="20" t="str">
        <f>IFERROR(INDEX('Cost_Components'!$O$2:$O$27,MATCH(E706,'Cost_Components'!$A$2:$A$27,0)),"")</f>
      </c>
      <c r="AF706" s="85" t="n">
        <v>312282004.630698</v>
      </c>
      <c r="AG706" s="86" t="n">
        <v>311975096.156765</v>
      </c>
      <c r="AH706" s="87" t="str">
        <f>IF(H706="shared-count-once",COUNTIFS($A$2:$A$1353,A706,$B$2:$B$1353,B706,$E$2:$E$1353,E706),1)</f>
      </c>
    </row>
    <row r="707">
      <c r="A707" t="s">
        <v>75</v>
      </c>
      <c r="B707" s="59" t="n">
        <v>2028</v>
      </c>
      <c r="C707" t="s">
        <v>162</v>
      </c>
      <c r="D707"/>
      <c r="E707" s="60" t="s">
        <v>254</v>
      </c>
      <c r="F707" s="61" t="s">
        <v>255</v>
      </c>
      <c r="G707" s="62" t="s">
        <v>171</v>
      </c>
      <c r="H707" s="63" t="s">
        <v>172</v>
      </c>
      <c r="I707" s="64" t="s">
        <v>75</v>
      </c>
      <c r="J707" s="65" t="str">
        <f>IFERROR(INDEX('Cost_Components'!$K$2:$K$27,MATCH(E707,'Cost_Components'!$A$2:$A$27,0)),"")</f>
      </c>
      <c r="K707" s="66" t="str">
        <f>IF(OR(L707="",Z707="",AA707="",AB707=""),"",IF(B707&lt;AA707,L707,IF(B707&gt;AB707,Z707,L707+(Z707-L707)*MIN(MAX((B707-AA707+1)/MAX(AB707-AA707+1,1),0),1))))</f>
      </c>
      <c r="L707" s="67" t="str">
        <f>IFERROR(INDEX('Cost_Components'!$S$2:$S$27,MATCH(E707,'Cost_Components'!$A$2:$A$27,0)),"")</f>
      </c>
      <c r="M707" s="68" t="str">
        <f>IFERROR(INDEX('Cost_Components'!$L$2:$L$27,MATCH(E707,'Cost_Components'!$A$2:$A$27,0)),"")</f>
      </c>
      <c r="N707" s="69" t="str">
        <f>IFERROR(INDEX('Cost_Components'!$P$2:$P$27,MATCH(E707,'Cost_Components'!$A$2:$A$27,0)),"")</f>
      </c>
      <c r="O707" s="70" t="str">
        <f>AF707*J707</f>
      </c>
      <c r="P707" s="71" t="str">
        <f>AG707*J707</f>
      </c>
      <c r="Q707" s="72" t="str">
        <f>P707*L707*M707*N707</f>
      </c>
      <c r="R707" s="73" t="str">
        <f>O707*K707*M707*N707</f>
      </c>
      <c r="S707" s="74" t="str">
        <f>R707-Q707</f>
      </c>
      <c r="T707" s="20" t="str">
        <f>IFERROR(INDEX('Cost_Components'!$R$2:$R$27,MATCH(E707,'Cost_Components'!$A$2:$A$27,0)),"")</f>
      </c>
      <c r="U707" s="75" t="str">
        <f>IFERROR(INDEX('Cost_Components'!$Q$2:$Q$27,MATCH(E707,'Cost_Components'!$A$2:$A$27,0)),"")</f>
      </c>
      <c r="V707" s="76" t="str">
        <f>1/(1+'Calculation_Assumptions'!$B$5)^(B707-'Calculation_Assumptions'!$B$2)</f>
      </c>
      <c r="W707" s="77" t="str">
        <f>Q707*V707</f>
      </c>
      <c r="X707" s="78" t="str">
        <f>R707*V707</f>
      </c>
      <c r="Y707" s="79" t="str">
        <f>S707*V707</f>
      </c>
      <c r="Z707" s="80" t="str">
        <f>IFERROR(INDEX('Cost_Components'!$T$2:$T$27,MATCH(E707,'Cost_Components'!$A$2:$A$27,0)),"")</f>
      </c>
      <c r="AA707" s="81" t="str">
        <f>IFERROR(INDEX('Cost_Components'!$U$2:$U$27,MATCH(E707,'Cost_Components'!$A$2:$A$27,0)),"")</f>
      </c>
      <c r="AB707" s="82" t="str">
        <f>IFERROR(INDEX('Cost_Components'!$V$2:$V$27,MATCH(E707,'Cost_Components'!$A$2:$A$27,0)),"")</f>
      </c>
      <c r="AC707" s="83" t="str">
        <f>IFERROR(INDEX('Cost_Components'!$M$2:$M$27,MATCH(E707,'Cost_Components'!$A$2:$A$27,0)),"")</f>
      </c>
      <c r="AD707" s="84" t="str">
        <f>IFERROR(INDEX('Cost_Components'!$N$2:$N$27,MATCH(E707,'Cost_Components'!$A$2:$A$27,0)),"")</f>
      </c>
      <c r="AE707" s="20" t="str">
        <f>IFERROR(INDEX('Cost_Components'!$O$2:$O$27,MATCH(E707,'Cost_Components'!$A$2:$A$27,0)),"")</f>
      </c>
      <c r="AF707" s="85" t="n">
        <v>316839927.788679</v>
      </c>
      <c r="AG707" s="86" t="n">
        <v>316531358.04392</v>
      </c>
      <c r="AH707" s="87" t="str">
        <f>IF(H707="shared-count-once",COUNTIFS($A$2:$A$1353,A707,$B$2:$B$1353,B707,$E$2:$E$1353,E707),1)</f>
      </c>
    </row>
    <row r="708">
      <c r="A708" t="s">
        <v>75</v>
      </c>
      <c r="B708" s="59" t="n">
        <v>2029</v>
      </c>
      <c r="C708" t="s">
        <v>162</v>
      </c>
      <c r="D708"/>
      <c r="E708" s="60" t="s">
        <v>254</v>
      </c>
      <c r="F708" s="61" t="s">
        <v>255</v>
      </c>
      <c r="G708" s="62" t="s">
        <v>171</v>
      </c>
      <c r="H708" s="63" t="s">
        <v>172</v>
      </c>
      <c r="I708" s="64" t="s">
        <v>75</v>
      </c>
      <c r="J708" s="65" t="str">
        <f>IFERROR(INDEX('Cost_Components'!$K$2:$K$27,MATCH(E708,'Cost_Components'!$A$2:$A$27,0)),"")</f>
      </c>
      <c r="K708" s="66" t="str">
        <f>IF(OR(L708="",Z708="",AA708="",AB708=""),"",IF(B708&lt;AA708,L708,IF(B708&gt;AB708,Z708,L708+(Z708-L708)*MIN(MAX((B708-AA708+1)/MAX(AB708-AA708+1,1),0),1))))</f>
      </c>
      <c r="L708" s="67" t="str">
        <f>IFERROR(INDEX('Cost_Components'!$S$2:$S$27,MATCH(E708,'Cost_Components'!$A$2:$A$27,0)),"")</f>
      </c>
      <c r="M708" s="68" t="str">
        <f>IFERROR(INDEX('Cost_Components'!$L$2:$L$27,MATCH(E708,'Cost_Components'!$A$2:$A$27,0)),"")</f>
      </c>
      <c r="N708" s="69" t="str">
        <f>IFERROR(INDEX('Cost_Components'!$P$2:$P$27,MATCH(E708,'Cost_Components'!$A$2:$A$27,0)),"")</f>
      </c>
      <c r="O708" s="70" t="str">
        <f>AF708*J708</f>
      </c>
      <c r="P708" s="71" t="str">
        <f>AG708*J708</f>
      </c>
      <c r="Q708" s="72" t="str">
        <f>P708*L708*M708*N708</f>
      </c>
      <c r="R708" s="73" t="str">
        <f>O708*K708*M708*N708</f>
      </c>
      <c r="S708" s="74" t="str">
        <f>R708-Q708</f>
      </c>
      <c r="T708" s="20" t="str">
        <f>IFERROR(INDEX('Cost_Components'!$R$2:$R$27,MATCH(E708,'Cost_Components'!$A$2:$A$27,0)),"")</f>
      </c>
      <c r="U708" s="75" t="str">
        <f>IFERROR(INDEX('Cost_Components'!$Q$2:$Q$27,MATCH(E708,'Cost_Components'!$A$2:$A$27,0)),"")</f>
      </c>
      <c r="V708" s="76" t="str">
        <f>1/(1+'Calculation_Assumptions'!$B$5)^(B708-'Calculation_Assumptions'!$B$2)</f>
      </c>
      <c r="W708" s="77" t="str">
        <f>Q708*V708</f>
      </c>
      <c r="X708" s="78" t="str">
        <f>R708*V708</f>
      </c>
      <c r="Y708" s="79" t="str">
        <f>S708*V708</f>
      </c>
      <c r="Z708" s="80" t="str">
        <f>IFERROR(INDEX('Cost_Components'!$T$2:$T$27,MATCH(E708,'Cost_Components'!$A$2:$A$27,0)),"")</f>
      </c>
      <c r="AA708" s="81" t="str">
        <f>IFERROR(INDEX('Cost_Components'!$U$2:$U$27,MATCH(E708,'Cost_Components'!$A$2:$A$27,0)),"")</f>
      </c>
      <c r="AB708" s="82" t="str">
        <f>IFERROR(INDEX('Cost_Components'!$V$2:$V$27,MATCH(E708,'Cost_Components'!$A$2:$A$27,0)),"")</f>
      </c>
      <c r="AC708" s="83" t="str">
        <f>IFERROR(INDEX('Cost_Components'!$M$2:$M$27,MATCH(E708,'Cost_Components'!$A$2:$A$27,0)),"")</f>
      </c>
      <c r="AD708" s="84" t="str">
        <f>IFERROR(INDEX('Cost_Components'!$N$2:$N$27,MATCH(E708,'Cost_Components'!$A$2:$A$27,0)),"")</f>
      </c>
      <c r="AE708" s="20" t="str">
        <f>IFERROR(INDEX('Cost_Components'!$O$2:$O$27,MATCH(E708,'Cost_Components'!$A$2:$A$27,0)),"")</f>
      </c>
      <c r="AF708" s="85" t="n">
        <v>321246344.468892</v>
      </c>
      <c r="AG708" s="86" t="n">
        <v>320925578.014746</v>
      </c>
      <c r="AH708" s="87" t="str">
        <f>IF(H708="shared-count-once",COUNTIFS($A$2:$A$1353,A708,$B$2:$B$1353,B708,$E$2:$E$1353,E708),1)</f>
      </c>
    </row>
    <row r="709">
      <c r="A709" t="s">
        <v>75</v>
      </c>
      <c r="B709" s="59" t="n">
        <v>2030</v>
      </c>
      <c r="C709" t="s">
        <v>162</v>
      </c>
      <c r="D709"/>
      <c r="E709" s="60" t="s">
        <v>254</v>
      </c>
      <c r="F709" s="61" t="s">
        <v>255</v>
      </c>
      <c r="G709" s="62" t="s">
        <v>171</v>
      </c>
      <c r="H709" s="63" t="s">
        <v>172</v>
      </c>
      <c r="I709" s="64" t="s">
        <v>75</v>
      </c>
      <c r="J709" s="65" t="str">
        <f>IFERROR(INDEX('Cost_Components'!$K$2:$K$27,MATCH(E709,'Cost_Components'!$A$2:$A$27,0)),"")</f>
      </c>
      <c r="K709" s="66" t="str">
        <f>IF(OR(L709="",Z709="",AA709="",AB709=""),"",IF(B709&lt;AA709,L709,IF(B709&gt;AB709,Z709,L709+(Z709-L709)*MIN(MAX((B709-AA709+1)/MAX(AB709-AA709+1,1),0),1))))</f>
      </c>
      <c r="L709" s="67" t="str">
        <f>IFERROR(INDEX('Cost_Components'!$S$2:$S$27,MATCH(E709,'Cost_Components'!$A$2:$A$27,0)),"")</f>
      </c>
      <c r="M709" s="68" t="str">
        <f>IFERROR(INDEX('Cost_Components'!$L$2:$L$27,MATCH(E709,'Cost_Components'!$A$2:$A$27,0)),"")</f>
      </c>
      <c r="N709" s="69" t="str">
        <f>IFERROR(INDEX('Cost_Components'!$P$2:$P$27,MATCH(E709,'Cost_Components'!$A$2:$A$27,0)),"")</f>
      </c>
      <c r="O709" s="70" t="str">
        <f>AF709*J709</f>
      </c>
      <c r="P709" s="71" t="str">
        <f>AG709*J709</f>
      </c>
      <c r="Q709" s="72" t="str">
        <f>P709*L709*M709*N709</f>
      </c>
      <c r="R709" s="73" t="str">
        <f>O709*K709*M709*N709</f>
      </c>
      <c r="S709" s="74" t="str">
        <f>R709-Q709</f>
      </c>
      <c r="T709" s="20" t="str">
        <f>IFERROR(INDEX('Cost_Components'!$R$2:$R$27,MATCH(E709,'Cost_Components'!$A$2:$A$27,0)),"")</f>
      </c>
      <c r="U709" s="75" t="str">
        <f>IFERROR(INDEX('Cost_Components'!$Q$2:$Q$27,MATCH(E709,'Cost_Components'!$A$2:$A$27,0)),"")</f>
      </c>
      <c r="V709" s="76" t="str">
        <f>1/(1+'Calculation_Assumptions'!$B$5)^(B709-'Calculation_Assumptions'!$B$2)</f>
      </c>
      <c r="W709" s="77" t="str">
        <f>Q709*V709</f>
      </c>
      <c r="X709" s="78" t="str">
        <f>R709*V709</f>
      </c>
      <c r="Y709" s="79" t="str">
        <f>S709*V709</f>
      </c>
      <c r="Z709" s="80" t="str">
        <f>IFERROR(INDEX('Cost_Components'!$T$2:$T$27,MATCH(E709,'Cost_Components'!$A$2:$A$27,0)),"")</f>
      </c>
      <c r="AA709" s="81" t="str">
        <f>IFERROR(INDEX('Cost_Components'!$U$2:$U$27,MATCH(E709,'Cost_Components'!$A$2:$A$27,0)),"")</f>
      </c>
      <c r="AB709" s="82" t="str">
        <f>IFERROR(INDEX('Cost_Components'!$V$2:$V$27,MATCH(E709,'Cost_Components'!$A$2:$A$27,0)),"")</f>
      </c>
      <c r="AC709" s="83" t="str">
        <f>IFERROR(INDEX('Cost_Components'!$M$2:$M$27,MATCH(E709,'Cost_Components'!$A$2:$A$27,0)),"")</f>
      </c>
      <c r="AD709" s="84" t="str">
        <f>IFERROR(INDEX('Cost_Components'!$N$2:$N$27,MATCH(E709,'Cost_Components'!$A$2:$A$27,0)),"")</f>
      </c>
      <c r="AE709" s="20" t="str">
        <f>IFERROR(INDEX('Cost_Components'!$O$2:$O$27,MATCH(E709,'Cost_Components'!$A$2:$A$27,0)),"")</f>
      </c>
      <c r="AF709" s="85" t="n">
        <v>325465854.700106</v>
      </c>
      <c r="AG709" s="86" t="n">
        <v>325136961.43476</v>
      </c>
      <c r="AH709" s="87" t="str">
        <f>IF(H709="shared-count-once",COUNTIFS($A$2:$A$1353,A709,$B$2:$B$1353,B709,$E$2:$E$1353,E709),1)</f>
      </c>
    </row>
    <row r="710">
      <c r="A710" t="s">
        <v>75</v>
      </c>
      <c r="B710" s="59" t="n">
        <v>2031</v>
      </c>
      <c r="C710" t="s">
        <v>162</v>
      </c>
      <c r="D710"/>
      <c r="E710" s="60" t="s">
        <v>254</v>
      </c>
      <c r="F710" s="61" t="s">
        <v>255</v>
      </c>
      <c r="G710" s="62" t="s">
        <v>171</v>
      </c>
      <c r="H710" s="63" t="s">
        <v>172</v>
      </c>
      <c r="I710" s="64" t="s">
        <v>75</v>
      </c>
      <c r="J710" s="65" t="str">
        <f>IFERROR(INDEX('Cost_Components'!$K$2:$K$27,MATCH(E710,'Cost_Components'!$A$2:$A$27,0)),"")</f>
      </c>
      <c r="K710" s="66" t="str">
        <f>IF(OR(L710="",Z710="",AA710="",AB710=""),"",IF(B710&lt;AA710,L710,IF(B710&gt;AB710,Z710,L710+(Z710-L710)*MIN(MAX((B710-AA710+1)/MAX(AB710-AA710+1,1),0),1))))</f>
      </c>
      <c r="L710" s="67" t="str">
        <f>IFERROR(INDEX('Cost_Components'!$S$2:$S$27,MATCH(E710,'Cost_Components'!$A$2:$A$27,0)),"")</f>
      </c>
      <c r="M710" s="68" t="str">
        <f>IFERROR(INDEX('Cost_Components'!$L$2:$L$27,MATCH(E710,'Cost_Components'!$A$2:$A$27,0)),"")</f>
      </c>
      <c r="N710" s="69" t="str">
        <f>IFERROR(INDEX('Cost_Components'!$P$2:$P$27,MATCH(E710,'Cost_Components'!$A$2:$A$27,0)),"")</f>
      </c>
      <c r="O710" s="70" t="str">
        <f>AF710*J710</f>
      </c>
      <c r="P710" s="71" t="str">
        <f>AG710*J710</f>
      </c>
      <c r="Q710" s="72" t="str">
        <f>P710*L710*M710*N710</f>
      </c>
      <c r="R710" s="73" t="str">
        <f>O710*K710*M710*N710</f>
      </c>
      <c r="S710" s="74" t="str">
        <f>R710-Q710</f>
      </c>
      <c r="T710" s="20" t="str">
        <f>IFERROR(INDEX('Cost_Components'!$R$2:$R$27,MATCH(E710,'Cost_Components'!$A$2:$A$27,0)),"")</f>
      </c>
      <c r="U710" s="75" t="str">
        <f>IFERROR(INDEX('Cost_Components'!$Q$2:$Q$27,MATCH(E710,'Cost_Components'!$A$2:$A$27,0)),"")</f>
      </c>
      <c r="V710" s="76" t="str">
        <f>1/(1+'Calculation_Assumptions'!$B$5)^(B710-'Calculation_Assumptions'!$B$2)</f>
      </c>
      <c r="W710" s="77" t="str">
        <f>Q710*V710</f>
      </c>
      <c r="X710" s="78" t="str">
        <f>R710*V710</f>
      </c>
      <c r="Y710" s="79" t="str">
        <f>S710*V710</f>
      </c>
      <c r="Z710" s="80" t="str">
        <f>IFERROR(INDEX('Cost_Components'!$T$2:$T$27,MATCH(E710,'Cost_Components'!$A$2:$A$27,0)),"")</f>
      </c>
      <c r="AA710" s="81" t="str">
        <f>IFERROR(INDEX('Cost_Components'!$U$2:$U$27,MATCH(E710,'Cost_Components'!$A$2:$A$27,0)),"")</f>
      </c>
      <c r="AB710" s="82" t="str">
        <f>IFERROR(INDEX('Cost_Components'!$V$2:$V$27,MATCH(E710,'Cost_Components'!$A$2:$A$27,0)),"")</f>
      </c>
      <c r="AC710" s="83" t="str">
        <f>IFERROR(INDEX('Cost_Components'!$M$2:$M$27,MATCH(E710,'Cost_Components'!$A$2:$A$27,0)),"")</f>
      </c>
      <c r="AD710" s="84" t="str">
        <f>IFERROR(INDEX('Cost_Components'!$N$2:$N$27,MATCH(E710,'Cost_Components'!$A$2:$A$27,0)),"")</f>
      </c>
      <c r="AE710" s="20" t="str">
        <f>IFERROR(INDEX('Cost_Components'!$O$2:$O$27,MATCH(E710,'Cost_Components'!$A$2:$A$27,0)),"")</f>
      </c>
      <c r="AF710" s="85" t="n">
        <v>329625676.917931</v>
      </c>
      <c r="AG710" s="86" t="n">
        <v>329259809.173501</v>
      </c>
      <c r="AH710" s="87" t="str">
        <f>IF(H710="shared-count-once",COUNTIFS($A$2:$A$1353,A710,$B$2:$B$1353,B710,$E$2:$E$1353,E710),1)</f>
      </c>
    </row>
    <row r="711">
      <c r="A711" t="s">
        <v>75</v>
      </c>
      <c r="B711" s="59" t="n">
        <v>2032</v>
      </c>
      <c r="C711" t="s">
        <v>162</v>
      </c>
      <c r="D711"/>
      <c r="E711" s="60" t="s">
        <v>254</v>
      </c>
      <c r="F711" s="61" t="s">
        <v>255</v>
      </c>
      <c r="G711" s="62" t="s">
        <v>171</v>
      </c>
      <c r="H711" s="63" t="s">
        <v>172</v>
      </c>
      <c r="I711" s="64" t="s">
        <v>75</v>
      </c>
      <c r="J711" s="65" t="str">
        <f>IFERROR(INDEX('Cost_Components'!$K$2:$K$27,MATCH(E711,'Cost_Components'!$A$2:$A$27,0)),"")</f>
      </c>
      <c r="K711" s="66" t="str">
        <f>IF(OR(L711="",Z711="",AA711="",AB711=""),"",IF(B711&lt;AA711,L711,IF(B711&gt;AB711,Z711,L711+(Z711-L711)*MIN(MAX((B711-AA711+1)/MAX(AB711-AA711+1,1),0),1))))</f>
      </c>
      <c r="L711" s="67" t="str">
        <f>IFERROR(INDEX('Cost_Components'!$S$2:$S$27,MATCH(E711,'Cost_Components'!$A$2:$A$27,0)),"")</f>
      </c>
      <c r="M711" s="68" t="str">
        <f>IFERROR(INDEX('Cost_Components'!$L$2:$L$27,MATCH(E711,'Cost_Components'!$A$2:$A$27,0)),"")</f>
      </c>
      <c r="N711" s="69" t="str">
        <f>IFERROR(INDEX('Cost_Components'!$P$2:$P$27,MATCH(E711,'Cost_Components'!$A$2:$A$27,0)),"")</f>
      </c>
      <c r="O711" s="70" t="str">
        <f>AF711*J711</f>
      </c>
      <c r="P711" s="71" t="str">
        <f>AG711*J711</f>
      </c>
      <c r="Q711" s="72" t="str">
        <f>P711*L711*M711*N711</f>
      </c>
      <c r="R711" s="73" t="str">
        <f>O711*K711*M711*N711</f>
      </c>
      <c r="S711" s="74" t="str">
        <f>R711-Q711</f>
      </c>
      <c r="T711" s="20" t="str">
        <f>IFERROR(INDEX('Cost_Components'!$R$2:$R$27,MATCH(E711,'Cost_Components'!$A$2:$A$27,0)),"")</f>
      </c>
      <c r="U711" s="75" t="str">
        <f>IFERROR(INDEX('Cost_Components'!$Q$2:$Q$27,MATCH(E711,'Cost_Components'!$A$2:$A$27,0)),"")</f>
      </c>
      <c r="V711" s="76" t="str">
        <f>1/(1+'Calculation_Assumptions'!$B$5)^(B711-'Calculation_Assumptions'!$B$2)</f>
      </c>
      <c r="W711" s="77" t="str">
        <f>Q711*V711</f>
      </c>
      <c r="X711" s="78" t="str">
        <f>R711*V711</f>
      </c>
      <c r="Y711" s="79" t="str">
        <f>S711*V711</f>
      </c>
      <c r="Z711" s="80" t="str">
        <f>IFERROR(INDEX('Cost_Components'!$T$2:$T$27,MATCH(E711,'Cost_Components'!$A$2:$A$27,0)),"")</f>
      </c>
      <c r="AA711" s="81" t="str">
        <f>IFERROR(INDEX('Cost_Components'!$U$2:$U$27,MATCH(E711,'Cost_Components'!$A$2:$A$27,0)),"")</f>
      </c>
      <c r="AB711" s="82" t="str">
        <f>IFERROR(INDEX('Cost_Components'!$V$2:$V$27,MATCH(E711,'Cost_Components'!$A$2:$A$27,0)),"")</f>
      </c>
      <c r="AC711" s="83" t="str">
        <f>IFERROR(INDEX('Cost_Components'!$M$2:$M$27,MATCH(E711,'Cost_Components'!$A$2:$A$27,0)),"")</f>
      </c>
      <c r="AD711" s="84" t="str">
        <f>IFERROR(INDEX('Cost_Components'!$N$2:$N$27,MATCH(E711,'Cost_Components'!$A$2:$A$27,0)),"")</f>
      </c>
      <c r="AE711" s="20" t="str">
        <f>IFERROR(INDEX('Cost_Components'!$O$2:$O$27,MATCH(E711,'Cost_Components'!$A$2:$A$27,0)),"")</f>
      </c>
      <c r="AF711" s="85" t="n">
        <v>333747668.77104</v>
      </c>
      <c r="AG711" s="86" t="n">
        <v>333331540.946644</v>
      </c>
      <c r="AH711" s="87" t="str">
        <f>IF(H711="shared-count-once",COUNTIFS($A$2:$A$1353,A711,$B$2:$B$1353,B711,$E$2:$E$1353,E711),1)</f>
      </c>
    </row>
    <row r="712">
      <c r="A712" t="s">
        <v>75</v>
      </c>
      <c r="B712" s="59" t="n">
        <v>2033</v>
      </c>
      <c r="C712" t="s">
        <v>162</v>
      </c>
      <c r="D712"/>
      <c r="E712" s="60" t="s">
        <v>254</v>
      </c>
      <c r="F712" s="61" t="s">
        <v>255</v>
      </c>
      <c r="G712" s="62" t="s">
        <v>171</v>
      </c>
      <c r="H712" s="63" t="s">
        <v>172</v>
      </c>
      <c r="I712" s="64" t="s">
        <v>75</v>
      </c>
      <c r="J712" s="65" t="str">
        <f>IFERROR(INDEX('Cost_Components'!$K$2:$K$27,MATCH(E712,'Cost_Components'!$A$2:$A$27,0)),"")</f>
      </c>
      <c r="K712" s="66" t="str">
        <f>IF(OR(L712="",Z712="",AA712="",AB712=""),"",IF(B712&lt;AA712,L712,IF(B712&gt;AB712,Z712,L712+(Z712-L712)*MIN(MAX((B712-AA712+1)/MAX(AB712-AA712+1,1),0),1))))</f>
      </c>
      <c r="L712" s="67" t="str">
        <f>IFERROR(INDEX('Cost_Components'!$S$2:$S$27,MATCH(E712,'Cost_Components'!$A$2:$A$27,0)),"")</f>
      </c>
      <c r="M712" s="68" t="str">
        <f>IFERROR(INDEX('Cost_Components'!$L$2:$L$27,MATCH(E712,'Cost_Components'!$A$2:$A$27,0)),"")</f>
      </c>
      <c r="N712" s="69" t="str">
        <f>IFERROR(INDEX('Cost_Components'!$P$2:$P$27,MATCH(E712,'Cost_Components'!$A$2:$A$27,0)),"")</f>
      </c>
      <c r="O712" s="70" t="str">
        <f>AF712*J712</f>
      </c>
      <c r="P712" s="71" t="str">
        <f>AG712*J712</f>
      </c>
      <c r="Q712" s="72" t="str">
        <f>P712*L712*M712*N712</f>
      </c>
      <c r="R712" s="73" t="str">
        <f>O712*K712*M712*N712</f>
      </c>
      <c r="S712" s="74" t="str">
        <f>R712-Q712</f>
      </c>
      <c r="T712" s="20" t="str">
        <f>IFERROR(INDEX('Cost_Components'!$R$2:$R$27,MATCH(E712,'Cost_Components'!$A$2:$A$27,0)),"")</f>
      </c>
      <c r="U712" s="75" t="str">
        <f>IFERROR(INDEX('Cost_Components'!$Q$2:$Q$27,MATCH(E712,'Cost_Components'!$A$2:$A$27,0)),"")</f>
      </c>
      <c r="V712" s="76" t="str">
        <f>1/(1+'Calculation_Assumptions'!$B$5)^(B712-'Calculation_Assumptions'!$B$2)</f>
      </c>
      <c r="W712" s="77" t="str">
        <f>Q712*V712</f>
      </c>
      <c r="X712" s="78" t="str">
        <f>R712*V712</f>
      </c>
      <c r="Y712" s="79" t="str">
        <f>S712*V712</f>
      </c>
      <c r="Z712" s="80" t="str">
        <f>IFERROR(INDEX('Cost_Components'!$T$2:$T$27,MATCH(E712,'Cost_Components'!$A$2:$A$27,0)),"")</f>
      </c>
      <c r="AA712" s="81" t="str">
        <f>IFERROR(INDEX('Cost_Components'!$U$2:$U$27,MATCH(E712,'Cost_Components'!$A$2:$A$27,0)),"")</f>
      </c>
      <c r="AB712" s="82" t="str">
        <f>IFERROR(INDEX('Cost_Components'!$V$2:$V$27,MATCH(E712,'Cost_Components'!$A$2:$A$27,0)),"")</f>
      </c>
      <c r="AC712" s="83" t="str">
        <f>IFERROR(INDEX('Cost_Components'!$M$2:$M$27,MATCH(E712,'Cost_Components'!$A$2:$A$27,0)),"")</f>
      </c>
      <c r="AD712" s="84" t="str">
        <f>IFERROR(INDEX('Cost_Components'!$N$2:$N$27,MATCH(E712,'Cost_Components'!$A$2:$A$27,0)),"")</f>
      </c>
      <c r="AE712" s="20" t="str">
        <f>IFERROR(INDEX('Cost_Components'!$O$2:$O$27,MATCH(E712,'Cost_Components'!$A$2:$A$27,0)),"")</f>
      </c>
      <c r="AF712" s="85" t="n">
        <v>337829647.844903</v>
      </c>
      <c r="AG712" s="86" t="n">
        <v>337349600.363372</v>
      </c>
      <c r="AH712" s="87" t="str">
        <f>IF(H712="shared-count-once",COUNTIFS($A$2:$A$1353,A712,$B$2:$B$1353,B712,$E$2:$E$1353,E712),1)</f>
      </c>
    </row>
    <row r="713">
      <c r="A713" t="s">
        <v>75</v>
      </c>
      <c r="B713" s="59" t="n">
        <v>2034</v>
      </c>
      <c r="C713" t="s">
        <v>162</v>
      </c>
      <c r="D713"/>
      <c r="E713" s="60" t="s">
        <v>254</v>
      </c>
      <c r="F713" s="61" t="s">
        <v>255</v>
      </c>
      <c r="G713" s="62" t="s">
        <v>171</v>
      </c>
      <c r="H713" s="63" t="s">
        <v>172</v>
      </c>
      <c r="I713" s="64" t="s">
        <v>75</v>
      </c>
      <c r="J713" s="65" t="str">
        <f>IFERROR(INDEX('Cost_Components'!$K$2:$K$27,MATCH(E713,'Cost_Components'!$A$2:$A$27,0)),"")</f>
      </c>
      <c r="K713" s="66" t="str">
        <f>IF(OR(L713="",Z713="",AA713="",AB713=""),"",IF(B713&lt;AA713,L713,IF(B713&gt;AB713,Z713,L713+(Z713-L713)*MIN(MAX((B713-AA713+1)/MAX(AB713-AA713+1,1),0),1))))</f>
      </c>
      <c r="L713" s="67" t="str">
        <f>IFERROR(INDEX('Cost_Components'!$S$2:$S$27,MATCH(E713,'Cost_Components'!$A$2:$A$27,0)),"")</f>
      </c>
      <c r="M713" s="68" t="str">
        <f>IFERROR(INDEX('Cost_Components'!$L$2:$L$27,MATCH(E713,'Cost_Components'!$A$2:$A$27,0)),"")</f>
      </c>
      <c r="N713" s="69" t="str">
        <f>IFERROR(INDEX('Cost_Components'!$P$2:$P$27,MATCH(E713,'Cost_Components'!$A$2:$A$27,0)),"")</f>
      </c>
      <c r="O713" s="70" t="str">
        <f>AF713*J713</f>
      </c>
      <c r="P713" s="71" t="str">
        <f>AG713*J713</f>
      </c>
      <c r="Q713" s="72" t="str">
        <f>P713*L713*M713*N713</f>
      </c>
      <c r="R713" s="73" t="str">
        <f>O713*K713*M713*N713</f>
      </c>
      <c r="S713" s="74" t="str">
        <f>R713-Q713</f>
      </c>
      <c r="T713" s="20" t="str">
        <f>IFERROR(INDEX('Cost_Components'!$R$2:$R$27,MATCH(E713,'Cost_Components'!$A$2:$A$27,0)),"")</f>
      </c>
      <c r="U713" s="75" t="str">
        <f>IFERROR(INDEX('Cost_Components'!$Q$2:$Q$27,MATCH(E713,'Cost_Components'!$A$2:$A$27,0)),"")</f>
      </c>
      <c r="V713" s="76" t="str">
        <f>1/(1+'Calculation_Assumptions'!$B$5)^(B713-'Calculation_Assumptions'!$B$2)</f>
      </c>
      <c r="W713" s="77" t="str">
        <f>Q713*V713</f>
      </c>
      <c r="X713" s="78" t="str">
        <f>R713*V713</f>
      </c>
      <c r="Y713" s="79" t="str">
        <f>S713*V713</f>
      </c>
      <c r="Z713" s="80" t="str">
        <f>IFERROR(INDEX('Cost_Components'!$T$2:$T$27,MATCH(E713,'Cost_Components'!$A$2:$A$27,0)),"")</f>
      </c>
      <c r="AA713" s="81" t="str">
        <f>IFERROR(INDEX('Cost_Components'!$U$2:$U$27,MATCH(E713,'Cost_Components'!$A$2:$A$27,0)),"")</f>
      </c>
      <c r="AB713" s="82" t="str">
        <f>IFERROR(INDEX('Cost_Components'!$V$2:$V$27,MATCH(E713,'Cost_Components'!$A$2:$A$27,0)),"")</f>
      </c>
      <c r="AC713" s="83" t="str">
        <f>IFERROR(INDEX('Cost_Components'!$M$2:$M$27,MATCH(E713,'Cost_Components'!$A$2:$A$27,0)),"")</f>
      </c>
      <c r="AD713" s="84" t="str">
        <f>IFERROR(INDEX('Cost_Components'!$N$2:$N$27,MATCH(E713,'Cost_Components'!$A$2:$A$27,0)),"")</f>
      </c>
      <c r="AE713" s="20" t="str">
        <f>IFERROR(INDEX('Cost_Components'!$O$2:$O$27,MATCH(E713,'Cost_Components'!$A$2:$A$27,0)),"")</f>
      </c>
      <c r="AF713" s="85" t="n">
        <v>341911740.682985</v>
      </c>
      <c r="AG713" s="86" t="n">
        <v>341352820.609966</v>
      </c>
      <c r="AH713" s="87" t="str">
        <f>IF(H713="shared-count-once",COUNTIFS($A$2:$A$1353,A713,$B$2:$B$1353,B713,$E$2:$E$1353,E713),1)</f>
      </c>
    </row>
    <row r="714">
      <c r="A714" t="s">
        <v>75</v>
      </c>
      <c r="B714" s="59" t="n">
        <v>2035</v>
      </c>
      <c r="C714" t="s">
        <v>162</v>
      </c>
      <c r="D714"/>
      <c r="E714" s="60" t="s">
        <v>254</v>
      </c>
      <c r="F714" s="61" t="s">
        <v>255</v>
      </c>
      <c r="G714" s="62" t="s">
        <v>171</v>
      </c>
      <c r="H714" s="63" t="s">
        <v>172</v>
      </c>
      <c r="I714" s="64" t="s">
        <v>75</v>
      </c>
      <c r="J714" s="65" t="str">
        <f>IFERROR(INDEX('Cost_Components'!$K$2:$K$27,MATCH(E714,'Cost_Components'!$A$2:$A$27,0)),"")</f>
      </c>
      <c r="K714" s="66" t="str">
        <f>IF(OR(L714="",Z714="",AA714="",AB714=""),"",IF(B714&lt;AA714,L714,IF(B714&gt;AB714,Z714,L714+(Z714-L714)*MIN(MAX((B714-AA714+1)/MAX(AB714-AA714+1,1),0),1))))</f>
      </c>
      <c r="L714" s="67" t="str">
        <f>IFERROR(INDEX('Cost_Components'!$S$2:$S$27,MATCH(E714,'Cost_Components'!$A$2:$A$27,0)),"")</f>
      </c>
      <c r="M714" s="68" t="str">
        <f>IFERROR(INDEX('Cost_Components'!$L$2:$L$27,MATCH(E714,'Cost_Components'!$A$2:$A$27,0)),"")</f>
      </c>
      <c r="N714" s="69" t="str">
        <f>IFERROR(INDEX('Cost_Components'!$P$2:$P$27,MATCH(E714,'Cost_Components'!$A$2:$A$27,0)),"")</f>
      </c>
      <c r="O714" s="70" t="str">
        <f>AF714*J714</f>
      </c>
      <c r="P714" s="71" t="str">
        <f>AG714*J714</f>
      </c>
      <c r="Q714" s="72" t="str">
        <f>P714*L714*M714*N714</f>
      </c>
      <c r="R714" s="73" t="str">
        <f>O714*K714*M714*N714</f>
      </c>
      <c r="S714" s="74" t="str">
        <f>R714-Q714</f>
      </c>
      <c r="T714" s="20" t="str">
        <f>IFERROR(INDEX('Cost_Components'!$R$2:$R$27,MATCH(E714,'Cost_Components'!$A$2:$A$27,0)),"")</f>
      </c>
      <c r="U714" s="75" t="str">
        <f>IFERROR(INDEX('Cost_Components'!$Q$2:$Q$27,MATCH(E714,'Cost_Components'!$A$2:$A$27,0)),"")</f>
      </c>
      <c r="V714" s="76" t="str">
        <f>1/(1+'Calculation_Assumptions'!$B$5)^(B714-'Calculation_Assumptions'!$B$2)</f>
      </c>
      <c r="W714" s="77" t="str">
        <f>Q714*V714</f>
      </c>
      <c r="X714" s="78" t="str">
        <f>R714*V714</f>
      </c>
      <c r="Y714" s="79" t="str">
        <f>S714*V714</f>
      </c>
      <c r="Z714" s="80" t="str">
        <f>IFERROR(INDEX('Cost_Components'!$T$2:$T$27,MATCH(E714,'Cost_Components'!$A$2:$A$27,0)),"")</f>
      </c>
      <c r="AA714" s="81" t="str">
        <f>IFERROR(INDEX('Cost_Components'!$U$2:$U$27,MATCH(E714,'Cost_Components'!$A$2:$A$27,0)),"")</f>
      </c>
      <c r="AB714" s="82" t="str">
        <f>IFERROR(INDEX('Cost_Components'!$V$2:$V$27,MATCH(E714,'Cost_Components'!$A$2:$A$27,0)),"")</f>
      </c>
      <c r="AC714" s="83" t="str">
        <f>IFERROR(INDEX('Cost_Components'!$M$2:$M$27,MATCH(E714,'Cost_Components'!$A$2:$A$27,0)),"")</f>
      </c>
      <c r="AD714" s="84" t="str">
        <f>IFERROR(INDEX('Cost_Components'!$N$2:$N$27,MATCH(E714,'Cost_Components'!$A$2:$A$27,0)),"")</f>
      </c>
      <c r="AE714" s="20" t="str">
        <f>IFERROR(INDEX('Cost_Components'!$O$2:$O$27,MATCH(E714,'Cost_Components'!$A$2:$A$27,0)),"")</f>
      </c>
      <c r="AF714" s="85" t="n">
        <v>346101231.856099</v>
      </c>
      <c r="AG714" s="86" t="n">
        <v>345429256.615921</v>
      </c>
      <c r="AH714" s="87" t="str">
        <f>IF(H714="shared-count-once",COUNTIFS($A$2:$A$1353,A714,$B$2:$B$1353,B714,$E$2:$E$1353,E714),1)</f>
      </c>
    </row>
    <row r="715">
      <c r="A715" t="s">
        <v>75</v>
      </c>
      <c r="B715" s="59" t="n">
        <v>2036</v>
      </c>
      <c r="C715" t="s">
        <v>162</v>
      </c>
      <c r="D715"/>
      <c r="E715" s="60" t="s">
        <v>254</v>
      </c>
      <c r="F715" s="61" t="s">
        <v>255</v>
      </c>
      <c r="G715" s="62" t="s">
        <v>171</v>
      </c>
      <c r="H715" s="63" t="s">
        <v>172</v>
      </c>
      <c r="I715" s="64" t="s">
        <v>75</v>
      </c>
      <c r="J715" s="65" t="str">
        <f>IFERROR(INDEX('Cost_Components'!$K$2:$K$27,MATCH(E715,'Cost_Components'!$A$2:$A$27,0)),"")</f>
      </c>
      <c r="K715" s="66" t="str">
        <f>IF(OR(L715="",Z715="",AA715="",AB715=""),"",IF(B715&lt;AA715,L715,IF(B715&gt;AB715,Z715,L715+(Z715-L715)*MIN(MAX((B715-AA715+1)/MAX(AB715-AA715+1,1),0),1))))</f>
      </c>
      <c r="L715" s="67" t="str">
        <f>IFERROR(INDEX('Cost_Components'!$S$2:$S$27,MATCH(E715,'Cost_Components'!$A$2:$A$27,0)),"")</f>
      </c>
      <c r="M715" s="68" t="str">
        <f>IFERROR(INDEX('Cost_Components'!$L$2:$L$27,MATCH(E715,'Cost_Components'!$A$2:$A$27,0)),"")</f>
      </c>
      <c r="N715" s="69" t="str">
        <f>IFERROR(INDEX('Cost_Components'!$P$2:$P$27,MATCH(E715,'Cost_Components'!$A$2:$A$27,0)),"")</f>
      </c>
      <c r="O715" s="70" t="str">
        <f>AF715*J715</f>
      </c>
      <c r="P715" s="71" t="str">
        <f>AG715*J715</f>
      </c>
      <c r="Q715" s="72" t="str">
        <f>P715*L715*M715*N715</f>
      </c>
      <c r="R715" s="73" t="str">
        <f>O715*K715*M715*N715</f>
      </c>
      <c r="S715" s="74" t="str">
        <f>R715-Q715</f>
      </c>
      <c r="T715" s="20" t="str">
        <f>IFERROR(INDEX('Cost_Components'!$R$2:$R$27,MATCH(E715,'Cost_Components'!$A$2:$A$27,0)),"")</f>
      </c>
      <c r="U715" s="75" t="str">
        <f>IFERROR(INDEX('Cost_Components'!$Q$2:$Q$27,MATCH(E715,'Cost_Components'!$A$2:$A$27,0)),"")</f>
      </c>
      <c r="V715" s="76" t="str">
        <f>1/(1+'Calculation_Assumptions'!$B$5)^(B715-'Calculation_Assumptions'!$B$2)</f>
      </c>
      <c r="W715" s="77" t="str">
        <f>Q715*V715</f>
      </c>
      <c r="X715" s="78" t="str">
        <f>R715*V715</f>
      </c>
      <c r="Y715" s="79" t="str">
        <f>S715*V715</f>
      </c>
      <c r="Z715" s="80" t="str">
        <f>IFERROR(INDEX('Cost_Components'!$T$2:$T$27,MATCH(E715,'Cost_Components'!$A$2:$A$27,0)),"")</f>
      </c>
      <c r="AA715" s="81" t="str">
        <f>IFERROR(INDEX('Cost_Components'!$U$2:$U$27,MATCH(E715,'Cost_Components'!$A$2:$A$27,0)),"")</f>
      </c>
      <c r="AB715" s="82" t="str">
        <f>IFERROR(INDEX('Cost_Components'!$V$2:$V$27,MATCH(E715,'Cost_Components'!$A$2:$A$27,0)),"")</f>
      </c>
      <c r="AC715" s="83" t="str">
        <f>IFERROR(INDEX('Cost_Components'!$M$2:$M$27,MATCH(E715,'Cost_Components'!$A$2:$A$27,0)),"")</f>
      </c>
      <c r="AD715" s="84" t="str">
        <f>IFERROR(INDEX('Cost_Components'!$N$2:$N$27,MATCH(E715,'Cost_Components'!$A$2:$A$27,0)),"")</f>
      </c>
      <c r="AE715" s="20" t="str">
        <f>IFERROR(INDEX('Cost_Components'!$O$2:$O$27,MATCH(E715,'Cost_Components'!$A$2:$A$27,0)),"")</f>
      </c>
      <c r="AF715" s="85" t="n">
        <v>350395753.603005</v>
      </c>
      <c r="AG715" s="86" t="n">
        <v>349633455.684602</v>
      </c>
      <c r="AH715" s="87" t="str">
        <f>IF(H715="shared-count-once",COUNTIFS($A$2:$A$1353,A715,$B$2:$B$1353,B715,$E$2:$E$1353,E715),1)</f>
      </c>
    </row>
    <row r="716">
      <c r="A716" t="s">
        <v>75</v>
      </c>
      <c r="B716" s="59" t="n">
        <v>2037</v>
      </c>
      <c r="C716" t="s">
        <v>162</v>
      </c>
      <c r="D716"/>
      <c r="E716" s="60" t="s">
        <v>254</v>
      </c>
      <c r="F716" s="61" t="s">
        <v>255</v>
      </c>
      <c r="G716" s="62" t="s">
        <v>171</v>
      </c>
      <c r="H716" s="63" t="s">
        <v>172</v>
      </c>
      <c r="I716" s="64" t="s">
        <v>75</v>
      </c>
      <c r="J716" s="65" t="str">
        <f>IFERROR(INDEX('Cost_Components'!$K$2:$K$27,MATCH(E716,'Cost_Components'!$A$2:$A$27,0)),"")</f>
      </c>
      <c r="K716" s="66" t="str">
        <f>IF(OR(L716="",Z716="",AA716="",AB716=""),"",IF(B716&lt;AA716,L716,IF(B716&gt;AB716,Z716,L716+(Z716-L716)*MIN(MAX((B716-AA716+1)/MAX(AB716-AA716+1,1),0),1))))</f>
      </c>
      <c r="L716" s="67" t="str">
        <f>IFERROR(INDEX('Cost_Components'!$S$2:$S$27,MATCH(E716,'Cost_Components'!$A$2:$A$27,0)),"")</f>
      </c>
      <c r="M716" s="68" t="str">
        <f>IFERROR(INDEX('Cost_Components'!$L$2:$L$27,MATCH(E716,'Cost_Components'!$A$2:$A$27,0)),"")</f>
      </c>
      <c r="N716" s="69" t="str">
        <f>IFERROR(INDEX('Cost_Components'!$P$2:$P$27,MATCH(E716,'Cost_Components'!$A$2:$A$27,0)),"")</f>
      </c>
      <c r="O716" s="70" t="str">
        <f>AF716*J716</f>
      </c>
      <c r="P716" s="71" t="str">
        <f>AG716*J716</f>
      </c>
      <c r="Q716" s="72" t="str">
        <f>P716*L716*M716*N716</f>
      </c>
      <c r="R716" s="73" t="str">
        <f>O716*K716*M716*N716</f>
      </c>
      <c r="S716" s="74" t="str">
        <f>R716-Q716</f>
      </c>
      <c r="T716" s="20" t="str">
        <f>IFERROR(INDEX('Cost_Components'!$R$2:$R$27,MATCH(E716,'Cost_Components'!$A$2:$A$27,0)),"")</f>
      </c>
      <c r="U716" s="75" t="str">
        <f>IFERROR(INDEX('Cost_Components'!$Q$2:$Q$27,MATCH(E716,'Cost_Components'!$A$2:$A$27,0)),"")</f>
      </c>
      <c r="V716" s="76" t="str">
        <f>1/(1+'Calculation_Assumptions'!$B$5)^(B716-'Calculation_Assumptions'!$B$2)</f>
      </c>
      <c r="W716" s="77" t="str">
        <f>Q716*V716</f>
      </c>
      <c r="X716" s="78" t="str">
        <f>R716*V716</f>
      </c>
      <c r="Y716" s="79" t="str">
        <f>S716*V716</f>
      </c>
      <c r="Z716" s="80" t="str">
        <f>IFERROR(INDEX('Cost_Components'!$T$2:$T$27,MATCH(E716,'Cost_Components'!$A$2:$A$27,0)),"")</f>
      </c>
      <c r="AA716" s="81" t="str">
        <f>IFERROR(INDEX('Cost_Components'!$U$2:$U$27,MATCH(E716,'Cost_Components'!$A$2:$A$27,0)),"")</f>
      </c>
      <c r="AB716" s="82" t="str">
        <f>IFERROR(INDEX('Cost_Components'!$V$2:$V$27,MATCH(E716,'Cost_Components'!$A$2:$A$27,0)),"")</f>
      </c>
      <c r="AC716" s="83" t="str">
        <f>IFERROR(INDEX('Cost_Components'!$M$2:$M$27,MATCH(E716,'Cost_Components'!$A$2:$A$27,0)),"")</f>
      </c>
      <c r="AD716" s="84" t="str">
        <f>IFERROR(INDEX('Cost_Components'!$N$2:$N$27,MATCH(E716,'Cost_Components'!$A$2:$A$27,0)),"")</f>
      </c>
      <c r="AE716" s="20" t="str">
        <f>IFERROR(INDEX('Cost_Components'!$O$2:$O$27,MATCH(E716,'Cost_Components'!$A$2:$A$27,0)),"")</f>
      </c>
      <c r="AF716" s="85" t="n">
        <v>354744679.167246</v>
      </c>
      <c r="AG716" s="86" t="n">
        <v>353857255.838185</v>
      </c>
      <c r="AH716" s="87" t="str">
        <f>IF(H716="shared-count-once",COUNTIFS($A$2:$A$1353,A716,$B$2:$B$1353,B716,$E$2:$E$1353,E716),1)</f>
      </c>
    </row>
    <row r="717">
      <c r="A717" t="s">
        <v>75</v>
      </c>
      <c r="B717" s="59" t="n">
        <v>2038</v>
      </c>
      <c r="C717" t="s">
        <v>162</v>
      </c>
      <c r="D717"/>
      <c r="E717" s="60" t="s">
        <v>254</v>
      </c>
      <c r="F717" s="61" t="s">
        <v>255</v>
      </c>
      <c r="G717" s="62" t="s">
        <v>171</v>
      </c>
      <c r="H717" s="63" t="s">
        <v>172</v>
      </c>
      <c r="I717" s="64" t="s">
        <v>75</v>
      </c>
      <c r="J717" s="65" t="str">
        <f>IFERROR(INDEX('Cost_Components'!$K$2:$K$27,MATCH(E717,'Cost_Components'!$A$2:$A$27,0)),"")</f>
      </c>
      <c r="K717" s="66" t="str">
        <f>IF(OR(L717="",Z717="",AA717="",AB717=""),"",IF(B717&lt;AA717,L717,IF(B717&gt;AB717,Z717,L717+(Z717-L717)*MIN(MAX((B717-AA717+1)/MAX(AB717-AA717+1,1),0),1))))</f>
      </c>
      <c r="L717" s="67" t="str">
        <f>IFERROR(INDEX('Cost_Components'!$S$2:$S$27,MATCH(E717,'Cost_Components'!$A$2:$A$27,0)),"")</f>
      </c>
      <c r="M717" s="68" t="str">
        <f>IFERROR(INDEX('Cost_Components'!$L$2:$L$27,MATCH(E717,'Cost_Components'!$A$2:$A$27,0)),"")</f>
      </c>
      <c r="N717" s="69" t="str">
        <f>IFERROR(INDEX('Cost_Components'!$P$2:$P$27,MATCH(E717,'Cost_Components'!$A$2:$A$27,0)),"")</f>
      </c>
      <c r="O717" s="70" t="str">
        <f>AF717*J717</f>
      </c>
      <c r="P717" s="71" t="str">
        <f>AG717*J717</f>
      </c>
      <c r="Q717" s="72" t="str">
        <f>P717*L717*M717*N717</f>
      </c>
      <c r="R717" s="73" t="str">
        <f>O717*K717*M717*N717</f>
      </c>
      <c r="S717" s="74" t="str">
        <f>R717-Q717</f>
      </c>
      <c r="T717" s="20" t="str">
        <f>IFERROR(INDEX('Cost_Components'!$R$2:$R$27,MATCH(E717,'Cost_Components'!$A$2:$A$27,0)),"")</f>
      </c>
      <c r="U717" s="75" t="str">
        <f>IFERROR(INDEX('Cost_Components'!$Q$2:$Q$27,MATCH(E717,'Cost_Components'!$A$2:$A$27,0)),"")</f>
      </c>
      <c r="V717" s="76" t="str">
        <f>1/(1+'Calculation_Assumptions'!$B$5)^(B717-'Calculation_Assumptions'!$B$2)</f>
      </c>
      <c r="W717" s="77" t="str">
        <f>Q717*V717</f>
      </c>
      <c r="X717" s="78" t="str">
        <f>R717*V717</f>
      </c>
      <c r="Y717" s="79" t="str">
        <f>S717*V717</f>
      </c>
      <c r="Z717" s="80" t="str">
        <f>IFERROR(INDEX('Cost_Components'!$T$2:$T$27,MATCH(E717,'Cost_Components'!$A$2:$A$27,0)),"")</f>
      </c>
      <c r="AA717" s="81" t="str">
        <f>IFERROR(INDEX('Cost_Components'!$U$2:$U$27,MATCH(E717,'Cost_Components'!$A$2:$A$27,0)),"")</f>
      </c>
      <c r="AB717" s="82" t="str">
        <f>IFERROR(INDEX('Cost_Components'!$V$2:$V$27,MATCH(E717,'Cost_Components'!$A$2:$A$27,0)),"")</f>
      </c>
      <c r="AC717" s="83" t="str">
        <f>IFERROR(INDEX('Cost_Components'!$M$2:$M$27,MATCH(E717,'Cost_Components'!$A$2:$A$27,0)),"")</f>
      </c>
      <c r="AD717" s="84" t="str">
        <f>IFERROR(INDEX('Cost_Components'!$N$2:$N$27,MATCH(E717,'Cost_Components'!$A$2:$A$27,0)),"")</f>
      </c>
      <c r="AE717" s="20" t="str">
        <f>IFERROR(INDEX('Cost_Components'!$O$2:$O$27,MATCH(E717,'Cost_Components'!$A$2:$A$27,0)),"")</f>
      </c>
      <c r="AF717" s="85" t="n">
        <v>359056527.541325</v>
      </c>
      <c r="AG717" s="86" t="n">
        <v>358007680.685344</v>
      </c>
      <c r="AH717" s="87" t="str">
        <f>IF(H717="shared-count-once",COUNTIFS($A$2:$A$1353,A717,$B$2:$B$1353,B717,$E$2:$E$1353,E717),1)</f>
      </c>
    </row>
    <row r="718">
      <c r="A718" t="s">
        <v>75</v>
      </c>
      <c r="B718" s="59" t="n">
        <v>2039</v>
      </c>
      <c r="C718" t="s">
        <v>162</v>
      </c>
      <c r="D718"/>
      <c r="E718" s="60" t="s">
        <v>254</v>
      </c>
      <c r="F718" s="61" t="s">
        <v>255</v>
      </c>
      <c r="G718" s="62" t="s">
        <v>171</v>
      </c>
      <c r="H718" s="63" t="s">
        <v>172</v>
      </c>
      <c r="I718" s="64" t="s">
        <v>75</v>
      </c>
      <c r="J718" s="65" t="str">
        <f>IFERROR(INDEX('Cost_Components'!$K$2:$K$27,MATCH(E718,'Cost_Components'!$A$2:$A$27,0)),"")</f>
      </c>
      <c r="K718" s="66" t="str">
        <f>IF(OR(L718="",Z718="",AA718="",AB718=""),"",IF(B718&lt;AA718,L718,IF(B718&gt;AB718,Z718,L718+(Z718-L718)*MIN(MAX((B718-AA718+1)/MAX(AB718-AA718+1,1),0),1))))</f>
      </c>
      <c r="L718" s="67" t="str">
        <f>IFERROR(INDEX('Cost_Components'!$S$2:$S$27,MATCH(E718,'Cost_Components'!$A$2:$A$27,0)),"")</f>
      </c>
      <c r="M718" s="68" t="str">
        <f>IFERROR(INDEX('Cost_Components'!$L$2:$L$27,MATCH(E718,'Cost_Components'!$A$2:$A$27,0)),"")</f>
      </c>
      <c r="N718" s="69" t="str">
        <f>IFERROR(INDEX('Cost_Components'!$P$2:$P$27,MATCH(E718,'Cost_Components'!$A$2:$A$27,0)),"")</f>
      </c>
      <c r="O718" s="70" t="str">
        <f>AF718*J718</f>
      </c>
      <c r="P718" s="71" t="str">
        <f>AG718*J718</f>
      </c>
      <c r="Q718" s="72" t="str">
        <f>P718*L718*M718*N718</f>
      </c>
      <c r="R718" s="73" t="str">
        <f>O718*K718*M718*N718</f>
      </c>
      <c r="S718" s="74" t="str">
        <f>R718-Q718</f>
      </c>
      <c r="T718" s="20" t="str">
        <f>IFERROR(INDEX('Cost_Components'!$R$2:$R$27,MATCH(E718,'Cost_Components'!$A$2:$A$27,0)),"")</f>
      </c>
      <c r="U718" s="75" t="str">
        <f>IFERROR(INDEX('Cost_Components'!$Q$2:$Q$27,MATCH(E718,'Cost_Components'!$A$2:$A$27,0)),"")</f>
      </c>
      <c r="V718" s="76" t="str">
        <f>1/(1+'Calculation_Assumptions'!$B$5)^(B718-'Calculation_Assumptions'!$B$2)</f>
      </c>
      <c r="W718" s="77" t="str">
        <f>Q718*V718</f>
      </c>
      <c r="X718" s="78" t="str">
        <f>R718*V718</f>
      </c>
      <c r="Y718" s="79" t="str">
        <f>S718*V718</f>
      </c>
      <c r="Z718" s="80" t="str">
        <f>IFERROR(INDEX('Cost_Components'!$T$2:$T$27,MATCH(E718,'Cost_Components'!$A$2:$A$27,0)),"")</f>
      </c>
      <c r="AA718" s="81" t="str">
        <f>IFERROR(INDEX('Cost_Components'!$U$2:$U$27,MATCH(E718,'Cost_Components'!$A$2:$A$27,0)),"")</f>
      </c>
      <c r="AB718" s="82" t="str">
        <f>IFERROR(INDEX('Cost_Components'!$V$2:$V$27,MATCH(E718,'Cost_Components'!$A$2:$A$27,0)),"")</f>
      </c>
      <c r="AC718" s="83" t="str">
        <f>IFERROR(INDEX('Cost_Components'!$M$2:$M$27,MATCH(E718,'Cost_Components'!$A$2:$A$27,0)),"")</f>
      </c>
      <c r="AD718" s="84" t="str">
        <f>IFERROR(INDEX('Cost_Components'!$N$2:$N$27,MATCH(E718,'Cost_Components'!$A$2:$A$27,0)),"")</f>
      </c>
      <c r="AE718" s="20" t="str">
        <f>IFERROR(INDEX('Cost_Components'!$O$2:$O$27,MATCH(E718,'Cost_Components'!$A$2:$A$27,0)),"")</f>
      </c>
      <c r="AF718" s="85" t="n">
        <v>363285366.19534</v>
      </c>
      <c r="AG718" s="86" t="n">
        <v>362079729.17759</v>
      </c>
      <c r="AH718" s="87" t="str">
        <f>IF(H718="shared-count-once",COUNTIFS($A$2:$A$1353,A718,$B$2:$B$1353,B718,$E$2:$E$1353,E718),1)</f>
      </c>
    </row>
    <row r="719">
      <c r="A719" t="s">
        <v>75</v>
      </c>
      <c r="B719" s="59" t="n">
        <v>2040</v>
      </c>
      <c r="C719" t="s">
        <v>162</v>
      </c>
      <c r="D719"/>
      <c r="E719" s="60" t="s">
        <v>254</v>
      </c>
      <c r="F719" s="61" t="s">
        <v>255</v>
      </c>
      <c r="G719" s="62" t="s">
        <v>171</v>
      </c>
      <c r="H719" s="63" t="s">
        <v>172</v>
      </c>
      <c r="I719" s="64" t="s">
        <v>75</v>
      </c>
      <c r="J719" s="65" t="str">
        <f>IFERROR(INDEX('Cost_Components'!$K$2:$K$27,MATCH(E719,'Cost_Components'!$A$2:$A$27,0)),"")</f>
      </c>
      <c r="K719" s="66" t="str">
        <f>IF(OR(L719="",Z719="",AA719="",AB719=""),"",IF(B719&lt;AA719,L719,IF(B719&gt;AB719,Z719,L719+(Z719-L719)*MIN(MAX((B719-AA719+1)/MAX(AB719-AA719+1,1),0),1))))</f>
      </c>
      <c r="L719" s="67" t="str">
        <f>IFERROR(INDEX('Cost_Components'!$S$2:$S$27,MATCH(E719,'Cost_Components'!$A$2:$A$27,0)),"")</f>
      </c>
      <c r="M719" s="68" t="str">
        <f>IFERROR(INDEX('Cost_Components'!$L$2:$L$27,MATCH(E719,'Cost_Components'!$A$2:$A$27,0)),"")</f>
      </c>
      <c r="N719" s="69" t="str">
        <f>IFERROR(INDEX('Cost_Components'!$P$2:$P$27,MATCH(E719,'Cost_Components'!$A$2:$A$27,0)),"")</f>
      </c>
      <c r="O719" s="70" t="str">
        <f>AF719*J719</f>
      </c>
      <c r="P719" s="71" t="str">
        <f>AG719*J719</f>
      </c>
      <c r="Q719" s="72" t="str">
        <f>P719*L719*M719*N719</f>
      </c>
      <c r="R719" s="73" t="str">
        <f>O719*K719*M719*N719</f>
      </c>
      <c r="S719" s="74" t="str">
        <f>R719-Q719</f>
      </c>
      <c r="T719" s="20" t="str">
        <f>IFERROR(INDEX('Cost_Components'!$R$2:$R$27,MATCH(E719,'Cost_Components'!$A$2:$A$27,0)),"")</f>
      </c>
      <c r="U719" s="75" t="str">
        <f>IFERROR(INDEX('Cost_Components'!$Q$2:$Q$27,MATCH(E719,'Cost_Components'!$A$2:$A$27,0)),"")</f>
      </c>
      <c r="V719" s="76" t="str">
        <f>1/(1+'Calculation_Assumptions'!$B$5)^(B719-'Calculation_Assumptions'!$B$2)</f>
      </c>
      <c r="W719" s="77" t="str">
        <f>Q719*V719</f>
      </c>
      <c r="X719" s="78" t="str">
        <f>R719*V719</f>
      </c>
      <c r="Y719" s="79" t="str">
        <f>S719*V719</f>
      </c>
      <c r="Z719" s="80" t="str">
        <f>IFERROR(INDEX('Cost_Components'!$T$2:$T$27,MATCH(E719,'Cost_Components'!$A$2:$A$27,0)),"")</f>
      </c>
      <c r="AA719" s="81" t="str">
        <f>IFERROR(INDEX('Cost_Components'!$U$2:$U$27,MATCH(E719,'Cost_Components'!$A$2:$A$27,0)),"")</f>
      </c>
      <c r="AB719" s="82" t="str">
        <f>IFERROR(INDEX('Cost_Components'!$V$2:$V$27,MATCH(E719,'Cost_Components'!$A$2:$A$27,0)),"")</f>
      </c>
      <c r="AC719" s="83" t="str">
        <f>IFERROR(INDEX('Cost_Components'!$M$2:$M$27,MATCH(E719,'Cost_Components'!$A$2:$A$27,0)),"")</f>
      </c>
      <c r="AD719" s="84" t="str">
        <f>IFERROR(INDEX('Cost_Components'!$N$2:$N$27,MATCH(E719,'Cost_Components'!$A$2:$A$27,0)),"")</f>
      </c>
      <c r="AE719" s="20" t="str">
        <f>IFERROR(INDEX('Cost_Components'!$O$2:$O$27,MATCH(E719,'Cost_Components'!$A$2:$A$27,0)),"")</f>
      </c>
      <c r="AF719" s="85" t="n">
        <v>367526796.077184</v>
      </c>
      <c r="AG719" s="86" t="n">
        <v>366148497.336983</v>
      </c>
      <c r="AH719" s="87" t="str">
        <f>IF(H719="shared-count-once",COUNTIFS($A$2:$A$1353,A719,$B$2:$B$1353,B719,$E$2:$E$1353,E719),1)</f>
      </c>
    </row>
    <row r="720">
      <c r="A720" t="s">
        <v>75</v>
      </c>
      <c r="B720" s="59" t="n">
        <v>2041</v>
      </c>
      <c r="C720" t="s">
        <v>162</v>
      </c>
      <c r="D720"/>
      <c r="E720" s="60" t="s">
        <v>254</v>
      </c>
      <c r="F720" s="61" t="s">
        <v>255</v>
      </c>
      <c r="G720" s="62" t="s">
        <v>171</v>
      </c>
      <c r="H720" s="63" t="s">
        <v>172</v>
      </c>
      <c r="I720" s="64" t="s">
        <v>75</v>
      </c>
      <c r="J720" s="65" t="str">
        <f>IFERROR(INDEX('Cost_Components'!$K$2:$K$27,MATCH(E720,'Cost_Components'!$A$2:$A$27,0)),"")</f>
      </c>
      <c r="K720" s="66" t="str">
        <f>IF(OR(L720="",Z720="",AA720="",AB720=""),"",IF(B720&lt;AA720,L720,IF(B720&gt;AB720,Z720,L720+(Z720-L720)*MIN(MAX((B720-AA720+1)/MAX(AB720-AA720+1,1),0),1))))</f>
      </c>
      <c r="L720" s="67" t="str">
        <f>IFERROR(INDEX('Cost_Components'!$S$2:$S$27,MATCH(E720,'Cost_Components'!$A$2:$A$27,0)),"")</f>
      </c>
      <c r="M720" s="68" t="str">
        <f>IFERROR(INDEX('Cost_Components'!$L$2:$L$27,MATCH(E720,'Cost_Components'!$A$2:$A$27,0)),"")</f>
      </c>
      <c r="N720" s="69" t="str">
        <f>IFERROR(INDEX('Cost_Components'!$P$2:$P$27,MATCH(E720,'Cost_Components'!$A$2:$A$27,0)),"")</f>
      </c>
      <c r="O720" s="70" t="str">
        <f>AF720*J720</f>
      </c>
      <c r="P720" s="71" t="str">
        <f>AG720*J720</f>
      </c>
      <c r="Q720" s="72" t="str">
        <f>P720*L720*M720*N720</f>
      </c>
      <c r="R720" s="73" t="str">
        <f>O720*K720*M720*N720</f>
      </c>
      <c r="S720" s="74" t="str">
        <f>R720-Q720</f>
      </c>
      <c r="T720" s="20" t="str">
        <f>IFERROR(INDEX('Cost_Components'!$R$2:$R$27,MATCH(E720,'Cost_Components'!$A$2:$A$27,0)),"")</f>
      </c>
      <c r="U720" s="75" t="str">
        <f>IFERROR(INDEX('Cost_Components'!$Q$2:$Q$27,MATCH(E720,'Cost_Components'!$A$2:$A$27,0)),"")</f>
      </c>
      <c r="V720" s="76" t="str">
        <f>1/(1+'Calculation_Assumptions'!$B$5)^(B720-'Calculation_Assumptions'!$B$2)</f>
      </c>
      <c r="W720" s="77" t="str">
        <f>Q720*V720</f>
      </c>
      <c r="X720" s="78" t="str">
        <f>R720*V720</f>
      </c>
      <c r="Y720" s="79" t="str">
        <f>S720*V720</f>
      </c>
      <c r="Z720" s="80" t="str">
        <f>IFERROR(INDEX('Cost_Components'!$T$2:$T$27,MATCH(E720,'Cost_Components'!$A$2:$A$27,0)),"")</f>
      </c>
      <c r="AA720" s="81" t="str">
        <f>IFERROR(INDEX('Cost_Components'!$U$2:$U$27,MATCH(E720,'Cost_Components'!$A$2:$A$27,0)),"")</f>
      </c>
      <c r="AB720" s="82" t="str">
        <f>IFERROR(INDEX('Cost_Components'!$V$2:$V$27,MATCH(E720,'Cost_Components'!$A$2:$A$27,0)),"")</f>
      </c>
      <c r="AC720" s="83" t="str">
        <f>IFERROR(INDEX('Cost_Components'!$M$2:$M$27,MATCH(E720,'Cost_Components'!$A$2:$A$27,0)),"")</f>
      </c>
      <c r="AD720" s="84" t="str">
        <f>IFERROR(INDEX('Cost_Components'!$N$2:$N$27,MATCH(E720,'Cost_Components'!$A$2:$A$27,0)),"")</f>
      </c>
      <c r="AE720" s="20" t="str">
        <f>IFERROR(INDEX('Cost_Components'!$O$2:$O$27,MATCH(E720,'Cost_Components'!$A$2:$A$27,0)),"")</f>
      </c>
      <c r="AF720" s="85" t="n">
        <v>371873872.933798</v>
      </c>
      <c r="AG720" s="86" t="n">
        <v>370307519.955221</v>
      </c>
      <c r="AH720" s="87" t="str">
        <f>IF(H720="shared-count-once",COUNTIFS($A$2:$A$1353,A720,$B$2:$B$1353,B720,$E$2:$E$1353,E720),1)</f>
      </c>
    </row>
    <row r="721">
      <c r="A721" t="s">
        <v>75</v>
      </c>
      <c r="B721" s="59" t="n">
        <v>2042</v>
      </c>
      <c r="C721" t="s">
        <v>162</v>
      </c>
      <c r="D721"/>
      <c r="E721" s="60" t="s">
        <v>254</v>
      </c>
      <c r="F721" s="61" t="s">
        <v>255</v>
      </c>
      <c r="G721" s="62" t="s">
        <v>171</v>
      </c>
      <c r="H721" s="63" t="s">
        <v>172</v>
      </c>
      <c r="I721" s="64" t="s">
        <v>75</v>
      </c>
      <c r="J721" s="65" t="str">
        <f>IFERROR(INDEX('Cost_Components'!$K$2:$K$27,MATCH(E721,'Cost_Components'!$A$2:$A$27,0)),"")</f>
      </c>
      <c r="K721" s="66" t="str">
        <f>IF(OR(L721="",Z721="",AA721="",AB721=""),"",IF(B721&lt;AA721,L721,IF(B721&gt;AB721,Z721,L721+(Z721-L721)*MIN(MAX((B721-AA721+1)/MAX(AB721-AA721+1,1),0),1))))</f>
      </c>
      <c r="L721" s="67" t="str">
        <f>IFERROR(INDEX('Cost_Components'!$S$2:$S$27,MATCH(E721,'Cost_Components'!$A$2:$A$27,0)),"")</f>
      </c>
      <c r="M721" s="68" t="str">
        <f>IFERROR(INDEX('Cost_Components'!$L$2:$L$27,MATCH(E721,'Cost_Components'!$A$2:$A$27,0)),"")</f>
      </c>
      <c r="N721" s="69" t="str">
        <f>IFERROR(INDEX('Cost_Components'!$P$2:$P$27,MATCH(E721,'Cost_Components'!$A$2:$A$27,0)),"")</f>
      </c>
      <c r="O721" s="70" t="str">
        <f>AF721*J721</f>
      </c>
      <c r="P721" s="71" t="str">
        <f>AG721*J721</f>
      </c>
      <c r="Q721" s="72" t="str">
        <f>P721*L721*M721*N721</f>
      </c>
      <c r="R721" s="73" t="str">
        <f>O721*K721*M721*N721</f>
      </c>
      <c r="S721" s="74" t="str">
        <f>R721-Q721</f>
      </c>
      <c r="T721" s="20" t="str">
        <f>IFERROR(INDEX('Cost_Components'!$R$2:$R$27,MATCH(E721,'Cost_Components'!$A$2:$A$27,0)),"")</f>
      </c>
      <c r="U721" s="75" t="str">
        <f>IFERROR(INDEX('Cost_Components'!$Q$2:$Q$27,MATCH(E721,'Cost_Components'!$A$2:$A$27,0)),"")</f>
      </c>
      <c r="V721" s="76" t="str">
        <f>1/(1+'Calculation_Assumptions'!$B$5)^(B721-'Calculation_Assumptions'!$B$2)</f>
      </c>
      <c r="W721" s="77" t="str">
        <f>Q721*V721</f>
      </c>
      <c r="X721" s="78" t="str">
        <f>R721*V721</f>
      </c>
      <c r="Y721" s="79" t="str">
        <f>S721*V721</f>
      </c>
      <c r="Z721" s="80" t="str">
        <f>IFERROR(INDEX('Cost_Components'!$T$2:$T$27,MATCH(E721,'Cost_Components'!$A$2:$A$27,0)),"")</f>
      </c>
      <c r="AA721" s="81" t="str">
        <f>IFERROR(INDEX('Cost_Components'!$U$2:$U$27,MATCH(E721,'Cost_Components'!$A$2:$A$27,0)),"")</f>
      </c>
      <c r="AB721" s="82" t="str">
        <f>IFERROR(INDEX('Cost_Components'!$V$2:$V$27,MATCH(E721,'Cost_Components'!$A$2:$A$27,0)),"")</f>
      </c>
      <c r="AC721" s="83" t="str">
        <f>IFERROR(INDEX('Cost_Components'!$M$2:$M$27,MATCH(E721,'Cost_Components'!$A$2:$A$27,0)),"")</f>
      </c>
      <c r="AD721" s="84" t="str">
        <f>IFERROR(INDEX('Cost_Components'!$N$2:$N$27,MATCH(E721,'Cost_Components'!$A$2:$A$27,0)),"")</f>
      </c>
      <c r="AE721" s="20" t="str">
        <f>IFERROR(INDEX('Cost_Components'!$O$2:$O$27,MATCH(E721,'Cost_Components'!$A$2:$A$27,0)),"")</f>
      </c>
      <c r="AF721" s="85" t="n">
        <v>376281134.878198</v>
      </c>
      <c r="AG721" s="86" t="n">
        <v>374511498.051548</v>
      </c>
      <c r="AH721" s="87" t="str">
        <f>IF(H721="shared-count-once",COUNTIFS($A$2:$A$1353,A721,$B$2:$B$1353,B721,$E$2:$E$1353,E721),1)</f>
      </c>
    </row>
    <row r="722">
      <c r="A722" t="s">
        <v>75</v>
      </c>
      <c r="B722" s="59" t="n">
        <v>2043</v>
      </c>
      <c r="C722" t="s">
        <v>162</v>
      </c>
      <c r="D722"/>
      <c r="E722" s="60" t="s">
        <v>254</v>
      </c>
      <c r="F722" s="61" t="s">
        <v>255</v>
      </c>
      <c r="G722" s="62" t="s">
        <v>171</v>
      </c>
      <c r="H722" s="63" t="s">
        <v>172</v>
      </c>
      <c r="I722" s="64" t="s">
        <v>75</v>
      </c>
      <c r="J722" s="65" t="str">
        <f>IFERROR(INDEX('Cost_Components'!$K$2:$K$27,MATCH(E722,'Cost_Components'!$A$2:$A$27,0)),"")</f>
      </c>
      <c r="K722" s="66" t="str">
        <f>IF(OR(L722="",Z722="",AA722="",AB722=""),"",IF(B722&lt;AA722,L722,IF(B722&gt;AB722,Z722,L722+(Z722-L722)*MIN(MAX((B722-AA722+1)/MAX(AB722-AA722+1,1),0),1))))</f>
      </c>
      <c r="L722" s="67" t="str">
        <f>IFERROR(INDEX('Cost_Components'!$S$2:$S$27,MATCH(E722,'Cost_Components'!$A$2:$A$27,0)),"")</f>
      </c>
      <c r="M722" s="68" t="str">
        <f>IFERROR(INDEX('Cost_Components'!$L$2:$L$27,MATCH(E722,'Cost_Components'!$A$2:$A$27,0)),"")</f>
      </c>
      <c r="N722" s="69" t="str">
        <f>IFERROR(INDEX('Cost_Components'!$P$2:$P$27,MATCH(E722,'Cost_Components'!$A$2:$A$27,0)),"")</f>
      </c>
      <c r="O722" s="70" t="str">
        <f>AF722*J722</f>
      </c>
      <c r="P722" s="71" t="str">
        <f>AG722*J722</f>
      </c>
      <c r="Q722" s="72" t="str">
        <f>P722*L722*M722*N722</f>
      </c>
      <c r="R722" s="73" t="str">
        <f>O722*K722*M722*N722</f>
      </c>
      <c r="S722" s="74" t="str">
        <f>R722-Q722</f>
      </c>
      <c r="T722" s="20" t="str">
        <f>IFERROR(INDEX('Cost_Components'!$R$2:$R$27,MATCH(E722,'Cost_Components'!$A$2:$A$27,0)),"")</f>
      </c>
      <c r="U722" s="75" t="str">
        <f>IFERROR(INDEX('Cost_Components'!$Q$2:$Q$27,MATCH(E722,'Cost_Components'!$A$2:$A$27,0)),"")</f>
      </c>
      <c r="V722" s="76" t="str">
        <f>1/(1+'Calculation_Assumptions'!$B$5)^(B722-'Calculation_Assumptions'!$B$2)</f>
      </c>
      <c r="W722" s="77" t="str">
        <f>Q722*V722</f>
      </c>
      <c r="X722" s="78" t="str">
        <f>R722*V722</f>
      </c>
      <c r="Y722" s="79" t="str">
        <f>S722*V722</f>
      </c>
      <c r="Z722" s="80" t="str">
        <f>IFERROR(INDEX('Cost_Components'!$T$2:$T$27,MATCH(E722,'Cost_Components'!$A$2:$A$27,0)),"")</f>
      </c>
      <c r="AA722" s="81" t="str">
        <f>IFERROR(INDEX('Cost_Components'!$U$2:$U$27,MATCH(E722,'Cost_Components'!$A$2:$A$27,0)),"")</f>
      </c>
      <c r="AB722" s="82" t="str">
        <f>IFERROR(INDEX('Cost_Components'!$V$2:$V$27,MATCH(E722,'Cost_Components'!$A$2:$A$27,0)),"")</f>
      </c>
      <c r="AC722" s="83" t="str">
        <f>IFERROR(INDEX('Cost_Components'!$M$2:$M$27,MATCH(E722,'Cost_Components'!$A$2:$A$27,0)),"")</f>
      </c>
      <c r="AD722" s="84" t="str">
        <f>IFERROR(INDEX('Cost_Components'!$N$2:$N$27,MATCH(E722,'Cost_Components'!$A$2:$A$27,0)),"")</f>
      </c>
      <c r="AE722" s="20" t="str">
        <f>IFERROR(INDEX('Cost_Components'!$O$2:$O$27,MATCH(E722,'Cost_Components'!$A$2:$A$27,0)),"")</f>
      </c>
      <c r="AF722" s="85" t="n">
        <v>380452418.880279</v>
      </c>
      <c r="AG722" s="86" t="n">
        <v>378524407.122942</v>
      </c>
      <c r="AH722" s="87" t="str">
        <f>IF(H722="shared-count-once",COUNTIFS($A$2:$A$1353,A722,$B$2:$B$1353,B722,$E$2:$E$1353,E722),1)</f>
      </c>
    </row>
    <row r="723">
      <c r="A723" t="s">
        <v>75</v>
      </c>
      <c r="B723" s="59" t="n">
        <v>2044</v>
      </c>
      <c r="C723" t="s">
        <v>162</v>
      </c>
      <c r="D723"/>
      <c r="E723" s="60" t="s">
        <v>254</v>
      </c>
      <c r="F723" s="61" t="s">
        <v>255</v>
      </c>
      <c r="G723" s="62" t="s">
        <v>171</v>
      </c>
      <c r="H723" s="63" t="s">
        <v>172</v>
      </c>
      <c r="I723" s="64" t="s">
        <v>75</v>
      </c>
      <c r="J723" s="65" t="str">
        <f>IFERROR(INDEX('Cost_Components'!$K$2:$K$27,MATCH(E723,'Cost_Components'!$A$2:$A$27,0)),"")</f>
      </c>
      <c r="K723" s="66" t="str">
        <f>IF(OR(L723="",Z723="",AA723="",AB723=""),"",IF(B723&lt;AA723,L723,IF(B723&gt;AB723,Z723,L723+(Z723-L723)*MIN(MAX((B723-AA723+1)/MAX(AB723-AA723+1,1),0),1))))</f>
      </c>
      <c r="L723" s="67" t="str">
        <f>IFERROR(INDEX('Cost_Components'!$S$2:$S$27,MATCH(E723,'Cost_Components'!$A$2:$A$27,0)),"")</f>
      </c>
      <c r="M723" s="68" t="str">
        <f>IFERROR(INDEX('Cost_Components'!$L$2:$L$27,MATCH(E723,'Cost_Components'!$A$2:$A$27,0)),"")</f>
      </c>
      <c r="N723" s="69" t="str">
        <f>IFERROR(INDEX('Cost_Components'!$P$2:$P$27,MATCH(E723,'Cost_Components'!$A$2:$A$27,0)),"")</f>
      </c>
      <c r="O723" s="70" t="str">
        <f>AF723*J723</f>
      </c>
      <c r="P723" s="71" t="str">
        <f>AG723*J723</f>
      </c>
      <c r="Q723" s="72" t="str">
        <f>P723*L723*M723*N723</f>
      </c>
      <c r="R723" s="73" t="str">
        <f>O723*K723*M723*N723</f>
      </c>
      <c r="S723" s="74" t="str">
        <f>R723-Q723</f>
      </c>
      <c r="T723" s="20" t="str">
        <f>IFERROR(INDEX('Cost_Components'!$R$2:$R$27,MATCH(E723,'Cost_Components'!$A$2:$A$27,0)),"")</f>
      </c>
      <c r="U723" s="75" t="str">
        <f>IFERROR(INDEX('Cost_Components'!$Q$2:$Q$27,MATCH(E723,'Cost_Components'!$A$2:$A$27,0)),"")</f>
      </c>
      <c r="V723" s="76" t="str">
        <f>1/(1+'Calculation_Assumptions'!$B$5)^(B723-'Calculation_Assumptions'!$B$2)</f>
      </c>
      <c r="W723" s="77" t="str">
        <f>Q723*V723</f>
      </c>
      <c r="X723" s="78" t="str">
        <f>R723*V723</f>
      </c>
      <c r="Y723" s="79" t="str">
        <f>S723*V723</f>
      </c>
      <c r="Z723" s="80" t="str">
        <f>IFERROR(INDEX('Cost_Components'!$T$2:$T$27,MATCH(E723,'Cost_Components'!$A$2:$A$27,0)),"")</f>
      </c>
      <c r="AA723" s="81" t="str">
        <f>IFERROR(INDEX('Cost_Components'!$U$2:$U$27,MATCH(E723,'Cost_Components'!$A$2:$A$27,0)),"")</f>
      </c>
      <c r="AB723" s="82" t="str">
        <f>IFERROR(INDEX('Cost_Components'!$V$2:$V$27,MATCH(E723,'Cost_Components'!$A$2:$A$27,0)),"")</f>
      </c>
      <c r="AC723" s="83" t="str">
        <f>IFERROR(INDEX('Cost_Components'!$M$2:$M$27,MATCH(E723,'Cost_Components'!$A$2:$A$27,0)),"")</f>
      </c>
      <c r="AD723" s="84" t="str">
        <f>IFERROR(INDEX('Cost_Components'!$N$2:$N$27,MATCH(E723,'Cost_Components'!$A$2:$A$27,0)),"")</f>
      </c>
      <c r="AE723" s="20" t="str">
        <f>IFERROR(INDEX('Cost_Components'!$O$2:$O$27,MATCH(E723,'Cost_Components'!$A$2:$A$27,0)),"")</f>
      </c>
      <c r="AF723" s="85" t="n">
        <v>384398777.580148</v>
      </c>
      <c r="AG723" s="86" t="n">
        <v>382230245.423005</v>
      </c>
      <c r="AH723" s="87" t="str">
        <f>IF(H723="shared-count-once",COUNTIFS($A$2:$A$1353,A723,$B$2:$B$1353,B723,$E$2:$E$1353,E723),1)</f>
      </c>
    </row>
    <row r="724">
      <c r="A724" t="s">
        <v>75</v>
      </c>
      <c r="B724" s="59" t="n">
        <v>2045</v>
      </c>
      <c r="C724" t="s">
        <v>162</v>
      </c>
      <c r="D724"/>
      <c r="E724" s="60" t="s">
        <v>254</v>
      </c>
      <c r="F724" s="61" t="s">
        <v>255</v>
      </c>
      <c r="G724" s="62" t="s">
        <v>171</v>
      </c>
      <c r="H724" s="63" t="s">
        <v>172</v>
      </c>
      <c r="I724" s="64" t="s">
        <v>75</v>
      </c>
      <c r="J724" s="65" t="str">
        <f>IFERROR(INDEX('Cost_Components'!$K$2:$K$27,MATCH(E724,'Cost_Components'!$A$2:$A$27,0)),"")</f>
      </c>
      <c r="K724" s="66" t="str">
        <f>IF(OR(L724="",Z724="",AA724="",AB724=""),"",IF(B724&lt;AA724,L724,IF(B724&gt;AB724,Z724,L724+(Z724-L724)*MIN(MAX((B724-AA724+1)/MAX(AB724-AA724+1,1),0),1))))</f>
      </c>
      <c r="L724" s="67" t="str">
        <f>IFERROR(INDEX('Cost_Components'!$S$2:$S$27,MATCH(E724,'Cost_Components'!$A$2:$A$27,0)),"")</f>
      </c>
      <c r="M724" s="68" t="str">
        <f>IFERROR(INDEX('Cost_Components'!$L$2:$L$27,MATCH(E724,'Cost_Components'!$A$2:$A$27,0)),"")</f>
      </c>
      <c r="N724" s="69" t="str">
        <f>IFERROR(INDEX('Cost_Components'!$P$2:$P$27,MATCH(E724,'Cost_Components'!$A$2:$A$27,0)),"")</f>
      </c>
      <c r="O724" s="70" t="str">
        <f>AF724*J724</f>
      </c>
      <c r="P724" s="71" t="str">
        <f>AG724*J724</f>
      </c>
      <c r="Q724" s="72" t="str">
        <f>P724*L724*M724*N724</f>
      </c>
      <c r="R724" s="73" t="str">
        <f>O724*K724*M724*N724</f>
      </c>
      <c r="S724" s="74" t="str">
        <f>R724-Q724</f>
      </c>
      <c r="T724" s="20" t="str">
        <f>IFERROR(INDEX('Cost_Components'!$R$2:$R$27,MATCH(E724,'Cost_Components'!$A$2:$A$27,0)),"")</f>
      </c>
      <c r="U724" s="75" t="str">
        <f>IFERROR(INDEX('Cost_Components'!$Q$2:$Q$27,MATCH(E724,'Cost_Components'!$A$2:$A$27,0)),"")</f>
      </c>
      <c r="V724" s="76" t="str">
        <f>1/(1+'Calculation_Assumptions'!$B$5)^(B724-'Calculation_Assumptions'!$B$2)</f>
      </c>
      <c r="W724" s="77" t="str">
        <f>Q724*V724</f>
      </c>
      <c r="X724" s="78" t="str">
        <f>R724*V724</f>
      </c>
      <c r="Y724" s="79" t="str">
        <f>S724*V724</f>
      </c>
      <c r="Z724" s="80" t="str">
        <f>IFERROR(INDEX('Cost_Components'!$T$2:$T$27,MATCH(E724,'Cost_Components'!$A$2:$A$27,0)),"")</f>
      </c>
      <c r="AA724" s="81" t="str">
        <f>IFERROR(INDEX('Cost_Components'!$U$2:$U$27,MATCH(E724,'Cost_Components'!$A$2:$A$27,0)),"")</f>
      </c>
      <c r="AB724" s="82" t="str">
        <f>IFERROR(INDEX('Cost_Components'!$V$2:$V$27,MATCH(E724,'Cost_Components'!$A$2:$A$27,0)),"")</f>
      </c>
      <c r="AC724" s="83" t="str">
        <f>IFERROR(INDEX('Cost_Components'!$M$2:$M$27,MATCH(E724,'Cost_Components'!$A$2:$A$27,0)),"")</f>
      </c>
      <c r="AD724" s="84" t="str">
        <f>IFERROR(INDEX('Cost_Components'!$N$2:$N$27,MATCH(E724,'Cost_Components'!$A$2:$A$27,0)),"")</f>
      </c>
      <c r="AE724" s="20" t="str">
        <f>IFERROR(INDEX('Cost_Components'!$O$2:$O$27,MATCH(E724,'Cost_Components'!$A$2:$A$27,0)),"")</f>
      </c>
      <c r="AF724" s="85" t="n">
        <v>388099018.886488</v>
      </c>
      <c r="AG724" s="86" t="n">
        <v>385676256.67371</v>
      </c>
      <c r="AH724" s="87" t="str">
        <f>IF(H724="shared-count-once",COUNTIFS($A$2:$A$1353,A724,$B$2:$B$1353,B724,$E$2:$E$1353,E724),1)</f>
      </c>
    </row>
    <row r="725">
      <c r="A725" t="s">
        <v>75</v>
      </c>
      <c r="B725" s="59" t="n">
        <v>2046</v>
      </c>
      <c r="C725" t="s">
        <v>162</v>
      </c>
      <c r="D725"/>
      <c r="E725" s="60" t="s">
        <v>254</v>
      </c>
      <c r="F725" s="61" t="s">
        <v>255</v>
      </c>
      <c r="G725" s="62" t="s">
        <v>171</v>
      </c>
      <c r="H725" s="63" t="s">
        <v>172</v>
      </c>
      <c r="I725" s="64" t="s">
        <v>75</v>
      </c>
      <c r="J725" s="65" t="str">
        <f>IFERROR(INDEX('Cost_Components'!$K$2:$K$27,MATCH(E725,'Cost_Components'!$A$2:$A$27,0)),"")</f>
      </c>
      <c r="K725" s="66" t="str">
        <f>IF(OR(L725="",Z725="",AA725="",AB725=""),"",IF(B725&lt;AA725,L725,IF(B725&gt;AB725,Z725,L725+(Z725-L725)*MIN(MAX((B725-AA725+1)/MAX(AB725-AA725+1,1),0),1))))</f>
      </c>
      <c r="L725" s="67" t="str">
        <f>IFERROR(INDEX('Cost_Components'!$S$2:$S$27,MATCH(E725,'Cost_Components'!$A$2:$A$27,0)),"")</f>
      </c>
      <c r="M725" s="68" t="str">
        <f>IFERROR(INDEX('Cost_Components'!$L$2:$L$27,MATCH(E725,'Cost_Components'!$A$2:$A$27,0)),"")</f>
      </c>
      <c r="N725" s="69" t="str">
        <f>IFERROR(INDEX('Cost_Components'!$P$2:$P$27,MATCH(E725,'Cost_Components'!$A$2:$A$27,0)),"")</f>
      </c>
      <c r="O725" s="70" t="str">
        <f>AF725*J725</f>
      </c>
      <c r="P725" s="71" t="str">
        <f>AG725*J725</f>
      </c>
      <c r="Q725" s="72" t="str">
        <f>P725*L725*M725*N725</f>
      </c>
      <c r="R725" s="73" t="str">
        <f>O725*K725*M725*N725</f>
      </c>
      <c r="S725" s="74" t="str">
        <f>R725-Q725</f>
      </c>
      <c r="T725" s="20" t="str">
        <f>IFERROR(INDEX('Cost_Components'!$R$2:$R$27,MATCH(E725,'Cost_Components'!$A$2:$A$27,0)),"")</f>
      </c>
      <c r="U725" s="75" t="str">
        <f>IFERROR(INDEX('Cost_Components'!$Q$2:$Q$27,MATCH(E725,'Cost_Components'!$A$2:$A$27,0)),"")</f>
      </c>
      <c r="V725" s="76" t="str">
        <f>1/(1+'Calculation_Assumptions'!$B$5)^(B725-'Calculation_Assumptions'!$B$2)</f>
      </c>
      <c r="W725" s="77" t="str">
        <f>Q725*V725</f>
      </c>
      <c r="X725" s="78" t="str">
        <f>R725*V725</f>
      </c>
      <c r="Y725" s="79" t="str">
        <f>S725*V725</f>
      </c>
      <c r="Z725" s="80" t="str">
        <f>IFERROR(INDEX('Cost_Components'!$T$2:$T$27,MATCH(E725,'Cost_Components'!$A$2:$A$27,0)),"")</f>
      </c>
      <c r="AA725" s="81" t="str">
        <f>IFERROR(INDEX('Cost_Components'!$U$2:$U$27,MATCH(E725,'Cost_Components'!$A$2:$A$27,0)),"")</f>
      </c>
      <c r="AB725" s="82" t="str">
        <f>IFERROR(INDEX('Cost_Components'!$V$2:$V$27,MATCH(E725,'Cost_Components'!$A$2:$A$27,0)),"")</f>
      </c>
      <c r="AC725" s="83" t="str">
        <f>IFERROR(INDEX('Cost_Components'!$M$2:$M$27,MATCH(E725,'Cost_Components'!$A$2:$A$27,0)),"")</f>
      </c>
      <c r="AD725" s="84" t="str">
        <f>IFERROR(INDEX('Cost_Components'!$N$2:$N$27,MATCH(E725,'Cost_Components'!$A$2:$A$27,0)),"")</f>
      </c>
      <c r="AE725" s="20" t="str">
        <f>IFERROR(INDEX('Cost_Components'!$O$2:$O$27,MATCH(E725,'Cost_Components'!$A$2:$A$27,0)),"")</f>
      </c>
      <c r="AF725" s="85" t="n">
        <v>391572254.061739</v>
      </c>
      <c r="AG725" s="86" t="n">
        <v>388881995.226141</v>
      </c>
      <c r="AH725" s="87" t="str">
        <f>IF(H725="shared-count-once",COUNTIFS($A$2:$A$1353,A725,$B$2:$B$1353,B725,$E$2:$E$1353,E725),1)</f>
      </c>
    </row>
    <row r="726">
      <c r="A726" t="s">
        <v>75</v>
      </c>
      <c r="B726" s="59" t="n">
        <v>2047</v>
      </c>
      <c r="C726" t="s">
        <v>162</v>
      </c>
      <c r="D726"/>
      <c r="E726" s="60" t="s">
        <v>254</v>
      </c>
      <c r="F726" s="61" t="s">
        <v>255</v>
      </c>
      <c r="G726" s="62" t="s">
        <v>171</v>
      </c>
      <c r="H726" s="63" t="s">
        <v>172</v>
      </c>
      <c r="I726" s="64" t="s">
        <v>75</v>
      </c>
      <c r="J726" s="65" t="str">
        <f>IFERROR(INDEX('Cost_Components'!$K$2:$K$27,MATCH(E726,'Cost_Components'!$A$2:$A$27,0)),"")</f>
      </c>
      <c r="K726" s="66" t="str">
        <f>IF(OR(L726="",Z726="",AA726="",AB726=""),"",IF(B726&lt;AA726,L726,IF(B726&gt;AB726,Z726,L726+(Z726-L726)*MIN(MAX((B726-AA726+1)/MAX(AB726-AA726+1,1),0),1))))</f>
      </c>
      <c r="L726" s="67" t="str">
        <f>IFERROR(INDEX('Cost_Components'!$S$2:$S$27,MATCH(E726,'Cost_Components'!$A$2:$A$27,0)),"")</f>
      </c>
      <c r="M726" s="68" t="str">
        <f>IFERROR(INDEX('Cost_Components'!$L$2:$L$27,MATCH(E726,'Cost_Components'!$A$2:$A$27,0)),"")</f>
      </c>
      <c r="N726" s="69" t="str">
        <f>IFERROR(INDEX('Cost_Components'!$P$2:$P$27,MATCH(E726,'Cost_Components'!$A$2:$A$27,0)),"")</f>
      </c>
      <c r="O726" s="70" t="str">
        <f>AF726*J726</f>
      </c>
      <c r="P726" s="71" t="str">
        <f>AG726*J726</f>
      </c>
      <c r="Q726" s="72" t="str">
        <f>P726*L726*M726*N726</f>
      </c>
      <c r="R726" s="73" t="str">
        <f>O726*K726*M726*N726</f>
      </c>
      <c r="S726" s="74" t="str">
        <f>R726-Q726</f>
      </c>
      <c r="T726" s="20" t="str">
        <f>IFERROR(INDEX('Cost_Components'!$R$2:$R$27,MATCH(E726,'Cost_Components'!$A$2:$A$27,0)),"")</f>
      </c>
      <c r="U726" s="75" t="str">
        <f>IFERROR(INDEX('Cost_Components'!$Q$2:$Q$27,MATCH(E726,'Cost_Components'!$A$2:$A$27,0)),"")</f>
      </c>
      <c r="V726" s="76" t="str">
        <f>1/(1+'Calculation_Assumptions'!$B$5)^(B726-'Calculation_Assumptions'!$B$2)</f>
      </c>
      <c r="W726" s="77" t="str">
        <f>Q726*V726</f>
      </c>
      <c r="X726" s="78" t="str">
        <f>R726*V726</f>
      </c>
      <c r="Y726" s="79" t="str">
        <f>S726*V726</f>
      </c>
      <c r="Z726" s="80" t="str">
        <f>IFERROR(INDEX('Cost_Components'!$T$2:$T$27,MATCH(E726,'Cost_Components'!$A$2:$A$27,0)),"")</f>
      </c>
      <c r="AA726" s="81" t="str">
        <f>IFERROR(INDEX('Cost_Components'!$U$2:$U$27,MATCH(E726,'Cost_Components'!$A$2:$A$27,0)),"")</f>
      </c>
      <c r="AB726" s="82" t="str">
        <f>IFERROR(INDEX('Cost_Components'!$V$2:$V$27,MATCH(E726,'Cost_Components'!$A$2:$A$27,0)),"")</f>
      </c>
      <c r="AC726" s="83" t="str">
        <f>IFERROR(INDEX('Cost_Components'!$M$2:$M$27,MATCH(E726,'Cost_Components'!$A$2:$A$27,0)),"")</f>
      </c>
      <c r="AD726" s="84" t="str">
        <f>IFERROR(INDEX('Cost_Components'!$N$2:$N$27,MATCH(E726,'Cost_Components'!$A$2:$A$27,0)),"")</f>
      </c>
      <c r="AE726" s="20" t="str">
        <f>IFERROR(INDEX('Cost_Components'!$O$2:$O$27,MATCH(E726,'Cost_Components'!$A$2:$A$27,0)),"")</f>
      </c>
      <c r="AF726" s="85" t="n">
        <v>394439080.922961</v>
      </c>
      <c r="AG726" s="86" t="n">
        <v>391500205.031394</v>
      </c>
      <c r="AH726" s="87" t="str">
        <f>IF(H726="shared-count-once",COUNTIFS($A$2:$A$1353,A726,$B$2:$B$1353,B726,$E$2:$E$1353,E726),1)</f>
      </c>
    </row>
    <row r="727">
      <c r="A727" t="s">
        <v>75</v>
      </c>
      <c r="B727" s="59" t="n">
        <v>2048</v>
      </c>
      <c r="C727" t="s">
        <v>162</v>
      </c>
      <c r="D727"/>
      <c r="E727" s="60" t="s">
        <v>254</v>
      </c>
      <c r="F727" s="61" t="s">
        <v>255</v>
      </c>
      <c r="G727" s="62" t="s">
        <v>171</v>
      </c>
      <c r="H727" s="63" t="s">
        <v>172</v>
      </c>
      <c r="I727" s="64" t="s">
        <v>75</v>
      </c>
      <c r="J727" s="65" t="str">
        <f>IFERROR(INDEX('Cost_Components'!$K$2:$K$27,MATCH(E727,'Cost_Components'!$A$2:$A$27,0)),"")</f>
      </c>
      <c r="K727" s="66" t="str">
        <f>IF(OR(L727="",Z727="",AA727="",AB727=""),"",IF(B727&lt;AA727,L727,IF(B727&gt;AB727,Z727,L727+(Z727-L727)*MIN(MAX((B727-AA727+1)/MAX(AB727-AA727+1,1),0),1))))</f>
      </c>
      <c r="L727" s="67" t="str">
        <f>IFERROR(INDEX('Cost_Components'!$S$2:$S$27,MATCH(E727,'Cost_Components'!$A$2:$A$27,0)),"")</f>
      </c>
      <c r="M727" s="68" t="str">
        <f>IFERROR(INDEX('Cost_Components'!$L$2:$L$27,MATCH(E727,'Cost_Components'!$A$2:$A$27,0)),"")</f>
      </c>
      <c r="N727" s="69" t="str">
        <f>IFERROR(INDEX('Cost_Components'!$P$2:$P$27,MATCH(E727,'Cost_Components'!$A$2:$A$27,0)),"")</f>
      </c>
      <c r="O727" s="70" t="str">
        <f>AF727*J727</f>
      </c>
      <c r="P727" s="71" t="str">
        <f>AG727*J727</f>
      </c>
      <c r="Q727" s="72" t="str">
        <f>P727*L727*M727*N727</f>
      </c>
      <c r="R727" s="73" t="str">
        <f>O727*K727*M727*N727</f>
      </c>
      <c r="S727" s="74" t="str">
        <f>R727-Q727</f>
      </c>
      <c r="T727" s="20" t="str">
        <f>IFERROR(INDEX('Cost_Components'!$R$2:$R$27,MATCH(E727,'Cost_Components'!$A$2:$A$27,0)),"")</f>
      </c>
      <c r="U727" s="75" t="str">
        <f>IFERROR(INDEX('Cost_Components'!$Q$2:$Q$27,MATCH(E727,'Cost_Components'!$A$2:$A$27,0)),"")</f>
      </c>
      <c r="V727" s="76" t="str">
        <f>1/(1+'Calculation_Assumptions'!$B$5)^(B727-'Calculation_Assumptions'!$B$2)</f>
      </c>
      <c r="W727" s="77" t="str">
        <f>Q727*V727</f>
      </c>
      <c r="X727" s="78" t="str">
        <f>R727*V727</f>
      </c>
      <c r="Y727" s="79" t="str">
        <f>S727*V727</f>
      </c>
      <c r="Z727" s="80" t="str">
        <f>IFERROR(INDEX('Cost_Components'!$T$2:$T$27,MATCH(E727,'Cost_Components'!$A$2:$A$27,0)),"")</f>
      </c>
      <c r="AA727" s="81" t="str">
        <f>IFERROR(INDEX('Cost_Components'!$U$2:$U$27,MATCH(E727,'Cost_Components'!$A$2:$A$27,0)),"")</f>
      </c>
      <c r="AB727" s="82" t="str">
        <f>IFERROR(INDEX('Cost_Components'!$V$2:$V$27,MATCH(E727,'Cost_Components'!$A$2:$A$27,0)),"")</f>
      </c>
      <c r="AC727" s="83" t="str">
        <f>IFERROR(INDEX('Cost_Components'!$M$2:$M$27,MATCH(E727,'Cost_Components'!$A$2:$A$27,0)),"")</f>
      </c>
      <c r="AD727" s="84" t="str">
        <f>IFERROR(INDEX('Cost_Components'!$N$2:$N$27,MATCH(E727,'Cost_Components'!$A$2:$A$27,0)),"")</f>
      </c>
      <c r="AE727" s="20" t="str">
        <f>IFERROR(INDEX('Cost_Components'!$O$2:$O$27,MATCH(E727,'Cost_Components'!$A$2:$A$27,0)),"")</f>
      </c>
      <c r="AF727" s="85" t="n">
        <v>397102838.147282</v>
      </c>
      <c r="AG727" s="86" t="n">
        <v>393875413.3351</v>
      </c>
      <c r="AH727" s="87" t="str">
        <f>IF(H727="shared-count-once",COUNTIFS($A$2:$A$1353,A727,$B$2:$B$1353,B727,$E$2:$E$1353,E727),1)</f>
      </c>
    </row>
    <row r="728">
      <c r="A728" t="s">
        <v>75</v>
      </c>
      <c r="B728" s="59" t="n">
        <v>2049</v>
      </c>
      <c r="C728" t="s">
        <v>162</v>
      </c>
      <c r="D728"/>
      <c r="E728" s="60" t="s">
        <v>254</v>
      </c>
      <c r="F728" s="61" t="s">
        <v>255</v>
      </c>
      <c r="G728" s="62" t="s">
        <v>171</v>
      </c>
      <c r="H728" s="63" t="s">
        <v>172</v>
      </c>
      <c r="I728" s="64" t="s">
        <v>75</v>
      </c>
      <c r="J728" s="65" t="str">
        <f>IFERROR(INDEX('Cost_Components'!$K$2:$K$27,MATCH(E728,'Cost_Components'!$A$2:$A$27,0)),"")</f>
      </c>
      <c r="K728" s="66" t="str">
        <f>IF(OR(L728="",Z728="",AA728="",AB728=""),"",IF(B728&lt;AA728,L728,IF(B728&gt;AB728,Z728,L728+(Z728-L728)*MIN(MAX((B728-AA728+1)/MAX(AB728-AA728+1,1),0),1))))</f>
      </c>
      <c r="L728" s="67" t="str">
        <f>IFERROR(INDEX('Cost_Components'!$S$2:$S$27,MATCH(E728,'Cost_Components'!$A$2:$A$27,0)),"")</f>
      </c>
      <c r="M728" s="68" t="str">
        <f>IFERROR(INDEX('Cost_Components'!$L$2:$L$27,MATCH(E728,'Cost_Components'!$A$2:$A$27,0)),"")</f>
      </c>
      <c r="N728" s="69" t="str">
        <f>IFERROR(INDEX('Cost_Components'!$P$2:$P$27,MATCH(E728,'Cost_Components'!$A$2:$A$27,0)),"")</f>
      </c>
      <c r="O728" s="70" t="str">
        <f>AF728*J728</f>
      </c>
      <c r="P728" s="71" t="str">
        <f>AG728*J728</f>
      </c>
      <c r="Q728" s="72" t="str">
        <f>P728*L728*M728*N728</f>
      </c>
      <c r="R728" s="73" t="str">
        <f>O728*K728*M728*N728</f>
      </c>
      <c r="S728" s="74" t="str">
        <f>R728-Q728</f>
      </c>
      <c r="T728" s="20" t="str">
        <f>IFERROR(INDEX('Cost_Components'!$R$2:$R$27,MATCH(E728,'Cost_Components'!$A$2:$A$27,0)),"")</f>
      </c>
      <c r="U728" s="75" t="str">
        <f>IFERROR(INDEX('Cost_Components'!$Q$2:$Q$27,MATCH(E728,'Cost_Components'!$A$2:$A$27,0)),"")</f>
      </c>
      <c r="V728" s="76" t="str">
        <f>1/(1+'Calculation_Assumptions'!$B$5)^(B728-'Calculation_Assumptions'!$B$2)</f>
      </c>
      <c r="W728" s="77" t="str">
        <f>Q728*V728</f>
      </c>
      <c r="X728" s="78" t="str">
        <f>R728*V728</f>
      </c>
      <c r="Y728" s="79" t="str">
        <f>S728*V728</f>
      </c>
      <c r="Z728" s="80" t="str">
        <f>IFERROR(INDEX('Cost_Components'!$T$2:$T$27,MATCH(E728,'Cost_Components'!$A$2:$A$27,0)),"")</f>
      </c>
      <c r="AA728" s="81" t="str">
        <f>IFERROR(INDEX('Cost_Components'!$U$2:$U$27,MATCH(E728,'Cost_Components'!$A$2:$A$27,0)),"")</f>
      </c>
      <c r="AB728" s="82" t="str">
        <f>IFERROR(INDEX('Cost_Components'!$V$2:$V$27,MATCH(E728,'Cost_Components'!$A$2:$A$27,0)),"")</f>
      </c>
      <c r="AC728" s="83" t="str">
        <f>IFERROR(INDEX('Cost_Components'!$M$2:$M$27,MATCH(E728,'Cost_Components'!$A$2:$A$27,0)),"")</f>
      </c>
      <c r="AD728" s="84" t="str">
        <f>IFERROR(INDEX('Cost_Components'!$N$2:$N$27,MATCH(E728,'Cost_Components'!$A$2:$A$27,0)),"")</f>
      </c>
      <c r="AE728" s="20" t="str">
        <f>IFERROR(INDEX('Cost_Components'!$O$2:$O$27,MATCH(E728,'Cost_Components'!$A$2:$A$27,0)),"")</f>
      </c>
      <c r="AF728" s="85" t="n">
        <v>399596609.327014</v>
      </c>
      <c r="AG728" s="86" t="n">
        <v>396033415.146226</v>
      </c>
      <c r="AH728" s="87" t="str">
        <f>IF(H728="shared-count-once",COUNTIFS($A$2:$A$1353,A728,$B$2:$B$1353,B728,$E$2:$E$1353,E728),1)</f>
      </c>
    </row>
    <row r="729">
      <c r="A729" t="s">
        <v>75</v>
      </c>
      <c r="B729" s="59" t="n">
        <v>2050</v>
      </c>
      <c r="C729" t="s">
        <v>162</v>
      </c>
      <c r="D729"/>
      <c r="E729" s="60" t="s">
        <v>254</v>
      </c>
      <c r="F729" s="61" t="s">
        <v>255</v>
      </c>
      <c r="G729" s="62" t="s">
        <v>171</v>
      </c>
      <c r="H729" s="63" t="s">
        <v>172</v>
      </c>
      <c r="I729" s="64" t="s">
        <v>75</v>
      </c>
      <c r="J729" s="65" t="str">
        <f>IFERROR(INDEX('Cost_Components'!$K$2:$K$27,MATCH(E729,'Cost_Components'!$A$2:$A$27,0)),"")</f>
      </c>
      <c r="K729" s="66" t="str">
        <f>IF(OR(L729="",Z729="",AA729="",AB729=""),"",IF(B729&lt;AA729,L729,IF(B729&gt;AB729,Z729,L729+(Z729-L729)*MIN(MAX((B729-AA729+1)/MAX(AB729-AA729+1,1),0),1))))</f>
      </c>
      <c r="L729" s="67" t="str">
        <f>IFERROR(INDEX('Cost_Components'!$S$2:$S$27,MATCH(E729,'Cost_Components'!$A$2:$A$27,0)),"")</f>
      </c>
      <c r="M729" s="68" t="str">
        <f>IFERROR(INDEX('Cost_Components'!$L$2:$L$27,MATCH(E729,'Cost_Components'!$A$2:$A$27,0)),"")</f>
      </c>
      <c r="N729" s="69" t="str">
        <f>IFERROR(INDEX('Cost_Components'!$P$2:$P$27,MATCH(E729,'Cost_Components'!$A$2:$A$27,0)),"")</f>
      </c>
      <c r="O729" s="70" t="str">
        <f>AF729*J729</f>
      </c>
      <c r="P729" s="71" t="str">
        <f>AG729*J729</f>
      </c>
      <c r="Q729" s="72" t="str">
        <f>P729*L729*M729*N729</f>
      </c>
      <c r="R729" s="73" t="str">
        <f>O729*K729*M729*N729</f>
      </c>
      <c r="S729" s="74" t="str">
        <f>R729-Q729</f>
      </c>
      <c r="T729" s="20" t="str">
        <f>IFERROR(INDEX('Cost_Components'!$R$2:$R$27,MATCH(E729,'Cost_Components'!$A$2:$A$27,0)),"")</f>
      </c>
      <c r="U729" s="75" t="str">
        <f>IFERROR(INDEX('Cost_Components'!$Q$2:$Q$27,MATCH(E729,'Cost_Components'!$A$2:$A$27,0)),"")</f>
      </c>
      <c r="V729" s="76" t="str">
        <f>1/(1+'Calculation_Assumptions'!$B$5)^(B729-'Calculation_Assumptions'!$B$2)</f>
      </c>
      <c r="W729" s="77" t="str">
        <f>Q729*V729</f>
      </c>
      <c r="X729" s="78" t="str">
        <f>R729*V729</f>
      </c>
      <c r="Y729" s="79" t="str">
        <f>S729*V729</f>
      </c>
      <c r="Z729" s="80" t="str">
        <f>IFERROR(INDEX('Cost_Components'!$T$2:$T$27,MATCH(E729,'Cost_Components'!$A$2:$A$27,0)),"")</f>
      </c>
      <c r="AA729" s="81" t="str">
        <f>IFERROR(INDEX('Cost_Components'!$U$2:$U$27,MATCH(E729,'Cost_Components'!$A$2:$A$27,0)),"")</f>
      </c>
      <c r="AB729" s="82" t="str">
        <f>IFERROR(INDEX('Cost_Components'!$V$2:$V$27,MATCH(E729,'Cost_Components'!$A$2:$A$27,0)),"")</f>
      </c>
      <c r="AC729" s="83" t="str">
        <f>IFERROR(INDEX('Cost_Components'!$M$2:$M$27,MATCH(E729,'Cost_Components'!$A$2:$A$27,0)),"")</f>
      </c>
      <c r="AD729" s="84" t="str">
        <f>IFERROR(INDEX('Cost_Components'!$N$2:$N$27,MATCH(E729,'Cost_Components'!$A$2:$A$27,0)),"")</f>
      </c>
      <c r="AE729" s="20" t="str">
        <f>IFERROR(INDEX('Cost_Components'!$O$2:$O$27,MATCH(E729,'Cost_Components'!$A$2:$A$27,0)),"")</f>
      </c>
      <c r="AF729" s="85" t="n">
        <v>402010348.359409</v>
      </c>
      <c r="AG729" s="86" t="n">
        <v>398132538.931365</v>
      </c>
      <c r="AH729" s="87" t="str">
        <f>IF(H729="shared-count-once",COUNTIFS($A$2:$A$1353,A729,$B$2:$B$1353,B729,$E$2:$E$1353,E729),1)</f>
      </c>
    </row>
    <row r="730">
      <c r="A730" t="s">
        <v>75</v>
      </c>
      <c r="B730" s="59" t="n">
        <v>2025</v>
      </c>
      <c r="C730" t="s">
        <v>186</v>
      </c>
      <c r="D730" t="s">
        <v>190</v>
      </c>
      <c r="E730" s="60" t="s">
        <v>263</v>
      </c>
      <c r="F730" s="61" t="s">
        <v>264</v>
      </c>
      <c r="G730" s="62" t="s">
        <v>187</v>
      </c>
      <c r="H730" s="63" t="s">
        <v>195</v>
      </c>
      <c r="I730" s="64" t="s">
        <v>267</v>
      </c>
      <c r="J730" s="65" t="str">
        <f>IFERROR(INDEX('Cost_Components'!$K$2:$K$27,MATCH(E730,'Cost_Components'!$A$2:$A$27,0)),"")</f>
      </c>
      <c r="K730" s="66" t="str">
        <f>IF(OR(L730="",Z730="",AA730="",AB730=""),"",IF(B730&lt;AA730,L730,IF(B730&gt;AB730,Z730,L730+(Z730-L730)*MIN(MAX((B730-AA730+1)/MAX(AB730-AA730+1,1),0),1))))</f>
      </c>
      <c r="L730" s="67" t="str">
        <f>IFERROR(INDEX('Cost_Components'!$S$2:$S$27,MATCH(E730,'Cost_Components'!$A$2:$A$27,0)),"")</f>
      </c>
      <c r="M730" s="68" t="str">
        <f>IFERROR(INDEX('Cost_Components'!$L$2:$L$27,MATCH(E730,'Cost_Components'!$A$2:$A$27,0)),"")</f>
      </c>
      <c r="N730" s="69" t="str">
        <f>IFERROR(INDEX('Cost_Components'!$P$2:$P$27,MATCH(E730,'Cost_Components'!$A$2:$A$27,0)),"")</f>
      </c>
      <c r="O730" s="70" t="str">
        <f>AF730*J730</f>
      </c>
      <c r="P730" s="71" t="str">
        <f>AG730*J730</f>
      </c>
      <c r="Q730" s="72" t="str">
        <f>P730*L730*M730*N730</f>
      </c>
      <c r="R730" s="73" t="str">
        <f>O730*K730*M730*N730</f>
      </c>
      <c r="S730" s="74" t="str">
        <f>R730-Q730</f>
      </c>
      <c r="T730" s="20" t="str">
        <f>IFERROR(INDEX('Cost_Components'!$R$2:$R$27,MATCH(E730,'Cost_Components'!$A$2:$A$27,0)),"")</f>
      </c>
      <c r="U730" s="75" t="str">
        <f>IFERROR(INDEX('Cost_Components'!$Q$2:$Q$27,MATCH(E730,'Cost_Components'!$A$2:$A$27,0)),"")</f>
      </c>
      <c r="V730" s="76" t="str">
        <f>1/(1+'Calculation_Assumptions'!$B$5)^(B730-'Calculation_Assumptions'!$B$2)</f>
      </c>
      <c r="W730" s="77" t="str">
        <f>Q730*V730</f>
      </c>
      <c r="X730" s="78" t="str">
        <f>R730*V730</f>
      </c>
      <c r="Y730" s="79" t="str">
        <f>S730*V730</f>
      </c>
      <c r="Z730" s="80" t="str">
        <f>IFERROR(INDEX('Cost_Components'!$T$2:$T$27,MATCH(E730,'Cost_Components'!$A$2:$A$27,0)),"")</f>
      </c>
      <c r="AA730" s="81" t="str">
        <f>IFERROR(INDEX('Cost_Components'!$U$2:$U$27,MATCH(E730,'Cost_Components'!$A$2:$A$27,0)),"")</f>
      </c>
      <c r="AB730" s="82" t="str">
        <f>IFERROR(INDEX('Cost_Components'!$V$2:$V$27,MATCH(E730,'Cost_Components'!$A$2:$A$27,0)),"")</f>
      </c>
      <c r="AC730" s="83" t="str">
        <f>IFERROR(INDEX('Cost_Components'!$M$2:$M$27,MATCH(E730,'Cost_Components'!$A$2:$A$27,0)),"")</f>
      </c>
      <c r="AD730" s="84" t="str">
        <f>IFERROR(INDEX('Cost_Components'!$N$2:$N$27,MATCH(E730,'Cost_Components'!$A$2:$A$27,0)),"")</f>
      </c>
      <c r="AE730" s="20" t="str">
        <f>IFERROR(INDEX('Cost_Components'!$O$2:$O$27,MATCH(E730,'Cost_Components'!$A$2:$A$27,0)),"")</f>
      </c>
      <c r="AF730" s="85" t="n">
        <v>53381.6704835621</v>
      </c>
      <c r="AG730" s="86" t="n">
        <v>53296.1227580098</v>
      </c>
      <c r="AH730" s="87" t="str">
        <f>IF(H730="shared-count-once",COUNTIFS($A$2:$A$1353,A730,$B$2:$B$1353,B730,$E$2:$E$1353,E730),1)</f>
      </c>
    </row>
    <row r="731">
      <c r="A731" t="s">
        <v>75</v>
      </c>
      <c r="B731" s="59" t="n">
        <v>2026</v>
      </c>
      <c r="C731" t="s">
        <v>186</v>
      </c>
      <c r="D731" t="s">
        <v>190</v>
      </c>
      <c r="E731" s="60" t="s">
        <v>263</v>
      </c>
      <c r="F731" s="61" t="s">
        <v>264</v>
      </c>
      <c r="G731" s="62" t="s">
        <v>187</v>
      </c>
      <c r="H731" s="63" t="s">
        <v>195</v>
      </c>
      <c r="I731" s="64" t="s">
        <v>267</v>
      </c>
      <c r="J731" s="65" t="str">
        <f>IFERROR(INDEX('Cost_Components'!$K$2:$K$27,MATCH(E731,'Cost_Components'!$A$2:$A$27,0)),"")</f>
      </c>
      <c r="K731" s="66" t="str">
        <f>IF(OR(L731="",Z731="",AA731="",AB731=""),"",IF(B731&lt;AA731,L731,IF(B731&gt;AB731,Z731,L731+(Z731-L731)*MIN(MAX((B731-AA731+1)/MAX(AB731-AA731+1,1),0),1))))</f>
      </c>
      <c r="L731" s="67" t="str">
        <f>IFERROR(INDEX('Cost_Components'!$S$2:$S$27,MATCH(E731,'Cost_Components'!$A$2:$A$27,0)),"")</f>
      </c>
      <c r="M731" s="68" t="str">
        <f>IFERROR(INDEX('Cost_Components'!$L$2:$L$27,MATCH(E731,'Cost_Components'!$A$2:$A$27,0)),"")</f>
      </c>
      <c r="N731" s="69" t="str">
        <f>IFERROR(INDEX('Cost_Components'!$P$2:$P$27,MATCH(E731,'Cost_Components'!$A$2:$A$27,0)),"")</f>
      </c>
      <c r="O731" s="70" t="str">
        <f>AF731*J731</f>
      </c>
      <c r="P731" s="71" t="str">
        <f>AG731*J731</f>
      </c>
      <c r="Q731" s="72" t="str">
        <f>P731*L731*M731*N731</f>
      </c>
      <c r="R731" s="73" t="str">
        <f>O731*K731*M731*N731</f>
      </c>
      <c r="S731" s="74" t="str">
        <f>R731-Q731</f>
      </c>
      <c r="T731" s="20" t="str">
        <f>IFERROR(INDEX('Cost_Components'!$R$2:$R$27,MATCH(E731,'Cost_Components'!$A$2:$A$27,0)),"")</f>
      </c>
      <c r="U731" s="75" t="str">
        <f>IFERROR(INDEX('Cost_Components'!$Q$2:$Q$27,MATCH(E731,'Cost_Components'!$A$2:$A$27,0)),"")</f>
      </c>
      <c r="V731" s="76" t="str">
        <f>1/(1+'Calculation_Assumptions'!$B$5)^(B731-'Calculation_Assumptions'!$B$2)</f>
      </c>
      <c r="W731" s="77" t="str">
        <f>Q731*V731</f>
      </c>
      <c r="X731" s="78" t="str">
        <f>R731*V731</f>
      </c>
      <c r="Y731" s="79" t="str">
        <f>S731*V731</f>
      </c>
      <c r="Z731" s="80" t="str">
        <f>IFERROR(INDEX('Cost_Components'!$T$2:$T$27,MATCH(E731,'Cost_Components'!$A$2:$A$27,0)),"")</f>
      </c>
      <c r="AA731" s="81" t="str">
        <f>IFERROR(INDEX('Cost_Components'!$U$2:$U$27,MATCH(E731,'Cost_Components'!$A$2:$A$27,0)),"")</f>
      </c>
      <c r="AB731" s="82" t="str">
        <f>IFERROR(INDEX('Cost_Components'!$V$2:$V$27,MATCH(E731,'Cost_Components'!$A$2:$A$27,0)),"")</f>
      </c>
      <c r="AC731" s="83" t="str">
        <f>IFERROR(INDEX('Cost_Components'!$M$2:$M$27,MATCH(E731,'Cost_Components'!$A$2:$A$27,0)),"")</f>
      </c>
      <c r="AD731" s="84" t="str">
        <f>IFERROR(INDEX('Cost_Components'!$N$2:$N$27,MATCH(E731,'Cost_Components'!$A$2:$A$27,0)),"")</f>
      </c>
      <c r="AE731" s="20" t="str">
        <f>IFERROR(INDEX('Cost_Components'!$O$2:$O$27,MATCH(E731,'Cost_Components'!$A$2:$A$27,0)),"")</f>
      </c>
      <c r="AF731" s="85" t="n">
        <v>55387.4059565909</v>
      </c>
      <c r="AG731" s="86" t="n">
        <v>55143.6567615615</v>
      </c>
      <c r="AH731" s="87" t="str">
        <f>IF(H731="shared-count-once",COUNTIFS($A$2:$A$1353,A731,$B$2:$B$1353,B731,$E$2:$E$1353,E731),1)</f>
      </c>
    </row>
    <row r="732">
      <c r="A732" t="s">
        <v>75</v>
      </c>
      <c r="B732" s="59" t="n">
        <v>2027</v>
      </c>
      <c r="C732" t="s">
        <v>186</v>
      </c>
      <c r="D732" t="s">
        <v>190</v>
      </c>
      <c r="E732" s="60" t="s">
        <v>263</v>
      </c>
      <c r="F732" s="61" t="s">
        <v>264</v>
      </c>
      <c r="G732" s="62" t="s">
        <v>187</v>
      </c>
      <c r="H732" s="63" t="s">
        <v>195</v>
      </c>
      <c r="I732" s="64" t="s">
        <v>267</v>
      </c>
      <c r="J732" s="65" t="str">
        <f>IFERROR(INDEX('Cost_Components'!$K$2:$K$27,MATCH(E732,'Cost_Components'!$A$2:$A$27,0)),"")</f>
      </c>
      <c r="K732" s="66" t="str">
        <f>IF(OR(L732="",Z732="",AA732="",AB732=""),"",IF(B732&lt;AA732,L732,IF(B732&gt;AB732,Z732,L732+(Z732-L732)*MIN(MAX((B732-AA732+1)/MAX(AB732-AA732+1,1),0),1))))</f>
      </c>
      <c r="L732" s="67" t="str">
        <f>IFERROR(INDEX('Cost_Components'!$S$2:$S$27,MATCH(E732,'Cost_Components'!$A$2:$A$27,0)),"")</f>
      </c>
      <c r="M732" s="68" t="str">
        <f>IFERROR(INDEX('Cost_Components'!$L$2:$L$27,MATCH(E732,'Cost_Components'!$A$2:$A$27,0)),"")</f>
      </c>
      <c r="N732" s="69" t="str">
        <f>IFERROR(INDEX('Cost_Components'!$P$2:$P$27,MATCH(E732,'Cost_Components'!$A$2:$A$27,0)),"")</f>
      </c>
      <c r="O732" s="70" t="str">
        <f>AF732*J732</f>
      </c>
      <c r="P732" s="71" t="str">
        <f>AG732*J732</f>
      </c>
      <c r="Q732" s="72" t="str">
        <f>P732*L732*M732*N732</f>
      </c>
      <c r="R732" s="73" t="str">
        <f>O732*K732*M732*N732</f>
      </c>
      <c r="S732" s="74" t="str">
        <f>R732-Q732</f>
      </c>
      <c r="T732" s="20" t="str">
        <f>IFERROR(INDEX('Cost_Components'!$R$2:$R$27,MATCH(E732,'Cost_Components'!$A$2:$A$27,0)),"")</f>
      </c>
      <c r="U732" s="75" t="str">
        <f>IFERROR(INDEX('Cost_Components'!$Q$2:$Q$27,MATCH(E732,'Cost_Components'!$A$2:$A$27,0)),"")</f>
      </c>
      <c r="V732" s="76" t="str">
        <f>1/(1+'Calculation_Assumptions'!$B$5)^(B732-'Calculation_Assumptions'!$B$2)</f>
      </c>
      <c r="W732" s="77" t="str">
        <f>Q732*V732</f>
      </c>
      <c r="X732" s="78" t="str">
        <f>R732*V732</f>
      </c>
      <c r="Y732" s="79" t="str">
        <f>S732*V732</f>
      </c>
      <c r="Z732" s="80" t="str">
        <f>IFERROR(INDEX('Cost_Components'!$T$2:$T$27,MATCH(E732,'Cost_Components'!$A$2:$A$27,0)),"")</f>
      </c>
      <c r="AA732" s="81" t="str">
        <f>IFERROR(INDEX('Cost_Components'!$U$2:$U$27,MATCH(E732,'Cost_Components'!$A$2:$A$27,0)),"")</f>
      </c>
      <c r="AB732" s="82" t="str">
        <f>IFERROR(INDEX('Cost_Components'!$V$2:$V$27,MATCH(E732,'Cost_Components'!$A$2:$A$27,0)),"")</f>
      </c>
      <c r="AC732" s="83" t="str">
        <f>IFERROR(INDEX('Cost_Components'!$M$2:$M$27,MATCH(E732,'Cost_Components'!$A$2:$A$27,0)),"")</f>
      </c>
      <c r="AD732" s="84" t="str">
        <f>IFERROR(INDEX('Cost_Components'!$N$2:$N$27,MATCH(E732,'Cost_Components'!$A$2:$A$27,0)),"")</f>
      </c>
      <c r="AE732" s="20" t="str">
        <f>IFERROR(INDEX('Cost_Components'!$O$2:$O$27,MATCH(E732,'Cost_Components'!$A$2:$A$27,0)),"")</f>
      </c>
      <c r="AF732" s="85" t="n">
        <v>57428.3098398324</v>
      </c>
      <c r="AG732" s="86" t="n">
        <v>56962.5739985964</v>
      </c>
      <c r="AH732" s="87" t="str">
        <f>IF(H732="shared-count-once",COUNTIFS($A$2:$A$1353,A732,$B$2:$B$1353,B732,$E$2:$E$1353,E732),1)</f>
      </c>
    </row>
    <row r="733">
      <c r="A733" t="s">
        <v>75</v>
      </c>
      <c r="B733" s="59" t="n">
        <v>2028</v>
      </c>
      <c r="C733" t="s">
        <v>186</v>
      </c>
      <c r="D733" t="s">
        <v>190</v>
      </c>
      <c r="E733" s="60" t="s">
        <v>263</v>
      </c>
      <c r="F733" s="61" t="s">
        <v>264</v>
      </c>
      <c r="G733" s="62" t="s">
        <v>187</v>
      </c>
      <c r="H733" s="63" t="s">
        <v>195</v>
      </c>
      <c r="I733" s="64" t="s">
        <v>267</v>
      </c>
      <c r="J733" s="65" t="str">
        <f>IFERROR(INDEX('Cost_Components'!$K$2:$K$27,MATCH(E733,'Cost_Components'!$A$2:$A$27,0)),"")</f>
      </c>
      <c r="K733" s="66" t="str">
        <f>IF(OR(L733="",Z733="",AA733="",AB733=""),"",IF(B733&lt;AA733,L733,IF(B733&gt;AB733,Z733,L733+(Z733-L733)*MIN(MAX((B733-AA733+1)/MAX(AB733-AA733+1,1),0),1))))</f>
      </c>
      <c r="L733" s="67" t="str">
        <f>IFERROR(INDEX('Cost_Components'!$S$2:$S$27,MATCH(E733,'Cost_Components'!$A$2:$A$27,0)),"")</f>
      </c>
      <c r="M733" s="68" t="str">
        <f>IFERROR(INDEX('Cost_Components'!$L$2:$L$27,MATCH(E733,'Cost_Components'!$A$2:$A$27,0)),"")</f>
      </c>
      <c r="N733" s="69" t="str">
        <f>IFERROR(INDEX('Cost_Components'!$P$2:$P$27,MATCH(E733,'Cost_Components'!$A$2:$A$27,0)),"")</f>
      </c>
      <c r="O733" s="70" t="str">
        <f>AF733*J733</f>
      </c>
      <c r="P733" s="71" t="str">
        <f>AG733*J733</f>
      </c>
      <c r="Q733" s="72" t="str">
        <f>P733*L733*M733*N733</f>
      </c>
      <c r="R733" s="73" t="str">
        <f>O733*K733*M733*N733</f>
      </c>
      <c r="S733" s="74" t="str">
        <f>R733-Q733</f>
      </c>
      <c r="T733" s="20" t="str">
        <f>IFERROR(INDEX('Cost_Components'!$R$2:$R$27,MATCH(E733,'Cost_Components'!$A$2:$A$27,0)),"")</f>
      </c>
      <c r="U733" s="75" t="str">
        <f>IFERROR(INDEX('Cost_Components'!$Q$2:$Q$27,MATCH(E733,'Cost_Components'!$A$2:$A$27,0)),"")</f>
      </c>
      <c r="V733" s="76" t="str">
        <f>1/(1+'Calculation_Assumptions'!$B$5)^(B733-'Calculation_Assumptions'!$B$2)</f>
      </c>
      <c r="W733" s="77" t="str">
        <f>Q733*V733</f>
      </c>
      <c r="X733" s="78" t="str">
        <f>R733*V733</f>
      </c>
      <c r="Y733" s="79" t="str">
        <f>S733*V733</f>
      </c>
      <c r="Z733" s="80" t="str">
        <f>IFERROR(INDEX('Cost_Components'!$T$2:$T$27,MATCH(E733,'Cost_Components'!$A$2:$A$27,0)),"")</f>
      </c>
      <c r="AA733" s="81" t="str">
        <f>IFERROR(INDEX('Cost_Components'!$U$2:$U$27,MATCH(E733,'Cost_Components'!$A$2:$A$27,0)),"")</f>
      </c>
      <c r="AB733" s="82" t="str">
        <f>IFERROR(INDEX('Cost_Components'!$V$2:$V$27,MATCH(E733,'Cost_Components'!$A$2:$A$27,0)),"")</f>
      </c>
      <c r="AC733" s="83" t="str">
        <f>IFERROR(INDEX('Cost_Components'!$M$2:$M$27,MATCH(E733,'Cost_Components'!$A$2:$A$27,0)),"")</f>
      </c>
      <c r="AD733" s="84" t="str">
        <f>IFERROR(INDEX('Cost_Components'!$N$2:$N$27,MATCH(E733,'Cost_Components'!$A$2:$A$27,0)),"")</f>
      </c>
      <c r="AE733" s="20" t="str">
        <f>IFERROR(INDEX('Cost_Components'!$O$2:$O$27,MATCH(E733,'Cost_Components'!$A$2:$A$27,0)),"")</f>
      </c>
      <c r="AF733" s="85" t="n">
        <v>59489.7043224691</v>
      </c>
      <c r="AG733" s="86" t="n">
        <v>58744.4182134355</v>
      </c>
      <c r="AH733" s="87" t="str">
        <f>IF(H733="shared-count-once",COUNTIFS($A$2:$A$1353,A733,$B$2:$B$1353,B733,$E$2:$E$1353,E733),1)</f>
      </c>
    </row>
    <row r="734">
      <c r="A734" t="s">
        <v>75</v>
      </c>
      <c r="B734" s="59" t="n">
        <v>2029</v>
      </c>
      <c r="C734" t="s">
        <v>186</v>
      </c>
      <c r="D734" t="s">
        <v>190</v>
      </c>
      <c r="E734" s="60" t="s">
        <v>263</v>
      </c>
      <c r="F734" s="61" t="s">
        <v>264</v>
      </c>
      <c r="G734" s="62" t="s">
        <v>187</v>
      </c>
      <c r="H734" s="63" t="s">
        <v>195</v>
      </c>
      <c r="I734" s="64" t="s">
        <v>267</v>
      </c>
      <c r="J734" s="65" t="str">
        <f>IFERROR(INDEX('Cost_Components'!$K$2:$K$27,MATCH(E734,'Cost_Components'!$A$2:$A$27,0)),"")</f>
      </c>
      <c r="K734" s="66" t="str">
        <f>IF(OR(L734="",Z734="",AA734="",AB734=""),"",IF(B734&lt;AA734,L734,IF(B734&gt;AB734,Z734,L734+(Z734-L734)*MIN(MAX((B734-AA734+1)/MAX(AB734-AA734+1,1),0),1))))</f>
      </c>
      <c r="L734" s="67" t="str">
        <f>IFERROR(INDEX('Cost_Components'!$S$2:$S$27,MATCH(E734,'Cost_Components'!$A$2:$A$27,0)),"")</f>
      </c>
      <c r="M734" s="68" t="str">
        <f>IFERROR(INDEX('Cost_Components'!$L$2:$L$27,MATCH(E734,'Cost_Components'!$A$2:$A$27,0)),"")</f>
      </c>
      <c r="N734" s="69" t="str">
        <f>IFERROR(INDEX('Cost_Components'!$P$2:$P$27,MATCH(E734,'Cost_Components'!$A$2:$A$27,0)),"")</f>
      </c>
      <c r="O734" s="70" t="str">
        <f>AF734*J734</f>
      </c>
      <c r="P734" s="71" t="str">
        <f>AG734*J734</f>
      </c>
      <c r="Q734" s="72" t="str">
        <f>P734*L734*M734*N734</f>
      </c>
      <c r="R734" s="73" t="str">
        <f>O734*K734*M734*N734</f>
      </c>
      <c r="S734" s="74" t="str">
        <f>R734-Q734</f>
      </c>
      <c r="T734" s="20" t="str">
        <f>IFERROR(INDEX('Cost_Components'!$R$2:$R$27,MATCH(E734,'Cost_Components'!$A$2:$A$27,0)),"")</f>
      </c>
      <c r="U734" s="75" t="str">
        <f>IFERROR(INDEX('Cost_Components'!$Q$2:$Q$27,MATCH(E734,'Cost_Components'!$A$2:$A$27,0)),"")</f>
      </c>
      <c r="V734" s="76" t="str">
        <f>1/(1+'Calculation_Assumptions'!$B$5)^(B734-'Calculation_Assumptions'!$B$2)</f>
      </c>
      <c r="W734" s="77" t="str">
        <f>Q734*V734</f>
      </c>
      <c r="X734" s="78" t="str">
        <f>R734*V734</f>
      </c>
      <c r="Y734" s="79" t="str">
        <f>S734*V734</f>
      </c>
      <c r="Z734" s="80" t="str">
        <f>IFERROR(INDEX('Cost_Components'!$T$2:$T$27,MATCH(E734,'Cost_Components'!$A$2:$A$27,0)),"")</f>
      </c>
      <c r="AA734" s="81" t="str">
        <f>IFERROR(INDEX('Cost_Components'!$U$2:$U$27,MATCH(E734,'Cost_Components'!$A$2:$A$27,0)),"")</f>
      </c>
      <c r="AB734" s="82" t="str">
        <f>IFERROR(INDEX('Cost_Components'!$V$2:$V$27,MATCH(E734,'Cost_Components'!$A$2:$A$27,0)),"")</f>
      </c>
      <c r="AC734" s="83" t="str">
        <f>IFERROR(INDEX('Cost_Components'!$M$2:$M$27,MATCH(E734,'Cost_Components'!$A$2:$A$27,0)),"")</f>
      </c>
      <c r="AD734" s="84" t="str">
        <f>IFERROR(INDEX('Cost_Components'!$N$2:$N$27,MATCH(E734,'Cost_Components'!$A$2:$A$27,0)),"")</f>
      </c>
      <c r="AE734" s="20" t="str">
        <f>IFERROR(INDEX('Cost_Components'!$O$2:$O$27,MATCH(E734,'Cost_Components'!$A$2:$A$27,0)),"")</f>
      </c>
      <c r="AF734" s="85" t="n">
        <v>61575.4213568198</v>
      </c>
      <c r="AG734" s="86" t="n">
        <v>60497.4021807098</v>
      </c>
      <c r="AH734" s="87" t="str">
        <f>IF(H734="shared-count-once",COUNTIFS($A$2:$A$1353,A734,$B$2:$B$1353,B734,$E$2:$E$1353,E734),1)</f>
      </c>
    </row>
    <row r="735">
      <c r="A735" t="s">
        <v>75</v>
      </c>
      <c r="B735" s="59" t="n">
        <v>2030</v>
      </c>
      <c r="C735" t="s">
        <v>186</v>
      </c>
      <c r="D735" t="s">
        <v>190</v>
      </c>
      <c r="E735" s="60" t="s">
        <v>263</v>
      </c>
      <c r="F735" s="61" t="s">
        <v>264</v>
      </c>
      <c r="G735" s="62" t="s">
        <v>187</v>
      </c>
      <c r="H735" s="63" t="s">
        <v>195</v>
      </c>
      <c r="I735" s="64" t="s">
        <v>267</v>
      </c>
      <c r="J735" s="65" t="str">
        <f>IFERROR(INDEX('Cost_Components'!$K$2:$K$27,MATCH(E735,'Cost_Components'!$A$2:$A$27,0)),"")</f>
      </c>
      <c r="K735" s="66" t="str">
        <f>IF(OR(L735="",Z735="",AA735="",AB735=""),"",IF(B735&lt;AA735,L735,IF(B735&gt;AB735,Z735,L735+(Z735-L735)*MIN(MAX((B735-AA735+1)/MAX(AB735-AA735+1,1),0),1))))</f>
      </c>
      <c r="L735" s="67" t="str">
        <f>IFERROR(INDEX('Cost_Components'!$S$2:$S$27,MATCH(E735,'Cost_Components'!$A$2:$A$27,0)),"")</f>
      </c>
      <c r="M735" s="68" t="str">
        <f>IFERROR(INDEX('Cost_Components'!$L$2:$L$27,MATCH(E735,'Cost_Components'!$A$2:$A$27,0)),"")</f>
      </c>
      <c r="N735" s="69" t="str">
        <f>IFERROR(INDEX('Cost_Components'!$P$2:$P$27,MATCH(E735,'Cost_Components'!$A$2:$A$27,0)),"")</f>
      </c>
      <c r="O735" s="70" t="str">
        <f>AF735*J735</f>
      </c>
      <c r="P735" s="71" t="str">
        <f>AG735*J735</f>
      </c>
      <c r="Q735" s="72" t="str">
        <f>P735*L735*M735*N735</f>
      </c>
      <c r="R735" s="73" t="str">
        <f>O735*K735*M735*N735</f>
      </c>
      <c r="S735" s="74" t="str">
        <f>R735-Q735</f>
      </c>
      <c r="T735" s="20" t="str">
        <f>IFERROR(INDEX('Cost_Components'!$R$2:$R$27,MATCH(E735,'Cost_Components'!$A$2:$A$27,0)),"")</f>
      </c>
      <c r="U735" s="75" t="str">
        <f>IFERROR(INDEX('Cost_Components'!$Q$2:$Q$27,MATCH(E735,'Cost_Components'!$A$2:$A$27,0)),"")</f>
      </c>
      <c r="V735" s="76" t="str">
        <f>1/(1+'Calculation_Assumptions'!$B$5)^(B735-'Calculation_Assumptions'!$B$2)</f>
      </c>
      <c r="W735" s="77" t="str">
        <f>Q735*V735</f>
      </c>
      <c r="X735" s="78" t="str">
        <f>R735*V735</f>
      </c>
      <c r="Y735" s="79" t="str">
        <f>S735*V735</f>
      </c>
      <c r="Z735" s="80" t="str">
        <f>IFERROR(INDEX('Cost_Components'!$T$2:$T$27,MATCH(E735,'Cost_Components'!$A$2:$A$27,0)),"")</f>
      </c>
      <c r="AA735" s="81" t="str">
        <f>IFERROR(INDEX('Cost_Components'!$U$2:$U$27,MATCH(E735,'Cost_Components'!$A$2:$A$27,0)),"")</f>
      </c>
      <c r="AB735" s="82" t="str">
        <f>IFERROR(INDEX('Cost_Components'!$V$2:$V$27,MATCH(E735,'Cost_Components'!$A$2:$A$27,0)),"")</f>
      </c>
      <c r="AC735" s="83" t="str">
        <f>IFERROR(INDEX('Cost_Components'!$M$2:$M$27,MATCH(E735,'Cost_Components'!$A$2:$A$27,0)),"")</f>
      </c>
      <c r="AD735" s="84" t="str">
        <f>IFERROR(INDEX('Cost_Components'!$N$2:$N$27,MATCH(E735,'Cost_Components'!$A$2:$A$27,0)),"")</f>
      </c>
      <c r="AE735" s="20" t="str">
        <f>IFERROR(INDEX('Cost_Components'!$O$2:$O$27,MATCH(E735,'Cost_Components'!$A$2:$A$27,0)),"")</f>
      </c>
      <c r="AF735" s="85" t="n">
        <v>63693.0884071642</v>
      </c>
      <c r="AG735" s="86" t="n">
        <v>62232.0856056668</v>
      </c>
      <c r="AH735" s="87" t="str">
        <f>IF(H735="shared-count-once",COUNTIFS($A$2:$A$1353,A735,$B$2:$B$1353,B735,$E$2:$E$1353,E735),1)</f>
      </c>
    </row>
    <row r="736">
      <c r="A736" t="s">
        <v>75</v>
      </c>
      <c r="B736" s="59" t="n">
        <v>2031</v>
      </c>
      <c r="C736" t="s">
        <v>186</v>
      </c>
      <c r="D736" t="s">
        <v>190</v>
      </c>
      <c r="E736" s="60" t="s">
        <v>263</v>
      </c>
      <c r="F736" s="61" t="s">
        <v>264</v>
      </c>
      <c r="G736" s="62" t="s">
        <v>187</v>
      </c>
      <c r="H736" s="63" t="s">
        <v>195</v>
      </c>
      <c r="I736" s="64" t="s">
        <v>267</v>
      </c>
      <c r="J736" s="65" t="str">
        <f>IFERROR(INDEX('Cost_Components'!$K$2:$K$27,MATCH(E736,'Cost_Components'!$A$2:$A$27,0)),"")</f>
      </c>
      <c r="K736" s="66" t="str">
        <f>IF(OR(L736="",Z736="",AA736="",AB736=""),"",IF(B736&lt;AA736,L736,IF(B736&gt;AB736,Z736,L736+(Z736-L736)*MIN(MAX((B736-AA736+1)/MAX(AB736-AA736+1,1),0),1))))</f>
      </c>
      <c r="L736" s="67" t="str">
        <f>IFERROR(INDEX('Cost_Components'!$S$2:$S$27,MATCH(E736,'Cost_Components'!$A$2:$A$27,0)),"")</f>
      </c>
      <c r="M736" s="68" t="str">
        <f>IFERROR(INDEX('Cost_Components'!$L$2:$L$27,MATCH(E736,'Cost_Components'!$A$2:$A$27,0)),"")</f>
      </c>
      <c r="N736" s="69" t="str">
        <f>IFERROR(INDEX('Cost_Components'!$P$2:$P$27,MATCH(E736,'Cost_Components'!$A$2:$A$27,0)),"")</f>
      </c>
      <c r="O736" s="70" t="str">
        <f>AF736*J736</f>
      </c>
      <c r="P736" s="71" t="str">
        <f>AG736*J736</f>
      </c>
      <c r="Q736" s="72" t="str">
        <f>P736*L736*M736*N736</f>
      </c>
      <c r="R736" s="73" t="str">
        <f>O736*K736*M736*N736</f>
      </c>
      <c r="S736" s="74" t="str">
        <f>R736-Q736</f>
      </c>
      <c r="T736" s="20" t="str">
        <f>IFERROR(INDEX('Cost_Components'!$R$2:$R$27,MATCH(E736,'Cost_Components'!$A$2:$A$27,0)),"")</f>
      </c>
      <c r="U736" s="75" t="str">
        <f>IFERROR(INDEX('Cost_Components'!$Q$2:$Q$27,MATCH(E736,'Cost_Components'!$A$2:$A$27,0)),"")</f>
      </c>
      <c r="V736" s="76" t="str">
        <f>1/(1+'Calculation_Assumptions'!$B$5)^(B736-'Calculation_Assumptions'!$B$2)</f>
      </c>
      <c r="W736" s="77" t="str">
        <f>Q736*V736</f>
      </c>
      <c r="X736" s="78" t="str">
        <f>R736*V736</f>
      </c>
      <c r="Y736" s="79" t="str">
        <f>S736*V736</f>
      </c>
      <c r="Z736" s="80" t="str">
        <f>IFERROR(INDEX('Cost_Components'!$T$2:$T$27,MATCH(E736,'Cost_Components'!$A$2:$A$27,0)),"")</f>
      </c>
      <c r="AA736" s="81" t="str">
        <f>IFERROR(INDEX('Cost_Components'!$U$2:$U$27,MATCH(E736,'Cost_Components'!$A$2:$A$27,0)),"")</f>
      </c>
      <c r="AB736" s="82" t="str">
        <f>IFERROR(INDEX('Cost_Components'!$V$2:$V$27,MATCH(E736,'Cost_Components'!$A$2:$A$27,0)),"")</f>
      </c>
      <c r="AC736" s="83" t="str">
        <f>IFERROR(INDEX('Cost_Components'!$M$2:$M$27,MATCH(E736,'Cost_Components'!$A$2:$A$27,0)),"")</f>
      </c>
      <c r="AD736" s="84" t="str">
        <f>IFERROR(INDEX('Cost_Components'!$N$2:$N$27,MATCH(E736,'Cost_Components'!$A$2:$A$27,0)),"")</f>
      </c>
      <c r="AE736" s="20" t="str">
        <f>IFERROR(INDEX('Cost_Components'!$O$2:$O$27,MATCH(E736,'Cost_Components'!$A$2:$A$27,0)),"")</f>
      </c>
      <c r="AF736" s="85" t="n">
        <v>65847.3939821867</v>
      </c>
      <c r="AG736" s="86" t="n">
        <v>63955.0306375847</v>
      </c>
      <c r="AH736" s="87" t="str">
        <f>IF(H736="shared-count-once",COUNTIFS($A$2:$A$1353,A736,$B$2:$B$1353,B736,$E$2:$E$1353,E736),1)</f>
      </c>
    </row>
    <row r="737">
      <c r="A737" t="s">
        <v>75</v>
      </c>
      <c r="B737" s="59" t="n">
        <v>2032</v>
      </c>
      <c r="C737" t="s">
        <v>186</v>
      </c>
      <c r="D737" t="s">
        <v>190</v>
      </c>
      <c r="E737" s="60" t="s">
        <v>263</v>
      </c>
      <c r="F737" s="61" t="s">
        <v>264</v>
      </c>
      <c r="G737" s="62" t="s">
        <v>187</v>
      </c>
      <c r="H737" s="63" t="s">
        <v>195</v>
      </c>
      <c r="I737" s="64" t="s">
        <v>267</v>
      </c>
      <c r="J737" s="65" t="str">
        <f>IFERROR(INDEX('Cost_Components'!$K$2:$K$27,MATCH(E737,'Cost_Components'!$A$2:$A$27,0)),"")</f>
      </c>
      <c r="K737" s="66" t="str">
        <f>IF(OR(L737="",Z737="",AA737="",AB737=""),"",IF(B737&lt;AA737,L737,IF(B737&gt;AB737,Z737,L737+(Z737-L737)*MIN(MAX((B737-AA737+1)/MAX(AB737-AA737+1,1),0),1))))</f>
      </c>
      <c r="L737" s="67" t="str">
        <f>IFERROR(INDEX('Cost_Components'!$S$2:$S$27,MATCH(E737,'Cost_Components'!$A$2:$A$27,0)),"")</f>
      </c>
      <c r="M737" s="68" t="str">
        <f>IFERROR(INDEX('Cost_Components'!$L$2:$L$27,MATCH(E737,'Cost_Components'!$A$2:$A$27,0)),"")</f>
      </c>
      <c r="N737" s="69" t="str">
        <f>IFERROR(INDEX('Cost_Components'!$P$2:$P$27,MATCH(E737,'Cost_Components'!$A$2:$A$27,0)),"")</f>
      </c>
      <c r="O737" s="70" t="str">
        <f>AF737*J737</f>
      </c>
      <c r="P737" s="71" t="str">
        <f>AG737*J737</f>
      </c>
      <c r="Q737" s="72" t="str">
        <f>P737*L737*M737*N737</f>
      </c>
      <c r="R737" s="73" t="str">
        <f>O737*K737*M737*N737</f>
      </c>
      <c r="S737" s="74" t="str">
        <f>R737-Q737</f>
      </c>
      <c r="T737" s="20" t="str">
        <f>IFERROR(INDEX('Cost_Components'!$R$2:$R$27,MATCH(E737,'Cost_Components'!$A$2:$A$27,0)),"")</f>
      </c>
      <c r="U737" s="75" t="str">
        <f>IFERROR(INDEX('Cost_Components'!$Q$2:$Q$27,MATCH(E737,'Cost_Components'!$A$2:$A$27,0)),"")</f>
      </c>
      <c r="V737" s="76" t="str">
        <f>1/(1+'Calculation_Assumptions'!$B$5)^(B737-'Calculation_Assumptions'!$B$2)</f>
      </c>
      <c r="W737" s="77" t="str">
        <f>Q737*V737</f>
      </c>
      <c r="X737" s="78" t="str">
        <f>R737*V737</f>
      </c>
      <c r="Y737" s="79" t="str">
        <f>S737*V737</f>
      </c>
      <c r="Z737" s="80" t="str">
        <f>IFERROR(INDEX('Cost_Components'!$T$2:$T$27,MATCH(E737,'Cost_Components'!$A$2:$A$27,0)),"")</f>
      </c>
      <c r="AA737" s="81" t="str">
        <f>IFERROR(INDEX('Cost_Components'!$U$2:$U$27,MATCH(E737,'Cost_Components'!$A$2:$A$27,0)),"")</f>
      </c>
      <c r="AB737" s="82" t="str">
        <f>IFERROR(INDEX('Cost_Components'!$V$2:$V$27,MATCH(E737,'Cost_Components'!$A$2:$A$27,0)),"")</f>
      </c>
      <c r="AC737" s="83" t="str">
        <f>IFERROR(INDEX('Cost_Components'!$M$2:$M$27,MATCH(E737,'Cost_Components'!$A$2:$A$27,0)),"")</f>
      </c>
      <c r="AD737" s="84" t="str">
        <f>IFERROR(INDEX('Cost_Components'!$N$2:$N$27,MATCH(E737,'Cost_Components'!$A$2:$A$27,0)),"")</f>
      </c>
      <c r="AE737" s="20" t="str">
        <f>IFERROR(INDEX('Cost_Components'!$O$2:$O$27,MATCH(E737,'Cost_Components'!$A$2:$A$27,0)),"")</f>
      </c>
      <c r="AF737" s="85" t="n">
        <v>68061.2331507561</v>
      </c>
      <c r="AG737" s="86" t="n">
        <v>65690.8285007735</v>
      </c>
      <c r="AH737" s="87" t="str">
        <f>IF(H737="shared-count-once",COUNTIFS($A$2:$A$1353,A737,$B$2:$B$1353,B737,$E$2:$E$1353,E737),1)</f>
      </c>
    </row>
    <row r="738">
      <c r="A738" t="s">
        <v>75</v>
      </c>
      <c r="B738" s="59" t="n">
        <v>2033</v>
      </c>
      <c r="C738" t="s">
        <v>186</v>
      </c>
      <c r="D738" t="s">
        <v>190</v>
      </c>
      <c r="E738" s="60" t="s">
        <v>263</v>
      </c>
      <c r="F738" s="61" t="s">
        <v>264</v>
      </c>
      <c r="G738" s="62" t="s">
        <v>187</v>
      </c>
      <c r="H738" s="63" t="s">
        <v>195</v>
      </c>
      <c r="I738" s="64" t="s">
        <v>267</v>
      </c>
      <c r="J738" s="65" t="str">
        <f>IFERROR(INDEX('Cost_Components'!$K$2:$K$27,MATCH(E738,'Cost_Components'!$A$2:$A$27,0)),"")</f>
      </c>
      <c r="K738" s="66" t="str">
        <f>IF(OR(L738="",Z738="",AA738="",AB738=""),"",IF(B738&lt;AA738,L738,IF(B738&gt;AB738,Z738,L738+(Z738-L738)*MIN(MAX((B738-AA738+1)/MAX(AB738-AA738+1,1),0),1))))</f>
      </c>
      <c r="L738" s="67" t="str">
        <f>IFERROR(INDEX('Cost_Components'!$S$2:$S$27,MATCH(E738,'Cost_Components'!$A$2:$A$27,0)),"")</f>
      </c>
      <c r="M738" s="68" t="str">
        <f>IFERROR(INDEX('Cost_Components'!$L$2:$L$27,MATCH(E738,'Cost_Components'!$A$2:$A$27,0)),"")</f>
      </c>
      <c r="N738" s="69" t="str">
        <f>IFERROR(INDEX('Cost_Components'!$P$2:$P$27,MATCH(E738,'Cost_Components'!$A$2:$A$27,0)),"")</f>
      </c>
      <c r="O738" s="70" t="str">
        <f>AF738*J738</f>
      </c>
      <c r="P738" s="71" t="str">
        <f>AG738*J738</f>
      </c>
      <c r="Q738" s="72" t="str">
        <f>P738*L738*M738*N738</f>
      </c>
      <c r="R738" s="73" t="str">
        <f>O738*K738*M738*N738</f>
      </c>
      <c r="S738" s="74" t="str">
        <f>R738-Q738</f>
      </c>
      <c r="T738" s="20" t="str">
        <f>IFERROR(INDEX('Cost_Components'!$R$2:$R$27,MATCH(E738,'Cost_Components'!$A$2:$A$27,0)),"")</f>
      </c>
      <c r="U738" s="75" t="str">
        <f>IFERROR(INDEX('Cost_Components'!$Q$2:$Q$27,MATCH(E738,'Cost_Components'!$A$2:$A$27,0)),"")</f>
      </c>
      <c r="V738" s="76" t="str">
        <f>1/(1+'Calculation_Assumptions'!$B$5)^(B738-'Calculation_Assumptions'!$B$2)</f>
      </c>
      <c r="W738" s="77" t="str">
        <f>Q738*V738</f>
      </c>
      <c r="X738" s="78" t="str">
        <f>R738*V738</f>
      </c>
      <c r="Y738" s="79" t="str">
        <f>S738*V738</f>
      </c>
      <c r="Z738" s="80" t="str">
        <f>IFERROR(INDEX('Cost_Components'!$T$2:$T$27,MATCH(E738,'Cost_Components'!$A$2:$A$27,0)),"")</f>
      </c>
      <c r="AA738" s="81" t="str">
        <f>IFERROR(INDEX('Cost_Components'!$U$2:$U$27,MATCH(E738,'Cost_Components'!$A$2:$A$27,0)),"")</f>
      </c>
      <c r="AB738" s="82" t="str">
        <f>IFERROR(INDEX('Cost_Components'!$V$2:$V$27,MATCH(E738,'Cost_Components'!$A$2:$A$27,0)),"")</f>
      </c>
      <c r="AC738" s="83" t="str">
        <f>IFERROR(INDEX('Cost_Components'!$M$2:$M$27,MATCH(E738,'Cost_Components'!$A$2:$A$27,0)),"")</f>
      </c>
      <c r="AD738" s="84" t="str">
        <f>IFERROR(INDEX('Cost_Components'!$N$2:$N$27,MATCH(E738,'Cost_Components'!$A$2:$A$27,0)),"")</f>
      </c>
      <c r="AE738" s="20" t="str">
        <f>IFERROR(INDEX('Cost_Components'!$O$2:$O$27,MATCH(E738,'Cost_Components'!$A$2:$A$27,0)),"")</f>
      </c>
      <c r="AF738" s="85" t="n">
        <v>70351.1623904156</v>
      </c>
      <c r="AG738" s="86" t="n">
        <v>67457.3845673766</v>
      </c>
      <c r="AH738" s="87" t="str">
        <f>IF(H738="shared-count-once",COUNTIFS($A$2:$A$1353,A738,$B$2:$B$1353,B738,$E$2:$E$1353,E738),1)</f>
      </c>
    </row>
    <row r="739">
      <c r="A739" t="s">
        <v>75</v>
      </c>
      <c r="B739" s="59" t="n">
        <v>2034</v>
      </c>
      <c r="C739" t="s">
        <v>186</v>
      </c>
      <c r="D739" t="s">
        <v>190</v>
      </c>
      <c r="E739" s="60" t="s">
        <v>263</v>
      </c>
      <c r="F739" s="61" t="s">
        <v>264</v>
      </c>
      <c r="G739" s="62" t="s">
        <v>187</v>
      </c>
      <c r="H739" s="63" t="s">
        <v>195</v>
      </c>
      <c r="I739" s="64" t="s">
        <v>267</v>
      </c>
      <c r="J739" s="65" t="str">
        <f>IFERROR(INDEX('Cost_Components'!$K$2:$K$27,MATCH(E739,'Cost_Components'!$A$2:$A$27,0)),"")</f>
      </c>
      <c r="K739" s="66" t="str">
        <f>IF(OR(L739="",Z739="",AA739="",AB739=""),"",IF(B739&lt;AA739,L739,IF(B739&gt;AB739,Z739,L739+(Z739-L739)*MIN(MAX((B739-AA739+1)/MAX(AB739-AA739+1,1),0),1))))</f>
      </c>
      <c r="L739" s="67" t="str">
        <f>IFERROR(INDEX('Cost_Components'!$S$2:$S$27,MATCH(E739,'Cost_Components'!$A$2:$A$27,0)),"")</f>
      </c>
      <c r="M739" s="68" t="str">
        <f>IFERROR(INDEX('Cost_Components'!$L$2:$L$27,MATCH(E739,'Cost_Components'!$A$2:$A$27,0)),"")</f>
      </c>
      <c r="N739" s="69" t="str">
        <f>IFERROR(INDEX('Cost_Components'!$P$2:$P$27,MATCH(E739,'Cost_Components'!$A$2:$A$27,0)),"")</f>
      </c>
      <c r="O739" s="70" t="str">
        <f>AF739*J739</f>
      </c>
      <c r="P739" s="71" t="str">
        <f>AG739*J739</f>
      </c>
      <c r="Q739" s="72" t="str">
        <f>P739*L739*M739*N739</f>
      </c>
      <c r="R739" s="73" t="str">
        <f>O739*K739*M739*N739</f>
      </c>
      <c r="S739" s="74" t="str">
        <f>R739-Q739</f>
      </c>
      <c r="T739" s="20" t="str">
        <f>IFERROR(INDEX('Cost_Components'!$R$2:$R$27,MATCH(E739,'Cost_Components'!$A$2:$A$27,0)),"")</f>
      </c>
      <c r="U739" s="75" t="str">
        <f>IFERROR(INDEX('Cost_Components'!$Q$2:$Q$27,MATCH(E739,'Cost_Components'!$A$2:$A$27,0)),"")</f>
      </c>
      <c r="V739" s="76" t="str">
        <f>1/(1+'Calculation_Assumptions'!$B$5)^(B739-'Calculation_Assumptions'!$B$2)</f>
      </c>
      <c r="W739" s="77" t="str">
        <f>Q739*V739</f>
      </c>
      <c r="X739" s="78" t="str">
        <f>R739*V739</f>
      </c>
      <c r="Y739" s="79" t="str">
        <f>S739*V739</f>
      </c>
      <c r="Z739" s="80" t="str">
        <f>IFERROR(INDEX('Cost_Components'!$T$2:$T$27,MATCH(E739,'Cost_Components'!$A$2:$A$27,0)),"")</f>
      </c>
      <c r="AA739" s="81" t="str">
        <f>IFERROR(INDEX('Cost_Components'!$U$2:$U$27,MATCH(E739,'Cost_Components'!$A$2:$A$27,0)),"")</f>
      </c>
      <c r="AB739" s="82" t="str">
        <f>IFERROR(INDEX('Cost_Components'!$V$2:$V$27,MATCH(E739,'Cost_Components'!$A$2:$A$27,0)),"")</f>
      </c>
      <c r="AC739" s="83" t="str">
        <f>IFERROR(INDEX('Cost_Components'!$M$2:$M$27,MATCH(E739,'Cost_Components'!$A$2:$A$27,0)),"")</f>
      </c>
      <c r="AD739" s="84" t="str">
        <f>IFERROR(INDEX('Cost_Components'!$N$2:$N$27,MATCH(E739,'Cost_Components'!$A$2:$A$27,0)),"")</f>
      </c>
      <c r="AE739" s="20" t="str">
        <f>IFERROR(INDEX('Cost_Components'!$O$2:$O$27,MATCH(E739,'Cost_Components'!$A$2:$A$27,0)),"")</f>
      </c>
      <c r="AF739" s="85" t="n">
        <v>72726.9521318622</v>
      </c>
      <c r="AG739" s="86" t="n">
        <v>69265.1370682726</v>
      </c>
      <c r="AH739" s="87" t="str">
        <f>IF(H739="shared-count-once",COUNTIFS($A$2:$A$1353,A739,$B$2:$B$1353,B739,$E$2:$E$1353,E739),1)</f>
      </c>
    </row>
    <row r="740">
      <c r="A740" t="s">
        <v>75</v>
      </c>
      <c r="B740" s="59" t="n">
        <v>2035</v>
      </c>
      <c r="C740" t="s">
        <v>186</v>
      </c>
      <c r="D740" t="s">
        <v>190</v>
      </c>
      <c r="E740" s="60" t="s">
        <v>263</v>
      </c>
      <c r="F740" s="61" t="s">
        <v>264</v>
      </c>
      <c r="G740" s="62" t="s">
        <v>187</v>
      </c>
      <c r="H740" s="63" t="s">
        <v>195</v>
      </c>
      <c r="I740" s="64" t="s">
        <v>267</v>
      </c>
      <c r="J740" s="65" t="str">
        <f>IFERROR(INDEX('Cost_Components'!$K$2:$K$27,MATCH(E740,'Cost_Components'!$A$2:$A$27,0)),"")</f>
      </c>
      <c r="K740" s="66" t="str">
        <f>IF(OR(L740="",Z740="",AA740="",AB740=""),"",IF(B740&lt;AA740,L740,IF(B740&gt;AB740,Z740,L740+(Z740-L740)*MIN(MAX((B740-AA740+1)/MAX(AB740-AA740+1,1),0),1))))</f>
      </c>
      <c r="L740" s="67" t="str">
        <f>IFERROR(INDEX('Cost_Components'!$S$2:$S$27,MATCH(E740,'Cost_Components'!$A$2:$A$27,0)),"")</f>
      </c>
      <c r="M740" s="68" t="str">
        <f>IFERROR(INDEX('Cost_Components'!$L$2:$L$27,MATCH(E740,'Cost_Components'!$A$2:$A$27,0)),"")</f>
      </c>
      <c r="N740" s="69" t="str">
        <f>IFERROR(INDEX('Cost_Components'!$P$2:$P$27,MATCH(E740,'Cost_Components'!$A$2:$A$27,0)),"")</f>
      </c>
      <c r="O740" s="70" t="str">
        <f>AF740*J740</f>
      </c>
      <c r="P740" s="71" t="str">
        <f>AG740*J740</f>
      </c>
      <c r="Q740" s="72" t="str">
        <f>P740*L740*M740*N740</f>
      </c>
      <c r="R740" s="73" t="str">
        <f>O740*K740*M740*N740</f>
      </c>
      <c r="S740" s="74" t="str">
        <f>R740-Q740</f>
      </c>
      <c r="T740" s="20" t="str">
        <f>IFERROR(INDEX('Cost_Components'!$R$2:$R$27,MATCH(E740,'Cost_Components'!$A$2:$A$27,0)),"")</f>
      </c>
      <c r="U740" s="75" t="str">
        <f>IFERROR(INDEX('Cost_Components'!$Q$2:$Q$27,MATCH(E740,'Cost_Components'!$A$2:$A$27,0)),"")</f>
      </c>
      <c r="V740" s="76" t="str">
        <f>1/(1+'Calculation_Assumptions'!$B$5)^(B740-'Calculation_Assumptions'!$B$2)</f>
      </c>
      <c r="W740" s="77" t="str">
        <f>Q740*V740</f>
      </c>
      <c r="X740" s="78" t="str">
        <f>R740*V740</f>
      </c>
      <c r="Y740" s="79" t="str">
        <f>S740*V740</f>
      </c>
      <c r="Z740" s="80" t="str">
        <f>IFERROR(INDEX('Cost_Components'!$T$2:$T$27,MATCH(E740,'Cost_Components'!$A$2:$A$27,0)),"")</f>
      </c>
      <c r="AA740" s="81" t="str">
        <f>IFERROR(INDEX('Cost_Components'!$U$2:$U$27,MATCH(E740,'Cost_Components'!$A$2:$A$27,0)),"")</f>
      </c>
      <c r="AB740" s="82" t="str">
        <f>IFERROR(INDEX('Cost_Components'!$V$2:$V$27,MATCH(E740,'Cost_Components'!$A$2:$A$27,0)),"")</f>
      </c>
      <c r="AC740" s="83" t="str">
        <f>IFERROR(INDEX('Cost_Components'!$M$2:$M$27,MATCH(E740,'Cost_Components'!$A$2:$A$27,0)),"")</f>
      </c>
      <c r="AD740" s="84" t="str">
        <f>IFERROR(INDEX('Cost_Components'!$N$2:$N$27,MATCH(E740,'Cost_Components'!$A$2:$A$27,0)),"")</f>
      </c>
      <c r="AE740" s="20" t="str">
        <f>IFERROR(INDEX('Cost_Components'!$O$2:$O$27,MATCH(E740,'Cost_Components'!$A$2:$A$27,0)),"")</f>
      </c>
      <c r="AF740" s="85" t="n">
        <v>75208.8651703616</v>
      </c>
      <c r="AG740" s="86" t="n">
        <v>71134.820893731</v>
      </c>
      <c r="AH740" s="87" t="str">
        <f>IF(H740="shared-count-once",COUNTIFS($A$2:$A$1353,A740,$B$2:$B$1353,B740,$E$2:$E$1353,E740),1)</f>
      </c>
    </row>
    <row r="741">
      <c r="A741" t="s">
        <v>75</v>
      </c>
      <c r="B741" s="59" t="n">
        <v>2036</v>
      </c>
      <c r="C741" t="s">
        <v>186</v>
      </c>
      <c r="D741" t="s">
        <v>190</v>
      </c>
      <c r="E741" s="60" t="s">
        <v>263</v>
      </c>
      <c r="F741" s="61" t="s">
        <v>264</v>
      </c>
      <c r="G741" s="62" t="s">
        <v>187</v>
      </c>
      <c r="H741" s="63" t="s">
        <v>195</v>
      </c>
      <c r="I741" s="64" t="s">
        <v>267</v>
      </c>
      <c r="J741" s="65" t="str">
        <f>IFERROR(INDEX('Cost_Components'!$K$2:$K$27,MATCH(E741,'Cost_Components'!$A$2:$A$27,0)),"")</f>
      </c>
      <c r="K741" s="66" t="str">
        <f>IF(OR(L741="",Z741="",AA741="",AB741=""),"",IF(B741&lt;AA741,L741,IF(B741&gt;AB741,Z741,L741+(Z741-L741)*MIN(MAX((B741-AA741+1)/MAX(AB741-AA741+1,1),0),1))))</f>
      </c>
      <c r="L741" s="67" t="str">
        <f>IFERROR(INDEX('Cost_Components'!$S$2:$S$27,MATCH(E741,'Cost_Components'!$A$2:$A$27,0)),"")</f>
      </c>
      <c r="M741" s="68" t="str">
        <f>IFERROR(INDEX('Cost_Components'!$L$2:$L$27,MATCH(E741,'Cost_Components'!$A$2:$A$27,0)),"")</f>
      </c>
      <c r="N741" s="69" t="str">
        <f>IFERROR(INDEX('Cost_Components'!$P$2:$P$27,MATCH(E741,'Cost_Components'!$A$2:$A$27,0)),"")</f>
      </c>
      <c r="O741" s="70" t="str">
        <f>AF741*J741</f>
      </c>
      <c r="P741" s="71" t="str">
        <f>AG741*J741</f>
      </c>
      <c r="Q741" s="72" t="str">
        <f>P741*L741*M741*N741</f>
      </c>
      <c r="R741" s="73" t="str">
        <f>O741*K741*M741*N741</f>
      </c>
      <c r="S741" s="74" t="str">
        <f>R741-Q741</f>
      </c>
      <c r="T741" s="20" t="str">
        <f>IFERROR(INDEX('Cost_Components'!$R$2:$R$27,MATCH(E741,'Cost_Components'!$A$2:$A$27,0)),"")</f>
      </c>
      <c r="U741" s="75" t="str">
        <f>IFERROR(INDEX('Cost_Components'!$Q$2:$Q$27,MATCH(E741,'Cost_Components'!$A$2:$A$27,0)),"")</f>
      </c>
      <c r="V741" s="76" t="str">
        <f>1/(1+'Calculation_Assumptions'!$B$5)^(B741-'Calculation_Assumptions'!$B$2)</f>
      </c>
      <c r="W741" s="77" t="str">
        <f>Q741*V741</f>
      </c>
      <c r="X741" s="78" t="str">
        <f>R741*V741</f>
      </c>
      <c r="Y741" s="79" t="str">
        <f>S741*V741</f>
      </c>
      <c r="Z741" s="80" t="str">
        <f>IFERROR(INDEX('Cost_Components'!$T$2:$T$27,MATCH(E741,'Cost_Components'!$A$2:$A$27,0)),"")</f>
      </c>
      <c r="AA741" s="81" t="str">
        <f>IFERROR(INDEX('Cost_Components'!$U$2:$U$27,MATCH(E741,'Cost_Components'!$A$2:$A$27,0)),"")</f>
      </c>
      <c r="AB741" s="82" t="str">
        <f>IFERROR(INDEX('Cost_Components'!$V$2:$V$27,MATCH(E741,'Cost_Components'!$A$2:$A$27,0)),"")</f>
      </c>
      <c r="AC741" s="83" t="str">
        <f>IFERROR(INDEX('Cost_Components'!$M$2:$M$27,MATCH(E741,'Cost_Components'!$A$2:$A$27,0)),"")</f>
      </c>
      <c r="AD741" s="84" t="str">
        <f>IFERROR(INDEX('Cost_Components'!$N$2:$N$27,MATCH(E741,'Cost_Components'!$A$2:$A$27,0)),"")</f>
      </c>
      <c r="AE741" s="20" t="str">
        <f>IFERROR(INDEX('Cost_Components'!$O$2:$O$27,MATCH(E741,'Cost_Components'!$A$2:$A$27,0)),"")</f>
      </c>
      <c r="AF741" s="85" t="n">
        <v>77816.8230673715</v>
      </c>
      <c r="AG741" s="86" t="n">
        <v>73085.7133326109</v>
      </c>
      <c r="AH741" s="87" t="str">
        <f>IF(H741="shared-count-once",COUNTIFS($A$2:$A$1353,A741,$B$2:$B$1353,B741,$E$2:$E$1353,E741),1)</f>
      </c>
    </row>
    <row r="742">
      <c r="A742" t="s">
        <v>75</v>
      </c>
      <c r="B742" s="59" t="n">
        <v>2037</v>
      </c>
      <c r="C742" t="s">
        <v>186</v>
      </c>
      <c r="D742" t="s">
        <v>190</v>
      </c>
      <c r="E742" s="60" t="s">
        <v>263</v>
      </c>
      <c r="F742" s="61" t="s">
        <v>264</v>
      </c>
      <c r="G742" s="62" t="s">
        <v>187</v>
      </c>
      <c r="H742" s="63" t="s">
        <v>195</v>
      </c>
      <c r="I742" s="64" t="s">
        <v>267</v>
      </c>
      <c r="J742" s="65" t="str">
        <f>IFERROR(INDEX('Cost_Components'!$K$2:$K$27,MATCH(E742,'Cost_Components'!$A$2:$A$27,0)),"")</f>
      </c>
      <c r="K742" s="66" t="str">
        <f>IF(OR(L742="",Z742="",AA742="",AB742=""),"",IF(B742&lt;AA742,L742,IF(B742&gt;AB742,Z742,L742+(Z742-L742)*MIN(MAX((B742-AA742+1)/MAX(AB742-AA742+1,1),0),1))))</f>
      </c>
      <c r="L742" s="67" t="str">
        <f>IFERROR(INDEX('Cost_Components'!$S$2:$S$27,MATCH(E742,'Cost_Components'!$A$2:$A$27,0)),"")</f>
      </c>
      <c r="M742" s="68" t="str">
        <f>IFERROR(INDEX('Cost_Components'!$L$2:$L$27,MATCH(E742,'Cost_Components'!$A$2:$A$27,0)),"")</f>
      </c>
      <c r="N742" s="69" t="str">
        <f>IFERROR(INDEX('Cost_Components'!$P$2:$P$27,MATCH(E742,'Cost_Components'!$A$2:$A$27,0)),"")</f>
      </c>
      <c r="O742" s="70" t="str">
        <f>AF742*J742</f>
      </c>
      <c r="P742" s="71" t="str">
        <f>AG742*J742</f>
      </c>
      <c r="Q742" s="72" t="str">
        <f>P742*L742*M742*N742</f>
      </c>
      <c r="R742" s="73" t="str">
        <f>O742*K742*M742*N742</f>
      </c>
      <c r="S742" s="74" t="str">
        <f>R742-Q742</f>
      </c>
      <c r="T742" s="20" t="str">
        <f>IFERROR(INDEX('Cost_Components'!$R$2:$R$27,MATCH(E742,'Cost_Components'!$A$2:$A$27,0)),"")</f>
      </c>
      <c r="U742" s="75" t="str">
        <f>IFERROR(INDEX('Cost_Components'!$Q$2:$Q$27,MATCH(E742,'Cost_Components'!$A$2:$A$27,0)),"")</f>
      </c>
      <c r="V742" s="76" t="str">
        <f>1/(1+'Calculation_Assumptions'!$B$5)^(B742-'Calculation_Assumptions'!$B$2)</f>
      </c>
      <c r="W742" s="77" t="str">
        <f>Q742*V742</f>
      </c>
      <c r="X742" s="78" t="str">
        <f>R742*V742</f>
      </c>
      <c r="Y742" s="79" t="str">
        <f>S742*V742</f>
      </c>
      <c r="Z742" s="80" t="str">
        <f>IFERROR(INDEX('Cost_Components'!$T$2:$T$27,MATCH(E742,'Cost_Components'!$A$2:$A$27,0)),"")</f>
      </c>
      <c r="AA742" s="81" t="str">
        <f>IFERROR(INDEX('Cost_Components'!$U$2:$U$27,MATCH(E742,'Cost_Components'!$A$2:$A$27,0)),"")</f>
      </c>
      <c r="AB742" s="82" t="str">
        <f>IFERROR(INDEX('Cost_Components'!$V$2:$V$27,MATCH(E742,'Cost_Components'!$A$2:$A$27,0)),"")</f>
      </c>
      <c r="AC742" s="83" t="str">
        <f>IFERROR(INDEX('Cost_Components'!$M$2:$M$27,MATCH(E742,'Cost_Components'!$A$2:$A$27,0)),"")</f>
      </c>
      <c r="AD742" s="84" t="str">
        <f>IFERROR(INDEX('Cost_Components'!$N$2:$N$27,MATCH(E742,'Cost_Components'!$A$2:$A$27,0)),"")</f>
      </c>
      <c r="AE742" s="20" t="str">
        <f>IFERROR(INDEX('Cost_Components'!$O$2:$O$27,MATCH(E742,'Cost_Components'!$A$2:$A$27,0)),"")</f>
      </c>
      <c r="AF742" s="85" t="n">
        <v>80549.7675448118</v>
      </c>
      <c r="AG742" s="86" t="n">
        <v>75115.9966728239</v>
      </c>
      <c r="AH742" s="87" t="str">
        <f>IF(H742="shared-count-once",COUNTIFS($A$2:$A$1353,A742,$B$2:$B$1353,B742,$E$2:$E$1353,E742),1)</f>
      </c>
    </row>
    <row r="743">
      <c r="A743" t="s">
        <v>75</v>
      </c>
      <c r="B743" s="59" t="n">
        <v>2038</v>
      </c>
      <c r="C743" t="s">
        <v>186</v>
      </c>
      <c r="D743" t="s">
        <v>190</v>
      </c>
      <c r="E743" s="60" t="s">
        <v>263</v>
      </c>
      <c r="F743" s="61" t="s">
        <v>264</v>
      </c>
      <c r="G743" s="62" t="s">
        <v>187</v>
      </c>
      <c r="H743" s="63" t="s">
        <v>195</v>
      </c>
      <c r="I743" s="64" t="s">
        <v>267</v>
      </c>
      <c r="J743" s="65" t="str">
        <f>IFERROR(INDEX('Cost_Components'!$K$2:$K$27,MATCH(E743,'Cost_Components'!$A$2:$A$27,0)),"")</f>
      </c>
      <c r="K743" s="66" t="str">
        <f>IF(OR(L743="",Z743="",AA743="",AB743=""),"",IF(B743&lt;AA743,L743,IF(B743&gt;AB743,Z743,L743+(Z743-L743)*MIN(MAX((B743-AA743+1)/MAX(AB743-AA743+1,1),0),1))))</f>
      </c>
      <c r="L743" s="67" t="str">
        <f>IFERROR(INDEX('Cost_Components'!$S$2:$S$27,MATCH(E743,'Cost_Components'!$A$2:$A$27,0)),"")</f>
      </c>
      <c r="M743" s="68" t="str">
        <f>IFERROR(INDEX('Cost_Components'!$L$2:$L$27,MATCH(E743,'Cost_Components'!$A$2:$A$27,0)),"")</f>
      </c>
      <c r="N743" s="69" t="str">
        <f>IFERROR(INDEX('Cost_Components'!$P$2:$P$27,MATCH(E743,'Cost_Components'!$A$2:$A$27,0)),"")</f>
      </c>
      <c r="O743" s="70" t="str">
        <f>AF743*J743</f>
      </c>
      <c r="P743" s="71" t="str">
        <f>AG743*J743</f>
      </c>
      <c r="Q743" s="72" t="str">
        <f>P743*L743*M743*N743</f>
      </c>
      <c r="R743" s="73" t="str">
        <f>O743*K743*M743*N743</f>
      </c>
      <c r="S743" s="74" t="str">
        <f>R743-Q743</f>
      </c>
      <c r="T743" s="20" t="str">
        <f>IFERROR(INDEX('Cost_Components'!$R$2:$R$27,MATCH(E743,'Cost_Components'!$A$2:$A$27,0)),"")</f>
      </c>
      <c r="U743" s="75" t="str">
        <f>IFERROR(INDEX('Cost_Components'!$Q$2:$Q$27,MATCH(E743,'Cost_Components'!$A$2:$A$27,0)),"")</f>
      </c>
      <c r="V743" s="76" t="str">
        <f>1/(1+'Calculation_Assumptions'!$B$5)^(B743-'Calculation_Assumptions'!$B$2)</f>
      </c>
      <c r="W743" s="77" t="str">
        <f>Q743*V743</f>
      </c>
      <c r="X743" s="78" t="str">
        <f>R743*V743</f>
      </c>
      <c r="Y743" s="79" t="str">
        <f>S743*V743</f>
      </c>
      <c r="Z743" s="80" t="str">
        <f>IFERROR(INDEX('Cost_Components'!$T$2:$T$27,MATCH(E743,'Cost_Components'!$A$2:$A$27,0)),"")</f>
      </c>
      <c r="AA743" s="81" t="str">
        <f>IFERROR(INDEX('Cost_Components'!$U$2:$U$27,MATCH(E743,'Cost_Components'!$A$2:$A$27,0)),"")</f>
      </c>
      <c r="AB743" s="82" t="str">
        <f>IFERROR(INDEX('Cost_Components'!$V$2:$V$27,MATCH(E743,'Cost_Components'!$A$2:$A$27,0)),"")</f>
      </c>
      <c r="AC743" s="83" t="str">
        <f>IFERROR(INDEX('Cost_Components'!$M$2:$M$27,MATCH(E743,'Cost_Components'!$A$2:$A$27,0)),"")</f>
      </c>
      <c r="AD743" s="84" t="str">
        <f>IFERROR(INDEX('Cost_Components'!$N$2:$N$27,MATCH(E743,'Cost_Components'!$A$2:$A$27,0)),"")</f>
      </c>
      <c r="AE743" s="20" t="str">
        <f>IFERROR(INDEX('Cost_Components'!$O$2:$O$27,MATCH(E743,'Cost_Components'!$A$2:$A$27,0)),"")</f>
      </c>
      <c r="AF743" s="85" t="n">
        <v>83404.2596618036</v>
      </c>
      <c r="AG743" s="86" t="n">
        <v>77221.3928841648</v>
      </c>
      <c r="AH743" s="87" t="str">
        <f>IF(H743="shared-count-once",COUNTIFS($A$2:$A$1353,A743,$B$2:$B$1353,B743,$E$2:$E$1353,E743),1)</f>
      </c>
    </row>
    <row r="744">
      <c r="A744" t="s">
        <v>75</v>
      </c>
      <c r="B744" s="59" t="n">
        <v>2039</v>
      </c>
      <c r="C744" t="s">
        <v>186</v>
      </c>
      <c r="D744" t="s">
        <v>190</v>
      </c>
      <c r="E744" s="60" t="s">
        <v>263</v>
      </c>
      <c r="F744" s="61" t="s">
        <v>264</v>
      </c>
      <c r="G744" s="62" t="s">
        <v>187</v>
      </c>
      <c r="H744" s="63" t="s">
        <v>195</v>
      </c>
      <c r="I744" s="64" t="s">
        <v>267</v>
      </c>
      <c r="J744" s="65" t="str">
        <f>IFERROR(INDEX('Cost_Components'!$K$2:$K$27,MATCH(E744,'Cost_Components'!$A$2:$A$27,0)),"")</f>
      </c>
      <c r="K744" s="66" t="str">
        <f>IF(OR(L744="",Z744="",AA744="",AB744=""),"",IF(B744&lt;AA744,L744,IF(B744&gt;AB744,Z744,L744+(Z744-L744)*MIN(MAX((B744-AA744+1)/MAX(AB744-AA744+1,1),0),1))))</f>
      </c>
      <c r="L744" s="67" t="str">
        <f>IFERROR(INDEX('Cost_Components'!$S$2:$S$27,MATCH(E744,'Cost_Components'!$A$2:$A$27,0)),"")</f>
      </c>
      <c r="M744" s="68" t="str">
        <f>IFERROR(INDEX('Cost_Components'!$L$2:$L$27,MATCH(E744,'Cost_Components'!$A$2:$A$27,0)),"")</f>
      </c>
      <c r="N744" s="69" t="str">
        <f>IFERROR(INDEX('Cost_Components'!$P$2:$P$27,MATCH(E744,'Cost_Components'!$A$2:$A$27,0)),"")</f>
      </c>
      <c r="O744" s="70" t="str">
        <f>AF744*J744</f>
      </c>
      <c r="P744" s="71" t="str">
        <f>AG744*J744</f>
      </c>
      <c r="Q744" s="72" t="str">
        <f>P744*L744*M744*N744</f>
      </c>
      <c r="R744" s="73" t="str">
        <f>O744*K744*M744*N744</f>
      </c>
      <c r="S744" s="74" t="str">
        <f>R744-Q744</f>
      </c>
      <c r="T744" s="20" t="str">
        <f>IFERROR(INDEX('Cost_Components'!$R$2:$R$27,MATCH(E744,'Cost_Components'!$A$2:$A$27,0)),"")</f>
      </c>
      <c r="U744" s="75" t="str">
        <f>IFERROR(INDEX('Cost_Components'!$Q$2:$Q$27,MATCH(E744,'Cost_Components'!$A$2:$A$27,0)),"")</f>
      </c>
      <c r="V744" s="76" t="str">
        <f>1/(1+'Calculation_Assumptions'!$B$5)^(B744-'Calculation_Assumptions'!$B$2)</f>
      </c>
      <c r="W744" s="77" t="str">
        <f>Q744*V744</f>
      </c>
      <c r="X744" s="78" t="str">
        <f>R744*V744</f>
      </c>
      <c r="Y744" s="79" t="str">
        <f>S744*V744</f>
      </c>
      <c r="Z744" s="80" t="str">
        <f>IFERROR(INDEX('Cost_Components'!$T$2:$T$27,MATCH(E744,'Cost_Components'!$A$2:$A$27,0)),"")</f>
      </c>
      <c r="AA744" s="81" t="str">
        <f>IFERROR(INDEX('Cost_Components'!$U$2:$U$27,MATCH(E744,'Cost_Components'!$A$2:$A$27,0)),"")</f>
      </c>
      <c r="AB744" s="82" t="str">
        <f>IFERROR(INDEX('Cost_Components'!$V$2:$V$27,MATCH(E744,'Cost_Components'!$A$2:$A$27,0)),"")</f>
      </c>
      <c r="AC744" s="83" t="str">
        <f>IFERROR(INDEX('Cost_Components'!$M$2:$M$27,MATCH(E744,'Cost_Components'!$A$2:$A$27,0)),"")</f>
      </c>
      <c r="AD744" s="84" t="str">
        <f>IFERROR(INDEX('Cost_Components'!$N$2:$N$27,MATCH(E744,'Cost_Components'!$A$2:$A$27,0)),"")</f>
      </c>
      <c r="AE744" s="20" t="str">
        <f>IFERROR(INDEX('Cost_Components'!$O$2:$O$27,MATCH(E744,'Cost_Components'!$A$2:$A$27,0)),"")</f>
      </c>
      <c r="AF744" s="85" t="n">
        <v>86377.9997992315</v>
      </c>
      <c r="AG744" s="86" t="n">
        <v>79398.7817120368</v>
      </c>
      <c r="AH744" s="87" t="str">
        <f>IF(H744="shared-count-once",COUNTIFS($A$2:$A$1353,A744,$B$2:$B$1353,B744,$E$2:$E$1353,E744),1)</f>
      </c>
    </row>
    <row r="745">
      <c r="A745" t="s">
        <v>75</v>
      </c>
      <c r="B745" s="59" t="n">
        <v>2040</v>
      </c>
      <c r="C745" t="s">
        <v>186</v>
      </c>
      <c r="D745" t="s">
        <v>190</v>
      </c>
      <c r="E745" s="60" t="s">
        <v>263</v>
      </c>
      <c r="F745" s="61" t="s">
        <v>264</v>
      </c>
      <c r="G745" s="62" t="s">
        <v>187</v>
      </c>
      <c r="H745" s="63" t="s">
        <v>195</v>
      </c>
      <c r="I745" s="64" t="s">
        <v>267</v>
      </c>
      <c r="J745" s="65" t="str">
        <f>IFERROR(INDEX('Cost_Components'!$K$2:$K$27,MATCH(E745,'Cost_Components'!$A$2:$A$27,0)),"")</f>
      </c>
      <c r="K745" s="66" t="str">
        <f>IF(OR(L745="",Z745="",AA745="",AB745=""),"",IF(B745&lt;AA745,L745,IF(B745&gt;AB745,Z745,L745+(Z745-L745)*MIN(MAX((B745-AA745+1)/MAX(AB745-AA745+1,1),0),1))))</f>
      </c>
      <c r="L745" s="67" t="str">
        <f>IFERROR(INDEX('Cost_Components'!$S$2:$S$27,MATCH(E745,'Cost_Components'!$A$2:$A$27,0)),"")</f>
      </c>
      <c r="M745" s="68" t="str">
        <f>IFERROR(INDEX('Cost_Components'!$L$2:$L$27,MATCH(E745,'Cost_Components'!$A$2:$A$27,0)),"")</f>
      </c>
      <c r="N745" s="69" t="str">
        <f>IFERROR(INDEX('Cost_Components'!$P$2:$P$27,MATCH(E745,'Cost_Components'!$A$2:$A$27,0)),"")</f>
      </c>
      <c r="O745" s="70" t="str">
        <f>AF745*J745</f>
      </c>
      <c r="P745" s="71" t="str">
        <f>AG745*J745</f>
      </c>
      <c r="Q745" s="72" t="str">
        <f>P745*L745*M745*N745</f>
      </c>
      <c r="R745" s="73" t="str">
        <f>O745*K745*M745*N745</f>
      </c>
      <c r="S745" s="74" t="str">
        <f>R745-Q745</f>
      </c>
      <c r="T745" s="20" t="str">
        <f>IFERROR(INDEX('Cost_Components'!$R$2:$R$27,MATCH(E745,'Cost_Components'!$A$2:$A$27,0)),"")</f>
      </c>
      <c r="U745" s="75" t="str">
        <f>IFERROR(INDEX('Cost_Components'!$Q$2:$Q$27,MATCH(E745,'Cost_Components'!$A$2:$A$27,0)),"")</f>
      </c>
      <c r="V745" s="76" t="str">
        <f>1/(1+'Calculation_Assumptions'!$B$5)^(B745-'Calculation_Assumptions'!$B$2)</f>
      </c>
      <c r="W745" s="77" t="str">
        <f>Q745*V745</f>
      </c>
      <c r="X745" s="78" t="str">
        <f>R745*V745</f>
      </c>
      <c r="Y745" s="79" t="str">
        <f>S745*V745</f>
      </c>
      <c r="Z745" s="80" t="str">
        <f>IFERROR(INDEX('Cost_Components'!$T$2:$T$27,MATCH(E745,'Cost_Components'!$A$2:$A$27,0)),"")</f>
      </c>
      <c r="AA745" s="81" t="str">
        <f>IFERROR(INDEX('Cost_Components'!$U$2:$U$27,MATCH(E745,'Cost_Components'!$A$2:$A$27,0)),"")</f>
      </c>
      <c r="AB745" s="82" t="str">
        <f>IFERROR(INDEX('Cost_Components'!$V$2:$V$27,MATCH(E745,'Cost_Components'!$A$2:$A$27,0)),"")</f>
      </c>
      <c r="AC745" s="83" t="str">
        <f>IFERROR(INDEX('Cost_Components'!$M$2:$M$27,MATCH(E745,'Cost_Components'!$A$2:$A$27,0)),"")</f>
      </c>
      <c r="AD745" s="84" t="str">
        <f>IFERROR(INDEX('Cost_Components'!$N$2:$N$27,MATCH(E745,'Cost_Components'!$A$2:$A$27,0)),"")</f>
      </c>
      <c r="AE745" s="20" t="str">
        <f>IFERROR(INDEX('Cost_Components'!$O$2:$O$27,MATCH(E745,'Cost_Components'!$A$2:$A$27,0)),"")</f>
      </c>
      <c r="AF745" s="85" t="n">
        <v>89486.149165156</v>
      </c>
      <c r="AG745" s="86" t="n">
        <v>81663.0672757935</v>
      </c>
      <c r="AH745" s="87" t="str">
        <f>IF(H745="shared-count-once",COUNTIFS($A$2:$A$1353,A745,$B$2:$B$1353,B745,$E$2:$E$1353,E745),1)</f>
      </c>
    </row>
    <row r="746">
      <c r="A746" t="s">
        <v>75</v>
      </c>
      <c r="B746" s="59" t="n">
        <v>2041</v>
      </c>
      <c r="C746" t="s">
        <v>186</v>
      </c>
      <c r="D746" t="s">
        <v>190</v>
      </c>
      <c r="E746" s="60" t="s">
        <v>263</v>
      </c>
      <c r="F746" s="61" t="s">
        <v>264</v>
      </c>
      <c r="G746" s="62" t="s">
        <v>187</v>
      </c>
      <c r="H746" s="63" t="s">
        <v>195</v>
      </c>
      <c r="I746" s="64" t="s">
        <v>267</v>
      </c>
      <c r="J746" s="65" t="str">
        <f>IFERROR(INDEX('Cost_Components'!$K$2:$K$27,MATCH(E746,'Cost_Components'!$A$2:$A$27,0)),"")</f>
      </c>
      <c r="K746" s="66" t="str">
        <f>IF(OR(L746="",Z746="",AA746="",AB746=""),"",IF(B746&lt;AA746,L746,IF(B746&gt;AB746,Z746,L746+(Z746-L746)*MIN(MAX((B746-AA746+1)/MAX(AB746-AA746+1,1),0),1))))</f>
      </c>
      <c r="L746" s="67" t="str">
        <f>IFERROR(INDEX('Cost_Components'!$S$2:$S$27,MATCH(E746,'Cost_Components'!$A$2:$A$27,0)),"")</f>
      </c>
      <c r="M746" s="68" t="str">
        <f>IFERROR(INDEX('Cost_Components'!$L$2:$L$27,MATCH(E746,'Cost_Components'!$A$2:$A$27,0)),"")</f>
      </c>
      <c r="N746" s="69" t="str">
        <f>IFERROR(INDEX('Cost_Components'!$P$2:$P$27,MATCH(E746,'Cost_Components'!$A$2:$A$27,0)),"")</f>
      </c>
      <c r="O746" s="70" t="str">
        <f>AF746*J746</f>
      </c>
      <c r="P746" s="71" t="str">
        <f>AG746*J746</f>
      </c>
      <c r="Q746" s="72" t="str">
        <f>P746*L746*M746*N746</f>
      </c>
      <c r="R746" s="73" t="str">
        <f>O746*K746*M746*N746</f>
      </c>
      <c r="S746" s="74" t="str">
        <f>R746-Q746</f>
      </c>
      <c r="T746" s="20" t="str">
        <f>IFERROR(INDEX('Cost_Components'!$R$2:$R$27,MATCH(E746,'Cost_Components'!$A$2:$A$27,0)),"")</f>
      </c>
      <c r="U746" s="75" t="str">
        <f>IFERROR(INDEX('Cost_Components'!$Q$2:$Q$27,MATCH(E746,'Cost_Components'!$A$2:$A$27,0)),"")</f>
      </c>
      <c r="V746" s="76" t="str">
        <f>1/(1+'Calculation_Assumptions'!$B$5)^(B746-'Calculation_Assumptions'!$B$2)</f>
      </c>
      <c r="W746" s="77" t="str">
        <f>Q746*V746</f>
      </c>
      <c r="X746" s="78" t="str">
        <f>R746*V746</f>
      </c>
      <c r="Y746" s="79" t="str">
        <f>S746*V746</f>
      </c>
      <c r="Z746" s="80" t="str">
        <f>IFERROR(INDEX('Cost_Components'!$T$2:$T$27,MATCH(E746,'Cost_Components'!$A$2:$A$27,0)),"")</f>
      </c>
      <c r="AA746" s="81" t="str">
        <f>IFERROR(INDEX('Cost_Components'!$U$2:$U$27,MATCH(E746,'Cost_Components'!$A$2:$A$27,0)),"")</f>
      </c>
      <c r="AB746" s="82" t="str">
        <f>IFERROR(INDEX('Cost_Components'!$V$2:$V$27,MATCH(E746,'Cost_Components'!$A$2:$A$27,0)),"")</f>
      </c>
      <c r="AC746" s="83" t="str">
        <f>IFERROR(INDEX('Cost_Components'!$M$2:$M$27,MATCH(E746,'Cost_Components'!$A$2:$A$27,0)),"")</f>
      </c>
      <c r="AD746" s="84" t="str">
        <f>IFERROR(INDEX('Cost_Components'!$N$2:$N$27,MATCH(E746,'Cost_Components'!$A$2:$A$27,0)),"")</f>
      </c>
      <c r="AE746" s="20" t="str">
        <f>IFERROR(INDEX('Cost_Components'!$O$2:$O$27,MATCH(E746,'Cost_Components'!$A$2:$A$27,0)),"")</f>
      </c>
      <c r="AF746" s="85" t="n">
        <v>92744.0404009414</v>
      </c>
      <c r="AG746" s="86" t="n">
        <v>84027.6724738423</v>
      </c>
      <c r="AH746" s="87" t="str">
        <f>IF(H746="shared-count-once",COUNTIFS($A$2:$A$1353,A746,$B$2:$B$1353,B746,$E$2:$E$1353,E746),1)</f>
      </c>
    </row>
    <row r="747">
      <c r="A747" t="s">
        <v>75</v>
      </c>
      <c r="B747" s="59" t="n">
        <v>2042</v>
      </c>
      <c r="C747" t="s">
        <v>186</v>
      </c>
      <c r="D747" t="s">
        <v>190</v>
      </c>
      <c r="E747" s="60" t="s">
        <v>263</v>
      </c>
      <c r="F747" s="61" t="s">
        <v>264</v>
      </c>
      <c r="G747" s="62" t="s">
        <v>187</v>
      </c>
      <c r="H747" s="63" t="s">
        <v>195</v>
      </c>
      <c r="I747" s="64" t="s">
        <v>267</v>
      </c>
      <c r="J747" s="65" t="str">
        <f>IFERROR(INDEX('Cost_Components'!$K$2:$K$27,MATCH(E747,'Cost_Components'!$A$2:$A$27,0)),"")</f>
      </c>
      <c r="K747" s="66" t="str">
        <f>IF(OR(L747="",Z747="",AA747="",AB747=""),"",IF(B747&lt;AA747,L747,IF(B747&gt;AB747,Z747,L747+(Z747-L747)*MIN(MAX((B747-AA747+1)/MAX(AB747-AA747+1,1),0),1))))</f>
      </c>
      <c r="L747" s="67" t="str">
        <f>IFERROR(INDEX('Cost_Components'!$S$2:$S$27,MATCH(E747,'Cost_Components'!$A$2:$A$27,0)),"")</f>
      </c>
      <c r="M747" s="68" t="str">
        <f>IFERROR(INDEX('Cost_Components'!$L$2:$L$27,MATCH(E747,'Cost_Components'!$A$2:$A$27,0)),"")</f>
      </c>
      <c r="N747" s="69" t="str">
        <f>IFERROR(INDEX('Cost_Components'!$P$2:$P$27,MATCH(E747,'Cost_Components'!$A$2:$A$27,0)),"")</f>
      </c>
      <c r="O747" s="70" t="str">
        <f>AF747*J747</f>
      </c>
      <c r="P747" s="71" t="str">
        <f>AG747*J747</f>
      </c>
      <c r="Q747" s="72" t="str">
        <f>P747*L747*M747*N747</f>
      </c>
      <c r="R747" s="73" t="str">
        <f>O747*K747*M747*N747</f>
      </c>
      <c r="S747" s="74" t="str">
        <f>R747-Q747</f>
      </c>
      <c r="T747" s="20" t="str">
        <f>IFERROR(INDEX('Cost_Components'!$R$2:$R$27,MATCH(E747,'Cost_Components'!$A$2:$A$27,0)),"")</f>
      </c>
      <c r="U747" s="75" t="str">
        <f>IFERROR(INDEX('Cost_Components'!$Q$2:$Q$27,MATCH(E747,'Cost_Components'!$A$2:$A$27,0)),"")</f>
      </c>
      <c r="V747" s="76" t="str">
        <f>1/(1+'Calculation_Assumptions'!$B$5)^(B747-'Calculation_Assumptions'!$B$2)</f>
      </c>
      <c r="W747" s="77" t="str">
        <f>Q747*V747</f>
      </c>
      <c r="X747" s="78" t="str">
        <f>R747*V747</f>
      </c>
      <c r="Y747" s="79" t="str">
        <f>S747*V747</f>
      </c>
      <c r="Z747" s="80" t="str">
        <f>IFERROR(INDEX('Cost_Components'!$T$2:$T$27,MATCH(E747,'Cost_Components'!$A$2:$A$27,0)),"")</f>
      </c>
      <c r="AA747" s="81" t="str">
        <f>IFERROR(INDEX('Cost_Components'!$U$2:$U$27,MATCH(E747,'Cost_Components'!$A$2:$A$27,0)),"")</f>
      </c>
      <c r="AB747" s="82" t="str">
        <f>IFERROR(INDEX('Cost_Components'!$V$2:$V$27,MATCH(E747,'Cost_Components'!$A$2:$A$27,0)),"")</f>
      </c>
      <c r="AC747" s="83" t="str">
        <f>IFERROR(INDEX('Cost_Components'!$M$2:$M$27,MATCH(E747,'Cost_Components'!$A$2:$A$27,0)),"")</f>
      </c>
      <c r="AD747" s="84" t="str">
        <f>IFERROR(INDEX('Cost_Components'!$N$2:$N$27,MATCH(E747,'Cost_Components'!$A$2:$A$27,0)),"")</f>
      </c>
      <c r="AE747" s="20" t="str">
        <f>IFERROR(INDEX('Cost_Components'!$O$2:$O$27,MATCH(E747,'Cost_Components'!$A$2:$A$27,0)),"")</f>
      </c>
      <c r="AF747" s="85" t="n">
        <v>96140.2860469948</v>
      </c>
      <c r="AG747" s="86" t="n">
        <v>86480.0878024371</v>
      </c>
      <c r="AH747" s="87" t="str">
        <f>IF(H747="shared-count-once",COUNTIFS($A$2:$A$1353,A747,$B$2:$B$1353,B747,$E$2:$E$1353,E747),1)</f>
      </c>
    </row>
    <row r="748">
      <c r="A748" t="s">
        <v>75</v>
      </c>
      <c r="B748" s="59" t="n">
        <v>2043</v>
      </c>
      <c r="C748" t="s">
        <v>186</v>
      </c>
      <c r="D748" t="s">
        <v>190</v>
      </c>
      <c r="E748" s="60" t="s">
        <v>263</v>
      </c>
      <c r="F748" s="61" t="s">
        <v>264</v>
      </c>
      <c r="G748" s="62" t="s">
        <v>187</v>
      </c>
      <c r="H748" s="63" t="s">
        <v>195</v>
      </c>
      <c r="I748" s="64" t="s">
        <v>267</v>
      </c>
      <c r="J748" s="65" t="str">
        <f>IFERROR(INDEX('Cost_Components'!$K$2:$K$27,MATCH(E748,'Cost_Components'!$A$2:$A$27,0)),"")</f>
      </c>
      <c r="K748" s="66" t="str">
        <f>IF(OR(L748="",Z748="",AA748="",AB748=""),"",IF(B748&lt;AA748,L748,IF(B748&gt;AB748,Z748,L748+(Z748-L748)*MIN(MAX((B748-AA748+1)/MAX(AB748-AA748+1,1),0),1))))</f>
      </c>
      <c r="L748" s="67" t="str">
        <f>IFERROR(INDEX('Cost_Components'!$S$2:$S$27,MATCH(E748,'Cost_Components'!$A$2:$A$27,0)),"")</f>
      </c>
      <c r="M748" s="68" t="str">
        <f>IFERROR(INDEX('Cost_Components'!$L$2:$L$27,MATCH(E748,'Cost_Components'!$A$2:$A$27,0)),"")</f>
      </c>
      <c r="N748" s="69" t="str">
        <f>IFERROR(INDEX('Cost_Components'!$P$2:$P$27,MATCH(E748,'Cost_Components'!$A$2:$A$27,0)),"")</f>
      </c>
      <c r="O748" s="70" t="str">
        <f>AF748*J748</f>
      </c>
      <c r="P748" s="71" t="str">
        <f>AG748*J748</f>
      </c>
      <c r="Q748" s="72" t="str">
        <f>P748*L748*M748*N748</f>
      </c>
      <c r="R748" s="73" t="str">
        <f>O748*K748*M748*N748</f>
      </c>
      <c r="S748" s="74" t="str">
        <f>R748-Q748</f>
      </c>
      <c r="T748" s="20" t="str">
        <f>IFERROR(INDEX('Cost_Components'!$R$2:$R$27,MATCH(E748,'Cost_Components'!$A$2:$A$27,0)),"")</f>
      </c>
      <c r="U748" s="75" t="str">
        <f>IFERROR(INDEX('Cost_Components'!$Q$2:$Q$27,MATCH(E748,'Cost_Components'!$A$2:$A$27,0)),"")</f>
      </c>
      <c r="V748" s="76" t="str">
        <f>1/(1+'Calculation_Assumptions'!$B$5)^(B748-'Calculation_Assumptions'!$B$2)</f>
      </c>
      <c r="W748" s="77" t="str">
        <f>Q748*V748</f>
      </c>
      <c r="X748" s="78" t="str">
        <f>R748*V748</f>
      </c>
      <c r="Y748" s="79" t="str">
        <f>S748*V748</f>
      </c>
      <c r="Z748" s="80" t="str">
        <f>IFERROR(INDEX('Cost_Components'!$T$2:$T$27,MATCH(E748,'Cost_Components'!$A$2:$A$27,0)),"")</f>
      </c>
      <c r="AA748" s="81" t="str">
        <f>IFERROR(INDEX('Cost_Components'!$U$2:$U$27,MATCH(E748,'Cost_Components'!$A$2:$A$27,0)),"")</f>
      </c>
      <c r="AB748" s="82" t="str">
        <f>IFERROR(INDEX('Cost_Components'!$V$2:$V$27,MATCH(E748,'Cost_Components'!$A$2:$A$27,0)),"")</f>
      </c>
      <c r="AC748" s="83" t="str">
        <f>IFERROR(INDEX('Cost_Components'!$M$2:$M$27,MATCH(E748,'Cost_Components'!$A$2:$A$27,0)),"")</f>
      </c>
      <c r="AD748" s="84" t="str">
        <f>IFERROR(INDEX('Cost_Components'!$N$2:$N$27,MATCH(E748,'Cost_Components'!$A$2:$A$27,0)),"")</f>
      </c>
      <c r="AE748" s="20" t="str">
        <f>IFERROR(INDEX('Cost_Components'!$O$2:$O$27,MATCH(E748,'Cost_Components'!$A$2:$A$27,0)),"")</f>
      </c>
      <c r="AF748" s="85" t="n">
        <v>99647.1323048693</v>
      </c>
      <c r="AG748" s="86" t="n">
        <v>88991.2939512088</v>
      </c>
      <c r="AH748" s="87" t="str">
        <f>IF(H748="shared-count-once",COUNTIFS($A$2:$A$1353,A748,$B$2:$B$1353,B748,$E$2:$E$1353,E748),1)</f>
      </c>
    </row>
    <row r="749">
      <c r="A749" t="s">
        <v>75</v>
      </c>
      <c r="B749" s="59" t="n">
        <v>2044</v>
      </c>
      <c r="C749" t="s">
        <v>186</v>
      </c>
      <c r="D749" t="s">
        <v>190</v>
      </c>
      <c r="E749" s="60" t="s">
        <v>263</v>
      </c>
      <c r="F749" s="61" t="s">
        <v>264</v>
      </c>
      <c r="G749" s="62" t="s">
        <v>187</v>
      </c>
      <c r="H749" s="63" t="s">
        <v>195</v>
      </c>
      <c r="I749" s="64" t="s">
        <v>267</v>
      </c>
      <c r="J749" s="65" t="str">
        <f>IFERROR(INDEX('Cost_Components'!$K$2:$K$27,MATCH(E749,'Cost_Components'!$A$2:$A$27,0)),"")</f>
      </c>
      <c r="K749" s="66" t="str">
        <f>IF(OR(L749="",Z749="",AA749="",AB749=""),"",IF(B749&lt;AA749,L749,IF(B749&gt;AB749,Z749,L749+(Z749-L749)*MIN(MAX((B749-AA749+1)/MAX(AB749-AA749+1,1),0),1))))</f>
      </c>
      <c r="L749" s="67" t="str">
        <f>IFERROR(INDEX('Cost_Components'!$S$2:$S$27,MATCH(E749,'Cost_Components'!$A$2:$A$27,0)),"")</f>
      </c>
      <c r="M749" s="68" t="str">
        <f>IFERROR(INDEX('Cost_Components'!$L$2:$L$27,MATCH(E749,'Cost_Components'!$A$2:$A$27,0)),"")</f>
      </c>
      <c r="N749" s="69" t="str">
        <f>IFERROR(INDEX('Cost_Components'!$P$2:$P$27,MATCH(E749,'Cost_Components'!$A$2:$A$27,0)),"")</f>
      </c>
      <c r="O749" s="70" t="str">
        <f>AF749*J749</f>
      </c>
      <c r="P749" s="71" t="str">
        <f>AG749*J749</f>
      </c>
      <c r="Q749" s="72" t="str">
        <f>P749*L749*M749*N749</f>
      </c>
      <c r="R749" s="73" t="str">
        <f>O749*K749*M749*N749</f>
      </c>
      <c r="S749" s="74" t="str">
        <f>R749-Q749</f>
      </c>
      <c r="T749" s="20" t="str">
        <f>IFERROR(INDEX('Cost_Components'!$R$2:$R$27,MATCH(E749,'Cost_Components'!$A$2:$A$27,0)),"")</f>
      </c>
      <c r="U749" s="75" t="str">
        <f>IFERROR(INDEX('Cost_Components'!$Q$2:$Q$27,MATCH(E749,'Cost_Components'!$A$2:$A$27,0)),"")</f>
      </c>
      <c r="V749" s="76" t="str">
        <f>1/(1+'Calculation_Assumptions'!$B$5)^(B749-'Calculation_Assumptions'!$B$2)</f>
      </c>
      <c r="W749" s="77" t="str">
        <f>Q749*V749</f>
      </c>
      <c r="X749" s="78" t="str">
        <f>R749*V749</f>
      </c>
      <c r="Y749" s="79" t="str">
        <f>S749*V749</f>
      </c>
      <c r="Z749" s="80" t="str">
        <f>IFERROR(INDEX('Cost_Components'!$T$2:$T$27,MATCH(E749,'Cost_Components'!$A$2:$A$27,0)),"")</f>
      </c>
      <c r="AA749" s="81" t="str">
        <f>IFERROR(INDEX('Cost_Components'!$U$2:$U$27,MATCH(E749,'Cost_Components'!$A$2:$A$27,0)),"")</f>
      </c>
      <c r="AB749" s="82" t="str">
        <f>IFERROR(INDEX('Cost_Components'!$V$2:$V$27,MATCH(E749,'Cost_Components'!$A$2:$A$27,0)),"")</f>
      </c>
      <c r="AC749" s="83" t="str">
        <f>IFERROR(INDEX('Cost_Components'!$M$2:$M$27,MATCH(E749,'Cost_Components'!$A$2:$A$27,0)),"")</f>
      </c>
      <c r="AD749" s="84" t="str">
        <f>IFERROR(INDEX('Cost_Components'!$N$2:$N$27,MATCH(E749,'Cost_Components'!$A$2:$A$27,0)),"")</f>
      </c>
      <c r="AE749" s="20" t="str">
        <f>IFERROR(INDEX('Cost_Components'!$O$2:$O$27,MATCH(E749,'Cost_Components'!$A$2:$A$27,0)),"")</f>
      </c>
      <c r="AF749" s="85" t="n">
        <v>103248.860502215</v>
      </c>
      <c r="AG749" s="86" t="n">
        <v>91545.0470671618</v>
      </c>
      <c r="AH749" s="87" t="str">
        <f>IF(H749="shared-count-once",COUNTIFS($A$2:$A$1353,A749,$B$2:$B$1353,B749,$E$2:$E$1353,E749),1)</f>
      </c>
    </row>
    <row r="750">
      <c r="A750" t="s">
        <v>75</v>
      </c>
      <c r="B750" s="59" t="n">
        <v>2045</v>
      </c>
      <c r="C750" t="s">
        <v>186</v>
      </c>
      <c r="D750" t="s">
        <v>190</v>
      </c>
      <c r="E750" s="60" t="s">
        <v>263</v>
      </c>
      <c r="F750" s="61" t="s">
        <v>264</v>
      </c>
      <c r="G750" s="62" t="s">
        <v>187</v>
      </c>
      <c r="H750" s="63" t="s">
        <v>195</v>
      </c>
      <c r="I750" s="64" t="s">
        <v>267</v>
      </c>
      <c r="J750" s="65" t="str">
        <f>IFERROR(INDEX('Cost_Components'!$K$2:$K$27,MATCH(E750,'Cost_Components'!$A$2:$A$27,0)),"")</f>
      </c>
      <c r="K750" s="66" t="str">
        <f>IF(OR(L750="",Z750="",AA750="",AB750=""),"",IF(B750&lt;AA750,L750,IF(B750&gt;AB750,Z750,L750+(Z750-L750)*MIN(MAX((B750-AA750+1)/MAX(AB750-AA750+1,1),0),1))))</f>
      </c>
      <c r="L750" s="67" t="str">
        <f>IFERROR(INDEX('Cost_Components'!$S$2:$S$27,MATCH(E750,'Cost_Components'!$A$2:$A$27,0)),"")</f>
      </c>
      <c r="M750" s="68" t="str">
        <f>IFERROR(INDEX('Cost_Components'!$L$2:$L$27,MATCH(E750,'Cost_Components'!$A$2:$A$27,0)),"")</f>
      </c>
      <c r="N750" s="69" t="str">
        <f>IFERROR(INDEX('Cost_Components'!$P$2:$P$27,MATCH(E750,'Cost_Components'!$A$2:$A$27,0)),"")</f>
      </c>
      <c r="O750" s="70" t="str">
        <f>AF750*J750</f>
      </c>
      <c r="P750" s="71" t="str">
        <f>AG750*J750</f>
      </c>
      <c r="Q750" s="72" t="str">
        <f>P750*L750*M750*N750</f>
      </c>
      <c r="R750" s="73" t="str">
        <f>O750*K750*M750*N750</f>
      </c>
      <c r="S750" s="74" t="str">
        <f>R750-Q750</f>
      </c>
      <c r="T750" s="20" t="str">
        <f>IFERROR(INDEX('Cost_Components'!$R$2:$R$27,MATCH(E750,'Cost_Components'!$A$2:$A$27,0)),"")</f>
      </c>
      <c r="U750" s="75" t="str">
        <f>IFERROR(INDEX('Cost_Components'!$Q$2:$Q$27,MATCH(E750,'Cost_Components'!$A$2:$A$27,0)),"")</f>
      </c>
      <c r="V750" s="76" t="str">
        <f>1/(1+'Calculation_Assumptions'!$B$5)^(B750-'Calculation_Assumptions'!$B$2)</f>
      </c>
      <c r="W750" s="77" t="str">
        <f>Q750*V750</f>
      </c>
      <c r="X750" s="78" t="str">
        <f>R750*V750</f>
      </c>
      <c r="Y750" s="79" t="str">
        <f>S750*V750</f>
      </c>
      <c r="Z750" s="80" t="str">
        <f>IFERROR(INDEX('Cost_Components'!$T$2:$T$27,MATCH(E750,'Cost_Components'!$A$2:$A$27,0)),"")</f>
      </c>
      <c r="AA750" s="81" t="str">
        <f>IFERROR(INDEX('Cost_Components'!$U$2:$U$27,MATCH(E750,'Cost_Components'!$A$2:$A$27,0)),"")</f>
      </c>
      <c r="AB750" s="82" t="str">
        <f>IFERROR(INDEX('Cost_Components'!$V$2:$V$27,MATCH(E750,'Cost_Components'!$A$2:$A$27,0)),"")</f>
      </c>
      <c r="AC750" s="83" t="str">
        <f>IFERROR(INDEX('Cost_Components'!$M$2:$M$27,MATCH(E750,'Cost_Components'!$A$2:$A$27,0)),"")</f>
      </c>
      <c r="AD750" s="84" t="str">
        <f>IFERROR(INDEX('Cost_Components'!$N$2:$N$27,MATCH(E750,'Cost_Components'!$A$2:$A$27,0)),"")</f>
      </c>
      <c r="AE750" s="20" t="str">
        <f>IFERROR(INDEX('Cost_Components'!$O$2:$O$27,MATCH(E750,'Cost_Components'!$A$2:$A$27,0)),"")</f>
      </c>
      <c r="AF750" s="85" t="n">
        <v>106926.329586696</v>
      </c>
      <c r="AG750" s="86" t="n">
        <v>94122.9803438782</v>
      </c>
      <c r="AH750" s="87" t="str">
        <f>IF(H750="shared-count-once",COUNTIFS($A$2:$A$1353,A750,$B$2:$B$1353,B750,$E$2:$E$1353,E750),1)</f>
      </c>
    </row>
    <row r="751">
      <c r="A751" t="s">
        <v>75</v>
      </c>
      <c r="B751" s="59" t="n">
        <v>2046</v>
      </c>
      <c r="C751" t="s">
        <v>186</v>
      </c>
      <c r="D751" t="s">
        <v>190</v>
      </c>
      <c r="E751" s="60" t="s">
        <v>263</v>
      </c>
      <c r="F751" s="61" t="s">
        <v>264</v>
      </c>
      <c r="G751" s="62" t="s">
        <v>187</v>
      </c>
      <c r="H751" s="63" t="s">
        <v>195</v>
      </c>
      <c r="I751" s="64" t="s">
        <v>267</v>
      </c>
      <c r="J751" s="65" t="str">
        <f>IFERROR(INDEX('Cost_Components'!$K$2:$K$27,MATCH(E751,'Cost_Components'!$A$2:$A$27,0)),"")</f>
      </c>
      <c r="K751" s="66" t="str">
        <f>IF(OR(L751="",Z751="",AA751="",AB751=""),"",IF(B751&lt;AA751,L751,IF(B751&gt;AB751,Z751,L751+(Z751-L751)*MIN(MAX((B751-AA751+1)/MAX(AB751-AA751+1,1),0),1))))</f>
      </c>
      <c r="L751" s="67" t="str">
        <f>IFERROR(INDEX('Cost_Components'!$S$2:$S$27,MATCH(E751,'Cost_Components'!$A$2:$A$27,0)),"")</f>
      </c>
      <c r="M751" s="68" t="str">
        <f>IFERROR(INDEX('Cost_Components'!$L$2:$L$27,MATCH(E751,'Cost_Components'!$A$2:$A$27,0)),"")</f>
      </c>
      <c r="N751" s="69" t="str">
        <f>IFERROR(INDEX('Cost_Components'!$P$2:$P$27,MATCH(E751,'Cost_Components'!$A$2:$A$27,0)),"")</f>
      </c>
      <c r="O751" s="70" t="str">
        <f>AF751*J751</f>
      </c>
      <c r="P751" s="71" t="str">
        <f>AG751*J751</f>
      </c>
      <c r="Q751" s="72" t="str">
        <f>P751*L751*M751*N751</f>
      </c>
      <c r="R751" s="73" t="str">
        <f>O751*K751*M751*N751</f>
      </c>
      <c r="S751" s="74" t="str">
        <f>R751-Q751</f>
      </c>
      <c r="T751" s="20" t="str">
        <f>IFERROR(INDEX('Cost_Components'!$R$2:$R$27,MATCH(E751,'Cost_Components'!$A$2:$A$27,0)),"")</f>
      </c>
      <c r="U751" s="75" t="str">
        <f>IFERROR(INDEX('Cost_Components'!$Q$2:$Q$27,MATCH(E751,'Cost_Components'!$A$2:$A$27,0)),"")</f>
      </c>
      <c r="V751" s="76" t="str">
        <f>1/(1+'Calculation_Assumptions'!$B$5)^(B751-'Calculation_Assumptions'!$B$2)</f>
      </c>
      <c r="W751" s="77" t="str">
        <f>Q751*V751</f>
      </c>
      <c r="X751" s="78" t="str">
        <f>R751*V751</f>
      </c>
      <c r="Y751" s="79" t="str">
        <f>S751*V751</f>
      </c>
      <c r="Z751" s="80" t="str">
        <f>IFERROR(INDEX('Cost_Components'!$T$2:$T$27,MATCH(E751,'Cost_Components'!$A$2:$A$27,0)),"")</f>
      </c>
      <c r="AA751" s="81" t="str">
        <f>IFERROR(INDEX('Cost_Components'!$U$2:$U$27,MATCH(E751,'Cost_Components'!$A$2:$A$27,0)),"")</f>
      </c>
      <c r="AB751" s="82" t="str">
        <f>IFERROR(INDEX('Cost_Components'!$V$2:$V$27,MATCH(E751,'Cost_Components'!$A$2:$A$27,0)),"")</f>
      </c>
      <c r="AC751" s="83" t="str">
        <f>IFERROR(INDEX('Cost_Components'!$M$2:$M$27,MATCH(E751,'Cost_Components'!$A$2:$A$27,0)),"")</f>
      </c>
      <c r="AD751" s="84" t="str">
        <f>IFERROR(INDEX('Cost_Components'!$N$2:$N$27,MATCH(E751,'Cost_Components'!$A$2:$A$27,0)),"")</f>
      </c>
      <c r="AE751" s="20" t="str">
        <f>IFERROR(INDEX('Cost_Components'!$O$2:$O$27,MATCH(E751,'Cost_Components'!$A$2:$A$27,0)),"")</f>
      </c>
      <c r="AF751" s="85" t="n">
        <v>110665.468521632</v>
      </c>
      <c r="AG751" s="86" t="n">
        <v>96710.2383689652</v>
      </c>
      <c r="AH751" s="87" t="str">
        <f>IF(H751="shared-count-once",COUNTIFS($A$2:$A$1353,A751,$B$2:$B$1353,B751,$E$2:$E$1353,E751),1)</f>
      </c>
    </row>
    <row r="752">
      <c r="A752" t="s">
        <v>75</v>
      </c>
      <c r="B752" s="59" t="n">
        <v>2047</v>
      </c>
      <c r="C752" t="s">
        <v>186</v>
      </c>
      <c r="D752" t="s">
        <v>190</v>
      </c>
      <c r="E752" s="60" t="s">
        <v>263</v>
      </c>
      <c r="F752" s="61" t="s">
        <v>264</v>
      </c>
      <c r="G752" s="62" t="s">
        <v>187</v>
      </c>
      <c r="H752" s="63" t="s">
        <v>195</v>
      </c>
      <c r="I752" s="64" t="s">
        <v>267</v>
      </c>
      <c r="J752" s="65" t="str">
        <f>IFERROR(INDEX('Cost_Components'!$K$2:$K$27,MATCH(E752,'Cost_Components'!$A$2:$A$27,0)),"")</f>
      </c>
      <c r="K752" s="66" t="str">
        <f>IF(OR(L752="",Z752="",AA752="",AB752=""),"",IF(B752&lt;AA752,L752,IF(B752&gt;AB752,Z752,L752+(Z752-L752)*MIN(MAX((B752-AA752+1)/MAX(AB752-AA752+1,1),0),1))))</f>
      </c>
      <c r="L752" s="67" t="str">
        <f>IFERROR(INDEX('Cost_Components'!$S$2:$S$27,MATCH(E752,'Cost_Components'!$A$2:$A$27,0)),"")</f>
      </c>
      <c r="M752" s="68" t="str">
        <f>IFERROR(INDEX('Cost_Components'!$L$2:$L$27,MATCH(E752,'Cost_Components'!$A$2:$A$27,0)),"")</f>
      </c>
      <c r="N752" s="69" t="str">
        <f>IFERROR(INDEX('Cost_Components'!$P$2:$P$27,MATCH(E752,'Cost_Components'!$A$2:$A$27,0)),"")</f>
      </c>
      <c r="O752" s="70" t="str">
        <f>AF752*J752</f>
      </c>
      <c r="P752" s="71" t="str">
        <f>AG752*J752</f>
      </c>
      <c r="Q752" s="72" t="str">
        <f>P752*L752*M752*N752</f>
      </c>
      <c r="R752" s="73" t="str">
        <f>O752*K752*M752*N752</f>
      </c>
      <c r="S752" s="74" t="str">
        <f>R752-Q752</f>
      </c>
      <c r="T752" s="20" t="str">
        <f>IFERROR(INDEX('Cost_Components'!$R$2:$R$27,MATCH(E752,'Cost_Components'!$A$2:$A$27,0)),"")</f>
      </c>
      <c r="U752" s="75" t="str">
        <f>IFERROR(INDEX('Cost_Components'!$Q$2:$Q$27,MATCH(E752,'Cost_Components'!$A$2:$A$27,0)),"")</f>
      </c>
      <c r="V752" s="76" t="str">
        <f>1/(1+'Calculation_Assumptions'!$B$5)^(B752-'Calculation_Assumptions'!$B$2)</f>
      </c>
      <c r="W752" s="77" t="str">
        <f>Q752*V752</f>
      </c>
      <c r="X752" s="78" t="str">
        <f>R752*V752</f>
      </c>
      <c r="Y752" s="79" t="str">
        <f>S752*V752</f>
      </c>
      <c r="Z752" s="80" t="str">
        <f>IFERROR(INDEX('Cost_Components'!$T$2:$T$27,MATCH(E752,'Cost_Components'!$A$2:$A$27,0)),"")</f>
      </c>
      <c r="AA752" s="81" t="str">
        <f>IFERROR(INDEX('Cost_Components'!$U$2:$U$27,MATCH(E752,'Cost_Components'!$A$2:$A$27,0)),"")</f>
      </c>
      <c r="AB752" s="82" t="str">
        <f>IFERROR(INDEX('Cost_Components'!$V$2:$V$27,MATCH(E752,'Cost_Components'!$A$2:$A$27,0)),"")</f>
      </c>
      <c r="AC752" s="83" t="str">
        <f>IFERROR(INDEX('Cost_Components'!$M$2:$M$27,MATCH(E752,'Cost_Components'!$A$2:$A$27,0)),"")</f>
      </c>
      <c r="AD752" s="84" t="str">
        <f>IFERROR(INDEX('Cost_Components'!$N$2:$N$27,MATCH(E752,'Cost_Components'!$A$2:$A$27,0)),"")</f>
      </c>
      <c r="AE752" s="20" t="str">
        <f>IFERROR(INDEX('Cost_Components'!$O$2:$O$27,MATCH(E752,'Cost_Components'!$A$2:$A$27,0)),"")</f>
      </c>
      <c r="AF752" s="85" t="n">
        <v>114350.104329915</v>
      </c>
      <c r="AG752" s="86" t="n">
        <v>99192.121304842</v>
      </c>
      <c r="AH752" s="87" t="str">
        <f>IF(H752="shared-count-once",COUNTIFS($A$2:$A$1353,A752,$B$2:$B$1353,B752,$E$2:$E$1353,E752),1)</f>
      </c>
    </row>
    <row r="753">
      <c r="A753" t="s">
        <v>75</v>
      </c>
      <c r="B753" s="59" t="n">
        <v>2048</v>
      </c>
      <c r="C753" t="s">
        <v>186</v>
      </c>
      <c r="D753" t="s">
        <v>190</v>
      </c>
      <c r="E753" s="60" t="s">
        <v>263</v>
      </c>
      <c r="F753" s="61" t="s">
        <v>264</v>
      </c>
      <c r="G753" s="62" t="s">
        <v>187</v>
      </c>
      <c r="H753" s="63" t="s">
        <v>195</v>
      </c>
      <c r="I753" s="64" t="s">
        <v>267</v>
      </c>
      <c r="J753" s="65" t="str">
        <f>IFERROR(INDEX('Cost_Components'!$K$2:$K$27,MATCH(E753,'Cost_Components'!$A$2:$A$27,0)),"")</f>
      </c>
      <c r="K753" s="66" t="str">
        <f>IF(OR(L753="",Z753="",AA753="",AB753=""),"",IF(B753&lt;AA753,L753,IF(B753&gt;AB753,Z753,L753+(Z753-L753)*MIN(MAX((B753-AA753+1)/MAX(AB753-AA753+1,1),0),1))))</f>
      </c>
      <c r="L753" s="67" t="str">
        <f>IFERROR(INDEX('Cost_Components'!$S$2:$S$27,MATCH(E753,'Cost_Components'!$A$2:$A$27,0)),"")</f>
      </c>
      <c r="M753" s="68" t="str">
        <f>IFERROR(INDEX('Cost_Components'!$L$2:$L$27,MATCH(E753,'Cost_Components'!$A$2:$A$27,0)),"")</f>
      </c>
      <c r="N753" s="69" t="str">
        <f>IFERROR(INDEX('Cost_Components'!$P$2:$P$27,MATCH(E753,'Cost_Components'!$A$2:$A$27,0)),"")</f>
      </c>
      <c r="O753" s="70" t="str">
        <f>AF753*J753</f>
      </c>
      <c r="P753" s="71" t="str">
        <f>AG753*J753</f>
      </c>
      <c r="Q753" s="72" t="str">
        <f>P753*L753*M753*N753</f>
      </c>
      <c r="R753" s="73" t="str">
        <f>O753*K753*M753*N753</f>
      </c>
      <c r="S753" s="74" t="str">
        <f>R753-Q753</f>
      </c>
      <c r="T753" s="20" t="str">
        <f>IFERROR(INDEX('Cost_Components'!$R$2:$R$27,MATCH(E753,'Cost_Components'!$A$2:$A$27,0)),"")</f>
      </c>
      <c r="U753" s="75" t="str">
        <f>IFERROR(INDEX('Cost_Components'!$Q$2:$Q$27,MATCH(E753,'Cost_Components'!$A$2:$A$27,0)),"")</f>
      </c>
      <c r="V753" s="76" t="str">
        <f>1/(1+'Calculation_Assumptions'!$B$5)^(B753-'Calculation_Assumptions'!$B$2)</f>
      </c>
      <c r="W753" s="77" t="str">
        <f>Q753*V753</f>
      </c>
      <c r="X753" s="78" t="str">
        <f>R753*V753</f>
      </c>
      <c r="Y753" s="79" t="str">
        <f>S753*V753</f>
      </c>
      <c r="Z753" s="80" t="str">
        <f>IFERROR(INDEX('Cost_Components'!$T$2:$T$27,MATCH(E753,'Cost_Components'!$A$2:$A$27,0)),"")</f>
      </c>
      <c r="AA753" s="81" t="str">
        <f>IFERROR(INDEX('Cost_Components'!$U$2:$U$27,MATCH(E753,'Cost_Components'!$A$2:$A$27,0)),"")</f>
      </c>
      <c r="AB753" s="82" t="str">
        <f>IFERROR(INDEX('Cost_Components'!$V$2:$V$27,MATCH(E753,'Cost_Components'!$A$2:$A$27,0)),"")</f>
      </c>
      <c r="AC753" s="83" t="str">
        <f>IFERROR(INDEX('Cost_Components'!$M$2:$M$27,MATCH(E753,'Cost_Components'!$A$2:$A$27,0)),"")</f>
      </c>
      <c r="AD753" s="84" t="str">
        <f>IFERROR(INDEX('Cost_Components'!$N$2:$N$27,MATCH(E753,'Cost_Components'!$A$2:$A$27,0)),"")</f>
      </c>
      <c r="AE753" s="20" t="str">
        <f>IFERROR(INDEX('Cost_Components'!$O$2:$O$27,MATCH(E753,'Cost_Components'!$A$2:$A$27,0)),"")</f>
      </c>
      <c r="AF753" s="85" t="n">
        <v>118090.856515841</v>
      </c>
      <c r="AG753" s="86" t="n">
        <v>101683.216698398</v>
      </c>
      <c r="AH753" s="87" t="str">
        <f>IF(H753="shared-count-once",COUNTIFS($A$2:$A$1353,A753,$B$2:$B$1353,B753,$E$2:$E$1353,E753),1)</f>
      </c>
    </row>
    <row r="754">
      <c r="A754" t="s">
        <v>75</v>
      </c>
      <c r="B754" s="59" t="n">
        <v>2049</v>
      </c>
      <c r="C754" t="s">
        <v>186</v>
      </c>
      <c r="D754" t="s">
        <v>190</v>
      </c>
      <c r="E754" s="60" t="s">
        <v>263</v>
      </c>
      <c r="F754" s="61" t="s">
        <v>264</v>
      </c>
      <c r="G754" s="62" t="s">
        <v>187</v>
      </c>
      <c r="H754" s="63" t="s">
        <v>195</v>
      </c>
      <c r="I754" s="64" t="s">
        <v>267</v>
      </c>
      <c r="J754" s="65" t="str">
        <f>IFERROR(INDEX('Cost_Components'!$K$2:$K$27,MATCH(E754,'Cost_Components'!$A$2:$A$27,0)),"")</f>
      </c>
      <c r="K754" s="66" t="str">
        <f>IF(OR(L754="",Z754="",AA754="",AB754=""),"",IF(B754&lt;AA754,L754,IF(B754&gt;AB754,Z754,L754+(Z754-L754)*MIN(MAX((B754-AA754+1)/MAX(AB754-AA754+1,1),0),1))))</f>
      </c>
      <c r="L754" s="67" t="str">
        <f>IFERROR(INDEX('Cost_Components'!$S$2:$S$27,MATCH(E754,'Cost_Components'!$A$2:$A$27,0)),"")</f>
      </c>
      <c r="M754" s="68" t="str">
        <f>IFERROR(INDEX('Cost_Components'!$L$2:$L$27,MATCH(E754,'Cost_Components'!$A$2:$A$27,0)),"")</f>
      </c>
      <c r="N754" s="69" t="str">
        <f>IFERROR(INDEX('Cost_Components'!$P$2:$P$27,MATCH(E754,'Cost_Components'!$A$2:$A$27,0)),"")</f>
      </c>
      <c r="O754" s="70" t="str">
        <f>AF754*J754</f>
      </c>
      <c r="P754" s="71" t="str">
        <f>AG754*J754</f>
      </c>
      <c r="Q754" s="72" t="str">
        <f>P754*L754*M754*N754</f>
      </c>
      <c r="R754" s="73" t="str">
        <f>O754*K754*M754*N754</f>
      </c>
      <c r="S754" s="74" t="str">
        <f>R754-Q754</f>
      </c>
      <c r="T754" s="20" t="str">
        <f>IFERROR(INDEX('Cost_Components'!$R$2:$R$27,MATCH(E754,'Cost_Components'!$A$2:$A$27,0)),"")</f>
      </c>
      <c r="U754" s="75" t="str">
        <f>IFERROR(INDEX('Cost_Components'!$Q$2:$Q$27,MATCH(E754,'Cost_Components'!$A$2:$A$27,0)),"")</f>
      </c>
      <c r="V754" s="76" t="str">
        <f>1/(1+'Calculation_Assumptions'!$B$5)^(B754-'Calculation_Assumptions'!$B$2)</f>
      </c>
      <c r="W754" s="77" t="str">
        <f>Q754*V754</f>
      </c>
      <c r="X754" s="78" t="str">
        <f>R754*V754</f>
      </c>
      <c r="Y754" s="79" t="str">
        <f>S754*V754</f>
      </c>
      <c r="Z754" s="80" t="str">
        <f>IFERROR(INDEX('Cost_Components'!$T$2:$T$27,MATCH(E754,'Cost_Components'!$A$2:$A$27,0)),"")</f>
      </c>
      <c r="AA754" s="81" t="str">
        <f>IFERROR(INDEX('Cost_Components'!$U$2:$U$27,MATCH(E754,'Cost_Components'!$A$2:$A$27,0)),"")</f>
      </c>
      <c r="AB754" s="82" t="str">
        <f>IFERROR(INDEX('Cost_Components'!$V$2:$V$27,MATCH(E754,'Cost_Components'!$A$2:$A$27,0)),"")</f>
      </c>
      <c r="AC754" s="83" t="str">
        <f>IFERROR(INDEX('Cost_Components'!$M$2:$M$27,MATCH(E754,'Cost_Components'!$A$2:$A$27,0)),"")</f>
      </c>
      <c r="AD754" s="84" t="str">
        <f>IFERROR(INDEX('Cost_Components'!$N$2:$N$27,MATCH(E754,'Cost_Components'!$A$2:$A$27,0)),"")</f>
      </c>
      <c r="AE754" s="20" t="str">
        <f>IFERROR(INDEX('Cost_Components'!$O$2:$O$27,MATCH(E754,'Cost_Components'!$A$2:$A$27,0)),"")</f>
      </c>
      <c r="AF754" s="85" t="n">
        <v>121873.407460011</v>
      </c>
      <c r="AG754" s="86" t="n">
        <v>104169.606592369</v>
      </c>
      <c r="AH754" s="87" t="str">
        <f>IF(H754="shared-count-once",COUNTIFS($A$2:$A$1353,A754,$B$2:$B$1353,B754,$E$2:$E$1353,E754),1)</f>
      </c>
    </row>
    <row r="755">
      <c r="A755" t="s">
        <v>75</v>
      </c>
      <c r="B755" s="59" t="n">
        <v>2050</v>
      </c>
      <c r="C755" t="s">
        <v>186</v>
      </c>
      <c r="D755" t="s">
        <v>190</v>
      </c>
      <c r="E755" s="60" t="s">
        <v>263</v>
      </c>
      <c r="F755" s="61" t="s">
        <v>264</v>
      </c>
      <c r="G755" s="62" t="s">
        <v>187</v>
      </c>
      <c r="H755" s="63" t="s">
        <v>195</v>
      </c>
      <c r="I755" s="64" t="s">
        <v>267</v>
      </c>
      <c r="J755" s="65" t="str">
        <f>IFERROR(INDEX('Cost_Components'!$K$2:$K$27,MATCH(E755,'Cost_Components'!$A$2:$A$27,0)),"")</f>
      </c>
      <c r="K755" s="66" t="str">
        <f>IF(OR(L755="",Z755="",AA755="",AB755=""),"",IF(B755&lt;AA755,L755,IF(B755&gt;AB755,Z755,L755+(Z755-L755)*MIN(MAX((B755-AA755+1)/MAX(AB755-AA755+1,1),0),1))))</f>
      </c>
      <c r="L755" s="67" t="str">
        <f>IFERROR(INDEX('Cost_Components'!$S$2:$S$27,MATCH(E755,'Cost_Components'!$A$2:$A$27,0)),"")</f>
      </c>
      <c r="M755" s="68" t="str">
        <f>IFERROR(INDEX('Cost_Components'!$L$2:$L$27,MATCH(E755,'Cost_Components'!$A$2:$A$27,0)),"")</f>
      </c>
      <c r="N755" s="69" t="str">
        <f>IFERROR(INDEX('Cost_Components'!$P$2:$P$27,MATCH(E755,'Cost_Components'!$A$2:$A$27,0)),"")</f>
      </c>
      <c r="O755" s="70" t="str">
        <f>AF755*J755</f>
      </c>
      <c r="P755" s="71" t="str">
        <f>AG755*J755</f>
      </c>
      <c r="Q755" s="72" t="str">
        <f>P755*L755*M755*N755</f>
      </c>
      <c r="R755" s="73" t="str">
        <f>O755*K755*M755*N755</f>
      </c>
      <c r="S755" s="74" t="str">
        <f>R755-Q755</f>
      </c>
      <c r="T755" s="20" t="str">
        <f>IFERROR(INDEX('Cost_Components'!$R$2:$R$27,MATCH(E755,'Cost_Components'!$A$2:$A$27,0)),"")</f>
      </c>
      <c r="U755" s="75" t="str">
        <f>IFERROR(INDEX('Cost_Components'!$Q$2:$Q$27,MATCH(E755,'Cost_Components'!$A$2:$A$27,0)),"")</f>
      </c>
      <c r="V755" s="76" t="str">
        <f>1/(1+'Calculation_Assumptions'!$B$5)^(B755-'Calculation_Assumptions'!$B$2)</f>
      </c>
      <c r="W755" s="77" t="str">
        <f>Q755*V755</f>
      </c>
      <c r="X755" s="78" t="str">
        <f>R755*V755</f>
      </c>
      <c r="Y755" s="79" t="str">
        <f>S755*V755</f>
      </c>
      <c r="Z755" s="80" t="str">
        <f>IFERROR(INDEX('Cost_Components'!$T$2:$T$27,MATCH(E755,'Cost_Components'!$A$2:$A$27,0)),"")</f>
      </c>
      <c r="AA755" s="81" t="str">
        <f>IFERROR(INDEX('Cost_Components'!$U$2:$U$27,MATCH(E755,'Cost_Components'!$A$2:$A$27,0)),"")</f>
      </c>
      <c r="AB755" s="82" t="str">
        <f>IFERROR(INDEX('Cost_Components'!$V$2:$V$27,MATCH(E755,'Cost_Components'!$A$2:$A$27,0)),"")</f>
      </c>
      <c r="AC755" s="83" t="str">
        <f>IFERROR(INDEX('Cost_Components'!$M$2:$M$27,MATCH(E755,'Cost_Components'!$A$2:$A$27,0)),"")</f>
      </c>
      <c r="AD755" s="84" t="str">
        <f>IFERROR(INDEX('Cost_Components'!$N$2:$N$27,MATCH(E755,'Cost_Components'!$A$2:$A$27,0)),"")</f>
      </c>
      <c r="AE755" s="20" t="str">
        <f>IFERROR(INDEX('Cost_Components'!$O$2:$O$27,MATCH(E755,'Cost_Components'!$A$2:$A$27,0)),"")</f>
      </c>
      <c r="AF755" s="85" t="n">
        <v>125699.235061027</v>
      </c>
      <c r="AG755" s="86" t="n">
        <v>106653.813475881</v>
      </c>
      <c r="AH755" s="87" t="str">
        <f>IF(H755="shared-count-once",COUNTIFS($A$2:$A$1353,A755,$B$2:$B$1353,B755,$E$2:$E$1353,E755),1)</f>
      </c>
    </row>
    <row r="756">
      <c r="A756" t="s">
        <v>75</v>
      </c>
      <c r="B756" s="59" t="n">
        <v>2025</v>
      </c>
      <c r="C756" t="s">
        <v>186</v>
      </c>
      <c r="D756" t="s">
        <v>166</v>
      </c>
      <c r="E756" s="60" t="s">
        <v>268</v>
      </c>
      <c r="F756" s="61" t="s">
        <v>269</v>
      </c>
      <c r="G756" s="62" t="s">
        <v>196</v>
      </c>
      <c r="H756" s="63" t="s">
        <v>195</v>
      </c>
      <c r="I756" s="64" t="s">
        <v>267</v>
      </c>
      <c r="J756" s="65" t="str">
        <f>IFERROR(INDEX('Cost_Components'!$K$2:$K$27,MATCH(E756,'Cost_Components'!$A$2:$A$27,0)),"")</f>
      </c>
      <c r="K756" s="66" t="str">
        <f>IF(OR(L756="",Z756="",AA756="",AB756=""),"",IF(B756&lt;AA756,L756,IF(B756&gt;AB756,Z756,L756+(Z756-L756)*MIN(MAX((B756-AA756+1)/MAX(AB756-AA756+1,1),0),1))))</f>
      </c>
      <c r="L756" s="67" t="str">
        <f>IFERROR(INDEX('Cost_Components'!$S$2:$S$27,MATCH(E756,'Cost_Components'!$A$2:$A$27,0)),"")</f>
      </c>
      <c r="M756" s="68" t="str">
        <f>IFERROR(INDEX('Cost_Components'!$L$2:$L$27,MATCH(E756,'Cost_Components'!$A$2:$A$27,0)),"")</f>
      </c>
      <c r="N756" s="69" t="str">
        <f>IFERROR(INDEX('Cost_Components'!$P$2:$P$27,MATCH(E756,'Cost_Components'!$A$2:$A$27,0)),"")</f>
      </c>
      <c r="O756" s="70" t="str">
        <f>AF756*J756</f>
      </c>
      <c r="P756" s="71" t="str">
        <f>AG756*J756</f>
      </c>
      <c r="Q756" s="72" t="str">
        <f>P756*L756*M756*N756</f>
      </c>
      <c r="R756" s="73" t="str">
        <f>O756*K756*M756*N756</f>
      </c>
      <c r="S756" s="74" t="str">
        <f>R756-Q756</f>
      </c>
      <c r="T756" s="20" t="str">
        <f>IFERROR(INDEX('Cost_Components'!$R$2:$R$27,MATCH(E756,'Cost_Components'!$A$2:$A$27,0)),"")</f>
      </c>
      <c r="U756" s="75" t="str">
        <f>IFERROR(INDEX('Cost_Components'!$Q$2:$Q$27,MATCH(E756,'Cost_Components'!$A$2:$A$27,0)),"")</f>
      </c>
      <c r="V756" s="76" t="str">
        <f>1/(1+'Calculation_Assumptions'!$B$5)^(B756-'Calculation_Assumptions'!$B$2)</f>
      </c>
      <c r="W756" s="77" t="str">
        <f>Q756*V756</f>
      </c>
      <c r="X756" s="78" t="str">
        <f>R756*V756</f>
      </c>
      <c r="Y756" s="79" t="str">
        <f>S756*V756</f>
      </c>
      <c r="Z756" s="80" t="str">
        <f>IFERROR(INDEX('Cost_Components'!$T$2:$T$27,MATCH(E756,'Cost_Components'!$A$2:$A$27,0)),"")</f>
      </c>
      <c r="AA756" s="81" t="str">
        <f>IFERROR(INDEX('Cost_Components'!$U$2:$U$27,MATCH(E756,'Cost_Components'!$A$2:$A$27,0)),"")</f>
      </c>
      <c r="AB756" s="82" t="str">
        <f>IFERROR(INDEX('Cost_Components'!$V$2:$V$27,MATCH(E756,'Cost_Components'!$A$2:$A$27,0)),"")</f>
      </c>
      <c r="AC756" s="83" t="str">
        <f>IFERROR(INDEX('Cost_Components'!$M$2:$M$27,MATCH(E756,'Cost_Components'!$A$2:$A$27,0)),"")</f>
      </c>
      <c r="AD756" s="84" t="str">
        <f>IFERROR(INDEX('Cost_Components'!$N$2:$N$27,MATCH(E756,'Cost_Components'!$A$2:$A$27,0)),"")</f>
      </c>
      <c r="AE756" s="20" t="str">
        <f>IFERROR(INDEX('Cost_Components'!$O$2:$O$27,MATCH(E756,'Cost_Components'!$A$2:$A$27,0)),"")</f>
      </c>
      <c r="AF756" s="85" t="n">
        <v>448015.597009838</v>
      </c>
      <c r="AG756" s="86" t="n">
        <v>448478.89837514</v>
      </c>
      <c r="AH756" s="87" t="str">
        <f>IF(H756="shared-count-once",COUNTIFS($A$2:$A$1353,A756,$B$2:$B$1353,B756,$E$2:$E$1353,E756),1)</f>
      </c>
    </row>
    <row r="757">
      <c r="A757" t="s">
        <v>75</v>
      </c>
      <c r="B757" s="59" t="n">
        <v>2026</v>
      </c>
      <c r="C757" t="s">
        <v>186</v>
      </c>
      <c r="D757" t="s">
        <v>166</v>
      </c>
      <c r="E757" s="60" t="s">
        <v>268</v>
      </c>
      <c r="F757" s="61" t="s">
        <v>269</v>
      </c>
      <c r="G757" s="62" t="s">
        <v>196</v>
      </c>
      <c r="H757" s="63" t="s">
        <v>195</v>
      </c>
      <c r="I757" s="64" t="s">
        <v>267</v>
      </c>
      <c r="J757" s="65" t="str">
        <f>IFERROR(INDEX('Cost_Components'!$K$2:$K$27,MATCH(E757,'Cost_Components'!$A$2:$A$27,0)),"")</f>
      </c>
      <c r="K757" s="66" t="str">
        <f>IF(OR(L757="",Z757="",AA757="",AB757=""),"",IF(B757&lt;AA757,L757,IF(B757&gt;AB757,Z757,L757+(Z757-L757)*MIN(MAX((B757-AA757+1)/MAX(AB757-AA757+1,1),0),1))))</f>
      </c>
      <c r="L757" s="67" t="str">
        <f>IFERROR(INDEX('Cost_Components'!$S$2:$S$27,MATCH(E757,'Cost_Components'!$A$2:$A$27,0)),"")</f>
      </c>
      <c r="M757" s="68" t="str">
        <f>IFERROR(INDEX('Cost_Components'!$L$2:$L$27,MATCH(E757,'Cost_Components'!$A$2:$A$27,0)),"")</f>
      </c>
      <c r="N757" s="69" t="str">
        <f>IFERROR(INDEX('Cost_Components'!$P$2:$P$27,MATCH(E757,'Cost_Components'!$A$2:$A$27,0)),"")</f>
      </c>
      <c r="O757" s="70" t="str">
        <f>AF757*J757</f>
      </c>
      <c r="P757" s="71" t="str">
        <f>AG757*J757</f>
      </c>
      <c r="Q757" s="72" t="str">
        <f>P757*L757*M757*N757</f>
      </c>
      <c r="R757" s="73" t="str">
        <f>O757*K757*M757*N757</f>
      </c>
      <c r="S757" s="74" t="str">
        <f>R757-Q757</f>
      </c>
      <c r="T757" s="20" t="str">
        <f>IFERROR(INDEX('Cost_Components'!$R$2:$R$27,MATCH(E757,'Cost_Components'!$A$2:$A$27,0)),"")</f>
      </c>
      <c r="U757" s="75" t="str">
        <f>IFERROR(INDEX('Cost_Components'!$Q$2:$Q$27,MATCH(E757,'Cost_Components'!$A$2:$A$27,0)),"")</f>
      </c>
      <c r="V757" s="76" t="str">
        <f>1/(1+'Calculation_Assumptions'!$B$5)^(B757-'Calculation_Assumptions'!$B$2)</f>
      </c>
      <c r="W757" s="77" t="str">
        <f>Q757*V757</f>
      </c>
      <c r="X757" s="78" t="str">
        <f>R757*V757</f>
      </c>
      <c r="Y757" s="79" t="str">
        <f>S757*V757</f>
      </c>
      <c r="Z757" s="80" t="str">
        <f>IFERROR(INDEX('Cost_Components'!$T$2:$T$27,MATCH(E757,'Cost_Components'!$A$2:$A$27,0)),"")</f>
      </c>
      <c r="AA757" s="81" t="str">
        <f>IFERROR(INDEX('Cost_Components'!$U$2:$U$27,MATCH(E757,'Cost_Components'!$A$2:$A$27,0)),"")</f>
      </c>
      <c r="AB757" s="82" t="str">
        <f>IFERROR(INDEX('Cost_Components'!$V$2:$V$27,MATCH(E757,'Cost_Components'!$A$2:$A$27,0)),"")</f>
      </c>
      <c r="AC757" s="83" t="str">
        <f>IFERROR(INDEX('Cost_Components'!$M$2:$M$27,MATCH(E757,'Cost_Components'!$A$2:$A$27,0)),"")</f>
      </c>
      <c r="AD757" s="84" t="str">
        <f>IFERROR(INDEX('Cost_Components'!$N$2:$N$27,MATCH(E757,'Cost_Components'!$A$2:$A$27,0)),"")</f>
      </c>
      <c r="AE757" s="20" t="str">
        <f>IFERROR(INDEX('Cost_Components'!$O$2:$O$27,MATCH(E757,'Cost_Components'!$A$2:$A$27,0)),"")</f>
      </c>
      <c r="AF757" s="85" t="n">
        <v>465467.059148994</v>
      </c>
      <c r="AG757" s="86" t="n">
        <v>466784.814466804</v>
      </c>
      <c r="AH757" s="87" t="str">
        <f>IF(H757="shared-count-once",COUNTIFS($A$2:$A$1353,A757,$B$2:$B$1353,B757,$E$2:$E$1353,E757),1)</f>
      </c>
    </row>
    <row r="758">
      <c r="A758" t="s">
        <v>75</v>
      </c>
      <c r="B758" s="59" t="n">
        <v>2027</v>
      </c>
      <c r="C758" t="s">
        <v>186</v>
      </c>
      <c r="D758" t="s">
        <v>166</v>
      </c>
      <c r="E758" s="60" t="s">
        <v>268</v>
      </c>
      <c r="F758" s="61" t="s">
        <v>269</v>
      </c>
      <c r="G758" s="62" t="s">
        <v>196</v>
      </c>
      <c r="H758" s="63" t="s">
        <v>195</v>
      </c>
      <c r="I758" s="64" t="s">
        <v>267</v>
      </c>
      <c r="J758" s="65" t="str">
        <f>IFERROR(INDEX('Cost_Components'!$K$2:$K$27,MATCH(E758,'Cost_Components'!$A$2:$A$27,0)),"")</f>
      </c>
      <c r="K758" s="66" t="str">
        <f>IF(OR(L758="",Z758="",AA758="",AB758=""),"",IF(B758&lt;AA758,L758,IF(B758&gt;AB758,Z758,L758+(Z758-L758)*MIN(MAX((B758-AA758+1)/MAX(AB758-AA758+1,1),0),1))))</f>
      </c>
      <c r="L758" s="67" t="str">
        <f>IFERROR(INDEX('Cost_Components'!$S$2:$S$27,MATCH(E758,'Cost_Components'!$A$2:$A$27,0)),"")</f>
      </c>
      <c r="M758" s="68" t="str">
        <f>IFERROR(INDEX('Cost_Components'!$L$2:$L$27,MATCH(E758,'Cost_Components'!$A$2:$A$27,0)),"")</f>
      </c>
      <c r="N758" s="69" t="str">
        <f>IFERROR(INDEX('Cost_Components'!$P$2:$P$27,MATCH(E758,'Cost_Components'!$A$2:$A$27,0)),"")</f>
      </c>
      <c r="O758" s="70" t="str">
        <f>AF758*J758</f>
      </c>
      <c r="P758" s="71" t="str">
        <f>AG758*J758</f>
      </c>
      <c r="Q758" s="72" t="str">
        <f>P758*L758*M758*N758</f>
      </c>
      <c r="R758" s="73" t="str">
        <f>O758*K758*M758*N758</f>
      </c>
      <c r="S758" s="74" t="str">
        <f>R758-Q758</f>
      </c>
      <c r="T758" s="20" t="str">
        <f>IFERROR(INDEX('Cost_Components'!$R$2:$R$27,MATCH(E758,'Cost_Components'!$A$2:$A$27,0)),"")</f>
      </c>
      <c r="U758" s="75" t="str">
        <f>IFERROR(INDEX('Cost_Components'!$Q$2:$Q$27,MATCH(E758,'Cost_Components'!$A$2:$A$27,0)),"")</f>
      </c>
      <c r="V758" s="76" t="str">
        <f>1/(1+'Calculation_Assumptions'!$B$5)^(B758-'Calculation_Assumptions'!$B$2)</f>
      </c>
      <c r="W758" s="77" t="str">
        <f>Q758*V758</f>
      </c>
      <c r="X758" s="78" t="str">
        <f>R758*V758</f>
      </c>
      <c r="Y758" s="79" t="str">
        <f>S758*V758</f>
      </c>
      <c r="Z758" s="80" t="str">
        <f>IFERROR(INDEX('Cost_Components'!$T$2:$T$27,MATCH(E758,'Cost_Components'!$A$2:$A$27,0)),"")</f>
      </c>
      <c r="AA758" s="81" t="str">
        <f>IFERROR(INDEX('Cost_Components'!$U$2:$U$27,MATCH(E758,'Cost_Components'!$A$2:$A$27,0)),"")</f>
      </c>
      <c r="AB758" s="82" t="str">
        <f>IFERROR(INDEX('Cost_Components'!$V$2:$V$27,MATCH(E758,'Cost_Components'!$A$2:$A$27,0)),"")</f>
      </c>
      <c r="AC758" s="83" t="str">
        <f>IFERROR(INDEX('Cost_Components'!$M$2:$M$27,MATCH(E758,'Cost_Components'!$A$2:$A$27,0)),"")</f>
      </c>
      <c r="AD758" s="84" t="str">
        <f>IFERROR(INDEX('Cost_Components'!$N$2:$N$27,MATCH(E758,'Cost_Components'!$A$2:$A$27,0)),"")</f>
      </c>
      <c r="AE758" s="20" t="str">
        <f>IFERROR(INDEX('Cost_Components'!$O$2:$O$27,MATCH(E758,'Cost_Components'!$A$2:$A$27,0)),"")</f>
      </c>
      <c r="AF758" s="85" t="n">
        <v>479118.851441291</v>
      </c>
      <c r="AG758" s="86" t="n">
        <v>481614.310299758</v>
      </c>
      <c r="AH758" s="87" t="str">
        <f>IF(H758="shared-count-once",COUNTIFS($A$2:$A$1353,A758,$B$2:$B$1353,B758,$E$2:$E$1353,E758),1)</f>
      </c>
    </row>
    <row r="759">
      <c r="A759" t="s">
        <v>75</v>
      </c>
      <c r="B759" s="59" t="n">
        <v>2028</v>
      </c>
      <c r="C759" t="s">
        <v>186</v>
      </c>
      <c r="D759" t="s">
        <v>166</v>
      </c>
      <c r="E759" s="60" t="s">
        <v>268</v>
      </c>
      <c r="F759" s="61" t="s">
        <v>269</v>
      </c>
      <c r="G759" s="62" t="s">
        <v>196</v>
      </c>
      <c r="H759" s="63" t="s">
        <v>195</v>
      </c>
      <c r="I759" s="64" t="s">
        <v>267</v>
      </c>
      <c r="J759" s="65" t="str">
        <f>IFERROR(INDEX('Cost_Components'!$K$2:$K$27,MATCH(E759,'Cost_Components'!$A$2:$A$27,0)),"")</f>
      </c>
      <c r="K759" s="66" t="str">
        <f>IF(OR(L759="",Z759="",AA759="",AB759=""),"",IF(B759&lt;AA759,L759,IF(B759&gt;AB759,Z759,L759+(Z759-L759)*MIN(MAX((B759-AA759+1)/MAX(AB759-AA759+1,1),0),1))))</f>
      </c>
      <c r="L759" s="67" t="str">
        <f>IFERROR(INDEX('Cost_Components'!$S$2:$S$27,MATCH(E759,'Cost_Components'!$A$2:$A$27,0)),"")</f>
      </c>
      <c r="M759" s="68" t="str">
        <f>IFERROR(INDEX('Cost_Components'!$L$2:$L$27,MATCH(E759,'Cost_Components'!$A$2:$A$27,0)),"")</f>
      </c>
      <c r="N759" s="69" t="str">
        <f>IFERROR(INDEX('Cost_Components'!$P$2:$P$27,MATCH(E759,'Cost_Components'!$A$2:$A$27,0)),"")</f>
      </c>
      <c r="O759" s="70" t="str">
        <f>AF759*J759</f>
      </c>
      <c r="P759" s="71" t="str">
        <f>AG759*J759</f>
      </c>
      <c r="Q759" s="72" t="str">
        <f>P759*L759*M759*N759</f>
      </c>
      <c r="R759" s="73" t="str">
        <f>O759*K759*M759*N759</f>
      </c>
      <c r="S759" s="74" t="str">
        <f>R759-Q759</f>
      </c>
      <c r="T759" s="20" t="str">
        <f>IFERROR(INDEX('Cost_Components'!$R$2:$R$27,MATCH(E759,'Cost_Components'!$A$2:$A$27,0)),"")</f>
      </c>
      <c r="U759" s="75" t="str">
        <f>IFERROR(INDEX('Cost_Components'!$Q$2:$Q$27,MATCH(E759,'Cost_Components'!$A$2:$A$27,0)),"")</f>
      </c>
      <c r="V759" s="76" t="str">
        <f>1/(1+'Calculation_Assumptions'!$B$5)^(B759-'Calculation_Assumptions'!$B$2)</f>
      </c>
      <c r="W759" s="77" t="str">
        <f>Q759*V759</f>
      </c>
      <c r="X759" s="78" t="str">
        <f>R759*V759</f>
      </c>
      <c r="Y759" s="79" t="str">
        <f>S759*V759</f>
      </c>
      <c r="Z759" s="80" t="str">
        <f>IFERROR(INDEX('Cost_Components'!$T$2:$T$27,MATCH(E759,'Cost_Components'!$A$2:$A$27,0)),"")</f>
      </c>
      <c r="AA759" s="81" t="str">
        <f>IFERROR(INDEX('Cost_Components'!$U$2:$U$27,MATCH(E759,'Cost_Components'!$A$2:$A$27,0)),"")</f>
      </c>
      <c r="AB759" s="82" t="str">
        <f>IFERROR(INDEX('Cost_Components'!$V$2:$V$27,MATCH(E759,'Cost_Components'!$A$2:$A$27,0)),"")</f>
      </c>
      <c r="AC759" s="83" t="str">
        <f>IFERROR(INDEX('Cost_Components'!$M$2:$M$27,MATCH(E759,'Cost_Components'!$A$2:$A$27,0)),"")</f>
      </c>
      <c r="AD759" s="84" t="str">
        <f>IFERROR(INDEX('Cost_Components'!$N$2:$N$27,MATCH(E759,'Cost_Components'!$A$2:$A$27,0)),"")</f>
      </c>
      <c r="AE759" s="20" t="str">
        <f>IFERROR(INDEX('Cost_Components'!$O$2:$O$27,MATCH(E759,'Cost_Components'!$A$2:$A$27,0)),"")</f>
      </c>
      <c r="AF759" s="85" t="n">
        <v>490390.573274338</v>
      </c>
      <c r="AG759" s="86" t="n">
        <v>494345.788363417</v>
      </c>
      <c r="AH759" s="87" t="str">
        <f>IF(H759="shared-count-once",COUNTIFS($A$2:$A$1353,A759,$B$2:$B$1353,B759,$E$2:$E$1353,E759),1)</f>
      </c>
    </row>
    <row r="760">
      <c r="A760" t="s">
        <v>75</v>
      </c>
      <c r="B760" s="59" t="n">
        <v>2029</v>
      </c>
      <c r="C760" t="s">
        <v>186</v>
      </c>
      <c r="D760" t="s">
        <v>166</v>
      </c>
      <c r="E760" s="60" t="s">
        <v>268</v>
      </c>
      <c r="F760" s="61" t="s">
        <v>269</v>
      </c>
      <c r="G760" s="62" t="s">
        <v>196</v>
      </c>
      <c r="H760" s="63" t="s">
        <v>195</v>
      </c>
      <c r="I760" s="64" t="s">
        <v>267</v>
      </c>
      <c r="J760" s="65" t="str">
        <f>IFERROR(INDEX('Cost_Components'!$K$2:$K$27,MATCH(E760,'Cost_Components'!$A$2:$A$27,0)),"")</f>
      </c>
      <c r="K760" s="66" t="str">
        <f>IF(OR(L760="",Z760="",AA760="",AB760=""),"",IF(B760&lt;AA760,L760,IF(B760&gt;AB760,Z760,L760+(Z760-L760)*MIN(MAX((B760-AA760+1)/MAX(AB760-AA760+1,1),0),1))))</f>
      </c>
      <c r="L760" s="67" t="str">
        <f>IFERROR(INDEX('Cost_Components'!$S$2:$S$27,MATCH(E760,'Cost_Components'!$A$2:$A$27,0)),"")</f>
      </c>
      <c r="M760" s="68" t="str">
        <f>IFERROR(INDEX('Cost_Components'!$L$2:$L$27,MATCH(E760,'Cost_Components'!$A$2:$A$27,0)),"")</f>
      </c>
      <c r="N760" s="69" t="str">
        <f>IFERROR(INDEX('Cost_Components'!$P$2:$P$27,MATCH(E760,'Cost_Components'!$A$2:$A$27,0)),"")</f>
      </c>
      <c r="O760" s="70" t="str">
        <f>AF760*J760</f>
      </c>
      <c r="P760" s="71" t="str">
        <f>AG760*J760</f>
      </c>
      <c r="Q760" s="72" t="str">
        <f>P760*L760*M760*N760</f>
      </c>
      <c r="R760" s="73" t="str">
        <f>O760*K760*M760*N760</f>
      </c>
      <c r="S760" s="74" t="str">
        <f>R760-Q760</f>
      </c>
      <c r="T760" s="20" t="str">
        <f>IFERROR(INDEX('Cost_Components'!$R$2:$R$27,MATCH(E760,'Cost_Components'!$A$2:$A$27,0)),"")</f>
      </c>
      <c r="U760" s="75" t="str">
        <f>IFERROR(INDEX('Cost_Components'!$Q$2:$Q$27,MATCH(E760,'Cost_Components'!$A$2:$A$27,0)),"")</f>
      </c>
      <c r="V760" s="76" t="str">
        <f>1/(1+'Calculation_Assumptions'!$B$5)^(B760-'Calculation_Assumptions'!$B$2)</f>
      </c>
      <c r="W760" s="77" t="str">
        <f>Q760*V760</f>
      </c>
      <c r="X760" s="78" t="str">
        <f>R760*V760</f>
      </c>
      <c r="Y760" s="79" t="str">
        <f>S760*V760</f>
      </c>
      <c r="Z760" s="80" t="str">
        <f>IFERROR(INDEX('Cost_Components'!$T$2:$T$27,MATCH(E760,'Cost_Components'!$A$2:$A$27,0)),"")</f>
      </c>
      <c r="AA760" s="81" t="str">
        <f>IFERROR(INDEX('Cost_Components'!$U$2:$U$27,MATCH(E760,'Cost_Components'!$A$2:$A$27,0)),"")</f>
      </c>
      <c r="AB760" s="82" t="str">
        <f>IFERROR(INDEX('Cost_Components'!$V$2:$V$27,MATCH(E760,'Cost_Components'!$A$2:$A$27,0)),"")</f>
      </c>
      <c r="AC760" s="83" t="str">
        <f>IFERROR(INDEX('Cost_Components'!$M$2:$M$27,MATCH(E760,'Cost_Components'!$A$2:$A$27,0)),"")</f>
      </c>
      <c r="AD760" s="84" t="str">
        <f>IFERROR(INDEX('Cost_Components'!$N$2:$N$27,MATCH(E760,'Cost_Components'!$A$2:$A$27,0)),"")</f>
      </c>
      <c r="AE760" s="20" t="str">
        <f>IFERROR(INDEX('Cost_Components'!$O$2:$O$27,MATCH(E760,'Cost_Components'!$A$2:$A$27,0)),"")</f>
      </c>
      <c r="AF760" s="85" t="n">
        <v>499554.05415889</v>
      </c>
      <c r="AG760" s="86" t="n">
        <v>505191.380474151</v>
      </c>
      <c r="AH760" s="87" t="str">
        <f>IF(H760="shared-count-once",COUNTIFS($A$2:$A$1353,A760,$B$2:$B$1353,B760,$E$2:$E$1353,E760),1)</f>
      </c>
    </row>
    <row r="761">
      <c r="A761" t="s">
        <v>75</v>
      </c>
      <c r="B761" s="59" t="n">
        <v>2030</v>
      </c>
      <c r="C761" t="s">
        <v>186</v>
      </c>
      <c r="D761" t="s">
        <v>166</v>
      </c>
      <c r="E761" s="60" t="s">
        <v>268</v>
      </c>
      <c r="F761" s="61" t="s">
        <v>269</v>
      </c>
      <c r="G761" s="62" t="s">
        <v>196</v>
      </c>
      <c r="H761" s="63" t="s">
        <v>195</v>
      </c>
      <c r="I761" s="64" t="s">
        <v>267</v>
      </c>
      <c r="J761" s="65" t="str">
        <f>IFERROR(INDEX('Cost_Components'!$K$2:$K$27,MATCH(E761,'Cost_Components'!$A$2:$A$27,0)),"")</f>
      </c>
      <c r="K761" s="66" t="str">
        <f>IF(OR(L761="",Z761="",AA761="",AB761=""),"",IF(B761&lt;AA761,L761,IF(B761&gt;AB761,Z761,L761+(Z761-L761)*MIN(MAX((B761-AA761+1)/MAX(AB761-AA761+1,1),0),1))))</f>
      </c>
      <c r="L761" s="67" t="str">
        <f>IFERROR(INDEX('Cost_Components'!$S$2:$S$27,MATCH(E761,'Cost_Components'!$A$2:$A$27,0)),"")</f>
      </c>
      <c r="M761" s="68" t="str">
        <f>IFERROR(INDEX('Cost_Components'!$L$2:$L$27,MATCH(E761,'Cost_Components'!$A$2:$A$27,0)),"")</f>
      </c>
      <c r="N761" s="69" t="str">
        <f>IFERROR(INDEX('Cost_Components'!$P$2:$P$27,MATCH(E761,'Cost_Components'!$A$2:$A$27,0)),"")</f>
      </c>
      <c r="O761" s="70" t="str">
        <f>AF761*J761</f>
      </c>
      <c r="P761" s="71" t="str">
        <f>AG761*J761</f>
      </c>
      <c r="Q761" s="72" t="str">
        <f>P761*L761*M761*N761</f>
      </c>
      <c r="R761" s="73" t="str">
        <f>O761*K761*M761*N761</f>
      </c>
      <c r="S761" s="74" t="str">
        <f>R761-Q761</f>
      </c>
      <c r="T761" s="20" t="str">
        <f>IFERROR(INDEX('Cost_Components'!$R$2:$R$27,MATCH(E761,'Cost_Components'!$A$2:$A$27,0)),"")</f>
      </c>
      <c r="U761" s="75" t="str">
        <f>IFERROR(INDEX('Cost_Components'!$Q$2:$Q$27,MATCH(E761,'Cost_Components'!$A$2:$A$27,0)),"")</f>
      </c>
      <c r="V761" s="76" t="str">
        <f>1/(1+'Calculation_Assumptions'!$B$5)^(B761-'Calculation_Assumptions'!$B$2)</f>
      </c>
      <c r="W761" s="77" t="str">
        <f>Q761*V761</f>
      </c>
      <c r="X761" s="78" t="str">
        <f>R761*V761</f>
      </c>
      <c r="Y761" s="79" t="str">
        <f>S761*V761</f>
      </c>
      <c r="Z761" s="80" t="str">
        <f>IFERROR(INDEX('Cost_Components'!$T$2:$T$27,MATCH(E761,'Cost_Components'!$A$2:$A$27,0)),"")</f>
      </c>
      <c r="AA761" s="81" t="str">
        <f>IFERROR(INDEX('Cost_Components'!$U$2:$U$27,MATCH(E761,'Cost_Components'!$A$2:$A$27,0)),"")</f>
      </c>
      <c r="AB761" s="82" t="str">
        <f>IFERROR(INDEX('Cost_Components'!$V$2:$V$27,MATCH(E761,'Cost_Components'!$A$2:$A$27,0)),"")</f>
      </c>
      <c r="AC761" s="83" t="str">
        <f>IFERROR(INDEX('Cost_Components'!$M$2:$M$27,MATCH(E761,'Cost_Components'!$A$2:$A$27,0)),"")</f>
      </c>
      <c r="AD761" s="84" t="str">
        <f>IFERROR(INDEX('Cost_Components'!$N$2:$N$27,MATCH(E761,'Cost_Components'!$A$2:$A$27,0)),"")</f>
      </c>
      <c r="AE761" s="20" t="str">
        <f>IFERROR(INDEX('Cost_Components'!$O$2:$O$27,MATCH(E761,'Cost_Components'!$A$2:$A$27,0)),"")</f>
      </c>
      <c r="AF761" s="85" t="n">
        <v>508494.179481498</v>
      </c>
      <c r="AG761" s="86" t="n">
        <v>516054.92713886</v>
      </c>
      <c r="AH761" s="87" t="str">
        <f>IF(H761="shared-count-once",COUNTIFS($A$2:$A$1353,A761,$B$2:$B$1353,B761,$E$2:$E$1353,E761),1)</f>
      </c>
    </row>
    <row r="762">
      <c r="A762" t="s">
        <v>75</v>
      </c>
      <c r="B762" s="59" t="n">
        <v>2031</v>
      </c>
      <c r="C762" t="s">
        <v>186</v>
      </c>
      <c r="D762" t="s">
        <v>166</v>
      </c>
      <c r="E762" s="60" t="s">
        <v>268</v>
      </c>
      <c r="F762" s="61" t="s">
        <v>269</v>
      </c>
      <c r="G762" s="62" t="s">
        <v>196</v>
      </c>
      <c r="H762" s="63" t="s">
        <v>195</v>
      </c>
      <c r="I762" s="64" t="s">
        <v>267</v>
      </c>
      <c r="J762" s="65" t="str">
        <f>IFERROR(INDEX('Cost_Components'!$K$2:$K$27,MATCH(E762,'Cost_Components'!$A$2:$A$27,0)),"")</f>
      </c>
      <c r="K762" s="66" t="str">
        <f>IF(OR(L762="",Z762="",AA762="",AB762=""),"",IF(B762&lt;AA762,L762,IF(B762&gt;AB762,Z762,L762+(Z762-L762)*MIN(MAX((B762-AA762+1)/MAX(AB762-AA762+1,1),0),1))))</f>
      </c>
      <c r="L762" s="67" t="str">
        <f>IFERROR(INDEX('Cost_Components'!$S$2:$S$27,MATCH(E762,'Cost_Components'!$A$2:$A$27,0)),"")</f>
      </c>
      <c r="M762" s="68" t="str">
        <f>IFERROR(INDEX('Cost_Components'!$L$2:$L$27,MATCH(E762,'Cost_Components'!$A$2:$A$27,0)),"")</f>
      </c>
      <c r="N762" s="69" t="str">
        <f>IFERROR(INDEX('Cost_Components'!$P$2:$P$27,MATCH(E762,'Cost_Components'!$A$2:$A$27,0)),"")</f>
      </c>
      <c r="O762" s="70" t="str">
        <f>AF762*J762</f>
      </c>
      <c r="P762" s="71" t="str">
        <f>AG762*J762</f>
      </c>
      <c r="Q762" s="72" t="str">
        <f>P762*L762*M762*N762</f>
      </c>
      <c r="R762" s="73" t="str">
        <f>O762*K762*M762*N762</f>
      </c>
      <c r="S762" s="74" t="str">
        <f>R762-Q762</f>
      </c>
      <c r="T762" s="20" t="str">
        <f>IFERROR(INDEX('Cost_Components'!$R$2:$R$27,MATCH(E762,'Cost_Components'!$A$2:$A$27,0)),"")</f>
      </c>
      <c r="U762" s="75" t="str">
        <f>IFERROR(INDEX('Cost_Components'!$Q$2:$Q$27,MATCH(E762,'Cost_Components'!$A$2:$A$27,0)),"")</f>
      </c>
      <c r="V762" s="76" t="str">
        <f>1/(1+'Calculation_Assumptions'!$B$5)^(B762-'Calculation_Assumptions'!$B$2)</f>
      </c>
      <c r="W762" s="77" t="str">
        <f>Q762*V762</f>
      </c>
      <c r="X762" s="78" t="str">
        <f>R762*V762</f>
      </c>
      <c r="Y762" s="79" t="str">
        <f>S762*V762</f>
      </c>
      <c r="Z762" s="80" t="str">
        <f>IFERROR(INDEX('Cost_Components'!$T$2:$T$27,MATCH(E762,'Cost_Components'!$A$2:$A$27,0)),"")</f>
      </c>
      <c r="AA762" s="81" t="str">
        <f>IFERROR(INDEX('Cost_Components'!$U$2:$U$27,MATCH(E762,'Cost_Components'!$A$2:$A$27,0)),"")</f>
      </c>
      <c r="AB762" s="82" t="str">
        <f>IFERROR(INDEX('Cost_Components'!$V$2:$V$27,MATCH(E762,'Cost_Components'!$A$2:$A$27,0)),"")</f>
      </c>
      <c r="AC762" s="83" t="str">
        <f>IFERROR(INDEX('Cost_Components'!$M$2:$M$27,MATCH(E762,'Cost_Components'!$A$2:$A$27,0)),"")</f>
      </c>
      <c r="AD762" s="84" t="str">
        <f>IFERROR(INDEX('Cost_Components'!$N$2:$N$27,MATCH(E762,'Cost_Components'!$A$2:$A$27,0)),"")</f>
      </c>
      <c r="AE762" s="20" t="str">
        <f>IFERROR(INDEX('Cost_Components'!$O$2:$O$27,MATCH(E762,'Cost_Components'!$A$2:$A$27,0)),"")</f>
      </c>
      <c r="AF762" s="85" t="n">
        <v>517534.613598546</v>
      </c>
      <c r="AG762" s="86" t="n">
        <v>527258.82041239</v>
      </c>
      <c r="AH762" s="87" t="str">
        <f>IF(H762="shared-count-once",COUNTIFS($A$2:$A$1353,A762,$B$2:$B$1353,B762,$E$2:$E$1353,E762),1)</f>
      </c>
    </row>
    <row r="763">
      <c r="A763" t="s">
        <v>75</v>
      </c>
      <c r="B763" s="59" t="n">
        <v>2032</v>
      </c>
      <c r="C763" t="s">
        <v>186</v>
      </c>
      <c r="D763" t="s">
        <v>166</v>
      </c>
      <c r="E763" s="60" t="s">
        <v>268</v>
      </c>
      <c r="F763" s="61" t="s">
        <v>269</v>
      </c>
      <c r="G763" s="62" t="s">
        <v>196</v>
      </c>
      <c r="H763" s="63" t="s">
        <v>195</v>
      </c>
      <c r="I763" s="64" t="s">
        <v>267</v>
      </c>
      <c r="J763" s="65" t="str">
        <f>IFERROR(INDEX('Cost_Components'!$K$2:$K$27,MATCH(E763,'Cost_Components'!$A$2:$A$27,0)),"")</f>
      </c>
      <c r="K763" s="66" t="str">
        <f>IF(OR(L763="",Z763="",AA763="",AB763=""),"",IF(B763&lt;AA763,L763,IF(B763&gt;AB763,Z763,L763+(Z763-L763)*MIN(MAX((B763-AA763+1)/MAX(AB763-AA763+1,1),0),1))))</f>
      </c>
      <c r="L763" s="67" t="str">
        <f>IFERROR(INDEX('Cost_Components'!$S$2:$S$27,MATCH(E763,'Cost_Components'!$A$2:$A$27,0)),"")</f>
      </c>
      <c r="M763" s="68" t="str">
        <f>IFERROR(INDEX('Cost_Components'!$L$2:$L$27,MATCH(E763,'Cost_Components'!$A$2:$A$27,0)),"")</f>
      </c>
      <c r="N763" s="69" t="str">
        <f>IFERROR(INDEX('Cost_Components'!$P$2:$P$27,MATCH(E763,'Cost_Components'!$A$2:$A$27,0)),"")</f>
      </c>
      <c r="O763" s="70" t="str">
        <f>AF763*J763</f>
      </c>
      <c r="P763" s="71" t="str">
        <f>AG763*J763</f>
      </c>
      <c r="Q763" s="72" t="str">
        <f>P763*L763*M763*N763</f>
      </c>
      <c r="R763" s="73" t="str">
        <f>O763*K763*M763*N763</f>
      </c>
      <c r="S763" s="74" t="str">
        <f>R763-Q763</f>
      </c>
      <c r="T763" s="20" t="str">
        <f>IFERROR(INDEX('Cost_Components'!$R$2:$R$27,MATCH(E763,'Cost_Components'!$A$2:$A$27,0)),"")</f>
      </c>
      <c r="U763" s="75" t="str">
        <f>IFERROR(INDEX('Cost_Components'!$Q$2:$Q$27,MATCH(E763,'Cost_Components'!$A$2:$A$27,0)),"")</f>
      </c>
      <c r="V763" s="76" t="str">
        <f>1/(1+'Calculation_Assumptions'!$B$5)^(B763-'Calculation_Assumptions'!$B$2)</f>
      </c>
      <c r="W763" s="77" t="str">
        <f>Q763*V763</f>
      </c>
      <c r="X763" s="78" t="str">
        <f>R763*V763</f>
      </c>
      <c r="Y763" s="79" t="str">
        <f>S763*V763</f>
      </c>
      <c r="Z763" s="80" t="str">
        <f>IFERROR(INDEX('Cost_Components'!$T$2:$T$27,MATCH(E763,'Cost_Components'!$A$2:$A$27,0)),"")</f>
      </c>
      <c r="AA763" s="81" t="str">
        <f>IFERROR(INDEX('Cost_Components'!$U$2:$U$27,MATCH(E763,'Cost_Components'!$A$2:$A$27,0)),"")</f>
      </c>
      <c r="AB763" s="82" t="str">
        <f>IFERROR(INDEX('Cost_Components'!$V$2:$V$27,MATCH(E763,'Cost_Components'!$A$2:$A$27,0)),"")</f>
      </c>
      <c r="AC763" s="83" t="str">
        <f>IFERROR(INDEX('Cost_Components'!$M$2:$M$27,MATCH(E763,'Cost_Components'!$A$2:$A$27,0)),"")</f>
      </c>
      <c r="AD763" s="84" t="str">
        <f>IFERROR(INDEX('Cost_Components'!$N$2:$N$27,MATCH(E763,'Cost_Components'!$A$2:$A$27,0)),"")</f>
      </c>
      <c r="AE763" s="20" t="str">
        <f>IFERROR(INDEX('Cost_Components'!$O$2:$O$27,MATCH(E763,'Cost_Components'!$A$2:$A$27,0)),"")</f>
      </c>
      <c r="AF763" s="85" t="n">
        <v>526726.652506227</v>
      </c>
      <c r="AG763" s="86" t="n">
        <v>538838.193996299</v>
      </c>
      <c r="AH763" s="87" t="str">
        <f>IF(H763="shared-count-once",COUNTIFS($A$2:$A$1353,A763,$B$2:$B$1353,B763,$E$2:$E$1353,E763),1)</f>
      </c>
    </row>
    <row r="764">
      <c r="A764" t="s">
        <v>75</v>
      </c>
      <c r="B764" s="59" t="n">
        <v>2033</v>
      </c>
      <c r="C764" t="s">
        <v>186</v>
      </c>
      <c r="D764" t="s">
        <v>166</v>
      </c>
      <c r="E764" s="60" t="s">
        <v>268</v>
      </c>
      <c r="F764" s="61" t="s">
        <v>269</v>
      </c>
      <c r="G764" s="62" t="s">
        <v>196</v>
      </c>
      <c r="H764" s="63" t="s">
        <v>195</v>
      </c>
      <c r="I764" s="64" t="s">
        <v>267</v>
      </c>
      <c r="J764" s="65" t="str">
        <f>IFERROR(INDEX('Cost_Components'!$K$2:$K$27,MATCH(E764,'Cost_Components'!$A$2:$A$27,0)),"")</f>
      </c>
      <c r="K764" s="66" t="str">
        <f>IF(OR(L764="",Z764="",AA764="",AB764=""),"",IF(B764&lt;AA764,L764,IF(B764&gt;AB764,Z764,L764+(Z764-L764)*MIN(MAX((B764-AA764+1)/MAX(AB764-AA764+1,1),0),1))))</f>
      </c>
      <c r="L764" s="67" t="str">
        <f>IFERROR(INDEX('Cost_Components'!$S$2:$S$27,MATCH(E764,'Cost_Components'!$A$2:$A$27,0)),"")</f>
      </c>
      <c r="M764" s="68" t="str">
        <f>IFERROR(INDEX('Cost_Components'!$L$2:$L$27,MATCH(E764,'Cost_Components'!$A$2:$A$27,0)),"")</f>
      </c>
      <c r="N764" s="69" t="str">
        <f>IFERROR(INDEX('Cost_Components'!$P$2:$P$27,MATCH(E764,'Cost_Components'!$A$2:$A$27,0)),"")</f>
      </c>
      <c r="O764" s="70" t="str">
        <f>AF764*J764</f>
      </c>
      <c r="P764" s="71" t="str">
        <f>AG764*J764</f>
      </c>
      <c r="Q764" s="72" t="str">
        <f>P764*L764*M764*N764</f>
      </c>
      <c r="R764" s="73" t="str">
        <f>O764*K764*M764*N764</f>
      </c>
      <c r="S764" s="74" t="str">
        <f>R764-Q764</f>
      </c>
      <c r="T764" s="20" t="str">
        <f>IFERROR(INDEX('Cost_Components'!$R$2:$R$27,MATCH(E764,'Cost_Components'!$A$2:$A$27,0)),"")</f>
      </c>
      <c r="U764" s="75" t="str">
        <f>IFERROR(INDEX('Cost_Components'!$Q$2:$Q$27,MATCH(E764,'Cost_Components'!$A$2:$A$27,0)),"")</f>
      </c>
      <c r="V764" s="76" t="str">
        <f>1/(1+'Calculation_Assumptions'!$B$5)^(B764-'Calculation_Assumptions'!$B$2)</f>
      </c>
      <c r="W764" s="77" t="str">
        <f>Q764*V764</f>
      </c>
      <c r="X764" s="78" t="str">
        <f>R764*V764</f>
      </c>
      <c r="Y764" s="79" t="str">
        <f>S764*V764</f>
      </c>
      <c r="Z764" s="80" t="str">
        <f>IFERROR(INDEX('Cost_Components'!$T$2:$T$27,MATCH(E764,'Cost_Components'!$A$2:$A$27,0)),"")</f>
      </c>
      <c r="AA764" s="81" t="str">
        <f>IFERROR(INDEX('Cost_Components'!$U$2:$U$27,MATCH(E764,'Cost_Components'!$A$2:$A$27,0)),"")</f>
      </c>
      <c r="AB764" s="82" t="str">
        <f>IFERROR(INDEX('Cost_Components'!$V$2:$V$27,MATCH(E764,'Cost_Components'!$A$2:$A$27,0)),"")</f>
      </c>
      <c r="AC764" s="83" t="str">
        <f>IFERROR(INDEX('Cost_Components'!$M$2:$M$27,MATCH(E764,'Cost_Components'!$A$2:$A$27,0)),"")</f>
      </c>
      <c r="AD764" s="84" t="str">
        <f>IFERROR(INDEX('Cost_Components'!$N$2:$N$27,MATCH(E764,'Cost_Components'!$A$2:$A$27,0)),"")</f>
      </c>
      <c r="AE764" s="20" t="str">
        <f>IFERROR(INDEX('Cost_Components'!$O$2:$O$27,MATCH(E764,'Cost_Components'!$A$2:$A$27,0)),"")</f>
      </c>
      <c r="AF764" s="85" t="n">
        <v>536198.555888251</v>
      </c>
      <c r="AG764" s="86" t="n">
        <v>550915.137227313</v>
      </c>
      <c r="AH764" s="87" t="str">
        <f>IF(H764="shared-count-once",COUNTIFS($A$2:$A$1353,A764,$B$2:$B$1353,B764,$E$2:$E$1353,E764),1)</f>
      </c>
    </row>
    <row r="765">
      <c r="A765" t="s">
        <v>75</v>
      </c>
      <c r="B765" s="59" t="n">
        <v>2034</v>
      </c>
      <c r="C765" t="s">
        <v>186</v>
      </c>
      <c r="D765" t="s">
        <v>166</v>
      </c>
      <c r="E765" s="60" t="s">
        <v>268</v>
      </c>
      <c r="F765" s="61" t="s">
        <v>269</v>
      </c>
      <c r="G765" s="62" t="s">
        <v>196</v>
      </c>
      <c r="H765" s="63" t="s">
        <v>195</v>
      </c>
      <c r="I765" s="64" t="s">
        <v>267</v>
      </c>
      <c r="J765" s="65" t="str">
        <f>IFERROR(INDEX('Cost_Components'!$K$2:$K$27,MATCH(E765,'Cost_Components'!$A$2:$A$27,0)),"")</f>
      </c>
      <c r="K765" s="66" t="str">
        <f>IF(OR(L765="",Z765="",AA765="",AB765=""),"",IF(B765&lt;AA765,L765,IF(B765&gt;AB765,Z765,L765+(Z765-L765)*MIN(MAX((B765-AA765+1)/MAX(AB765-AA765+1,1),0),1))))</f>
      </c>
      <c r="L765" s="67" t="str">
        <f>IFERROR(INDEX('Cost_Components'!$S$2:$S$27,MATCH(E765,'Cost_Components'!$A$2:$A$27,0)),"")</f>
      </c>
      <c r="M765" s="68" t="str">
        <f>IFERROR(INDEX('Cost_Components'!$L$2:$L$27,MATCH(E765,'Cost_Components'!$A$2:$A$27,0)),"")</f>
      </c>
      <c r="N765" s="69" t="str">
        <f>IFERROR(INDEX('Cost_Components'!$P$2:$P$27,MATCH(E765,'Cost_Components'!$A$2:$A$27,0)),"")</f>
      </c>
      <c r="O765" s="70" t="str">
        <f>AF765*J765</f>
      </c>
      <c r="P765" s="71" t="str">
        <f>AG765*J765</f>
      </c>
      <c r="Q765" s="72" t="str">
        <f>P765*L765*M765*N765</f>
      </c>
      <c r="R765" s="73" t="str">
        <f>O765*K765*M765*N765</f>
      </c>
      <c r="S765" s="74" t="str">
        <f>R765-Q765</f>
      </c>
      <c r="T765" s="20" t="str">
        <f>IFERROR(INDEX('Cost_Components'!$R$2:$R$27,MATCH(E765,'Cost_Components'!$A$2:$A$27,0)),"")</f>
      </c>
      <c r="U765" s="75" t="str">
        <f>IFERROR(INDEX('Cost_Components'!$Q$2:$Q$27,MATCH(E765,'Cost_Components'!$A$2:$A$27,0)),"")</f>
      </c>
      <c r="V765" s="76" t="str">
        <f>1/(1+'Calculation_Assumptions'!$B$5)^(B765-'Calculation_Assumptions'!$B$2)</f>
      </c>
      <c r="W765" s="77" t="str">
        <f>Q765*V765</f>
      </c>
      <c r="X765" s="78" t="str">
        <f>R765*V765</f>
      </c>
      <c r="Y765" s="79" t="str">
        <f>S765*V765</f>
      </c>
      <c r="Z765" s="80" t="str">
        <f>IFERROR(INDEX('Cost_Components'!$T$2:$T$27,MATCH(E765,'Cost_Components'!$A$2:$A$27,0)),"")</f>
      </c>
      <c r="AA765" s="81" t="str">
        <f>IFERROR(INDEX('Cost_Components'!$U$2:$U$27,MATCH(E765,'Cost_Components'!$A$2:$A$27,0)),"")</f>
      </c>
      <c r="AB765" s="82" t="str">
        <f>IFERROR(INDEX('Cost_Components'!$V$2:$V$27,MATCH(E765,'Cost_Components'!$A$2:$A$27,0)),"")</f>
      </c>
      <c r="AC765" s="83" t="str">
        <f>IFERROR(INDEX('Cost_Components'!$M$2:$M$27,MATCH(E765,'Cost_Components'!$A$2:$A$27,0)),"")</f>
      </c>
      <c r="AD765" s="84" t="str">
        <f>IFERROR(INDEX('Cost_Components'!$N$2:$N$27,MATCH(E765,'Cost_Components'!$A$2:$A$27,0)),"")</f>
      </c>
      <c r="AE765" s="20" t="str">
        <f>IFERROR(INDEX('Cost_Components'!$O$2:$O$27,MATCH(E765,'Cost_Components'!$A$2:$A$27,0)),"")</f>
      </c>
      <c r="AF765" s="85" t="n">
        <v>545472.359127631</v>
      </c>
      <c r="AG765" s="86" t="n">
        <v>562945.263154292</v>
      </c>
      <c r="AH765" s="87" t="str">
        <f>IF(H765="shared-count-once",COUNTIFS($A$2:$A$1353,A765,$B$2:$B$1353,B765,$E$2:$E$1353,E765),1)</f>
      </c>
    </row>
    <row r="766">
      <c r="A766" t="s">
        <v>75</v>
      </c>
      <c r="B766" s="59" t="n">
        <v>2035</v>
      </c>
      <c r="C766" t="s">
        <v>186</v>
      </c>
      <c r="D766" t="s">
        <v>166</v>
      </c>
      <c r="E766" s="60" t="s">
        <v>268</v>
      </c>
      <c r="F766" s="61" t="s">
        <v>269</v>
      </c>
      <c r="G766" s="62" t="s">
        <v>196</v>
      </c>
      <c r="H766" s="63" t="s">
        <v>195</v>
      </c>
      <c r="I766" s="64" t="s">
        <v>267</v>
      </c>
      <c r="J766" s="65" t="str">
        <f>IFERROR(INDEX('Cost_Components'!$K$2:$K$27,MATCH(E766,'Cost_Components'!$A$2:$A$27,0)),"")</f>
      </c>
      <c r="K766" s="66" t="str">
        <f>IF(OR(L766="",Z766="",AA766="",AB766=""),"",IF(B766&lt;AA766,L766,IF(B766&gt;AB766,Z766,L766+(Z766-L766)*MIN(MAX((B766-AA766+1)/MAX(AB766-AA766+1,1),0),1))))</f>
      </c>
      <c r="L766" s="67" t="str">
        <f>IFERROR(INDEX('Cost_Components'!$S$2:$S$27,MATCH(E766,'Cost_Components'!$A$2:$A$27,0)),"")</f>
      </c>
      <c r="M766" s="68" t="str">
        <f>IFERROR(INDEX('Cost_Components'!$L$2:$L$27,MATCH(E766,'Cost_Components'!$A$2:$A$27,0)),"")</f>
      </c>
      <c r="N766" s="69" t="str">
        <f>IFERROR(INDEX('Cost_Components'!$P$2:$P$27,MATCH(E766,'Cost_Components'!$A$2:$A$27,0)),"")</f>
      </c>
      <c r="O766" s="70" t="str">
        <f>AF766*J766</f>
      </c>
      <c r="P766" s="71" t="str">
        <f>AG766*J766</f>
      </c>
      <c r="Q766" s="72" t="str">
        <f>P766*L766*M766*N766</f>
      </c>
      <c r="R766" s="73" t="str">
        <f>O766*K766*M766*N766</f>
      </c>
      <c r="S766" s="74" t="str">
        <f>R766-Q766</f>
      </c>
      <c r="T766" s="20" t="str">
        <f>IFERROR(INDEX('Cost_Components'!$R$2:$R$27,MATCH(E766,'Cost_Components'!$A$2:$A$27,0)),"")</f>
      </c>
      <c r="U766" s="75" t="str">
        <f>IFERROR(INDEX('Cost_Components'!$Q$2:$Q$27,MATCH(E766,'Cost_Components'!$A$2:$A$27,0)),"")</f>
      </c>
      <c r="V766" s="76" t="str">
        <f>1/(1+'Calculation_Assumptions'!$B$5)^(B766-'Calculation_Assumptions'!$B$2)</f>
      </c>
      <c r="W766" s="77" t="str">
        <f>Q766*V766</f>
      </c>
      <c r="X766" s="78" t="str">
        <f>R766*V766</f>
      </c>
      <c r="Y766" s="79" t="str">
        <f>S766*V766</f>
      </c>
      <c r="Z766" s="80" t="str">
        <f>IFERROR(INDEX('Cost_Components'!$T$2:$T$27,MATCH(E766,'Cost_Components'!$A$2:$A$27,0)),"")</f>
      </c>
      <c r="AA766" s="81" t="str">
        <f>IFERROR(INDEX('Cost_Components'!$U$2:$U$27,MATCH(E766,'Cost_Components'!$A$2:$A$27,0)),"")</f>
      </c>
      <c r="AB766" s="82" t="str">
        <f>IFERROR(INDEX('Cost_Components'!$V$2:$V$27,MATCH(E766,'Cost_Components'!$A$2:$A$27,0)),"")</f>
      </c>
      <c r="AC766" s="83" t="str">
        <f>IFERROR(INDEX('Cost_Components'!$M$2:$M$27,MATCH(E766,'Cost_Components'!$A$2:$A$27,0)),"")</f>
      </c>
      <c r="AD766" s="84" t="str">
        <f>IFERROR(INDEX('Cost_Components'!$N$2:$N$27,MATCH(E766,'Cost_Components'!$A$2:$A$27,0)),"")</f>
      </c>
      <c r="AE766" s="20" t="str">
        <f>IFERROR(INDEX('Cost_Components'!$O$2:$O$27,MATCH(E766,'Cost_Components'!$A$2:$A$27,0)),"")</f>
      </c>
      <c r="AF766" s="85" t="n">
        <v>555249.966946352</v>
      </c>
      <c r="AG766" s="86" t="n">
        <v>575676.013132482</v>
      </c>
      <c r="AH766" s="87" t="str">
        <f>IF(H766="shared-count-once",COUNTIFS($A$2:$A$1353,A766,$B$2:$B$1353,B766,$E$2:$E$1353,E766),1)</f>
      </c>
    </row>
    <row r="767">
      <c r="A767" t="s">
        <v>75</v>
      </c>
      <c r="B767" s="59" t="n">
        <v>2036</v>
      </c>
      <c r="C767" t="s">
        <v>186</v>
      </c>
      <c r="D767" t="s">
        <v>166</v>
      </c>
      <c r="E767" s="60" t="s">
        <v>268</v>
      </c>
      <c r="F767" s="61" t="s">
        <v>269</v>
      </c>
      <c r="G767" s="62" t="s">
        <v>196</v>
      </c>
      <c r="H767" s="63" t="s">
        <v>195</v>
      </c>
      <c r="I767" s="64" t="s">
        <v>267</v>
      </c>
      <c r="J767" s="65" t="str">
        <f>IFERROR(INDEX('Cost_Components'!$K$2:$K$27,MATCH(E767,'Cost_Components'!$A$2:$A$27,0)),"")</f>
      </c>
      <c r="K767" s="66" t="str">
        <f>IF(OR(L767="",Z767="",AA767="",AB767=""),"",IF(B767&lt;AA767,L767,IF(B767&gt;AB767,Z767,L767+(Z767-L767)*MIN(MAX((B767-AA767+1)/MAX(AB767-AA767+1,1),0),1))))</f>
      </c>
      <c r="L767" s="67" t="str">
        <f>IFERROR(INDEX('Cost_Components'!$S$2:$S$27,MATCH(E767,'Cost_Components'!$A$2:$A$27,0)),"")</f>
      </c>
      <c r="M767" s="68" t="str">
        <f>IFERROR(INDEX('Cost_Components'!$L$2:$L$27,MATCH(E767,'Cost_Components'!$A$2:$A$27,0)),"")</f>
      </c>
      <c r="N767" s="69" t="str">
        <f>IFERROR(INDEX('Cost_Components'!$P$2:$P$27,MATCH(E767,'Cost_Components'!$A$2:$A$27,0)),"")</f>
      </c>
      <c r="O767" s="70" t="str">
        <f>AF767*J767</f>
      </c>
      <c r="P767" s="71" t="str">
        <f>AG767*J767</f>
      </c>
      <c r="Q767" s="72" t="str">
        <f>P767*L767*M767*N767</f>
      </c>
      <c r="R767" s="73" t="str">
        <f>O767*K767*M767*N767</f>
      </c>
      <c r="S767" s="74" t="str">
        <f>R767-Q767</f>
      </c>
      <c r="T767" s="20" t="str">
        <f>IFERROR(INDEX('Cost_Components'!$R$2:$R$27,MATCH(E767,'Cost_Components'!$A$2:$A$27,0)),"")</f>
      </c>
      <c r="U767" s="75" t="str">
        <f>IFERROR(INDEX('Cost_Components'!$Q$2:$Q$27,MATCH(E767,'Cost_Components'!$A$2:$A$27,0)),"")</f>
      </c>
      <c r="V767" s="76" t="str">
        <f>1/(1+'Calculation_Assumptions'!$B$5)^(B767-'Calculation_Assumptions'!$B$2)</f>
      </c>
      <c r="W767" s="77" t="str">
        <f>Q767*V767</f>
      </c>
      <c r="X767" s="78" t="str">
        <f>R767*V767</f>
      </c>
      <c r="Y767" s="79" t="str">
        <f>S767*V767</f>
      </c>
      <c r="Z767" s="80" t="str">
        <f>IFERROR(INDEX('Cost_Components'!$T$2:$T$27,MATCH(E767,'Cost_Components'!$A$2:$A$27,0)),"")</f>
      </c>
      <c r="AA767" s="81" t="str">
        <f>IFERROR(INDEX('Cost_Components'!$U$2:$U$27,MATCH(E767,'Cost_Components'!$A$2:$A$27,0)),"")</f>
      </c>
      <c r="AB767" s="82" t="str">
        <f>IFERROR(INDEX('Cost_Components'!$V$2:$V$27,MATCH(E767,'Cost_Components'!$A$2:$A$27,0)),"")</f>
      </c>
      <c r="AC767" s="83" t="str">
        <f>IFERROR(INDEX('Cost_Components'!$M$2:$M$27,MATCH(E767,'Cost_Components'!$A$2:$A$27,0)),"")</f>
      </c>
      <c r="AD767" s="84" t="str">
        <f>IFERROR(INDEX('Cost_Components'!$N$2:$N$27,MATCH(E767,'Cost_Components'!$A$2:$A$27,0)),"")</f>
      </c>
      <c r="AE767" s="20" t="str">
        <f>IFERROR(INDEX('Cost_Components'!$O$2:$O$27,MATCH(E767,'Cost_Components'!$A$2:$A$27,0)),"")</f>
      </c>
      <c r="AF767" s="85" t="n">
        <v>565458.339212539</v>
      </c>
      <c r="AG767" s="86" t="n">
        <v>589036.334662854</v>
      </c>
      <c r="AH767" s="87" t="str">
        <f>IF(H767="shared-count-once",COUNTIFS($A$2:$A$1353,A767,$B$2:$B$1353,B767,$E$2:$E$1353,E767),1)</f>
      </c>
    </row>
    <row r="768">
      <c r="A768" t="s">
        <v>75</v>
      </c>
      <c r="B768" s="59" t="n">
        <v>2037</v>
      </c>
      <c r="C768" t="s">
        <v>186</v>
      </c>
      <c r="D768" t="s">
        <v>166</v>
      </c>
      <c r="E768" s="60" t="s">
        <v>268</v>
      </c>
      <c r="F768" s="61" t="s">
        <v>269</v>
      </c>
      <c r="G768" s="62" t="s">
        <v>196</v>
      </c>
      <c r="H768" s="63" t="s">
        <v>195</v>
      </c>
      <c r="I768" s="64" t="s">
        <v>267</v>
      </c>
      <c r="J768" s="65" t="str">
        <f>IFERROR(INDEX('Cost_Components'!$K$2:$K$27,MATCH(E768,'Cost_Components'!$A$2:$A$27,0)),"")</f>
      </c>
      <c r="K768" s="66" t="str">
        <f>IF(OR(L768="",Z768="",AA768="",AB768=""),"",IF(B768&lt;AA768,L768,IF(B768&gt;AB768,Z768,L768+(Z768-L768)*MIN(MAX((B768-AA768+1)/MAX(AB768-AA768+1,1),0),1))))</f>
      </c>
      <c r="L768" s="67" t="str">
        <f>IFERROR(INDEX('Cost_Components'!$S$2:$S$27,MATCH(E768,'Cost_Components'!$A$2:$A$27,0)),"")</f>
      </c>
      <c r="M768" s="68" t="str">
        <f>IFERROR(INDEX('Cost_Components'!$L$2:$L$27,MATCH(E768,'Cost_Components'!$A$2:$A$27,0)),"")</f>
      </c>
      <c r="N768" s="69" t="str">
        <f>IFERROR(INDEX('Cost_Components'!$P$2:$P$27,MATCH(E768,'Cost_Components'!$A$2:$A$27,0)),"")</f>
      </c>
      <c r="O768" s="70" t="str">
        <f>AF768*J768</f>
      </c>
      <c r="P768" s="71" t="str">
        <f>AG768*J768</f>
      </c>
      <c r="Q768" s="72" t="str">
        <f>P768*L768*M768*N768</f>
      </c>
      <c r="R768" s="73" t="str">
        <f>O768*K768*M768*N768</f>
      </c>
      <c r="S768" s="74" t="str">
        <f>R768-Q768</f>
      </c>
      <c r="T768" s="20" t="str">
        <f>IFERROR(INDEX('Cost_Components'!$R$2:$R$27,MATCH(E768,'Cost_Components'!$A$2:$A$27,0)),"")</f>
      </c>
      <c r="U768" s="75" t="str">
        <f>IFERROR(INDEX('Cost_Components'!$Q$2:$Q$27,MATCH(E768,'Cost_Components'!$A$2:$A$27,0)),"")</f>
      </c>
      <c r="V768" s="76" t="str">
        <f>1/(1+'Calculation_Assumptions'!$B$5)^(B768-'Calculation_Assumptions'!$B$2)</f>
      </c>
      <c r="W768" s="77" t="str">
        <f>Q768*V768</f>
      </c>
      <c r="X768" s="78" t="str">
        <f>R768*V768</f>
      </c>
      <c r="Y768" s="79" t="str">
        <f>S768*V768</f>
      </c>
      <c r="Z768" s="80" t="str">
        <f>IFERROR(INDEX('Cost_Components'!$T$2:$T$27,MATCH(E768,'Cost_Components'!$A$2:$A$27,0)),"")</f>
      </c>
      <c r="AA768" s="81" t="str">
        <f>IFERROR(INDEX('Cost_Components'!$U$2:$U$27,MATCH(E768,'Cost_Components'!$A$2:$A$27,0)),"")</f>
      </c>
      <c r="AB768" s="82" t="str">
        <f>IFERROR(INDEX('Cost_Components'!$V$2:$V$27,MATCH(E768,'Cost_Components'!$A$2:$A$27,0)),"")</f>
      </c>
      <c r="AC768" s="83" t="str">
        <f>IFERROR(INDEX('Cost_Components'!$M$2:$M$27,MATCH(E768,'Cost_Components'!$A$2:$A$27,0)),"")</f>
      </c>
      <c r="AD768" s="84" t="str">
        <f>IFERROR(INDEX('Cost_Components'!$N$2:$N$27,MATCH(E768,'Cost_Components'!$A$2:$A$27,0)),"")</f>
      </c>
      <c r="AE768" s="20" t="str">
        <f>IFERROR(INDEX('Cost_Components'!$O$2:$O$27,MATCH(E768,'Cost_Components'!$A$2:$A$27,0)),"")</f>
      </c>
      <c r="AF768" s="85" t="n">
        <v>575975.941447405</v>
      </c>
      <c r="AG768" s="86" t="n">
        <v>602896.994272446</v>
      </c>
      <c r="AH768" s="87" t="str">
        <f>IF(H768="shared-count-once",COUNTIFS($A$2:$A$1353,A768,$B$2:$B$1353,B768,$E$2:$E$1353,E768),1)</f>
      </c>
    </row>
    <row r="769">
      <c r="A769" t="s">
        <v>75</v>
      </c>
      <c r="B769" s="59" t="n">
        <v>2038</v>
      </c>
      <c r="C769" t="s">
        <v>186</v>
      </c>
      <c r="D769" t="s">
        <v>166</v>
      </c>
      <c r="E769" s="60" t="s">
        <v>268</v>
      </c>
      <c r="F769" s="61" t="s">
        <v>269</v>
      </c>
      <c r="G769" s="62" t="s">
        <v>196</v>
      </c>
      <c r="H769" s="63" t="s">
        <v>195</v>
      </c>
      <c r="I769" s="64" t="s">
        <v>267</v>
      </c>
      <c r="J769" s="65" t="str">
        <f>IFERROR(INDEX('Cost_Components'!$K$2:$K$27,MATCH(E769,'Cost_Components'!$A$2:$A$27,0)),"")</f>
      </c>
      <c r="K769" s="66" t="str">
        <f>IF(OR(L769="",Z769="",AA769="",AB769=""),"",IF(B769&lt;AA769,L769,IF(B769&gt;AB769,Z769,L769+(Z769-L769)*MIN(MAX((B769-AA769+1)/MAX(AB769-AA769+1,1),0),1))))</f>
      </c>
      <c r="L769" s="67" t="str">
        <f>IFERROR(INDEX('Cost_Components'!$S$2:$S$27,MATCH(E769,'Cost_Components'!$A$2:$A$27,0)),"")</f>
      </c>
      <c r="M769" s="68" t="str">
        <f>IFERROR(INDEX('Cost_Components'!$L$2:$L$27,MATCH(E769,'Cost_Components'!$A$2:$A$27,0)),"")</f>
      </c>
      <c r="N769" s="69" t="str">
        <f>IFERROR(INDEX('Cost_Components'!$P$2:$P$27,MATCH(E769,'Cost_Components'!$A$2:$A$27,0)),"")</f>
      </c>
      <c r="O769" s="70" t="str">
        <f>AF769*J769</f>
      </c>
      <c r="P769" s="71" t="str">
        <f>AG769*J769</f>
      </c>
      <c r="Q769" s="72" t="str">
        <f>P769*L769*M769*N769</f>
      </c>
      <c r="R769" s="73" t="str">
        <f>O769*K769*M769*N769</f>
      </c>
      <c r="S769" s="74" t="str">
        <f>R769-Q769</f>
      </c>
      <c r="T769" s="20" t="str">
        <f>IFERROR(INDEX('Cost_Components'!$R$2:$R$27,MATCH(E769,'Cost_Components'!$A$2:$A$27,0)),"")</f>
      </c>
      <c r="U769" s="75" t="str">
        <f>IFERROR(INDEX('Cost_Components'!$Q$2:$Q$27,MATCH(E769,'Cost_Components'!$A$2:$A$27,0)),"")</f>
      </c>
      <c r="V769" s="76" t="str">
        <f>1/(1+'Calculation_Assumptions'!$B$5)^(B769-'Calculation_Assumptions'!$B$2)</f>
      </c>
      <c r="W769" s="77" t="str">
        <f>Q769*V769</f>
      </c>
      <c r="X769" s="78" t="str">
        <f>R769*V769</f>
      </c>
      <c r="Y769" s="79" t="str">
        <f>S769*V769</f>
      </c>
      <c r="Z769" s="80" t="str">
        <f>IFERROR(INDEX('Cost_Components'!$T$2:$T$27,MATCH(E769,'Cost_Components'!$A$2:$A$27,0)),"")</f>
      </c>
      <c r="AA769" s="81" t="str">
        <f>IFERROR(INDEX('Cost_Components'!$U$2:$U$27,MATCH(E769,'Cost_Components'!$A$2:$A$27,0)),"")</f>
      </c>
      <c r="AB769" s="82" t="str">
        <f>IFERROR(INDEX('Cost_Components'!$V$2:$V$27,MATCH(E769,'Cost_Components'!$A$2:$A$27,0)),"")</f>
      </c>
      <c r="AC769" s="83" t="str">
        <f>IFERROR(INDEX('Cost_Components'!$M$2:$M$27,MATCH(E769,'Cost_Components'!$A$2:$A$27,0)),"")</f>
      </c>
      <c r="AD769" s="84" t="str">
        <f>IFERROR(INDEX('Cost_Components'!$N$2:$N$27,MATCH(E769,'Cost_Components'!$A$2:$A$27,0)),"")</f>
      </c>
      <c r="AE769" s="20" t="str">
        <f>IFERROR(INDEX('Cost_Components'!$O$2:$O$27,MATCH(E769,'Cost_Components'!$A$2:$A$27,0)),"")</f>
      </c>
      <c r="AF769" s="85" t="n">
        <v>586841.243727366</v>
      </c>
      <c r="AG769" s="86" t="n">
        <v>617309.427161682</v>
      </c>
      <c r="AH769" s="87" t="str">
        <f>IF(H769="shared-count-once",COUNTIFS($A$2:$A$1353,A769,$B$2:$B$1353,B769,$E$2:$E$1353,E769),1)</f>
      </c>
    </row>
    <row r="770">
      <c r="A770" t="s">
        <v>75</v>
      </c>
      <c r="B770" s="59" t="n">
        <v>2039</v>
      </c>
      <c r="C770" t="s">
        <v>186</v>
      </c>
      <c r="D770" t="s">
        <v>166</v>
      </c>
      <c r="E770" s="60" t="s">
        <v>268</v>
      </c>
      <c r="F770" s="61" t="s">
        <v>269</v>
      </c>
      <c r="G770" s="62" t="s">
        <v>196</v>
      </c>
      <c r="H770" s="63" t="s">
        <v>195</v>
      </c>
      <c r="I770" s="64" t="s">
        <v>267</v>
      </c>
      <c r="J770" s="65" t="str">
        <f>IFERROR(INDEX('Cost_Components'!$K$2:$K$27,MATCH(E770,'Cost_Components'!$A$2:$A$27,0)),"")</f>
      </c>
      <c r="K770" s="66" t="str">
        <f>IF(OR(L770="",Z770="",AA770="",AB770=""),"",IF(B770&lt;AA770,L770,IF(B770&gt;AB770,Z770,L770+(Z770-L770)*MIN(MAX((B770-AA770+1)/MAX(AB770-AA770+1,1),0),1))))</f>
      </c>
      <c r="L770" s="67" t="str">
        <f>IFERROR(INDEX('Cost_Components'!$S$2:$S$27,MATCH(E770,'Cost_Components'!$A$2:$A$27,0)),"")</f>
      </c>
      <c r="M770" s="68" t="str">
        <f>IFERROR(INDEX('Cost_Components'!$L$2:$L$27,MATCH(E770,'Cost_Components'!$A$2:$A$27,0)),"")</f>
      </c>
      <c r="N770" s="69" t="str">
        <f>IFERROR(INDEX('Cost_Components'!$P$2:$P$27,MATCH(E770,'Cost_Components'!$A$2:$A$27,0)),"")</f>
      </c>
      <c r="O770" s="70" t="str">
        <f>AF770*J770</f>
      </c>
      <c r="P770" s="71" t="str">
        <f>AG770*J770</f>
      </c>
      <c r="Q770" s="72" t="str">
        <f>P770*L770*M770*N770</f>
      </c>
      <c r="R770" s="73" t="str">
        <f>O770*K770*M770*N770</f>
      </c>
      <c r="S770" s="74" t="str">
        <f>R770-Q770</f>
      </c>
      <c r="T770" s="20" t="str">
        <f>IFERROR(INDEX('Cost_Components'!$R$2:$R$27,MATCH(E770,'Cost_Components'!$A$2:$A$27,0)),"")</f>
      </c>
      <c r="U770" s="75" t="str">
        <f>IFERROR(INDEX('Cost_Components'!$Q$2:$Q$27,MATCH(E770,'Cost_Components'!$A$2:$A$27,0)),"")</f>
      </c>
      <c r="V770" s="76" t="str">
        <f>1/(1+'Calculation_Assumptions'!$B$5)^(B770-'Calculation_Assumptions'!$B$2)</f>
      </c>
      <c r="W770" s="77" t="str">
        <f>Q770*V770</f>
      </c>
      <c r="X770" s="78" t="str">
        <f>R770*V770</f>
      </c>
      <c r="Y770" s="79" t="str">
        <f>S770*V770</f>
      </c>
      <c r="Z770" s="80" t="str">
        <f>IFERROR(INDEX('Cost_Components'!$T$2:$T$27,MATCH(E770,'Cost_Components'!$A$2:$A$27,0)),"")</f>
      </c>
      <c r="AA770" s="81" t="str">
        <f>IFERROR(INDEX('Cost_Components'!$U$2:$U$27,MATCH(E770,'Cost_Components'!$A$2:$A$27,0)),"")</f>
      </c>
      <c r="AB770" s="82" t="str">
        <f>IFERROR(INDEX('Cost_Components'!$V$2:$V$27,MATCH(E770,'Cost_Components'!$A$2:$A$27,0)),"")</f>
      </c>
      <c r="AC770" s="83" t="str">
        <f>IFERROR(INDEX('Cost_Components'!$M$2:$M$27,MATCH(E770,'Cost_Components'!$A$2:$A$27,0)),"")</f>
      </c>
      <c r="AD770" s="84" t="str">
        <f>IFERROR(INDEX('Cost_Components'!$N$2:$N$27,MATCH(E770,'Cost_Components'!$A$2:$A$27,0)),"")</f>
      </c>
      <c r="AE770" s="20" t="str">
        <f>IFERROR(INDEX('Cost_Components'!$O$2:$O$27,MATCH(E770,'Cost_Components'!$A$2:$A$27,0)),"")</f>
      </c>
      <c r="AF770" s="85" t="n">
        <v>597376.152634632</v>
      </c>
      <c r="AG770" s="86" t="n">
        <v>631494.66209286</v>
      </c>
      <c r="AH770" s="87" t="str">
        <f>IF(H770="shared-count-once",COUNTIFS($A$2:$A$1353,A770,$B$2:$B$1353,B770,$E$2:$E$1353,E770),1)</f>
      </c>
    </row>
    <row r="771">
      <c r="A771" t="s">
        <v>75</v>
      </c>
      <c r="B771" s="59" t="n">
        <v>2040</v>
      </c>
      <c r="C771" t="s">
        <v>186</v>
      </c>
      <c r="D771" t="s">
        <v>166</v>
      </c>
      <c r="E771" s="60" t="s">
        <v>268</v>
      </c>
      <c r="F771" s="61" t="s">
        <v>269</v>
      </c>
      <c r="G771" s="62" t="s">
        <v>196</v>
      </c>
      <c r="H771" s="63" t="s">
        <v>195</v>
      </c>
      <c r="I771" s="64" t="s">
        <v>267</v>
      </c>
      <c r="J771" s="65" t="str">
        <f>IFERROR(INDEX('Cost_Components'!$K$2:$K$27,MATCH(E771,'Cost_Components'!$A$2:$A$27,0)),"")</f>
      </c>
      <c r="K771" s="66" t="str">
        <f>IF(OR(L771="",Z771="",AA771="",AB771=""),"",IF(B771&lt;AA771,L771,IF(B771&gt;AB771,Z771,L771+(Z771-L771)*MIN(MAX((B771-AA771+1)/MAX(AB771-AA771+1,1),0),1))))</f>
      </c>
      <c r="L771" s="67" t="str">
        <f>IFERROR(INDEX('Cost_Components'!$S$2:$S$27,MATCH(E771,'Cost_Components'!$A$2:$A$27,0)),"")</f>
      </c>
      <c r="M771" s="68" t="str">
        <f>IFERROR(INDEX('Cost_Components'!$L$2:$L$27,MATCH(E771,'Cost_Components'!$A$2:$A$27,0)),"")</f>
      </c>
      <c r="N771" s="69" t="str">
        <f>IFERROR(INDEX('Cost_Components'!$P$2:$P$27,MATCH(E771,'Cost_Components'!$A$2:$A$27,0)),"")</f>
      </c>
      <c r="O771" s="70" t="str">
        <f>AF771*J771</f>
      </c>
      <c r="P771" s="71" t="str">
        <f>AG771*J771</f>
      </c>
      <c r="Q771" s="72" t="str">
        <f>P771*L771*M771*N771</f>
      </c>
      <c r="R771" s="73" t="str">
        <f>O771*K771*M771*N771</f>
      </c>
      <c r="S771" s="74" t="str">
        <f>R771-Q771</f>
      </c>
      <c r="T771" s="20" t="str">
        <f>IFERROR(INDEX('Cost_Components'!$R$2:$R$27,MATCH(E771,'Cost_Components'!$A$2:$A$27,0)),"")</f>
      </c>
      <c r="U771" s="75" t="str">
        <f>IFERROR(INDEX('Cost_Components'!$Q$2:$Q$27,MATCH(E771,'Cost_Components'!$A$2:$A$27,0)),"")</f>
      </c>
      <c r="V771" s="76" t="str">
        <f>1/(1+'Calculation_Assumptions'!$B$5)^(B771-'Calculation_Assumptions'!$B$2)</f>
      </c>
      <c r="W771" s="77" t="str">
        <f>Q771*V771</f>
      </c>
      <c r="X771" s="78" t="str">
        <f>R771*V771</f>
      </c>
      <c r="Y771" s="79" t="str">
        <f>S771*V771</f>
      </c>
      <c r="Z771" s="80" t="str">
        <f>IFERROR(INDEX('Cost_Components'!$T$2:$T$27,MATCH(E771,'Cost_Components'!$A$2:$A$27,0)),"")</f>
      </c>
      <c r="AA771" s="81" t="str">
        <f>IFERROR(INDEX('Cost_Components'!$U$2:$U$27,MATCH(E771,'Cost_Components'!$A$2:$A$27,0)),"")</f>
      </c>
      <c r="AB771" s="82" t="str">
        <f>IFERROR(INDEX('Cost_Components'!$V$2:$V$27,MATCH(E771,'Cost_Components'!$A$2:$A$27,0)),"")</f>
      </c>
      <c r="AC771" s="83" t="str">
        <f>IFERROR(INDEX('Cost_Components'!$M$2:$M$27,MATCH(E771,'Cost_Components'!$A$2:$A$27,0)),"")</f>
      </c>
      <c r="AD771" s="84" t="str">
        <f>IFERROR(INDEX('Cost_Components'!$N$2:$N$27,MATCH(E771,'Cost_Components'!$A$2:$A$27,0)),"")</f>
      </c>
      <c r="AE771" s="20" t="str">
        <f>IFERROR(INDEX('Cost_Components'!$O$2:$O$27,MATCH(E771,'Cost_Components'!$A$2:$A$27,0)),"")</f>
      </c>
      <c r="AF771" s="85" t="n">
        <v>608154.181211171</v>
      </c>
      <c r="AG771" s="86" t="n">
        <v>646103.245721349</v>
      </c>
      <c r="AH771" s="87" t="str">
        <f>IF(H771="shared-count-once",COUNTIFS($A$2:$A$1353,A771,$B$2:$B$1353,B771,$E$2:$E$1353,E771),1)</f>
      </c>
    </row>
    <row r="772">
      <c r="A772" t="s">
        <v>75</v>
      </c>
      <c r="B772" s="59" t="n">
        <v>2041</v>
      </c>
      <c r="C772" t="s">
        <v>186</v>
      </c>
      <c r="D772" t="s">
        <v>166</v>
      </c>
      <c r="E772" s="60" t="s">
        <v>268</v>
      </c>
      <c r="F772" s="61" t="s">
        <v>269</v>
      </c>
      <c r="G772" s="62" t="s">
        <v>196</v>
      </c>
      <c r="H772" s="63" t="s">
        <v>195</v>
      </c>
      <c r="I772" s="64" t="s">
        <v>267</v>
      </c>
      <c r="J772" s="65" t="str">
        <f>IFERROR(INDEX('Cost_Components'!$K$2:$K$27,MATCH(E772,'Cost_Components'!$A$2:$A$27,0)),"")</f>
      </c>
      <c r="K772" s="66" t="str">
        <f>IF(OR(L772="",Z772="",AA772="",AB772=""),"",IF(B772&lt;AA772,L772,IF(B772&gt;AB772,Z772,L772+(Z772-L772)*MIN(MAX((B772-AA772+1)/MAX(AB772-AA772+1,1),0),1))))</f>
      </c>
      <c r="L772" s="67" t="str">
        <f>IFERROR(INDEX('Cost_Components'!$S$2:$S$27,MATCH(E772,'Cost_Components'!$A$2:$A$27,0)),"")</f>
      </c>
      <c r="M772" s="68" t="str">
        <f>IFERROR(INDEX('Cost_Components'!$L$2:$L$27,MATCH(E772,'Cost_Components'!$A$2:$A$27,0)),"")</f>
      </c>
      <c r="N772" s="69" t="str">
        <f>IFERROR(INDEX('Cost_Components'!$P$2:$P$27,MATCH(E772,'Cost_Components'!$A$2:$A$27,0)),"")</f>
      </c>
      <c r="O772" s="70" t="str">
        <f>AF772*J772</f>
      </c>
      <c r="P772" s="71" t="str">
        <f>AG772*J772</f>
      </c>
      <c r="Q772" s="72" t="str">
        <f>P772*L772*M772*N772</f>
      </c>
      <c r="R772" s="73" t="str">
        <f>O772*K772*M772*N772</f>
      </c>
      <c r="S772" s="74" t="str">
        <f>R772-Q772</f>
      </c>
      <c r="T772" s="20" t="str">
        <f>IFERROR(INDEX('Cost_Components'!$R$2:$R$27,MATCH(E772,'Cost_Components'!$A$2:$A$27,0)),"")</f>
      </c>
      <c r="U772" s="75" t="str">
        <f>IFERROR(INDEX('Cost_Components'!$Q$2:$Q$27,MATCH(E772,'Cost_Components'!$A$2:$A$27,0)),"")</f>
      </c>
      <c r="V772" s="76" t="str">
        <f>1/(1+'Calculation_Assumptions'!$B$5)^(B772-'Calculation_Assumptions'!$B$2)</f>
      </c>
      <c r="W772" s="77" t="str">
        <f>Q772*V772</f>
      </c>
      <c r="X772" s="78" t="str">
        <f>R772*V772</f>
      </c>
      <c r="Y772" s="79" t="str">
        <f>S772*V772</f>
      </c>
      <c r="Z772" s="80" t="str">
        <f>IFERROR(INDEX('Cost_Components'!$T$2:$T$27,MATCH(E772,'Cost_Components'!$A$2:$A$27,0)),"")</f>
      </c>
      <c r="AA772" s="81" t="str">
        <f>IFERROR(INDEX('Cost_Components'!$U$2:$U$27,MATCH(E772,'Cost_Components'!$A$2:$A$27,0)),"")</f>
      </c>
      <c r="AB772" s="82" t="str">
        <f>IFERROR(INDEX('Cost_Components'!$V$2:$V$27,MATCH(E772,'Cost_Components'!$A$2:$A$27,0)),"")</f>
      </c>
      <c r="AC772" s="83" t="str">
        <f>IFERROR(INDEX('Cost_Components'!$M$2:$M$27,MATCH(E772,'Cost_Components'!$A$2:$A$27,0)),"")</f>
      </c>
      <c r="AD772" s="84" t="str">
        <f>IFERROR(INDEX('Cost_Components'!$N$2:$N$27,MATCH(E772,'Cost_Components'!$A$2:$A$27,0)),"")</f>
      </c>
      <c r="AE772" s="20" t="str">
        <f>IFERROR(INDEX('Cost_Components'!$O$2:$O$27,MATCH(E772,'Cost_Components'!$A$2:$A$27,0)),"")</f>
      </c>
      <c r="AF772" s="85" t="n">
        <v>619119.550440245</v>
      </c>
      <c r="AG772" s="86" t="n">
        <v>661097.35077381</v>
      </c>
      <c r="AH772" s="87" t="str">
        <f>IF(H772="shared-count-once",COUNTIFS($A$2:$A$1353,A772,$B$2:$B$1353,B772,$E$2:$E$1353,E772),1)</f>
      </c>
    </row>
    <row r="773">
      <c r="A773" t="s">
        <v>75</v>
      </c>
      <c r="B773" s="59" t="n">
        <v>2042</v>
      </c>
      <c r="C773" t="s">
        <v>186</v>
      </c>
      <c r="D773" t="s">
        <v>166</v>
      </c>
      <c r="E773" s="60" t="s">
        <v>268</v>
      </c>
      <c r="F773" s="61" t="s">
        <v>269</v>
      </c>
      <c r="G773" s="62" t="s">
        <v>196</v>
      </c>
      <c r="H773" s="63" t="s">
        <v>195</v>
      </c>
      <c r="I773" s="64" t="s">
        <v>267</v>
      </c>
      <c r="J773" s="65" t="str">
        <f>IFERROR(INDEX('Cost_Components'!$K$2:$K$27,MATCH(E773,'Cost_Components'!$A$2:$A$27,0)),"")</f>
      </c>
      <c r="K773" s="66" t="str">
        <f>IF(OR(L773="",Z773="",AA773="",AB773=""),"",IF(B773&lt;AA773,L773,IF(B773&gt;AB773,Z773,L773+(Z773-L773)*MIN(MAX((B773-AA773+1)/MAX(AB773-AA773+1,1),0),1))))</f>
      </c>
      <c r="L773" s="67" t="str">
        <f>IFERROR(INDEX('Cost_Components'!$S$2:$S$27,MATCH(E773,'Cost_Components'!$A$2:$A$27,0)),"")</f>
      </c>
      <c r="M773" s="68" t="str">
        <f>IFERROR(INDEX('Cost_Components'!$L$2:$L$27,MATCH(E773,'Cost_Components'!$A$2:$A$27,0)),"")</f>
      </c>
      <c r="N773" s="69" t="str">
        <f>IFERROR(INDEX('Cost_Components'!$P$2:$P$27,MATCH(E773,'Cost_Components'!$A$2:$A$27,0)),"")</f>
      </c>
      <c r="O773" s="70" t="str">
        <f>AF773*J773</f>
      </c>
      <c r="P773" s="71" t="str">
        <f>AG773*J773</f>
      </c>
      <c r="Q773" s="72" t="str">
        <f>P773*L773*M773*N773</f>
      </c>
      <c r="R773" s="73" t="str">
        <f>O773*K773*M773*N773</f>
      </c>
      <c r="S773" s="74" t="str">
        <f>R773-Q773</f>
      </c>
      <c r="T773" s="20" t="str">
        <f>IFERROR(INDEX('Cost_Components'!$R$2:$R$27,MATCH(E773,'Cost_Components'!$A$2:$A$27,0)),"")</f>
      </c>
      <c r="U773" s="75" t="str">
        <f>IFERROR(INDEX('Cost_Components'!$Q$2:$Q$27,MATCH(E773,'Cost_Components'!$A$2:$A$27,0)),"")</f>
      </c>
      <c r="V773" s="76" t="str">
        <f>1/(1+'Calculation_Assumptions'!$B$5)^(B773-'Calculation_Assumptions'!$B$2)</f>
      </c>
      <c r="W773" s="77" t="str">
        <f>Q773*V773</f>
      </c>
      <c r="X773" s="78" t="str">
        <f>R773*V773</f>
      </c>
      <c r="Y773" s="79" t="str">
        <f>S773*V773</f>
      </c>
      <c r="Z773" s="80" t="str">
        <f>IFERROR(INDEX('Cost_Components'!$T$2:$T$27,MATCH(E773,'Cost_Components'!$A$2:$A$27,0)),"")</f>
      </c>
      <c r="AA773" s="81" t="str">
        <f>IFERROR(INDEX('Cost_Components'!$U$2:$U$27,MATCH(E773,'Cost_Components'!$A$2:$A$27,0)),"")</f>
      </c>
      <c r="AB773" s="82" t="str">
        <f>IFERROR(INDEX('Cost_Components'!$V$2:$V$27,MATCH(E773,'Cost_Components'!$A$2:$A$27,0)),"")</f>
      </c>
      <c r="AC773" s="83" t="str">
        <f>IFERROR(INDEX('Cost_Components'!$M$2:$M$27,MATCH(E773,'Cost_Components'!$A$2:$A$27,0)),"")</f>
      </c>
      <c r="AD773" s="84" t="str">
        <f>IFERROR(INDEX('Cost_Components'!$N$2:$N$27,MATCH(E773,'Cost_Components'!$A$2:$A$27,0)),"")</f>
      </c>
      <c r="AE773" s="20" t="str">
        <f>IFERROR(INDEX('Cost_Components'!$O$2:$O$27,MATCH(E773,'Cost_Components'!$A$2:$A$27,0)),"")</f>
      </c>
      <c r="AF773" s="85" t="n">
        <v>630176.231691491</v>
      </c>
      <c r="AG773" s="86" t="n">
        <v>676373.405782993</v>
      </c>
      <c r="AH773" s="87" t="str">
        <f>IF(H773="shared-count-once",COUNTIFS($A$2:$A$1353,A773,$B$2:$B$1353,B773,$E$2:$E$1353,E773),1)</f>
      </c>
    </row>
    <row r="774">
      <c r="A774" t="s">
        <v>75</v>
      </c>
      <c r="B774" s="59" t="n">
        <v>2043</v>
      </c>
      <c r="C774" t="s">
        <v>186</v>
      </c>
      <c r="D774" t="s">
        <v>166</v>
      </c>
      <c r="E774" s="60" t="s">
        <v>268</v>
      </c>
      <c r="F774" s="61" t="s">
        <v>269</v>
      </c>
      <c r="G774" s="62" t="s">
        <v>196</v>
      </c>
      <c r="H774" s="63" t="s">
        <v>195</v>
      </c>
      <c r="I774" s="64" t="s">
        <v>267</v>
      </c>
      <c r="J774" s="65" t="str">
        <f>IFERROR(INDEX('Cost_Components'!$K$2:$K$27,MATCH(E774,'Cost_Components'!$A$2:$A$27,0)),"")</f>
      </c>
      <c r="K774" s="66" t="str">
        <f>IF(OR(L774="",Z774="",AA774="",AB774=""),"",IF(B774&lt;AA774,L774,IF(B774&gt;AB774,Z774,L774+(Z774-L774)*MIN(MAX((B774-AA774+1)/MAX(AB774-AA774+1,1),0),1))))</f>
      </c>
      <c r="L774" s="67" t="str">
        <f>IFERROR(INDEX('Cost_Components'!$S$2:$S$27,MATCH(E774,'Cost_Components'!$A$2:$A$27,0)),"")</f>
      </c>
      <c r="M774" s="68" t="str">
        <f>IFERROR(INDEX('Cost_Components'!$L$2:$L$27,MATCH(E774,'Cost_Components'!$A$2:$A$27,0)),"")</f>
      </c>
      <c r="N774" s="69" t="str">
        <f>IFERROR(INDEX('Cost_Components'!$P$2:$P$27,MATCH(E774,'Cost_Components'!$A$2:$A$27,0)),"")</f>
      </c>
      <c r="O774" s="70" t="str">
        <f>AF774*J774</f>
      </c>
      <c r="P774" s="71" t="str">
        <f>AG774*J774</f>
      </c>
      <c r="Q774" s="72" t="str">
        <f>P774*L774*M774*N774</f>
      </c>
      <c r="R774" s="73" t="str">
        <f>O774*K774*M774*N774</f>
      </c>
      <c r="S774" s="74" t="str">
        <f>R774-Q774</f>
      </c>
      <c r="T774" s="20" t="str">
        <f>IFERROR(INDEX('Cost_Components'!$R$2:$R$27,MATCH(E774,'Cost_Components'!$A$2:$A$27,0)),"")</f>
      </c>
      <c r="U774" s="75" t="str">
        <f>IFERROR(INDEX('Cost_Components'!$Q$2:$Q$27,MATCH(E774,'Cost_Components'!$A$2:$A$27,0)),"")</f>
      </c>
      <c r="V774" s="76" t="str">
        <f>1/(1+'Calculation_Assumptions'!$B$5)^(B774-'Calculation_Assumptions'!$B$2)</f>
      </c>
      <c r="W774" s="77" t="str">
        <f>Q774*V774</f>
      </c>
      <c r="X774" s="78" t="str">
        <f>R774*V774</f>
      </c>
      <c r="Y774" s="79" t="str">
        <f>S774*V774</f>
      </c>
      <c r="Z774" s="80" t="str">
        <f>IFERROR(INDEX('Cost_Components'!$T$2:$T$27,MATCH(E774,'Cost_Components'!$A$2:$A$27,0)),"")</f>
      </c>
      <c r="AA774" s="81" t="str">
        <f>IFERROR(INDEX('Cost_Components'!$U$2:$U$27,MATCH(E774,'Cost_Components'!$A$2:$A$27,0)),"")</f>
      </c>
      <c r="AB774" s="82" t="str">
        <f>IFERROR(INDEX('Cost_Components'!$V$2:$V$27,MATCH(E774,'Cost_Components'!$A$2:$A$27,0)),"")</f>
      </c>
      <c r="AC774" s="83" t="str">
        <f>IFERROR(INDEX('Cost_Components'!$M$2:$M$27,MATCH(E774,'Cost_Components'!$A$2:$A$27,0)),"")</f>
      </c>
      <c r="AD774" s="84" t="str">
        <f>IFERROR(INDEX('Cost_Components'!$N$2:$N$27,MATCH(E774,'Cost_Components'!$A$2:$A$27,0)),"")</f>
      </c>
      <c r="AE774" s="20" t="str">
        <f>IFERROR(INDEX('Cost_Components'!$O$2:$O$27,MATCH(E774,'Cost_Components'!$A$2:$A$27,0)),"")</f>
      </c>
      <c r="AF774" s="85" t="n">
        <v>641383.196682793</v>
      </c>
      <c r="AG774" s="86" t="n">
        <v>692011.846145533</v>
      </c>
      <c r="AH774" s="87" t="str">
        <f>IF(H774="shared-count-once",COUNTIFS($A$2:$A$1353,A774,$B$2:$B$1353,B774,$E$2:$E$1353,E774),1)</f>
      </c>
    </row>
    <row r="775">
      <c r="A775" t="s">
        <v>75</v>
      </c>
      <c r="B775" s="59" t="n">
        <v>2044</v>
      </c>
      <c r="C775" t="s">
        <v>186</v>
      </c>
      <c r="D775" t="s">
        <v>166</v>
      </c>
      <c r="E775" s="60" t="s">
        <v>268</v>
      </c>
      <c r="F775" s="61" t="s">
        <v>269</v>
      </c>
      <c r="G775" s="62" t="s">
        <v>196</v>
      </c>
      <c r="H775" s="63" t="s">
        <v>195</v>
      </c>
      <c r="I775" s="64" t="s">
        <v>267</v>
      </c>
      <c r="J775" s="65" t="str">
        <f>IFERROR(INDEX('Cost_Components'!$K$2:$K$27,MATCH(E775,'Cost_Components'!$A$2:$A$27,0)),"")</f>
      </c>
      <c r="K775" s="66" t="str">
        <f>IF(OR(L775="",Z775="",AA775="",AB775=""),"",IF(B775&lt;AA775,L775,IF(B775&gt;AB775,Z775,L775+(Z775-L775)*MIN(MAX((B775-AA775+1)/MAX(AB775-AA775+1,1),0),1))))</f>
      </c>
      <c r="L775" s="67" t="str">
        <f>IFERROR(INDEX('Cost_Components'!$S$2:$S$27,MATCH(E775,'Cost_Components'!$A$2:$A$27,0)),"")</f>
      </c>
      <c r="M775" s="68" t="str">
        <f>IFERROR(INDEX('Cost_Components'!$L$2:$L$27,MATCH(E775,'Cost_Components'!$A$2:$A$27,0)),"")</f>
      </c>
      <c r="N775" s="69" t="str">
        <f>IFERROR(INDEX('Cost_Components'!$P$2:$P$27,MATCH(E775,'Cost_Components'!$A$2:$A$27,0)),"")</f>
      </c>
      <c r="O775" s="70" t="str">
        <f>AF775*J775</f>
      </c>
      <c r="P775" s="71" t="str">
        <f>AG775*J775</f>
      </c>
      <c r="Q775" s="72" t="str">
        <f>P775*L775*M775*N775</f>
      </c>
      <c r="R775" s="73" t="str">
        <f>O775*K775*M775*N775</f>
      </c>
      <c r="S775" s="74" t="str">
        <f>R775-Q775</f>
      </c>
      <c r="T775" s="20" t="str">
        <f>IFERROR(INDEX('Cost_Components'!$R$2:$R$27,MATCH(E775,'Cost_Components'!$A$2:$A$27,0)),"")</f>
      </c>
      <c r="U775" s="75" t="str">
        <f>IFERROR(INDEX('Cost_Components'!$Q$2:$Q$27,MATCH(E775,'Cost_Components'!$A$2:$A$27,0)),"")</f>
      </c>
      <c r="V775" s="76" t="str">
        <f>1/(1+'Calculation_Assumptions'!$B$5)^(B775-'Calculation_Assumptions'!$B$2)</f>
      </c>
      <c r="W775" s="77" t="str">
        <f>Q775*V775</f>
      </c>
      <c r="X775" s="78" t="str">
        <f>R775*V775</f>
      </c>
      <c r="Y775" s="79" t="str">
        <f>S775*V775</f>
      </c>
      <c r="Z775" s="80" t="str">
        <f>IFERROR(INDEX('Cost_Components'!$T$2:$T$27,MATCH(E775,'Cost_Components'!$A$2:$A$27,0)),"")</f>
      </c>
      <c r="AA775" s="81" t="str">
        <f>IFERROR(INDEX('Cost_Components'!$U$2:$U$27,MATCH(E775,'Cost_Components'!$A$2:$A$27,0)),"")</f>
      </c>
      <c r="AB775" s="82" t="str">
        <f>IFERROR(INDEX('Cost_Components'!$V$2:$V$27,MATCH(E775,'Cost_Components'!$A$2:$A$27,0)),"")</f>
      </c>
      <c r="AC775" s="83" t="str">
        <f>IFERROR(INDEX('Cost_Components'!$M$2:$M$27,MATCH(E775,'Cost_Components'!$A$2:$A$27,0)),"")</f>
      </c>
      <c r="AD775" s="84" t="str">
        <f>IFERROR(INDEX('Cost_Components'!$N$2:$N$27,MATCH(E775,'Cost_Components'!$A$2:$A$27,0)),"")</f>
      </c>
      <c r="AE775" s="20" t="str">
        <f>IFERROR(INDEX('Cost_Components'!$O$2:$O$27,MATCH(E775,'Cost_Components'!$A$2:$A$27,0)),"")</f>
      </c>
      <c r="AF775" s="85" t="n">
        <v>652086.447415715</v>
      </c>
      <c r="AG775" s="86" t="n">
        <v>707234.188054573</v>
      </c>
      <c r="AH775" s="87" t="str">
        <f>IF(H775="shared-count-once",COUNTIFS($A$2:$A$1353,A775,$B$2:$B$1353,B775,$E$2:$E$1353,E775),1)</f>
      </c>
    </row>
    <row r="776">
      <c r="A776" t="s">
        <v>75</v>
      </c>
      <c r="B776" s="59" t="n">
        <v>2045</v>
      </c>
      <c r="C776" t="s">
        <v>186</v>
      </c>
      <c r="D776" t="s">
        <v>166</v>
      </c>
      <c r="E776" s="60" t="s">
        <v>268</v>
      </c>
      <c r="F776" s="61" t="s">
        <v>269</v>
      </c>
      <c r="G776" s="62" t="s">
        <v>196</v>
      </c>
      <c r="H776" s="63" t="s">
        <v>195</v>
      </c>
      <c r="I776" s="64" t="s">
        <v>267</v>
      </c>
      <c r="J776" s="65" t="str">
        <f>IFERROR(INDEX('Cost_Components'!$K$2:$K$27,MATCH(E776,'Cost_Components'!$A$2:$A$27,0)),"")</f>
      </c>
      <c r="K776" s="66" t="str">
        <f>IF(OR(L776="",Z776="",AA776="",AB776=""),"",IF(B776&lt;AA776,L776,IF(B776&gt;AB776,Z776,L776+(Z776-L776)*MIN(MAX((B776-AA776+1)/MAX(AB776-AA776+1,1),0),1))))</f>
      </c>
      <c r="L776" s="67" t="str">
        <f>IFERROR(INDEX('Cost_Components'!$S$2:$S$27,MATCH(E776,'Cost_Components'!$A$2:$A$27,0)),"")</f>
      </c>
      <c r="M776" s="68" t="str">
        <f>IFERROR(INDEX('Cost_Components'!$L$2:$L$27,MATCH(E776,'Cost_Components'!$A$2:$A$27,0)),"")</f>
      </c>
      <c r="N776" s="69" t="str">
        <f>IFERROR(INDEX('Cost_Components'!$P$2:$P$27,MATCH(E776,'Cost_Components'!$A$2:$A$27,0)),"")</f>
      </c>
      <c r="O776" s="70" t="str">
        <f>AF776*J776</f>
      </c>
      <c r="P776" s="71" t="str">
        <f>AG776*J776</f>
      </c>
      <c r="Q776" s="72" t="str">
        <f>P776*L776*M776*N776</f>
      </c>
      <c r="R776" s="73" t="str">
        <f>O776*K776*M776*N776</f>
      </c>
      <c r="S776" s="74" t="str">
        <f>R776-Q776</f>
      </c>
      <c r="T776" s="20" t="str">
        <f>IFERROR(INDEX('Cost_Components'!$R$2:$R$27,MATCH(E776,'Cost_Components'!$A$2:$A$27,0)),"")</f>
      </c>
      <c r="U776" s="75" t="str">
        <f>IFERROR(INDEX('Cost_Components'!$Q$2:$Q$27,MATCH(E776,'Cost_Components'!$A$2:$A$27,0)),"")</f>
      </c>
      <c r="V776" s="76" t="str">
        <f>1/(1+'Calculation_Assumptions'!$B$5)^(B776-'Calculation_Assumptions'!$B$2)</f>
      </c>
      <c r="W776" s="77" t="str">
        <f>Q776*V776</f>
      </c>
      <c r="X776" s="78" t="str">
        <f>R776*V776</f>
      </c>
      <c r="Y776" s="79" t="str">
        <f>S776*V776</f>
      </c>
      <c r="Z776" s="80" t="str">
        <f>IFERROR(INDEX('Cost_Components'!$T$2:$T$27,MATCH(E776,'Cost_Components'!$A$2:$A$27,0)),"")</f>
      </c>
      <c r="AA776" s="81" t="str">
        <f>IFERROR(INDEX('Cost_Components'!$U$2:$U$27,MATCH(E776,'Cost_Components'!$A$2:$A$27,0)),"")</f>
      </c>
      <c r="AB776" s="82" t="str">
        <f>IFERROR(INDEX('Cost_Components'!$V$2:$V$27,MATCH(E776,'Cost_Components'!$A$2:$A$27,0)),"")</f>
      </c>
      <c r="AC776" s="83" t="str">
        <f>IFERROR(INDEX('Cost_Components'!$M$2:$M$27,MATCH(E776,'Cost_Components'!$A$2:$A$27,0)),"")</f>
      </c>
      <c r="AD776" s="84" t="str">
        <f>IFERROR(INDEX('Cost_Components'!$N$2:$N$27,MATCH(E776,'Cost_Components'!$A$2:$A$27,0)),"")</f>
      </c>
      <c r="AE776" s="20" t="str">
        <f>IFERROR(INDEX('Cost_Components'!$O$2:$O$27,MATCH(E776,'Cost_Components'!$A$2:$A$27,0)),"")</f>
      </c>
      <c r="AF776" s="85" t="n">
        <v>662726.960666262</v>
      </c>
      <c r="AG776" s="86" t="n">
        <v>722555.372182865</v>
      </c>
      <c r="AH776" s="87" t="str">
        <f>IF(H776="shared-count-once",COUNTIFS($A$2:$A$1353,A776,$B$2:$B$1353,B776,$E$2:$E$1353,E776),1)</f>
      </c>
    </row>
    <row r="777">
      <c r="A777" t="s">
        <v>75</v>
      </c>
      <c r="B777" s="59" t="n">
        <v>2046</v>
      </c>
      <c r="C777" t="s">
        <v>186</v>
      </c>
      <c r="D777" t="s">
        <v>166</v>
      </c>
      <c r="E777" s="60" t="s">
        <v>268</v>
      </c>
      <c r="F777" s="61" t="s">
        <v>269</v>
      </c>
      <c r="G777" s="62" t="s">
        <v>196</v>
      </c>
      <c r="H777" s="63" t="s">
        <v>195</v>
      </c>
      <c r="I777" s="64" t="s">
        <v>267</v>
      </c>
      <c r="J777" s="65" t="str">
        <f>IFERROR(INDEX('Cost_Components'!$K$2:$K$27,MATCH(E777,'Cost_Components'!$A$2:$A$27,0)),"")</f>
      </c>
      <c r="K777" s="66" t="str">
        <f>IF(OR(L777="",Z777="",AA777="",AB777=""),"",IF(B777&lt;AA777,L777,IF(B777&gt;AB777,Z777,L777+(Z777-L777)*MIN(MAX((B777-AA777+1)/MAX(AB777-AA777+1,1),0),1))))</f>
      </c>
      <c r="L777" s="67" t="str">
        <f>IFERROR(INDEX('Cost_Components'!$S$2:$S$27,MATCH(E777,'Cost_Components'!$A$2:$A$27,0)),"")</f>
      </c>
      <c r="M777" s="68" t="str">
        <f>IFERROR(INDEX('Cost_Components'!$L$2:$L$27,MATCH(E777,'Cost_Components'!$A$2:$A$27,0)),"")</f>
      </c>
      <c r="N777" s="69" t="str">
        <f>IFERROR(INDEX('Cost_Components'!$P$2:$P$27,MATCH(E777,'Cost_Components'!$A$2:$A$27,0)),"")</f>
      </c>
      <c r="O777" s="70" t="str">
        <f>AF777*J777</f>
      </c>
      <c r="P777" s="71" t="str">
        <f>AG777*J777</f>
      </c>
      <c r="Q777" s="72" t="str">
        <f>P777*L777*M777*N777</f>
      </c>
      <c r="R777" s="73" t="str">
        <f>O777*K777*M777*N777</f>
      </c>
      <c r="S777" s="74" t="str">
        <f>R777-Q777</f>
      </c>
      <c r="T777" s="20" t="str">
        <f>IFERROR(INDEX('Cost_Components'!$R$2:$R$27,MATCH(E777,'Cost_Components'!$A$2:$A$27,0)),"")</f>
      </c>
      <c r="U777" s="75" t="str">
        <f>IFERROR(INDEX('Cost_Components'!$Q$2:$Q$27,MATCH(E777,'Cost_Components'!$A$2:$A$27,0)),"")</f>
      </c>
      <c r="V777" s="76" t="str">
        <f>1/(1+'Calculation_Assumptions'!$B$5)^(B777-'Calculation_Assumptions'!$B$2)</f>
      </c>
      <c r="W777" s="77" t="str">
        <f>Q777*V777</f>
      </c>
      <c r="X777" s="78" t="str">
        <f>R777*V777</f>
      </c>
      <c r="Y777" s="79" t="str">
        <f>S777*V777</f>
      </c>
      <c r="Z777" s="80" t="str">
        <f>IFERROR(INDEX('Cost_Components'!$T$2:$T$27,MATCH(E777,'Cost_Components'!$A$2:$A$27,0)),"")</f>
      </c>
      <c r="AA777" s="81" t="str">
        <f>IFERROR(INDEX('Cost_Components'!$U$2:$U$27,MATCH(E777,'Cost_Components'!$A$2:$A$27,0)),"")</f>
      </c>
      <c r="AB777" s="82" t="str">
        <f>IFERROR(INDEX('Cost_Components'!$V$2:$V$27,MATCH(E777,'Cost_Components'!$A$2:$A$27,0)),"")</f>
      </c>
      <c r="AC777" s="83" t="str">
        <f>IFERROR(INDEX('Cost_Components'!$M$2:$M$27,MATCH(E777,'Cost_Components'!$A$2:$A$27,0)),"")</f>
      </c>
      <c r="AD777" s="84" t="str">
        <f>IFERROR(INDEX('Cost_Components'!$N$2:$N$27,MATCH(E777,'Cost_Components'!$A$2:$A$27,0)),"")</f>
      </c>
      <c r="AE777" s="20" t="str">
        <f>IFERROR(INDEX('Cost_Components'!$O$2:$O$27,MATCH(E777,'Cost_Components'!$A$2:$A$27,0)),"")</f>
      </c>
      <c r="AF777" s="85" t="n">
        <v>673204.60667431</v>
      </c>
      <c r="AG777" s="86" t="n">
        <v>737879.853931334</v>
      </c>
      <c r="AH777" s="87" t="str">
        <f>IF(H777="shared-count-once",COUNTIFS($A$2:$A$1353,A777,$B$2:$B$1353,B777,$E$2:$E$1353,E777),1)</f>
      </c>
    </row>
    <row r="778">
      <c r="A778" t="s">
        <v>75</v>
      </c>
      <c r="B778" s="59" t="n">
        <v>2047</v>
      </c>
      <c r="C778" t="s">
        <v>186</v>
      </c>
      <c r="D778" t="s">
        <v>166</v>
      </c>
      <c r="E778" s="60" t="s">
        <v>268</v>
      </c>
      <c r="F778" s="61" t="s">
        <v>269</v>
      </c>
      <c r="G778" s="62" t="s">
        <v>196</v>
      </c>
      <c r="H778" s="63" t="s">
        <v>195</v>
      </c>
      <c r="I778" s="64" t="s">
        <v>267</v>
      </c>
      <c r="J778" s="65" t="str">
        <f>IFERROR(INDEX('Cost_Components'!$K$2:$K$27,MATCH(E778,'Cost_Components'!$A$2:$A$27,0)),"")</f>
      </c>
      <c r="K778" s="66" t="str">
        <f>IF(OR(L778="",Z778="",AA778="",AB778=""),"",IF(B778&lt;AA778,L778,IF(B778&gt;AB778,Z778,L778+(Z778-L778)*MIN(MAX((B778-AA778+1)/MAX(AB778-AA778+1,1),0),1))))</f>
      </c>
      <c r="L778" s="67" t="str">
        <f>IFERROR(INDEX('Cost_Components'!$S$2:$S$27,MATCH(E778,'Cost_Components'!$A$2:$A$27,0)),"")</f>
      </c>
      <c r="M778" s="68" t="str">
        <f>IFERROR(INDEX('Cost_Components'!$L$2:$L$27,MATCH(E778,'Cost_Components'!$A$2:$A$27,0)),"")</f>
      </c>
      <c r="N778" s="69" t="str">
        <f>IFERROR(INDEX('Cost_Components'!$P$2:$P$27,MATCH(E778,'Cost_Components'!$A$2:$A$27,0)),"")</f>
      </c>
      <c r="O778" s="70" t="str">
        <f>AF778*J778</f>
      </c>
      <c r="P778" s="71" t="str">
        <f>AG778*J778</f>
      </c>
      <c r="Q778" s="72" t="str">
        <f>P778*L778*M778*N778</f>
      </c>
      <c r="R778" s="73" t="str">
        <f>O778*K778*M778*N778</f>
      </c>
      <c r="S778" s="74" t="str">
        <f>R778-Q778</f>
      </c>
      <c r="T778" s="20" t="str">
        <f>IFERROR(INDEX('Cost_Components'!$R$2:$R$27,MATCH(E778,'Cost_Components'!$A$2:$A$27,0)),"")</f>
      </c>
      <c r="U778" s="75" t="str">
        <f>IFERROR(INDEX('Cost_Components'!$Q$2:$Q$27,MATCH(E778,'Cost_Components'!$A$2:$A$27,0)),"")</f>
      </c>
      <c r="V778" s="76" t="str">
        <f>1/(1+'Calculation_Assumptions'!$B$5)^(B778-'Calculation_Assumptions'!$B$2)</f>
      </c>
      <c r="W778" s="77" t="str">
        <f>Q778*V778</f>
      </c>
      <c r="X778" s="78" t="str">
        <f>R778*V778</f>
      </c>
      <c r="Y778" s="79" t="str">
        <f>S778*V778</f>
      </c>
      <c r="Z778" s="80" t="str">
        <f>IFERROR(INDEX('Cost_Components'!$T$2:$T$27,MATCH(E778,'Cost_Components'!$A$2:$A$27,0)),"")</f>
      </c>
      <c r="AA778" s="81" t="str">
        <f>IFERROR(INDEX('Cost_Components'!$U$2:$U$27,MATCH(E778,'Cost_Components'!$A$2:$A$27,0)),"")</f>
      </c>
      <c r="AB778" s="82" t="str">
        <f>IFERROR(INDEX('Cost_Components'!$V$2:$V$27,MATCH(E778,'Cost_Components'!$A$2:$A$27,0)),"")</f>
      </c>
      <c r="AC778" s="83" t="str">
        <f>IFERROR(INDEX('Cost_Components'!$M$2:$M$27,MATCH(E778,'Cost_Components'!$A$2:$A$27,0)),"")</f>
      </c>
      <c r="AD778" s="84" t="str">
        <f>IFERROR(INDEX('Cost_Components'!$N$2:$N$27,MATCH(E778,'Cost_Components'!$A$2:$A$27,0)),"")</f>
      </c>
      <c r="AE778" s="20" t="str">
        <f>IFERROR(INDEX('Cost_Components'!$O$2:$O$27,MATCH(E778,'Cost_Components'!$A$2:$A$27,0)),"")</f>
      </c>
      <c r="AF778" s="85" t="n">
        <v>683525.804221673</v>
      </c>
      <c r="AG778" s="86" t="n">
        <v>753233.18651991</v>
      </c>
      <c r="AH778" s="87" t="str">
        <f>IF(H778="shared-count-once",COUNTIFS($A$2:$A$1353,A778,$B$2:$B$1353,B778,$E$2:$E$1353,E778),1)</f>
      </c>
    </row>
    <row r="779">
      <c r="A779" t="s">
        <v>75</v>
      </c>
      <c r="B779" s="59" t="n">
        <v>2048</v>
      </c>
      <c r="C779" t="s">
        <v>186</v>
      </c>
      <c r="D779" t="s">
        <v>166</v>
      </c>
      <c r="E779" s="60" t="s">
        <v>268</v>
      </c>
      <c r="F779" s="61" t="s">
        <v>269</v>
      </c>
      <c r="G779" s="62" t="s">
        <v>196</v>
      </c>
      <c r="H779" s="63" t="s">
        <v>195</v>
      </c>
      <c r="I779" s="64" t="s">
        <v>267</v>
      </c>
      <c r="J779" s="65" t="str">
        <f>IFERROR(INDEX('Cost_Components'!$K$2:$K$27,MATCH(E779,'Cost_Components'!$A$2:$A$27,0)),"")</f>
      </c>
      <c r="K779" s="66" t="str">
        <f>IF(OR(L779="",Z779="",AA779="",AB779=""),"",IF(B779&lt;AA779,L779,IF(B779&gt;AB779,Z779,L779+(Z779-L779)*MIN(MAX((B779-AA779+1)/MAX(AB779-AA779+1,1),0),1))))</f>
      </c>
      <c r="L779" s="67" t="str">
        <f>IFERROR(INDEX('Cost_Components'!$S$2:$S$27,MATCH(E779,'Cost_Components'!$A$2:$A$27,0)),"")</f>
      </c>
      <c r="M779" s="68" t="str">
        <f>IFERROR(INDEX('Cost_Components'!$L$2:$L$27,MATCH(E779,'Cost_Components'!$A$2:$A$27,0)),"")</f>
      </c>
      <c r="N779" s="69" t="str">
        <f>IFERROR(INDEX('Cost_Components'!$P$2:$P$27,MATCH(E779,'Cost_Components'!$A$2:$A$27,0)),"")</f>
      </c>
      <c r="O779" s="70" t="str">
        <f>AF779*J779</f>
      </c>
      <c r="P779" s="71" t="str">
        <f>AG779*J779</f>
      </c>
      <c r="Q779" s="72" t="str">
        <f>P779*L779*M779*N779</f>
      </c>
      <c r="R779" s="73" t="str">
        <f>O779*K779*M779*N779</f>
      </c>
      <c r="S779" s="74" t="str">
        <f>R779-Q779</f>
      </c>
      <c r="T779" s="20" t="str">
        <f>IFERROR(INDEX('Cost_Components'!$R$2:$R$27,MATCH(E779,'Cost_Components'!$A$2:$A$27,0)),"")</f>
      </c>
      <c r="U779" s="75" t="str">
        <f>IFERROR(INDEX('Cost_Components'!$Q$2:$Q$27,MATCH(E779,'Cost_Components'!$A$2:$A$27,0)),"")</f>
      </c>
      <c r="V779" s="76" t="str">
        <f>1/(1+'Calculation_Assumptions'!$B$5)^(B779-'Calculation_Assumptions'!$B$2)</f>
      </c>
      <c r="W779" s="77" t="str">
        <f>Q779*V779</f>
      </c>
      <c r="X779" s="78" t="str">
        <f>R779*V779</f>
      </c>
      <c r="Y779" s="79" t="str">
        <f>S779*V779</f>
      </c>
      <c r="Z779" s="80" t="str">
        <f>IFERROR(INDEX('Cost_Components'!$T$2:$T$27,MATCH(E779,'Cost_Components'!$A$2:$A$27,0)),"")</f>
      </c>
      <c r="AA779" s="81" t="str">
        <f>IFERROR(INDEX('Cost_Components'!$U$2:$U$27,MATCH(E779,'Cost_Components'!$A$2:$A$27,0)),"")</f>
      </c>
      <c r="AB779" s="82" t="str">
        <f>IFERROR(INDEX('Cost_Components'!$V$2:$V$27,MATCH(E779,'Cost_Components'!$A$2:$A$27,0)),"")</f>
      </c>
      <c r="AC779" s="83" t="str">
        <f>IFERROR(INDEX('Cost_Components'!$M$2:$M$27,MATCH(E779,'Cost_Components'!$A$2:$A$27,0)),"")</f>
      </c>
      <c r="AD779" s="84" t="str">
        <f>IFERROR(INDEX('Cost_Components'!$N$2:$N$27,MATCH(E779,'Cost_Components'!$A$2:$A$27,0)),"")</f>
      </c>
      <c r="AE779" s="20" t="str">
        <f>IFERROR(INDEX('Cost_Components'!$O$2:$O$27,MATCH(E779,'Cost_Components'!$A$2:$A$27,0)),"")</f>
      </c>
      <c r="AF779" s="85" t="n">
        <v>693824.500175046</v>
      </c>
      <c r="AG779" s="86" t="n">
        <v>768783.336092168</v>
      </c>
      <c r="AH779" s="87" t="str">
        <f>IF(H779="shared-count-once",COUNTIFS($A$2:$A$1353,A779,$B$2:$B$1353,B779,$E$2:$E$1353,E779),1)</f>
      </c>
    </row>
    <row r="780">
      <c r="A780" t="s">
        <v>75</v>
      </c>
      <c r="B780" s="59" t="n">
        <v>2049</v>
      </c>
      <c r="C780" t="s">
        <v>186</v>
      </c>
      <c r="D780" t="s">
        <v>166</v>
      </c>
      <c r="E780" s="60" t="s">
        <v>268</v>
      </c>
      <c r="F780" s="61" t="s">
        <v>269</v>
      </c>
      <c r="G780" s="62" t="s">
        <v>196</v>
      </c>
      <c r="H780" s="63" t="s">
        <v>195</v>
      </c>
      <c r="I780" s="64" t="s">
        <v>267</v>
      </c>
      <c r="J780" s="65" t="str">
        <f>IFERROR(INDEX('Cost_Components'!$K$2:$K$27,MATCH(E780,'Cost_Components'!$A$2:$A$27,0)),"")</f>
      </c>
      <c r="K780" s="66" t="str">
        <f>IF(OR(L780="",Z780="",AA780="",AB780=""),"",IF(B780&lt;AA780,L780,IF(B780&gt;AB780,Z780,L780+(Z780-L780)*MIN(MAX((B780-AA780+1)/MAX(AB780-AA780+1,1),0),1))))</f>
      </c>
      <c r="L780" s="67" t="str">
        <f>IFERROR(INDEX('Cost_Components'!$S$2:$S$27,MATCH(E780,'Cost_Components'!$A$2:$A$27,0)),"")</f>
      </c>
      <c r="M780" s="68" t="str">
        <f>IFERROR(INDEX('Cost_Components'!$L$2:$L$27,MATCH(E780,'Cost_Components'!$A$2:$A$27,0)),"")</f>
      </c>
      <c r="N780" s="69" t="str">
        <f>IFERROR(INDEX('Cost_Components'!$P$2:$P$27,MATCH(E780,'Cost_Components'!$A$2:$A$27,0)),"")</f>
      </c>
      <c r="O780" s="70" t="str">
        <f>AF780*J780</f>
      </c>
      <c r="P780" s="71" t="str">
        <f>AG780*J780</f>
      </c>
      <c r="Q780" s="72" t="str">
        <f>P780*L780*M780*N780</f>
      </c>
      <c r="R780" s="73" t="str">
        <f>O780*K780*M780*N780</f>
      </c>
      <c r="S780" s="74" t="str">
        <f>R780-Q780</f>
      </c>
      <c r="T780" s="20" t="str">
        <f>IFERROR(INDEX('Cost_Components'!$R$2:$R$27,MATCH(E780,'Cost_Components'!$A$2:$A$27,0)),"")</f>
      </c>
      <c r="U780" s="75" t="str">
        <f>IFERROR(INDEX('Cost_Components'!$Q$2:$Q$27,MATCH(E780,'Cost_Components'!$A$2:$A$27,0)),"")</f>
      </c>
      <c r="V780" s="76" t="str">
        <f>1/(1+'Calculation_Assumptions'!$B$5)^(B780-'Calculation_Assumptions'!$B$2)</f>
      </c>
      <c r="W780" s="77" t="str">
        <f>Q780*V780</f>
      </c>
      <c r="X780" s="78" t="str">
        <f>R780*V780</f>
      </c>
      <c r="Y780" s="79" t="str">
        <f>S780*V780</f>
      </c>
      <c r="Z780" s="80" t="str">
        <f>IFERROR(INDEX('Cost_Components'!$T$2:$T$27,MATCH(E780,'Cost_Components'!$A$2:$A$27,0)),"")</f>
      </c>
      <c r="AA780" s="81" t="str">
        <f>IFERROR(INDEX('Cost_Components'!$U$2:$U$27,MATCH(E780,'Cost_Components'!$A$2:$A$27,0)),"")</f>
      </c>
      <c r="AB780" s="82" t="str">
        <f>IFERROR(INDEX('Cost_Components'!$V$2:$V$27,MATCH(E780,'Cost_Components'!$A$2:$A$27,0)),"")</f>
      </c>
      <c r="AC780" s="83" t="str">
        <f>IFERROR(INDEX('Cost_Components'!$M$2:$M$27,MATCH(E780,'Cost_Components'!$A$2:$A$27,0)),"")</f>
      </c>
      <c r="AD780" s="84" t="str">
        <f>IFERROR(INDEX('Cost_Components'!$N$2:$N$27,MATCH(E780,'Cost_Components'!$A$2:$A$27,0)),"")</f>
      </c>
      <c r="AE780" s="20" t="str">
        <f>IFERROR(INDEX('Cost_Components'!$O$2:$O$27,MATCH(E780,'Cost_Components'!$A$2:$A$27,0)),"")</f>
      </c>
      <c r="AF780" s="85" t="n">
        <v>703501.839098999</v>
      </c>
      <c r="AG780" s="86" t="n">
        <v>783775.538450204</v>
      </c>
      <c r="AH780" s="87" t="str">
        <f>IF(H780="shared-count-once",COUNTIFS($A$2:$A$1353,A780,$B$2:$B$1353,B780,$E$2:$E$1353,E780),1)</f>
      </c>
    </row>
    <row r="781">
      <c r="A781" t="s">
        <v>75</v>
      </c>
      <c r="B781" s="59" t="n">
        <v>2050</v>
      </c>
      <c r="C781" t="s">
        <v>186</v>
      </c>
      <c r="D781" t="s">
        <v>166</v>
      </c>
      <c r="E781" s="60" t="s">
        <v>268</v>
      </c>
      <c r="F781" s="61" t="s">
        <v>269</v>
      </c>
      <c r="G781" s="62" t="s">
        <v>196</v>
      </c>
      <c r="H781" s="63" t="s">
        <v>195</v>
      </c>
      <c r="I781" s="64" t="s">
        <v>267</v>
      </c>
      <c r="J781" s="65" t="str">
        <f>IFERROR(INDEX('Cost_Components'!$K$2:$K$27,MATCH(E781,'Cost_Components'!$A$2:$A$27,0)),"")</f>
      </c>
      <c r="K781" s="66" t="str">
        <f>IF(OR(L781="",Z781="",AA781="",AB781=""),"",IF(B781&lt;AA781,L781,IF(B781&gt;AB781,Z781,L781+(Z781-L781)*MIN(MAX((B781-AA781+1)/MAX(AB781-AA781+1,1),0),1))))</f>
      </c>
      <c r="L781" s="67" t="str">
        <f>IFERROR(INDEX('Cost_Components'!$S$2:$S$27,MATCH(E781,'Cost_Components'!$A$2:$A$27,0)),"")</f>
      </c>
      <c r="M781" s="68" t="str">
        <f>IFERROR(INDEX('Cost_Components'!$L$2:$L$27,MATCH(E781,'Cost_Components'!$A$2:$A$27,0)),"")</f>
      </c>
      <c r="N781" s="69" t="str">
        <f>IFERROR(INDEX('Cost_Components'!$P$2:$P$27,MATCH(E781,'Cost_Components'!$A$2:$A$27,0)),"")</f>
      </c>
      <c r="O781" s="70" t="str">
        <f>AF781*J781</f>
      </c>
      <c r="P781" s="71" t="str">
        <f>AG781*J781</f>
      </c>
      <c r="Q781" s="72" t="str">
        <f>P781*L781*M781*N781</f>
      </c>
      <c r="R781" s="73" t="str">
        <f>O781*K781*M781*N781</f>
      </c>
      <c r="S781" s="74" t="str">
        <f>R781-Q781</f>
      </c>
      <c r="T781" s="20" t="str">
        <f>IFERROR(INDEX('Cost_Components'!$R$2:$R$27,MATCH(E781,'Cost_Components'!$A$2:$A$27,0)),"")</f>
      </c>
      <c r="U781" s="75" t="str">
        <f>IFERROR(INDEX('Cost_Components'!$Q$2:$Q$27,MATCH(E781,'Cost_Components'!$A$2:$A$27,0)),"")</f>
      </c>
      <c r="V781" s="76" t="str">
        <f>1/(1+'Calculation_Assumptions'!$B$5)^(B781-'Calculation_Assumptions'!$B$2)</f>
      </c>
      <c r="W781" s="77" t="str">
        <f>Q781*V781</f>
      </c>
      <c r="X781" s="78" t="str">
        <f>R781*V781</f>
      </c>
      <c r="Y781" s="79" t="str">
        <f>S781*V781</f>
      </c>
      <c r="Z781" s="80" t="str">
        <f>IFERROR(INDEX('Cost_Components'!$T$2:$T$27,MATCH(E781,'Cost_Components'!$A$2:$A$27,0)),"")</f>
      </c>
      <c r="AA781" s="81" t="str">
        <f>IFERROR(INDEX('Cost_Components'!$U$2:$U$27,MATCH(E781,'Cost_Components'!$A$2:$A$27,0)),"")</f>
      </c>
      <c r="AB781" s="82" t="str">
        <f>IFERROR(INDEX('Cost_Components'!$V$2:$V$27,MATCH(E781,'Cost_Components'!$A$2:$A$27,0)),"")</f>
      </c>
      <c r="AC781" s="83" t="str">
        <f>IFERROR(INDEX('Cost_Components'!$M$2:$M$27,MATCH(E781,'Cost_Components'!$A$2:$A$27,0)),"")</f>
      </c>
      <c r="AD781" s="84" t="str">
        <f>IFERROR(INDEX('Cost_Components'!$N$2:$N$27,MATCH(E781,'Cost_Components'!$A$2:$A$27,0)),"")</f>
      </c>
      <c r="AE781" s="20" t="str">
        <f>IFERROR(INDEX('Cost_Components'!$O$2:$O$27,MATCH(E781,'Cost_Components'!$A$2:$A$27,0)),"")</f>
      </c>
      <c r="AF781" s="85" t="n">
        <v>712794.230667774</v>
      </c>
      <c r="AG781" s="86" t="n">
        <v>798478.813288951</v>
      </c>
      <c r="AH781" s="87" t="str">
        <f>IF(H781="shared-count-once",COUNTIFS($A$2:$A$1353,A781,$B$2:$B$1353,B781,$E$2:$E$1353,E781),1)</f>
      </c>
    </row>
    <row r="782">
      <c r="A782" t="s">
        <v>75</v>
      </c>
      <c r="B782" s="59" t="n">
        <v>2025</v>
      </c>
      <c r="C782" t="s">
        <v>186</v>
      </c>
      <c r="D782" t="s">
        <v>180</v>
      </c>
      <c r="E782" s="60" t="s">
        <v>270</v>
      </c>
      <c r="F782" s="61" t="s">
        <v>271</v>
      </c>
      <c r="G782" s="62" t="s">
        <v>198</v>
      </c>
      <c r="H782" s="63" t="s">
        <v>195</v>
      </c>
      <c r="I782" s="64" t="s">
        <v>267</v>
      </c>
      <c r="J782" s="65" t="str">
        <f>IFERROR(INDEX('Cost_Components'!$K$2:$K$27,MATCH(E782,'Cost_Components'!$A$2:$A$27,0)),"")</f>
      </c>
      <c r="K782" s="66" t="str">
        <f>IF(OR(L782="",Z782="",AA782="",AB782=""),"",IF(B782&lt;AA782,L782,IF(B782&gt;AB782,Z782,L782+(Z782-L782)*MIN(MAX((B782-AA782+1)/MAX(AB782-AA782+1,1),0),1))))</f>
      </c>
      <c r="L782" s="67" t="str">
        <f>IFERROR(INDEX('Cost_Components'!$S$2:$S$27,MATCH(E782,'Cost_Components'!$A$2:$A$27,0)),"")</f>
      </c>
      <c r="M782" s="68" t="str">
        <f>IFERROR(INDEX('Cost_Components'!$L$2:$L$27,MATCH(E782,'Cost_Components'!$A$2:$A$27,0)),"")</f>
      </c>
      <c r="N782" s="69" t="str">
        <f>IFERROR(INDEX('Cost_Components'!$P$2:$P$27,MATCH(E782,'Cost_Components'!$A$2:$A$27,0)),"")</f>
      </c>
      <c r="O782" s="70" t="str">
        <f>AF782*J782</f>
      </c>
      <c r="P782" s="71" t="str">
        <f>AG782*J782</f>
      </c>
      <c r="Q782" s="72" t="str">
        <f>P782*L782*M782*N782</f>
      </c>
      <c r="R782" s="73" t="str">
        <f>O782*K782*M782*N782</f>
      </c>
      <c r="S782" s="74" t="str">
        <f>R782-Q782</f>
      </c>
      <c r="T782" s="20" t="str">
        <f>IFERROR(INDEX('Cost_Components'!$R$2:$R$27,MATCH(E782,'Cost_Components'!$A$2:$A$27,0)),"")</f>
      </c>
      <c r="U782" s="75" t="str">
        <f>IFERROR(INDEX('Cost_Components'!$Q$2:$Q$27,MATCH(E782,'Cost_Components'!$A$2:$A$27,0)),"")</f>
      </c>
      <c r="V782" s="76" t="str">
        <f>1/(1+'Calculation_Assumptions'!$B$5)^(B782-'Calculation_Assumptions'!$B$2)</f>
      </c>
      <c r="W782" s="77" t="str">
        <f>Q782*V782</f>
      </c>
      <c r="X782" s="78" t="str">
        <f>R782*V782</f>
      </c>
      <c r="Y782" s="79" t="str">
        <f>S782*V782</f>
      </c>
      <c r="Z782" s="80" t="str">
        <f>IFERROR(INDEX('Cost_Components'!$T$2:$T$27,MATCH(E782,'Cost_Components'!$A$2:$A$27,0)),"")</f>
      </c>
      <c r="AA782" s="81" t="str">
        <f>IFERROR(INDEX('Cost_Components'!$U$2:$U$27,MATCH(E782,'Cost_Components'!$A$2:$A$27,0)),"")</f>
      </c>
      <c r="AB782" s="82" t="str">
        <f>IFERROR(INDEX('Cost_Components'!$V$2:$V$27,MATCH(E782,'Cost_Components'!$A$2:$A$27,0)),"")</f>
      </c>
      <c r="AC782" s="83" t="str">
        <f>IFERROR(INDEX('Cost_Components'!$M$2:$M$27,MATCH(E782,'Cost_Components'!$A$2:$A$27,0)),"")</f>
      </c>
      <c r="AD782" s="84" t="str">
        <f>IFERROR(INDEX('Cost_Components'!$N$2:$N$27,MATCH(E782,'Cost_Components'!$A$2:$A$27,0)),"")</f>
      </c>
      <c r="AE782" s="20" t="str">
        <f>IFERROR(INDEX('Cost_Components'!$O$2:$O$27,MATCH(E782,'Cost_Components'!$A$2:$A$27,0)),"")</f>
      </c>
      <c r="AF782" s="85" t="n">
        <v>4934208.81018054</v>
      </c>
      <c r="AG782" s="86" t="n">
        <v>4938586.08395776</v>
      </c>
      <c r="AH782" s="87" t="str">
        <f>IF(H782="shared-count-once",COUNTIFS($A$2:$A$1353,A782,$B$2:$B$1353,B782,$E$2:$E$1353,E782),1)</f>
      </c>
    </row>
    <row r="783">
      <c r="A783" t="s">
        <v>75</v>
      </c>
      <c r="B783" s="59" t="n">
        <v>2026</v>
      </c>
      <c r="C783" t="s">
        <v>186</v>
      </c>
      <c r="D783" t="s">
        <v>180</v>
      </c>
      <c r="E783" s="60" t="s">
        <v>270</v>
      </c>
      <c r="F783" s="61" t="s">
        <v>271</v>
      </c>
      <c r="G783" s="62" t="s">
        <v>198</v>
      </c>
      <c r="H783" s="63" t="s">
        <v>195</v>
      </c>
      <c r="I783" s="64" t="s">
        <v>267</v>
      </c>
      <c r="J783" s="65" t="str">
        <f>IFERROR(INDEX('Cost_Components'!$K$2:$K$27,MATCH(E783,'Cost_Components'!$A$2:$A$27,0)),"")</f>
      </c>
      <c r="K783" s="66" t="str">
        <f>IF(OR(L783="",Z783="",AA783="",AB783=""),"",IF(B783&lt;AA783,L783,IF(B783&gt;AB783,Z783,L783+(Z783-L783)*MIN(MAX((B783-AA783+1)/MAX(AB783-AA783+1,1),0),1))))</f>
      </c>
      <c r="L783" s="67" t="str">
        <f>IFERROR(INDEX('Cost_Components'!$S$2:$S$27,MATCH(E783,'Cost_Components'!$A$2:$A$27,0)),"")</f>
      </c>
      <c r="M783" s="68" t="str">
        <f>IFERROR(INDEX('Cost_Components'!$L$2:$L$27,MATCH(E783,'Cost_Components'!$A$2:$A$27,0)),"")</f>
      </c>
      <c r="N783" s="69" t="str">
        <f>IFERROR(INDEX('Cost_Components'!$P$2:$P$27,MATCH(E783,'Cost_Components'!$A$2:$A$27,0)),"")</f>
      </c>
      <c r="O783" s="70" t="str">
        <f>AF783*J783</f>
      </c>
      <c r="P783" s="71" t="str">
        <f>AG783*J783</f>
      </c>
      <c r="Q783" s="72" t="str">
        <f>P783*L783*M783*N783</f>
      </c>
      <c r="R783" s="73" t="str">
        <f>O783*K783*M783*N783</f>
      </c>
      <c r="S783" s="74" t="str">
        <f>R783-Q783</f>
      </c>
      <c r="T783" s="20" t="str">
        <f>IFERROR(INDEX('Cost_Components'!$R$2:$R$27,MATCH(E783,'Cost_Components'!$A$2:$A$27,0)),"")</f>
      </c>
      <c r="U783" s="75" t="str">
        <f>IFERROR(INDEX('Cost_Components'!$Q$2:$Q$27,MATCH(E783,'Cost_Components'!$A$2:$A$27,0)),"")</f>
      </c>
      <c r="V783" s="76" t="str">
        <f>1/(1+'Calculation_Assumptions'!$B$5)^(B783-'Calculation_Assumptions'!$B$2)</f>
      </c>
      <c r="W783" s="77" t="str">
        <f>Q783*V783</f>
      </c>
      <c r="X783" s="78" t="str">
        <f>R783*V783</f>
      </c>
      <c r="Y783" s="79" t="str">
        <f>S783*V783</f>
      </c>
      <c r="Z783" s="80" t="str">
        <f>IFERROR(INDEX('Cost_Components'!$T$2:$T$27,MATCH(E783,'Cost_Components'!$A$2:$A$27,0)),"")</f>
      </c>
      <c r="AA783" s="81" t="str">
        <f>IFERROR(INDEX('Cost_Components'!$U$2:$U$27,MATCH(E783,'Cost_Components'!$A$2:$A$27,0)),"")</f>
      </c>
      <c r="AB783" s="82" t="str">
        <f>IFERROR(INDEX('Cost_Components'!$V$2:$V$27,MATCH(E783,'Cost_Components'!$A$2:$A$27,0)),"")</f>
      </c>
      <c r="AC783" s="83" t="str">
        <f>IFERROR(INDEX('Cost_Components'!$M$2:$M$27,MATCH(E783,'Cost_Components'!$A$2:$A$27,0)),"")</f>
      </c>
      <c r="AD783" s="84" t="str">
        <f>IFERROR(INDEX('Cost_Components'!$N$2:$N$27,MATCH(E783,'Cost_Components'!$A$2:$A$27,0)),"")</f>
      </c>
      <c r="AE783" s="20" t="str">
        <f>IFERROR(INDEX('Cost_Components'!$O$2:$O$27,MATCH(E783,'Cost_Components'!$A$2:$A$27,0)),"")</f>
      </c>
      <c r="AF783" s="85" t="n">
        <v>5046970.66554862</v>
      </c>
      <c r="AG783" s="86" t="n">
        <v>5059876.23903272</v>
      </c>
      <c r="AH783" s="87" t="str">
        <f>IF(H783="shared-count-once",COUNTIFS($A$2:$A$1353,A783,$B$2:$B$1353,B783,$E$2:$E$1353,E783),1)</f>
      </c>
    </row>
    <row r="784">
      <c r="A784" t="s">
        <v>75</v>
      </c>
      <c r="B784" s="59" t="n">
        <v>2027</v>
      </c>
      <c r="C784" t="s">
        <v>186</v>
      </c>
      <c r="D784" t="s">
        <v>180</v>
      </c>
      <c r="E784" s="60" t="s">
        <v>270</v>
      </c>
      <c r="F784" s="61" t="s">
        <v>271</v>
      </c>
      <c r="G784" s="62" t="s">
        <v>198</v>
      </c>
      <c r="H784" s="63" t="s">
        <v>195</v>
      </c>
      <c r="I784" s="64" t="s">
        <v>267</v>
      </c>
      <c r="J784" s="65" t="str">
        <f>IFERROR(INDEX('Cost_Components'!$K$2:$K$27,MATCH(E784,'Cost_Components'!$A$2:$A$27,0)),"")</f>
      </c>
      <c r="K784" s="66" t="str">
        <f>IF(OR(L784="",Z784="",AA784="",AB784=""),"",IF(B784&lt;AA784,L784,IF(B784&gt;AB784,Z784,L784+(Z784-L784)*MIN(MAX((B784-AA784+1)/MAX(AB784-AA784+1,1),0),1))))</f>
      </c>
      <c r="L784" s="67" t="str">
        <f>IFERROR(INDEX('Cost_Components'!$S$2:$S$27,MATCH(E784,'Cost_Components'!$A$2:$A$27,0)),"")</f>
      </c>
      <c r="M784" s="68" t="str">
        <f>IFERROR(INDEX('Cost_Components'!$L$2:$L$27,MATCH(E784,'Cost_Components'!$A$2:$A$27,0)),"")</f>
      </c>
      <c r="N784" s="69" t="str">
        <f>IFERROR(INDEX('Cost_Components'!$P$2:$P$27,MATCH(E784,'Cost_Components'!$A$2:$A$27,0)),"")</f>
      </c>
      <c r="O784" s="70" t="str">
        <f>AF784*J784</f>
      </c>
      <c r="P784" s="71" t="str">
        <f>AG784*J784</f>
      </c>
      <c r="Q784" s="72" t="str">
        <f>P784*L784*M784*N784</f>
      </c>
      <c r="R784" s="73" t="str">
        <f>O784*K784*M784*N784</f>
      </c>
      <c r="S784" s="74" t="str">
        <f>R784-Q784</f>
      </c>
      <c r="T784" s="20" t="str">
        <f>IFERROR(INDEX('Cost_Components'!$R$2:$R$27,MATCH(E784,'Cost_Components'!$A$2:$A$27,0)),"")</f>
      </c>
      <c r="U784" s="75" t="str">
        <f>IFERROR(INDEX('Cost_Components'!$Q$2:$Q$27,MATCH(E784,'Cost_Components'!$A$2:$A$27,0)),"")</f>
      </c>
      <c r="V784" s="76" t="str">
        <f>1/(1+'Calculation_Assumptions'!$B$5)^(B784-'Calculation_Assumptions'!$B$2)</f>
      </c>
      <c r="W784" s="77" t="str">
        <f>Q784*V784</f>
      </c>
      <c r="X784" s="78" t="str">
        <f>R784*V784</f>
      </c>
      <c r="Y784" s="79" t="str">
        <f>S784*V784</f>
      </c>
      <c r="Z784" s="80" t="str">
        <f>IFERROR(INDEX('Cost_Components'!$T$2:$T$27,MATCH(E784,'Cost_Components'!$A$2:$A$27,0)),"")</f>
      </c>
      <c r="AA784" s="81" t="str">
        <f>IFERROR(INDEX('Cost_Components'!$U$2:$U$27,MATCH(E784,'Cost_Components'!$A$2:$A$27,0)),"")</f>
      </c>
      <c r="AB784" s="82" t="str">
        <f>IFERROR(INDEX('Cost_Components'!$V$2:$V$27,MATCH(E784,'Cost_Components'!$A$2:$A$27,0)),"")</f>
      </c>
      <c r="AC784" s="83" t="str">
        <f>IFERROR(INDEX('Cost_Components'!$M$2:$M$27,MATCH(E784,'Cost_Components'!$A$2:$A$27,0)),"")</f>
      </c>
      <c r="AD784" s="84" t="str">
        <f>IFERROR(INDEX('Cost_Components'!$N$2:$N$27,MATCH(E784,'Cost_Components'!$A$2:$A$27,0)),"")</f>
      </c>
      <c r="AE784" s="20" t="str">
        <f>IFERROR(INDEX('Cost_Components'!$O$2:$O$27,MATCH(E784,'Cost_Components'!$A$2:$A$27,0)),"")</f>
      </c>
      <c r="AF784" s="85" t="n">
        <v>5152582.21959081</v>
      </c>
      <c r="AG784" s="86" t="n">
        <v>5177908.34578341</v>
      </c>
      <c r="AH784" s="87" t="str">
        <f>IF(H784="shared-count-once",COUNTIFS($A$2:$A$1353,A784,$B$2:$B$1353,B784,$E$2:$E$1353,E784),1)</f>
      </c>
    </row>
    <row r="785">
      <c r="A785" t="s">
        <v>75</v>
      </c>
      <c r="B785" s="59" t="n">
        <v>2028</v>
      </c>
      <c r="C785" t="s">
        <v>186</v>
      </c>
      <c r="D785" t="s">
        <v>180</v>
      </c>
      <c r="E785" s="60" t="s">
        <v>270</v>
      </c>
      <c r="F785" s="61" t="s">
        <v>271</v>
      </c>
      <c r="G785" s="62" t="s">
        <v>198</v>
      </c>
      <c r="H785" s="63" t="s">
        <v>195</v>
      </c>
      <c r="I785" s="64" t="s">
        <v>267</v>
      </c>
      <c r="J785" s="65" t="str">
        <f>IFERROR(INDEX('Cost_Components'!$K$2:$K$27,MATCH(E785,'Cost_Components'!$A$2:$A$27,0)),"")</f>
      </c>
      <c r="K785" s="66" t="str">
        <f>IF(OR(L785="",Z785="",AA785="",AB785=""),"",IF(B785&lt;AA785,L785,IF(B785&gt;AB785,Z785,L785+(Z785-L785)*MIN(MAX((B785-AA785+1)/MAX(AB785-AA785+1,1),0),1))))</f>
      </c>
      <c r="L785" s="67" t="str">
        <f>IFERROR(INDEX('Cost_Components'!$S$2:$S$27,MATCH(E785,'Cost_Components'!$A$2:$A$27,0)),"")</f>
      </c>
      <c r="M785" s="68" t="str">
        <f>IFERROR(INDEX('Cost_Components'!$L$2:$L$27,MATCH(E785,'Cost_Components'!$A$2:$A$27,0)),"")</f>
      </c>
      <c r="N785" s="69" t="str">
        <f>IFERROR(INDEX('Cost_Components'!$P$2:$P$27,MATCH(E785,'Cost_Components'!$A$2:$A$27,0)),"")</f>
      </c>
      <c r="O785" s="70" t="str">
        <f>AF785*J785</f>
      </c>
      <c r="P785" s="71" t="str">
        <f>AG785*J785</f>
      </c>
      <c r="Q785" s="72" t="str">
        <f>P785*L785*M785*N785</f>
      </c>
      <c r="R785" s="73" t="str">
        <f>O785*K785*M785*N785</f>
      </c>
      <c r="S785" s="74" t="str">
        <f>R785-Q785</f>
      </c>
      <c r="T785" s="20" t="str">
        <f>IFERROR(INDEX('Cost_Components'!$R$2:$R$27,MATCH(E785,'Cost_Components'!$A$2:$A$27,0)),"")</f>
      </c>
      <c r="U785" s="75" t="str">
        <f>IFERROR(INDEX('Cost_Components'!$Q$2:$Q$27,MATCH(E785,'Cost_Components'!$A$2:$A$27,0)),"")</f>
      </c>
      <c r="V785" s="76" t="str">
        <f>1/(1+'Calculation_Assumptions'!$B$5)^(B785-'Calculation_Assumptions'!$B$2)</f>
      </c>
      <c r="W785" s="77" t="str">
        <f>Q785*V785</f>
      </c>
      <c r="X785" s="78" t="str">
        <f>R785*V785</f>
      </c>
      <c r="Y785" s="79" t="str">
        <f>S785*V785</f>
      </c>
      <c r="Z785" s="80" t="str">
        <f>IFERROR(INDEX('Cost_Components'!$T$2:$T$27,MATCH(E785,'Cost_Components'!$A$2:$A$27,0)),"")</f>
      </c>
      <c r="AA785" s="81" t="str">
        <f>IFERROR(INDEX('Cost_Components'!$U$2:$U$27,MATCH(E785,'Cost_Components'!$A$2:$A$27,0)),"")</f>
      </c>
      <c r="AB785" s="82" t="str">
        <f>IFERROR(INDEX('Cost_Components'!$V$2:$V$27,MATCH(E785,'Cost_Components'!$A$2:$A$27,0)),"")</f>
      </c>
      <c r="AC785" s="83" t="str">
        <f>IFERROR(INDEX('Cost_Components'!$M$2:$M$27,MATCH(E785,'Cost_Components'!$A$2:$A$27,0)),"")</f>
      </c>
      <c r="AD785" s="84" t="str">
        <f>IFERROR(INDEX('Cost_Components'!$N$2:$N$27,MATCH(E785,'Cost_Components'!$A$2:$A$27,0)),"")</f>
      </c>
      <c r="AE785" s="20" t="str">
        <f>IFERROR(INDEX('Cost_Components'!$O$2:$O$27,MATCH(E785,'Cost_Components'!$A$2:$A$27,0)),"")</f>
      </c>
      <c r="AF785" s="85" t="n">
        <v>5250905.8154041</v>
      </c>
      <c r="AG785" s="86" t="n">
        <v>5292362.05081189</v>
      </c>
      <c r="AH785" s="87" t="str">
        <f>IF(H785="shared-count-once",COUNTIFS($A$2:$A$1353,A785,$B$2:$B$1353,B785,$E$2:$E$1353,E785),1)</f>
      </c>
    </row>
    <row r="786">
      <c r="A786" t="s">
        <v>75</v>
      </c>
      <c r="B786" s="59" t="n">
        <v>2029</v>
      </c>
      <c r="C786" t="s">
        <v>186</v>
      </c>
      <c r="D786" t="s">
        <v>180</v>
      </c>
      <c r="E786" s="60" t="s">
        <v>270</v>
      </c>
      <c r="F786" s="61" t="s">
        <v>271</v>
      </c>
      <c r="G786" s="62" t="s">
        <v>198</v>
      </c>
      <c r="H786" s="63" t="s">
        <v>195</v>
      </c>
      <c r="I786" s="64" t="s">
        <v>267</v>
      </c>
      <c r="J786" s="65" t="str">
        <f>IFERROR(INDEX('Cost_Components'!$K$2:$K$27,MATCH(E786,'Cost_Components'!$A$2:$A$27,0)),"")</f>
      </c>
      <c r="K786" s="66" t="str">
        <f>IF(OR(L786="",Z786="",AA786="",AB786=""),"",IF(B786&lt;AA786,L786,IF(B786&gt;AB786,Z786,L786+(Z786-L786)*MIN(MAX((B786-AA786+1)/MAX(AB786-AA786+1,1),0),1))))</f>
      </c>
      <c r="L786" s="67" t="str">
        <f>IFERROR(INDEX('Cost_Components'!$S$2:$S$27,MATCH(E786,'Cost_Components'!$A$2:$A$27,0)),"")</f>
      </c>
      <c r="M786" s="68" t="str">
        <f>IFERROR(INDEX('Cost_Components'!$L$2:$L$27,MATCH(E786,'Cost_Components'!$A$2:$A$27,0)),"")</f>
      </c>
      <c r="N786" s="69" t="str">
        <f>IFERROR(INDEX('Cost_Components'!$P$2:$P$27,MATCH(E786,'Cost_Components'!$A$2:$A$27,0)),"")</f>
      </c>
      <c r="O786" s="70" t="str">
        <f>AF786*J786</f>
      </c>
      <c r="P786" s="71" t="str">
        <f>AG786*J786</f>
      </c>
      <c r="Q786" s="72" t="str">
        <f>P786*L786*M786*N786</f>
      </c>
      <c r="R786" s="73" t="str">
        <f>O786*K786*M786*N786</f>
      </c>
      <c r="S786" s="74" t="str">
        <f>R786-Q786</f>
      </c>
      <c r="T786" s="20" t="str">
        <f>IFERROR(INDEX('Cost_Components'!$R$2:$R$27,MATCH(E786,'Cost_Components'!$A$2:$A$27,0)),"")</f>
      </c>
      <c r="U786" s="75" t="str">
        <f>IFERROR(INDEX('Cost_Components'!$Q$2:$Q$27,MATCH(E786,'Cost_Components'!$A$2:$A$27,0)),"")</f>
      </c>
      <c r="V786" s="76" t="str">
        <f>1/(1+'Calculation_Assumptions'!$B$5)^(B786-'Calculation_Assumptions'!$B$2)</f>
      </c>
      <c r="W786" s="77" t="str">
        <f>Q786*V786</f>
      </c>
      <c r="X786" s="78" t="str">
        <f>R786*V786</f>
      </c>
      <c r="Y786" s="79" t="str">
        <f>S786*V786</f>
      </c>
      <c r="Z786" s="80" t="str">
        <f>IFERROR(INDEX('Cost_Components'!$T$2:$T$27,MATCH(E786,'Cost_Components'!$A$2:$A$27,0)),"")</f>
      </c>
      <c r="AA786" s="81" t="str">
        <f>IFERROR(INDEX('Cost_Components'!$U$2:$U$27,MATCH(E786,'Cost_Components'!$A$2:$A$27,0)),"")</f>
      </c>
      <c r="AB786" s="82" t="str">
        <f>IFERROR(INDEX('Cost_Components'!$V$2:$V$27,MATCH(E786,'Cost_Components'!$A$2:$A$27,0)),"")</f>
      </c>
      <c r="AC786" s="83" t="str">
        <f>IFERROR(INDEX('Cost_Components'!$M$2:$M$27,MATCH(E786,'Cost_Components'!$A$2:$A$27,0)),"")</f>
      </c>
      <c r="AD786" s="84" t="str">
        <f>IFERROR(INDEX('Cost_Components'!$N$2:$N$27,MATCH(E786,'Cost_Components'!$A$2:$A$27,0)),"")</f>
      </c>
      <c r="AE786" s="20" t="str">
        <f>IFERROR(INDEX('Cost_Components'!$O$2:$O$27,MATCH(E786,'Cost_Components'!$A$2:$A$27,0)),"")</f>
      </c>
      <c r="AF786" s="85" t="n">
        <v>5346734.10010038</v>
      </c>
      <c r="AG786" s="86" t="n">
        <v>5407624.20226317</v>
      </c>
      <c r="AH786" s="87" t="str">
        <f>IF(H786="shared-count-once",COUNTIFS($A$2:$A$1353,A786,$B$2:$B$1353,B786,$E$2:$E$1353,E786),1)</f>
      </c>
    </row>
    <row r="787">
      <c r="A787" t="s">
        <v>75</v>
      </c>
      <c r="B787" s="59" t="n">
        <v>2030</v>
      </c>
      <c r="C787" t="s">
        <v>186</v>
      </c>
      <c r="D787" t="s">
        <v>180</v>
      </c>
      <c r="E787" s="60" t="s">
        <v>270</v>
      </c>
      <c r="F787" s="61" t="s">
        <v>271</v>
      </c>
      <c r="G787" s="62" t="s">
        <v>198</v>
      </c>
      <c r="H787" s="63" t="s">
        <v>195</v>
      </c>
      <c r="I787" s="64" t="s">
        <v>267</v>
      </c>
      <c r="J787" s="65" t="str">
        <f>IFERROR(INDEX('Cost_Components'!$K$2:$K$27,MATCH(E787,'Cost_Components'!$A$2:$A$27,0)),"")</f>
      </c>
      <c r="K787" s="66" t="str">
        <f>IF(OR(L787="",Z787="",AA787="",AB787=""),"",IF(B787&lt;AA787,L787,IF(B787&gt;AB787,Z787,L787+(Z787-L787)*MIN(MAX((B787-AA787+1)/MAX(AB787-AA787+1,1),0),1))))</f>
      </c>
      <c r="L787" s="67" t="str">
        <f>IFERROR(INDEX('Cost_Components'!$S$2:$S$27,MATCH(E787,'Cost_Components'!$A$2:$A$27,0)),"")</f>
      </c>
      <c r="M787" s="68" t="str">
        <f>IFERROR(INDEX('Cost_Components'!$L$2:$L$27,MATCH(E787,'Cost_Components'!$A$2:$A$27,0)),"")</f>
      </c>
      <c r="N787" s="69" t="str">
        <f>IFERROR(INDEX('Cost_Components'!$P$2:$P$27,MATCH(E787,'Cost_Components'!$A$2:$A$27,0)),"")</f>
      </c>
      <c r="O787" s="70" t="str">
        <f>AF787*J787</f>
      </c>
      <c r="P787" s="71" t="str">
        <f>AG787*J787</f>
      </c>
      <c r="Q787" s="72" t="str">
        <f>P787*L787*M787*N787</f>
      </c>
      <c r="R787" s="73" t="str">
        <f>O787*K787*M787*N787</f>
      </c>
      <c r="S787" s="74" t="str">
        <f>R787-Q787</f>
      </c>
      <c r="T787" s="20" t="str">
        <f>IFERROR(INDEX('Cost_Components'!$R$2:$R$27,MATCH(E787,'Cost_Components'!$A$2:$A$27,0)),"")</f>
      </c>
      <c r="U787" s="75" t="str">
        <f>IFERROR(INDEX('Cost_Components'!$Q$2:$Q$27,MATCH(E787,'Cost_Components'!$A$2:$A$27,0)),"")</f>
      </c>
      <c r="V787" s="76" t="str">
        <f>1/(1+'Calculation_Assumptions'!$B$5)^(B787-'Calculation_Assumptions'!$B$2)</f>
      </c>
      <c r="W787" s="77" t="str">
        <f>Q787*V787</f>
      </c>
      <c r="X787" s="78" t="str">
        <f>R787*V787</f>
      </c>
      <c r="Y787" s="79" t="str">
        <f>S787*V787</f>
      </c>
      <c r="Z787" s="80" t="str">
        <f>IFERROR(INDEX('Cost_Components'!$T$2:$T$27,MATCH(E787,'Cost_Components'!$A$2:$A$27,0)),"")</f>
      </c>
      <c r="AA787" s="81" t="str">
        <f>IFERROR(INDEX('Cost_Components'!$U$2:$U$27,MATCH(E787,'Cost_Components'!$A$2:$A$27,0)),"")</f>
      </c>
      <c r="AB787" s="82" t="str">
        <f>IFERROR(INDEX('Cost_Components'!$V$2:$V$27,MATCH(E787,'Cost_Components'!$A$2:$A$27,0)),"")</f>
      </c>
      <c r="AC787" s="83" t="str">
        <f>IFERROR(INDEX('Cost_Components'!$M$2:$M$27,MATCH(E787,'Cost_Components'!$A$2:$A$27,0)),"")</f>
      </c>
      <c r="AD787" s="84" t="str">
        <f>IFERROR(INDEX('Cost_Components'!$N$2:$N$27,MATCH(E787,'Cost_Components'!$A$2:$A$27,0)),"")</f>
      </c>
      <c r="AE787" s="20" t="str">
        <f>IFERROR(INDEX('Cost_Components'!$O$2:$O$27,MATCH(E787,'Cost_Components'!$A$2:$A$27,0)),"")</f>
      </c>
      <c r="AF787" s="85" t="n">
        <v>5438237.07793204</v>
      </c>
      <c r="AG787" s="86" t="n">
        <v>5521846.50884352</v>
      </c>
      <c r="AH787" s="87" t="str">
        <f>IF(H787="shared-count-once",COUNTIFS($A$2:$A$1353,A787,$B$2:$B$1353,B787,$E$2:$E$1353,E787),1)</f>
      </c>
    </row>
    <row r="788">
      <c r="A788" t="s">
        <v>75</v>
      </c>
      <c r="B788" s="59" t="n">
        <v>2031</v>
      </c>
      <c r="C788" t="s">
        <v>186</v>
      </c>
      <c r="D788" t="s">
        <v>180</v>
      </c>
      <c r="E788" s="60" t="s">
        <v>270</v>
      </c>
      <c r="F788" s="61" t="s">
        <v>271</v>
      </c>
      <c r="G788" s="62" t="s">
        <v>198</v>
      </c>
      <c r="H788" s="63" t="s">
        <v>195</v>
      </c>
      <c r="I788" s="64" t="s">
        <v>267</v>
      </c>
      <c r="J788" s="65" t="str">
        <f>IFERROR(INDEX('Cost_Components'!$K$2:$K$27,MATCH(E788,'Cost_Components'!$A$2:$A$27,0)),"")</f>
      </c>
      <c r="K788" s="66" t="str">
        <f>IF(OR(L788="",Z788="",AA788="",AB788=""),"",IF(B788&lt;AA788,L788,IF(B788&gt;AB788,Z788,L788+(Z788-L788)*MIN(MAX((B788-AA788+1)/MAX(AB788-AA788+1,1),0),1))))</f>
      </c>
      <c r="L788" s="67" t="str">
        <f>IFERROR(INDEX('Cost_Components'!$S$2:$S$27,MATCH(E788,'Cost_Components'!$A$2:$A$27,0)),"")</f>
      </c>
      <c r="M788" s="68" t="str">
        <f>IFERROR(INDEX('Cost_Components'!$L$2:$L$27,MATCH(E788,'Cost_Components'!$A$2:$A$27,0)),"")</f>
      </c>
      <c r="N788" s="69" t="str">
        <f>IFERROR(INDEX('Cost_Components'!$P$2:$P$27,MATCH(E788,'Cost_Components'!$A$2:$A$27,0)),"")</f>
      </c>
      <c r="O788" s="70" t="str">
        <f>AF788*J788</f>
      </c>
      <c r="P788" s="71" t="str">
        <f>AG788*J788</f>
      </c>
      <c r="Q788" s="72" t="str">
        <f>P788*L788*M788*N788</f>
      </c>
      <c r="R788" s="73" t="str">
        <f>O788*K788*M788*N788</f>
      </c>
      <c r="S788" s="74" t="str">
        <f>R788-Q788</f>
      </c>
      <c r="T788" s="20" t="str">
        <f>IFERROR(INDEX('Cost_Components'!$R$2:$R$27,MATCH(E788,'Cost_Components'!$A$2:$A$27,0)),"")</f>
      </c>
      <c r="U788" s="75" t="str">
        <f>IFERROR(INDEX('Cost_Components'!$Q$2:$Q$27,MATCH(E788,'Cost_Components'!$A$2:$A$27,0)),"")</f>
      </c>
      <c r="V788" s="76" t="str">
        <f>1/(1+'Calculation_Assumptions'!$B$5)^(B788-'Calculation_Assumptions'!$B$2)</f>
      </c>
      <c r="W788" s="77" t="str">
        <f>Q788*V788</f>
      </c>
      <c r="X788" s="78" t="str">
        <f>R788*V788</f>
      </c>
      <c r="Y788" s="79" t="str">
        <f>S788*V788</f>
      </c>
      <c r="Z788" s="80" t="str">
        <f>IFERROR(INDEX('Cost_Components'!$T$2:$T$27,MATCH(E788,'Cost_Components'!$A$2:$A$27,0)),"")</f>
      </c>
      <c r="AA788" s="81" t="str">
        <f>IFERROR(INDEX('Cost_Components'!$U$2:$U$27,MATCH(E788,'Cost_Components'!$A$2:$A$27,0)),"")</f>
      </c>
      <c r="AB788" s="82" t="str">
        <f>IFERROR(INDEX('Cost_Components'!$V$2:$V$27,MATCH(E788,'Cost_Components'!$A$2:$A$27,0)),"")</f>
      </c>
      <c r="AC788" s="83" t="str">
        <f>IFERROR(INDEX('Cost_Components'!$M$2:$M$27,MATCH(E788,'Cost_Components'!$A$2:$A$27,0)),"")</f>
      </c>
      <c r="AD788" s="84" t="str">
        <f>IFERROR(INDEX('Cost_Components'!$N$2:$N$27,MATCH(E788,'Cost_Components'!$A$2:$A$27,0)),"")</f>
      </c>
      <c r="AE788" s="20" t="str">
        <f>IFERROR(INDEX('Cost_Components'!$O$2:$O$27,MATCH(E788,'Cost_Components'!$A$2:$A$27,0)),"")</f>
      </c>
      <c r="AF788" s="85" t="n">
        <v>5526389.41668622</v>
      </c>
      <c r="AG788" s="86" t="n">
        <v>5635894.28157856</v>
      </c>
      <c r="AH788" s="87" t="str">
        <f>IF(H788="shared-count-once",COUNTIFS($A$2:$A$1353,A788,$B$2:$B$1353,B788,$E$2:$E$1353,E788),1)</f>
      </c>
    </row>
    <row r="789">
      <c r="A789" t="s">
        <v>75</v>
      </c>
      <c r="B789" s="59" t="n">
        <v>2032</v>
      </c>
      <c r="C789" t="s">
        <v>186</v>
      </c>
      <c r="D789" t="s">
        <v>180</v>
      </c>
      <c r="E789" s="60" t="s">
        <v>270</v>
      </c>
      <c r="F789" s="61" t="s">
        <v>271</v>
      </c>
      <c r="G789" s="62" t="s">
        <v>198</v>
      </c>
      <c r="H789" s="63" t="s">
        <v>195</v>
      </c>
      <c r="I789" s="64" t="s">
        <v>267</v>
      </c>
      <c r="J789" s="65" t="str">
        <f>IFERROR(INDEX('Cost_Components'!$K$2:$K$27,MATCH(E789,'Cost_Components'!$A$2:$A$27,0)),"")</f>
      </c>
      <c r="K789" s="66" t="str">
        <f>IF(OR(L789="",Z789="",AA789="",AB789=""),"",IF(B789&lt;AA789,L789,IF(B789&gt;AB789,Z789,L789+(Z789-L789)*MIN(MAX((B789-AA789+1)/MAX(AB789-AA789+1,1),0),1))))</f>
      </c>
      <c r="L789" s="67" t="str">
        <f>IFERROR(INDEX('Cost_Components'!$S$2:$S$27,MATCH(E789,'Cost_Components'!$A$2:$A$27,0)),"")</f>
      </c>
      <c r="M789" s="68" t="str">
        <f>IFERROR(INDEX('Cost_Components'!$L$2:$L$27,MATCH(E789,'Cost_Components'!$A$2:$A$27,0)),"")</f>
      </c>
      <c r="N789" s="69" t="str">
        <f>IFERROR(INDEX('Cost_Components'!$P$2:$P$27,MATCH(E789,'Cost_Components'!$A$2:$A$27,0)),"")</f>
      </c>
      <c r="O789" s="70" t="str">
        <f>AF789*J789</f>
      </c>
      <c r="P789" s="71" t="str">
        <f>AG789*J789</f>
      </c>
      <c r="Q789" s="72" t="str">
        <f>P789*L789*M789*N789</f>
      </c>
      <c r="R789" s="73" t="str">
        <f>O789*K789*M789*N789</f>
      </c>
      <c r="S789" s="74" t="str">
        <f>R789-Q789</f>
      </c>
      <c r="T789" s="20" t="str">
        <f>IFERROR(INDEX('Cost_Components'!$R$2:$R$27,MATCH(E789,'Cost_Components'!$A$2:$A$27,0)),"")</f>
      </c>
      <c r="U789" s="75" t="str">
        <f>IFERROR(INDEX('Cost_Components'!$Q$2:$Q$27,MATCH(E789,'Cost_Components'!$A$2:$A$27,0)),"")</f>
      </c>
      <c r="V789" s="76" t="str">
        <f>1/(1+'Calculation_Assumptions'!$B$5)^(B789-'Calculation_Assumptions'!$B$2)</f>
      </c>
      <c r="W789" s="77" t="str">
        <f>Q789*V789</f>
      </c>
      <c r="X789" s="78" t="str">
        <f>R789*V789</f>
      </c>
      <c r="Y789" s="79" t="str">
        <f>S789*V789</f>
      </c>
      <c r="Z789" s="80" t="str">
        <f>IFERROR(INDEX('Cost_Components'!$T$2:$T$27,MATCH(E789,'Cost_Components'!$A$2:$A$27,0)),"")</f>
      </c>
      <c r="AA789" s="81" t="str">
        <f>IFERROR(INDEX('Cost_Components'!$U$2:$U$27,MATCH(E789,'Cost_Components'!$A$2:$A$27,0)),"")</f>
      </c>
      <c r="AB789" s="82" t="str">
        <f>IFERROR(INDEX('Cost_Components'!$V$2:$V$27,MATCH(E789,'Cost_Components'!$A$2:$A$27,0)),"")</f>
      </c>
      <c r="AC789" s="83" t="str">
        <f>IFERROR(INDEX('Cost_Components'!$M$2:$M$27,MATCH(E789,'Cost_Components'!$A$2:$A$27,0)),"")</f>
      </c>
      <c r="AD789" s="84" t="str">
        <f>IFERROR(INDEX('Cost_Components'!$N$2:$N$27,MATCH(E789,'Cost_Components'!$A$2:$A$27,0)),"")</f>
      </c>
      <c r="AE789" s="20" t="str">
        <f>IFERROR(INDEX('Cost_Components'!$O$2:$O$27,MATCH(E789,'Cost_Components'!$A$2:$A$27,0)),"")</f>
      </c>
      <c r="AF789" s="85" t="n">
        <v>5611303.56990719</v>
      </c>
      <c r="AG789" s="86" t="n">
        <v>5749760.92998007</v>
      </c>
      <c r="AH789" s="87" t="str">
        <f>IF(H789="shared-count-once",COUNTIFS($A$2:$A$1353,A789,$B$2:$B$1353,B789,$E$2:$E$1353,E789),1)</f>
      </c>
    </row>
    <row r="790">
      <c r="A790" t="s">
        <v>75</v>
      </c>
      <c r="B790" s="59" t="n">
        <v>2033</v>
      </c>
      <c r="C790" t="s">
        <v>186</v>
      </c>
      <c r="D790" t="s">
        <v>180</v>
      </c>
      <c r="E790" s="60" t="s">
        <v>270</v>
      </c>
      <c r="F790" s="61" t="s">
        <v>271</v>
      </c>
      <c r="G790" s="62" t="s">
        <v>198</v>
      </c>
      <c r="H790" s="63" t="s">
        <v>195</v>
      </c>
      <c r="I790" s="64" t="s">
        <v>267</v>
      </c>
      <c r="J790" s="65" t="str">
        <f>IFERROR(INDEX('Cost_Components'!$K$2:$K$27,MATCH(E790,'Cost_Components'!$A$2:$A$27,0)),"")</f>
      </c>
      <c r="K790" s="66" t="str">
        <f>IF(OR(L790="",Z790="",AA790="",AB790=""),"",IF(B790&lt;AA790,L790,IF(B790&gt;AB790,Z790,L790+(Z790-L790)*MIN(MAX((B790-AA790+1)/MAX(AB790-AA790+1,1),0),1))))</f>
      </c>
      <c r="L790" s="67" t="str">
        <f>IFERROR(INDEX('Cost_Components'!$S$2:$S$27,MATCH(E790,'Cost_Components'!$A$2:$A$27,0)),"")</f>
      </c>
      <c r="M790" s="68" t="str">
        <f>IFERROR(INDEX('Cost_Components'!$L$2:$L$27,MATCH(E790,'Cost_Components'!$A$2:$A$27,0)),"")</f>
      </c>
      <c r="N790" s="69" t="str">
        <f>IFERROR(INDEX('Cost_Components'!$P$2:$P$27,MATCH(E790,'Cost_Components'!$A$2:$A$27,0)),"")</f>
      </c>
      <c r="O790" s="70" t="str">
        <f>AF790*J790</f>
      </c>
      <c r="P790" s="71" t="str">
        <f>AG790*J790</f>
      </c>
      <c r="Q790" s="72" t="str">
        <f>P790*L790*M790*N790</f>
      </c>
      <c r="R790" s="73" t="str">
        <f>O790*K790*M790*N790</f>
      </c>
      <c r="S790" s="74" t="str">
        <f>R790-Q790</f>
      </c>
      <c r="T790" s="20" t="str">
        <f>IFERROR(INDEX('Cost_Components'!$R$2:$R$27,MATCH(E790,'Cost_Components'!$A$2:$A$27,0)),"")</f>
      </c>
      <c r="U790" s="75" t="str">
        <f>IFERROR(INDEX('Cost_Components'!$Q$2:$Q$27,MATCH(E790,'Cost_Components'!$A$2:$A$27,0)),"")</f>
      </c>
      <c r="V790" s="76" t="str">
        <f>1/(1+'Calculation_Assumptions'!$B$5)^(B790-'Calculation_Assumptions'!$B$2)</f>
      </c>
      <c r="W790" s="77" t="str">
        <f>Q790*V790</f>
      </c>
      <c r="X790" s="78" t="str">
        <f>R790*V790</f>
      </c>
      <c r="Y790" s="79" t="str">
        <f>S790*V790</f>
      </c>
      <c r="Z790" s="80" t="str">
        <f>IFERROR(INDEX('Cost_Components'!$T$2:$T$27,MATCH(E790,'Cost_Components'!$A$2:$A$27,0)),"")</f>
      </c>
      <c r="AA790" s="81" t="str">
        <f>IFERROR(INDEX('Cost_Components'!$U$2:$U$27,MATCH(E790,'Cost_Components'!$A$2:$A$27,0)),"")</f>
      </c>
      <c r="AB790" s="82" t="str">
        <f>IFERROR(INDEX('Cost_Components'!$V$2:$V$27,MATCH(E790,'Cost_Components'!$A$2:$A$27,0)),"")</f>
      </c>
      <c r="AC790" s="83" t="str">
        <f>IFERROR(INDEX('Cost_Components'!$M$2:$M$27,MATCH(E790,'Cost_Components'!$A$2:$A$27,0)),"")</f>
      </c>
      <c r="AD790" s="84" t="str">
        <f>IFERROR(INDEX('Cost_Components'!$N$2:$N$27,MATCH(E790,'Cost_Components'!$A$2:$A$27,0)),"")</f>
      </c>
      <c r="AE790" s="20" t="str">
        <f>IFERROR(INDEX('Cost_Components'!$O$2:$O$27,MATCH(E790,'Cost_Components'!$A$2:$A$27,0)),"")</f>
      </c>
      <c r="AF790" s="85" t="n">
        <v>5693742.79106781</v>
      </c>
      <c r="AG790" s="86" t="n">
        <v>5864146.54515379</v>
      </c>
      <c r="AH790" s="87" t="str">
        <f>IF(H790="shared-count-once",COUNTIFS($A$2:$A$1353,A790,$B$2:$B$1353,B790,$E$2:$E$1353,E790),1)</f>
      </c>
    </row>
    <row r="791">
      <c r="A791" t="s">
        <v>75</v>
      </c>
      <c r="B791" s="59" t="n">
        <v>2034</v>
      </c>
      <c r="C791" t="s">
        <v>186</v>
      </c>
      <c r="D791" t="s">
        <v>180</v>
      </c>
      <c r="E791" s="60" t="s">
        <v>270</v>
      </c>
      <c r="F791" s="61" t="s">
        <v>271</v>
      </c>
      <c r="G791" s="62" t="s">
        <v>198</v>
      </c>
      <c r="H791" s="63" t="s">
        <v>195</v>
      </c>
      <c r="I791" s="64" t="s">
        <v>267</v>
      </c>
      <c r="J791" s="65" t="str">
        <f>IFERROR(INDEX('Cost_Components'!$K$2:$K$27,MATCH(E791,'Cost_Components'!$A$2:$A$27,0)),"")</f>
      </c>
      <c r="K791" s="66" t="str">
        <f>IF(OR(L791="",Z791="",AA791="",AB791=""),"",IF(B791&lt;AA791,L791,IF(B791&gt;AB791,Z791,L791+(Z791-L791)*MIN(MAX((B791-AA791+1)/MAX(AB791-AA791+1,1),0),1))))</f>
      </c>
      <c r="L791" s="67" t="str">
        <f>IFERROR(INDEX('Cost_Components'!$S$2:$S$27,MATCH(E791,'Cost_Components'!$A$2:$A$27,0)),"")</f>
      </c>
      <c r="M791" s="68" t="str">
        <f>IFERROR(INDEX('Cost_Components'!$L$2:$L$27,MATCH(E791,'Cost_Components'!$A$2:$A$27,0)),"")</f>
      </c>
      <c r="N791" s="69" t="str">
        <f>IFERROR(INDEX('Cost_Components'!$P$2:$P$27,MATCH(E791,'Cost_Components'!$A$2:$A$27,0)),"")</f>
      </c>
      <c r="O791" s="70" t="str">
        <f>AF791*J791</f>
      </c>
      <c r="P791" s="71" t="str">
        <f>AG791*J791</f>
      </c>
      <c r="Q791" s="72" t="str">
        <f>P791*L791*M791*N791</f>
      </c>
      <c r="R791" s="73" t="str">
        <f>O791*K791*M791*N791</f>
      </c>
      <c r="S791" s="74" t="str">
        <f>R791-Q791</f>
      </c>
      <c r="T791" s="20" t="str">
        <f>IFERROR(INDEX('Cost_Components'!$R$2:$R$27,MATCH(E791,'Cost_Components'!$A$2:$A$27,0)),"")</f>
      </c>
      <c r="U791" s="75" t="str">
        <f>IFERROR(INDEX('Cost_Components'!$Q$2:$Q$27,MATCH(E791,'Cost_Components'!$A$2:$A$27,0)),"")</f>
      </c>
      <c r="V791" s="76" t="str">
        <f>1/(1+'Calculation_Assumptions'!$B$5)^(B791-'Calculation_Assumptions'!$B$2)</f>
      </c>
      <c r="W791" s="77" t="str">
        <f>Q791*V791</f>
      </c>
      <c r="X791" s="78" t="str">
        <f>R791*V791</f>
      </c>
      <c r="Y791" s="79" t="str">
        <f>S791*V791</f>
      </c>
      <c r="Z791" s="80" t="str">
        <f>IFERROR(INDEX('Cost_Components'!$T$2:$T$27,MATCH(E791,'Cost_Components'!$A$2:$A$27,0)),"")</f>
      </c>
      <c r="AA791" s="81" t="str">
        <f>IFERROR(INDEX('Cost_Components'!$U$2:$U$27,MATCH(E791,'Cost_Components'!$A$2:$A$27,0)),"")</f>
      </c>
      <c r="AB791" s="82" t="str">
        <f>IFERROR(INDEX('Cost_Components'!$V$2:$V$27,MATCH(E791,'Cost_Components'!$A$2:$A$27,0)),"")</f>
      </c>
      <c r="AC791" s="83" t="str">
        <f>IFERROR(INDEX('Cost_Components'!$M$2:$M$27,MATCH(E791,'Cost_Components'!$A$2:$A$27,0)),"")</f>
      </c>
      <c r="AD791" s="84" t="str">
        <f>IFERROR(INDEX('Cost_Components'!$N$2:$N$27,MATCH(E791,'Cost_Components'!$A$2:$A$27,0)),"")</f>
      </c>
      <c r="AE791" s="20" t="str">
        <f>IFERROR(INDEX('Cost_Components'!$O$2:$O$27,MATCH(E791,'Cost_Components'!$A$2:$A$27,0)),"")</f>
      </c>
      <c r="AF791" s="85" t="n">
        <v>5775056.5816114</v>
      </c>
      <c r="AG791" s="86" t="n">
        <v>5979832.51047759</v>
      </c>
      <c r="AH791" s="87" t="str">
        <f>IF(H791="shared-count-once",COUNTIFS($A$2:$A$1353,A791,$B$2:$B$1353,B791,$E$2:$E$1353,E791),1)</f>
      </c>
    </row>
    <row r="792">
      <c r="A792" t="s">
        <v>75</v>
      </c>
      <c r="B792" s="59" t="n">
        <v>2035</v>
      </c>
      <c r="C792" t="s">
        <v>186</v>
      </c>
      <c r="D792" t="s">
        <v>180</v>
      </c>
      <c r="E792" s="60" t="s">
        <v>270</v>
      </c>
      <c r="F792" s="61" t="s">
        <v>271</v>
      </c>
      <c r="G792" s="62" t="s">
        <v>198</v>
      </c>
      <c r="H792" s="63" t="s">
        <v>195</v>
      </c>
      <c r="I792" s="64" t="s">
        <v>267</v>
      </c>
      <c r="J792" s="65" t="str">
        <f>IFERROR(INDEX('Cost_Components'!$K$2:$K$27,MATCH(E792,'Cost_Components'!$A$2:$A$27,0)),"")</f>
      </c>
      <c r="K792" s="66" t="str">
        <f>IF(OR(L792="",Z792="",AA792="",AB792=""),"",IF(B792&lt;AA792,L792,IF(B792&gt;AB792,Z792,L792+(Z792-L792)*MIN(MAX((B792-AA792+1)/MAX(AB792-AA792+1,1),0),1))))</f>
      </c>
      <c r="L792" s="67" t="str">
        <f>IFERROR(INDEX('Cost_Components'!$S$2:$S$27,MATCH(E792,'Cost_Components'!$A$2:$A$27,0)),"")</f>
      </c>
      <c r="M792" s="68" t="str">
        <f>IFERROR(INDEX('Cost_Components'!$L$2:$L$27,MATCH(E792,'Cost_Components'!$A$2:$A$27,0)),"")</f>
      </c>
      <c r="N792" s="69" t="str">
        <f>IFERROR(INDEX('Cost_Components'!$P$2:$P$27,MATCH(E792,'Cost_Components'!$A$2:$A$27,0)),"")</f>
      </c>
      <c r="O792" s="70" t="str">
        <f>AF792*J792</f>
      </c>
      <c r="P792" s="71" t="str">
        <f>AG792*J792</f>
      </c>
      <c r="Q792" s="72" t="str">
        <f>P792*L792*M792*N792</f>
      </c>
      <c r="R792" s="73" t="str">
        <f>O792*K792*M792*N792</f>
      </c>
      <c r="S792" s="74" t="str">
        <f>R792-Q792</f>
      </c>
      <c r="T792" s="20" t="str">
        <f>IFERROR(INDEX('Cost_Components'!$R$2:$R$27,MATCH(E792,'Cost_Components'!$A$2:$A$27,0)),"")</f>
      </c>
      <c r="U792" s="75" t="str">
        <f>IFERROR(INDEX('Cost_Components'!$Q$2:$Q$27,MATCH(E792,'Cost_Components'!$A$2:$A$27,0)),"")</f>
      </c>
      <c r="V792" s="76" t="str">
        <f>1/(1+'Calculation_Assumptions'!$B$5)^(B792-'Calculation_Assumptions'!$B$2)</f>
      </c>
      <c r="W792" s="77" t="str">
        <f>Q792*V792</f>
      </c>
      <c r="X792" s="78" t="str">
        <f>R792*V792</f>
      </c>
      <c r="Y792" s="79" t="str">
        <f>S792*V792</f>
      </c>
      <c r="Z792" s="80" t="str">
        <f>IFERROR(INDEX('Cost_Components'!$T$2:$T$27,MATCH(E792,'Cost_Components'!$A$2:$A$27,0)),"")</f>
      </c>
      <c r="AA792" s="81" t="str">
        <f>IFERROR(INDEX('Cost_Components'!$U$2:$U$27,MATCH(E792,'Cost_Components'!$A$2:$A$27,0)),"")</f>
      </c>
      <c r="AB792" s="82" t="str">
        <f>IFERROR(INDEX('Cost_Components'!$V$2:$V$27,MATCH(E792,'Cost_Components'!$A$2:$A$27,0)),"")</f>
      </c>
      <c r="AC792" s="83" t="str">
        <f>IFERROR(INDEX('Cost_Components'!$M$2:$M$27,MATCH(E792,'Cost_Components'!$A$2:$A$27,0)),"")</f>
      </c>
      <c r="AD792" s="84" t="str">
        <f>IFERROR(INDEX('Cost_Components'!$N$2:$N$27,MATCH(E792,'Cost_Components'!$A$2:$A$27,0)),"")</f>
      </c>
      <c r="AE792" s="20" t="str">
        <f>IFERROR(INDEX('Cost_Components'!$O$2:$O$27,MATCH(E792,'Cost_Components'!$A$2:$A$27,0)),"")</f>
      </c>
      <c r="AF792" s="85" t="n">
        <v>5854440.19524261</v>
      </c>
      <c r="AG792" s="86" t="n">
        <v>6096161.90235007</v>
      </c>
      <c r="AH792" s="87" t="str">
        <f>IF(H792="shared-count-once",COUNTIFS($A$2:$A$1353,A792,$B$2:$B$1353,B792,$E$2:$E$1353,E792),1)</f>
      </c>
    </row>
    <row r="793">
      <c r="A793" t="s">
        <v>75</v>
      </c>
      <c r="B793" s="59" t="n">
        <v>2036</v>
      </c>
      <c r="C793" t="s">
        <v>186</v>
      </c>
      <c r="D793" t="s">
        <v>180</v>
      </c>
      <c r="E793" s="60" t="s">
        <v>270</v>
      </c>
      <c r="F793" s="61" t="s">
        <v>271</v>
      </c>
      <c r="G793" s="62" t="s">
        <v>198</v>
      </c>
      <c r="H793" s="63" t="s">
        <v>195</v>
      </c>
      <c r="I793" s="64" t="s">
        <v>267</v>
      </c>
      <c r="J793" s="65" t="str">
        <f>IFERROR(INDEX('Cost_Components'!$K$2:$K$27,MATCH(E793,'Cost_Components'!$A$2:$A$27,0)),"")</f>
      </c>
      <c r="K793" s="66" t="str">
        <f>IF(OR(L793="",Z793="",AA793="",AB793=""),"",IF(B793&lt;AA793,L793,IF(B793&gt;AB793,Z793,L793+(Z793-L793)*MIN(MAX((B793-AA793+1)/MAX(AB793-AA793+1,1),0),1))))</f>
      </c>
      <c r="L793" s="67" t="str">
        <f>IFERROR(INDEX('Cost_Components'!$S$2:$S$27,MATCH(E793,'Cost_Components'!$A$2:$A$27,0)),"")</f>
      </c>
      <c r="M793" s="68" t="str">
        <f>IFERROR(INDEX('Cost_Components'!$L$2:$L$27,MATCH(E793,'Cost_Components'!$A$2:$A$27,0)),"")</f>
      </c>
      <c r="N793" s="69" t="str">
        <f>IFERROR(INDEX('Cost_Components'!$P$2:$P$27,MATCH(E793,'Cost_Components'!$A$2:$A$27,0)),"")</f>
      </c>
      <c r="O793" s="70" t="str">
        <f>AF793*J793</f>
      </c>
      <c r="P793" s="71" t="str">
        <f>AG793*J793</f>
      </c>
      <c r="Q793" s="72" t="str">
        <f>P793*L793*M793*N793</f>
      </c>
      <c r="R793" s="73" t="str">
        <f>O793*K793*M793*N793</f>
      </c>
      <c r="S793" s="74" t="str">
        <f>R793-Q793</f>
      </c>
      <c r="T793" s="20" t="str">
        <f>IFERROR(INDEX('Cost_Components'!$R$2:$R$27,MATCH(E793,'Cost_Components'!$A$2:$A$27,0)),"")</f>
      </c>
      <c r="U793" s="75" t="str">
        <f>IFERROR(INDEX('Cost_Components'!$Q$2:$Q$27,MATCH(E793,'Cost_Components'!$A$2:$A$27,0)),"")</f>
      </c>
      <c r="V793" s="76" t="str">
        <f>1/(1+'Calculation_Assumptions'!$B$5)^(B793-'Calculation_Assumptions'!$B$2)</f>
      </c>
      <c r="W793" s="77" t="str">
        <f>Q793*V793</f>
      </c>
      <c r="X793" s="78" t="str">
        <f>R793*V793</f>
      </c>
      <c r="Y793" s="79" t="str">
        <f>S793*V793</f>
      </c>
      <c r="Z793" s="80" t="str">
        <f>IFERROR(INDEX('Cost_Components'!$T$2:$T$27,MATCH(E793,'Cost_Components'!$A$2:$A$27,0)),"")</f>
      </c>
      <c r="AA793" s="81" t="str">
        <f>IFERROR(INDEX('Cost_Components'!$U$2:$U$27,MATCH(E793,'Cost_Components'!$A$2:$A$27,0)),"")</f>
      </c>
      <c r="AB793" s="82" t="str">
        <f>IFERROR(INDEX('Cost_Components'!$V$2:$V$27,MATCH(E793,'Cost_Components'!$A$2:$A$27,0)),"")</f>
      </c>
      <c r="AC793" s="83" t="str">
        <f>IFERROR(INDEX('Cost_Components'!$M$2:$M$27,MATCH(E793,'Cost_Components'!$A$2:$A$27,0)),"")</f>
      </c>
      <c r="AD793" s="84" t="str">
        <f>IFERROR(INDEX('Cost_Components'!$N$2:$N$27,MATCH(E793,'Cost_Components'!$A$2:$A$27,0)),"")</f>
      </c>
      <c r="AE793" s="20" t="str">
        <f>IFERROR(INDEX('Cost_Components'!$O$2:$O$27,MATCH(E793,'Cost_Components'!$A$2:$A$27,0)),"")</f>
      </c>
      <c r="AF793" s="85" t="n">
        <v>5931780.74418408</v>
      </c>
      <c r="AG793" s="86" t="n">
        <v>6212931.28695398</v>
      </c>
      <c r="AH793" s="87" t="str">
        <f>IF(H793="shared-count-once",COUNTIFS($A$2:$A$1353,A793,$B$2:$B$1353,B793,$E$2:$E$1353,E793),1)</f>
      </c>
    </row>
    <row r="794">
      <c r="A794" t="s">
        <v>75</v>
      </c>
      <c r="B794" s="59" t="n">
        <v>2037</v>
      </c>
      <c r="C794" t="s">
        <v>186</v>
      </c>
      <c r="D794" t="s">
        <v>180</v>
      </c>
      <c r="E794" s="60" t="s">
        <v>270</v>
      </c>
      <c r="F794" s="61" t="s">
        <v>271</v>
      </c>
      <c r="G794" s="62" t="s">
        <v>198</v>
      </c>
      <c r="H794" s="63" t="s">
        <v>195</v>
      </c>
      <c r="I794" s="64" t="s">
        <v>267</v>
      </c>
      <c r="J794" s="65" t="str">
        <f>IFERROR(INDEX('Cost_Components'!$K$2:$K$27,MATCH(E794,'Cost_Components'!$A$2:$A$27,0)),"")</f>
      </c>
      <c r="K794" s="66" t="str">
        <f>IF(OR(L794="",Z794="",AA794="",AB794=""),"",IF(B794&lt;AA794,L794,IF(B794&gt;AB794,Z794,L794+(Z794-L794)*MIN(MAX((B794-AA794+1)/MAX(AB794-AA794+1,1),0),1))))</f>
      </c>
      <c r="L794" s="67" t="str">
        <f>IFERROR(INDEX('Cost_Components'!$S$2:$S$27,MATCH(E794,'Cost_Components'!$A$2:$A$27,0)),"")</f>
      </c>
      <c r="M794" s="68" t="str">
        <f>IFERROR(INDEX('Cost_Components'!$L$2:$L$27,MATCH(E794,'Cost_Components'!$A$2:$A$27,0)),"")</f>
      </c>
      <c r="N794" s="69" t="str">
        <f>IFERROR(INDEX('Cost_Components'!$P$2:$P$27,MATCH(E794,'Cost_Components'!$A$2:$A$27,0)),"")</f>
      </c>
      <c r="O794" s="70" t="str">
        <f>AF794*J794</f>
      </c>
      <c r="P794" s="71" t="str">
        <f>AG794*J794</f>
      </c>
      <c r="Q794" s="72" t="str">
        <f>P794*L794*M794*N794</f>
      </c>
      <c r="R794" s="73" t="str">
        <f>O794*K794*M794*N794</f>
      </c>
      <c r="S794" s="74" t="str">
        <f>R794-Q794</f>
      </c>
      <c r="T794" s="20" t="str">
        <f>IFERROR(INDEX('Cost_Components'!$R$2:$R$27,MATCH(E794,'Cost_Components'!$A$2:$A$27,0)),"")</f>
      </c>
      <c r="U794" s="75" t="str">
        <f>IFERROR(INDEX('Cost_Components'!$Q$2:$Q$27,MATCH(E794,'Cost_Components'!$A$2:$A$27,0)),"")</f>
      </c>
      <c r="V794" s="76" t="str">
        <f>1/(1+'Calculation_Assumptions'!$B$5)^(B794-'Calculation_Assumptions'!$B$2)</f>
      </c>
      <c r="W794" s="77" t="str">
        <f>Q794*V794</f>
      </c>
      <c r="X794" s="78" t="str">
        <f>R794*V794</f>
      </c>
      <c r="Y794" s="79" t="str">
        <f>S794*V794</f>
      </c>
      <c r="Z794" s="80" t="str">
        <f>IFERROR(INDEX('Cost_Components'!$T$2:$T$27,MATCH(E794,'Cost_Components'!$A$2:$A$27,0)),"")</f>
      </c>
      <c r="AA794" s="81" t="str">
        <f>IFERROR(INDEX('Cost_Components'!$U$2:$U$27,MATCH(E794,'Cost_Components'!$A$2:$A$27,0)),"")</f>
      </c>
      <c r="AB794" s="82" t="str">
        <f>IFERROR(INDEX('Cost_Components'!$V$2:$V$27,MATCH(E794,'Cost_Components'!$A$2:$A$27,0)),"")</f>
      </c>
      <c r="AC794" s="83" t="str">
        <f>IFERROR(INDEX('Cost_Components'!$M$2:$M$27,MATCH(E794,'Cost_Components'!$A$2:$A$27,0)),"")</f>
      </c>
      <c r="AD794" s="84" t="str">
        <f>IFERROR(INDEX('Cost_Components'!$N$2:$N$27,MATCH(E794,'Cost_Components'!$A$2:$A$27,0)),"")</f>
      </c>
      <c r="AE794" s="20" t="str">
        <f>IFERROR(INDEX('Cost_Components'!$O$2:$O$27,MATCH(E794,'Cost_Components'!$A$2:$A$27,0)),"")</f>
      </c>
      <c r="AF794" s="85" t="n">
        <v>6007010.41300939</v>
      </c>
      <c r="AG794" s="86" t="n">
        <v>6330015.78836299</v>
      </c>
      <c r="AH794" s="87" t="str">
        <f>IF(H794="shared-count-once",COUNTIFS($A$2:$A$1353,A794,$B$2:$B$1353,B794,$E$2:$E$1353,E794),1)</f>
      </c>
    </row>
    <row r="795">
      <c r="A795" t="s">
        <v>75</v>
      </c>
      <c r="B795" s="59" t="n">
        <v>2038</v>
      </c>
      <c r="C795" t="s">
        <v>186</v>
      </c>
      <c r="D795" t="s">
        <v>180</v>
      </c>
      <c r="E795" s="60" t="s">
        <v>270</v>
      </c>
      <c r="F795" s="61" t="s">
        <v>271</v>
      </c>
      <c r="G795" s="62" t="s">
        <v>198</v>
      </c>
      <c r="H795" s="63" t="s">
        <v>195</v>
      </c>
      <c r="I795" s="64" t="s">
        <v>267</v>
      </c>
      <c r="J795" s="65" t="str">
        <f>IFERROR(INDEX('Cost_Components'!$K$2:$K$27,MATCH(E795,'Cost_Components'!$A$2:$A$27,0)),"")</f>
      </c>
      <c r="K795" s="66" t="str">
        <f>IF(OR(L795="",Z795="",AA795="",AB795=""),"",IF(B795&lt;AA795,L795,IF(B795&gt;AB795,Z795,L795+(Z795-L795)*MIN(MAX((B795-AA795+1)/MAX(AB795-AA795+1,1),0),1))))</f>
      </c>
      <c r="L795" s="67" t="str">
        <f>IFERROR(INDEX('Cost_Components'!$S$2:$S$27,MATCH(E795,'Cost_Components'!$A$2:$A$27,0)),"")</f>
      </c>
      <c r="M795" s="68" t="str">
        <f>IFERROR(INDEX('Cost_Components'!$L$2:$L$27,MATCH(E795,'Cost_Components'!$A$2:$A$27,0)),"")</f>
      </c>
      <c r="N795" s="69" t="str">
        <f>IFERROR(INDEX('Cost_Components'!$P$2:$P$27,MATCH(E795,'Cost_Components'!$A$2:$A$27,0)),"")</f>
      </c>
      <c r="O795" s="70" t="str">
        <f>AF795*J795</f>
      </c>
      <c r="P795" s="71" t="str">
        <f>AG795*J795</f>
      </c>
      <c r="Q795" s="72" t="str">
        <f>P795*L795*M795*N795</f>
      </c>
      <c r="R795" s="73" t="str">
        <f>O795*K795*M795*N795</f>
      </c>
      <c r="S795" s="74" t="str">
        <f>R795-Q795</f>
      </c>
      <c r="T795" s="20" t="str">
        <f>IFERROR(INDEX('Cost_Components'!$R$2:$R$27,MATCH(E795,'Cost_Components'!$A$2:$A$27,0)),"")</f>
      </c>
      <c r="U795" s="75" t="str">
        <f>IFERROR(INDEX('Cost_Components'!$Q$2:$Q$27,MATCH(E795,'Cost_Components'!$A$2:$A$27,0)),"")</f>
      </c>
      <c r="V795" s="76" t="str">
        <f>1/(1+'Calculation_Assumptions'!$B$5)^(B795-'Calculation_Assumptions'!$B$2)</f>
      </c>
      <c r="W795" s="77" t="str">
        <f>Q795*V795</f>
      </c>
      <c r="X795" s="78" t="str">
        <f>R795*V795</f>
      </c>
      <c r="Y795" s="79" t="str">
        <f>S795*V795</f>
      </c>
      <c r="Z795" s="80" t="str">
        <f>IFERROR(INDEX('Cost_Components'!$T$2:$T$27,MATCH(E795,'Cost_Components'!$A$2:$A$27,0)),"")</f>
      </c>
      <c r="AA795" s="81" t="str">
        <f>IFERROR(INDEX('Cost_Components'!$U$2:$U$27,MATCH(E795,'Cost_Components'!$A$2:$A$27,0)),"")</f>
      </c>
      <c r="AB795" s="82" t="str">
        <f>IFERROR(INDEX('Cost_Components'!$V$2:$V$27,MATCH(E795,'Cost_Components'!$A$2:$A$27,0)),"")</f>
      </c>
      <c r="AC795" s="83" t="str">
        <f>IFERROR(INDEX('Cost_Components'!$M$2:$M$27,MATCH(E795,'Cost_Components'!$A$2:$A$27,0)),"")</f>
      </c>
      <c r="AD795" s="84" t="str">
        <f>IFERROR(INDEX('Cost_Components'!$N$2:$N$27,MATCH(E795,'Cost_Components'!$A$2:$A$27,0)),"")</f>
      </c>
      <c r="AE795" s="20" t="str">
        <f>IFERROR(INDEX('Cost_Components'!$O$2:$O$27,MATCH(E795,'Cost_Components'!$A$2:$A$27,0)),"")</f>
      </c>
      <c r="AF795" s="85" t="n">
        <v>6080227.03152789</v>
      </c>
      <c r="AG795" s="86" t="n">
        <v>6447512.9889023</v>
      </c>
      <c r="AH795" s="87" t="str">
        <f>IF(H795="shared-count-once",COUNTIFS($A$2:$A$1353,A795,$B$2:$B$1353,B795,$E$2:$E$1353,E795),1)</f>
      </c>
    </row>
    <row r="796">
      <c r="A796" t="s">
        <v>75</v>
      </c>
      <c r="B796" s="59" t="n">
        <v>2039</v>
      </c>
      <c r="C796" t="s">
        <v>186</v>
      </c>
      <c r="D796" t="s">
        <v>180</v>
      </c>
      <c r="E796" s="60" t="s">
        <v>270</v>
      </c>
      <c r="F796" s="61" t="s">
        <v>271</v>
      </c>
      <c r="G796" s="62" t="s">
        <v>198</v>
      </c>
      <c r="H796" s="63" t="s">
        <v>195</v>
      </c>
      <c r="I796" s="64" t="s">
        <v>267</v>
      </c>
      <c r="J796" s="65" t="str">
        <f>IFERROR(INDEX('Cost_Components'!$K$2:$K$27,MATCH(E796,'Cost_Components'!$A$2:$A$27,0)),"")</f>
      </c>
      <c r="K796" s="66" t="str">
        <f>IF(OR(L796="",Z796="",AA796="",AB796=""),"",IF(B796&lt;AA796,L796,IF(B796&gt;AB796,Z796,L796+(Z796-L796)*MIN(MAX((B796-AA796+1)/MAX(AB796-AA796+1,1),0),1))))</f>
      </c>
      <c r="L796" s="67" t="str">
        <f>IFERROR(INDEX('Cost_Components'!$S$2:$S$27,MATCH(E796,'Cost_Components'!$A$2:$A$27,0)),"")</f>
      </c>
      <c r="M796" s="68" t="str">
        <f>IFERROR(INDEX('Cost_Components'!$L$2:$L$27,MATCH(E796,'Cost_Components'!$A$2:$A$27,0)),"")</f>
      </c>
      <c r="N796" s="69" t="str">
        <f>IFERROR(INDEX('Cost_Components'!$P$2:$P$27,MATCH(E796,'Cost_Components'!$A$2:$A$27,0)),"")</f>
      </c>
      <c r="O796" s="70" t="str">
        <f>AF796*J796</f>
      </c>
      <c r="P796" s="71" t="str">
        <f>AG796*J796</f>
      </c>
      <c r="Q796" s="72" t="str">
        <f>P796*L796*M796*N796</f>
      </c>
      <c r="R796" s="73" t="str">
        <f>O796*K796*M796*N796</f>
      </c>
      <c r="S796" s="74" t="str">
        <f>R796-Q796</f>
      </c>
      <c r="T796" s="20" t="str">
        <f>IFERROR(INDEX('Cost_Components'!$R$2:$R$27,MATCH(E796,'Cost_Components'!$A$2:$A$27,0)),"")</f>
      </c>
      <c r="U796" s="75" t="str">
        <f>IFERROR(INDEX('Cost_Components'!$Q$2:$Q$27,MATCH(E796,'Cost_Components'!$A$2:$A$27,0)),"")</f>
      </c>
      <c r="V796" s="76" t="str">
        <f>1/(1+'Calculation_Assumptions'!$B$5)^(B796-'Calculation_Assumptions'!$B$2)</f>
      </c>
      <c r="W796" s="77" t="str">
        <f>Q796*V796</f>
      </c>
      <c r="X796" s="78" t="str">
        <f>R796*V796</f>
      </c>
      <c r="Y796" s="79" t="str">
        <f>S796*V796</f>
      </c>
      <c r="Z796" s="80" t="str">
        <f>IFERROR(INDEX('Cost_Components'!$T$2:$T$27,MATCH(E796,'Cost_Components'!$A$2:$A$27,0)),"")</f>
      </c>
      <c r="AA796" s="81" t="str">
        <f>IFERROR(INDEX('Cost_Components'!$U$2:$U$27,MATCH(E796,'Cost_Components'!$A$2:$A$27,0)),"")</f>
      </c>
      <c r="AB796" s="82" t="str">
        <f>IFERROR(INDEX('Cost_Components'!$V$2:$V$27,MATCH(E796,'Cost_Components'!$A$2:$A$27,0)),"")</f>
      </c>
      <c r="AC796" s="83" t="str">
        <f>IFERROR(INDEX('Cost_Components'!$M$2:$M$27,MATCH(E796,'Cost_Components'!$A$2:$A$27,0)),"")</f>
      </c>
      <c r="AD796" s="84" t="str">
        <f>IFERROR(INDEX('Cost_Components'!$N$2:$N$27,MATCH(E796,'Cost_Components'!$A$2:$A$27,0)),"")</f>
      </c>
      <c r="AE796" s="20" t="str">
        <f>IFERROR(INDEX('Cost_Components'!$O$2:$O$27,MATCH(E796,'Cost_Components'!$A$2:$A$27,0)),"")</f>
      </c>
      <c r="AF796" s="85" t="n">
        <v>6150764.68663922</v>
      </c>
      <c r="AG796" s="86" t="n">
        <v>6564073.62283021</v>
      </c>
      <c r="AH796" s="87" t="str">
        <f>IF(H796="shared-count-once",COUNTIFS($A$2:$A$1353,A796,$B$2:$B$1353,B796,$E$2:$E$1353,E796),1)</f>
      </c>
    </row>
    <row r="797">
      <c r="A797" t="s">
        <v>75</v>
      </c>
      <c r="B797" s="59" t="n">
        <v>2040</v>
      </c>
      <c r="C797" t="s">
        <v>186</v>
      </c>
      <c r="D797" t="s">
        <v>180</v>
      </c>
      <c r="E797" s="60" t="s">
        <v>270</v>
      </c>
      <c r="F797" s="61" t="s">
        <v>271</v>
      </c>
      <c r="G797" s="62" t="s">
        <v>198</v>
      </c>
      <c r="H797" s="63" t="s">
        <v>195</v>
      </c>
      <c r="I797" s="64" t="s">
        <v>267</v>
      </c>
      <c r="J797" s="65" t="str">
        <f>IFERROR(INDEX('Cost_Components'!$K$2:$K$27,MATCH(E797,'Cost_Components'!$A$2:$A$27,0)),"")</f>
      </c>
      <c r="K797" s="66" t="str">
        <f>IF(OR(L797="",Z797="",AA797="",AB797=""),"",IF(B797&lt;AA797,L797,IF(B797&gt;AB797,Z797,L797+(Z797-L797)*MIN(MAX((B797-AA797+1)/MAX(AB797-AA797+1,1),0),1))))</f>
      </c>
      <c r="L797" s="67" t="str">
        <f>IFERROR(INDEX('Cost_Components'!$S$2:$S$27,MATCH(E797,'Cost_Components'!$A$2:$A$27,0)),"")</f>
      </c>
      <c r="M797" s="68" t="str">
        <f>IFERROR(INDEX('Cost_Components'!$L$2:$L$27,MATCH(E797,'Cost_Components'!$A$2:$A$27,0)),"")</f>
      </c>
      <c r="N797" s="69" t="str">
        <f>IFERROR(INDEX('Cost_Components'!$P$2:$P$27,MATCH(E797,'Cost_Components'!$A$2:$A$27,0)),"")</f>
      </c>
      <c r="O797" s="70" t="str">
        <f>AF797*J797</f>
      </c>
      <c r="P797" s="71" t="str">
        <f>AG797*J797</f>
      </c>
      <c r="Q797" s="72" t="str">
        <f>P797*L797*M797*N797</f>
      </c>
      <c r="R797" s="73" t="str">
        <f>O797*K797*M797*N797</f>
      </c>
      <c r="S797" s="74" t="str">
        <f>R797-Q797</f>
      </c>
      <c r="T797" s="20" t="str">
        <f>IFERROR(INDEX('Cost_Components'!$R$2:$R$27,MATCH(E797,'Cost_Components'!$A$2:$A$27,0)),"")</f>
      </c>
      <c r="U797" s="75" t="str">
        <f>IFERROR(INDEX('Cost_Components'!$Q$2:$Q$27,MATCH(E797,'Cost_Components'!$A$2:$A$27,0)),"")</f>
      </c>
      <c r="V797" s="76" t="str">
        <f>1/(1+'Calculation_Assumptions'!$B$5)^(B797-'Calculation_Assumptions'!$B$2)</f>
      </c>
      <c r="W797" s="77" t="str">
        <f>Q797*V797</f>
      </c>
      <c r="X797" s="78" t="str">
        <f>R797*V797</f>
      </c>
      <c r="Y797" s="79" t="str">
        <f>S797*V797</f>
      </c>
      <c r="Z797" s="80" t="str">
        <f>IFERROR(INDEX('Cost_Components'!$T$2:$T$27,MATCH(E797,'Cost_Components'!$A$2:$A$27,0)),"")</f>
      </c>
      <c r="AA797" s="81" t="str">
        <f>IFERROR(INDEX('Cost_Components'!$U$2:$U$27,MATCH(E797,'Cost_Components'!$A$2:$A$27,0)),"")</f>
      </c>
      <c r="AB797" s="82" t="str">
        <f>IFERROR(INDEX('Cost_Components'!$V$2:$V$27,MATCH(E797,'Cost_Components'!$A$2:$A$27,0)),"")</f>
      </c>
      <c r="AC797" s="83" t="str">
        <f>IFERROR(INDEX('Cost_Components'!$M$2:$M$27,MATCH(E797,'Cost_Components'!$A$2:$A$27,0)),"")</f>
      </c>
      <c r="AD797" s="84" t="str">
        <f>IFERROR(INDEX('Cost_Components'!$N$2:$N$27,MATCH(E797,'Cost_Components'!$A$2:$A$27,0)),"")</f>
      </c>
      <c r="AE797" s="20" t="str">
        <f>IFERROR(INDEX('Cost_Components'!$O$2:$O$27,MATCH(E797,'Cost_Components'!$A$2:$A$27,0)),"")</f>
      </c>
      <c r="AF797" s="85" t="n">
        <v>6219295.51062842</v>
      </c>
      <c r="AG797" s="86" t="n">
        <v>6680640.99764336</v>
      </c>
      <c r="AH797" s="87" t="str">
        <f>IF(H797="shared-count-once",COUNTIFS($A$2:$A$1353,A797,$B$2:$B$1353,B797,$E$2:$E$1353,E797),1)</f>
      </c>
    </row>
    <row r="798">
      <c r="A798" t="s">
        <v>75</v>
      </c>
      <c r="B798" s="59" t="n">
        <v>2041</v>
      </c>
      <c r="C798" t="s">
        <v>186</v>
      </c>
      <c r="D798" t="s">
        <v>180</v>
      </c>
      <c r="E798" s="60" t="s">
        <v>270</v>
      </c>
      <c r="F798" s="61" t="s">
        <v>271</v>
      </c>
      <c r="G798" s="62" t="s">
        <v>198</v>
      </c>
      <c r="H798" s="63" t="s">
        <v>195</v>
      </c>
      <c r="I798" s="64" t="s">
        <v>267</v>
      </c>
      <c r="J798" s="65" t="str">
        <f>IFERROR(INDEX('Cost_Components'!$K$2:$K$27,MATCH(E798,'Cost_Components'!$A$2:$A$27,0)),"")</f>
      </c>
      <c r="K798" s="66" t="str">
        <f>IF(OR(L798="",Z798="",AA798="",AB798=""),"",IF(B798&lt;AA798,L798,IF(B798&gt;AB798,Z798,L798+(Z798-L798)*MIN(MAX((B798-AA798+1)/MAX(AB798-AA798+1,1),0),1))))</f>
      </c>
      <c r="L798" s="67" t="str">
        <f>IFERROR(INDEX('Cost_Components'!$S$2:$S$27,MATCH(E798,'Cost_Components'!$A$2:$A$27,0)),"")</f>
      </c>
      <c r="M798" s="68" t="str">
        <f>IFERROR(INDEX('Cost_Components'!$L$2:$L$27,MATCH(E798,'Cost_Components'!$A$2:$A$27,0)),"")</f>
      </c>
      <c r="N798" s="69" t="str">
        <f>IFERROR(INDEX('Cost_Components'!$P$2:$P$27,MATCH(E798,'Cost_Components'!$A$2:$A$27,0)),"")</f>
      </c>
      <c r="O798" s="70" t="str">
        <f>AF798*J798</f>
      </c>
      <c r="P798" s="71" t="str">
        <f>AG798*J798</f>
      </c>
      <c r="Q798" s="72" t="str">
        <f>P798*L798*M798*N798</f>
      </c>
      <c r="R798" s="73" t="str">
        <f>O798*K798*M798*N798</f>
      </c>
      <c r="S798" s="74" t="str">
        <f>R798-Q798</f>
      </c>
      <c r="T798" s="20" t="str">
        <f>IFERROR(INDEX('Cost_Components'!$R$2:$R$27,MATCH(E798,'Cost_Components'!$A$2:$A$27,0)),"")</f>
      </c>
      <c r="U798" s="75" t="str">
        <f>IFERROR(INDEX('Cost_Components'!$Q$2:$Q$27,MATCH(E798,'Cost_Components'!$A$2:$A$27,0)),"")</f>
      </c>
      <c r="V798" s="76" t="str">
        <f>1/(1+'Calculation_Assumptions'!$B$5)^(B798-'Calculation_Assumptions'!$B$2)</f>
      </c>
      <c r="W798" s="77" t="str">
        <f>Q798*V798</f>
      </c>
      <c r="X798" s="78" t="str">
        <f>R798*V798</f>
      </c>
      <c r="Y798" s="79" t="str">
        <f>S798*V798</f>
      </c>
      <c r="Z798" s="80" t="str">
        <f>IFERROR(INDEX('Cost_Components'!$T$2:$T$27,MATCH(E798,'Cost_Components'!$A$2:$A$27,0)),"")</f>
      </c>
      <c r="AA798" s="81" t="str">
        <f>IFERROR(INDEX('Cost_Components'!$U$2:$U$27,MATCH(E798,'Cost_Components'!$A$2:$A$27,0)),"")</f>
      </c>
      <c r="AB798" s="82" t="str">
        <f>IFERROR(INDEX('Cost_Components'!$V$2:$V$27,MATCH(E798,'Cost_Components'!$A$2:$A$27,0)),"")</f>
      </c>
      <c r="AC798" s="83" t="str">
        <f>IFERROR(INDEX('Cost_Components'!$M$2:$M$27,MATCH(E798,'Cost_Components'!$A$2:$A$27,0)),"")</f>
      </c>
      <c r="AD798" s="84" t="str">
        <f>IFERROR(INDEX('Cost_Components'!$N$2:$N$27,MATCH(E798,'Cost_Components'!$A$2:$A$27,0)),"")</f>
      </c>
      <c r="AE798" s="20" t="str">
        <f>IFERROR(INDEX('Cost_Components'!$O$2:$O$27,MATCH(E798,'Cost_Components'!$A$2:$A$27,0)),"")</f>
      </c>
      <c r="AF798" s="85" t="n">
        <v>6285604.10132309</v>
      </c>
      <c r="AG798" s="86" t="n">
        <v>6796959.57831694</v>
      </c>
      <c r="AH798" s="87" t="str">
        <f>IF(H798="shared-count-once",COUNTIFS($A$2:$A$1353,A798,$B$2:$B$1353,B798,$E$2:$E$1353,E798),1)</f>
      </c>
    </row>
    <row r="799">
      <c r="A799" t="s">
        <v>75</v>
      </c>
      <c r="B799" s="59" t="n">
        <v>2042</v>
      </c>
      <c r="C799" t="s">
        <v>186</v>
      </c>
      <c r="D799" t="s">
        <v>180</v>
      </c>
      <c r="E799" s="60" t="s">
        <v>270</v>
      </c>
      <c r="F799" s="61" t="s">
        <v>271</v>
      </c>
      <c r="G799" s="62" t="s">
        <v>198</v>
      </c>
      <c r="H799" s="63" t="s">
        <v>195</v>
      </c>
      <c r="I799" s="64" t="s">
        <v>267</v>
      </c>
      <c r="J799" s="65" t="str">
        <f>IFERROR(INDEX('Cost_Components'!$K$2:$K$27,MATCH(E799,'Cost_Components'!$A$2:$A$27,0)),"")</f>
      </c>
      <c r="K799" s="66" t="str">
        <f>IF(OR(L799="",Z799="",AA799="",AB799=""),"",IF(B799&lt;AA799,L799,IF(B799&gt;AB799,Z799,L799+(Z799-L799)*MIN(MAX((B799-AA799+1)/MAX(AB799-AA799+1,1),0),1))))</f>
      </c>
      <c r="L799" s="67" t="str">
        <f>IFERROR(INDEX('Cost_Components'!$S$2:$S$27,MATCH(E799,'Cost_Components'!$A$2:$A$27,0)),"")</f>
      </c>
      <c r="M799" s="68" t="str">
        <f>IFERROR(INDEX('Cost_Components'!$L$2:$L$27,MATCH(E799,'Cost_Components'!$A$2:$A$27,0)),"")</f>
      </c>
      <c r="N799" s="69" t="str">
        <f>IFERROR(INDEX('Cost_Components'!$P$2:$P$27,MATCH(E799,'Cost_Components'!$A$2:$A$27,0)),"")</f>
      </c>
      <c r="O799" s="70" t="str">
        <f>AF799*J799</f>
      </c>
      <c r="P799" s="71" t="str">
        <f>AG799*J799</f>
      </c>
      <c r="Q799" s="72" t="str">
        <f>P799*L799*M799*N799</f>
      </c>
      <c r="R799" s="73" t="str">
        <f>O799*K799*M799*N799</f>
      </c>
      <c r="S799" s="74" t="str">
        <f>R799-Q799</f>
      </c>
      <c r="T799" s="20" t="str">
        <f>IFERROR(INDEX('Cost_Components'!$R$2:$R$27,MATCH(E799,'Cost_Components'!$A$2:$A$27,0)),"")</f>
      </c>
      <c r="U799" s="75" t="str">
        <f>IFERROR(INDEX('Cost_Components'!$Q$2:$Q$27,MATCH(E799,'Cost_Components'!$A$2:$A$27,0)),"")</f>
      </c>
      <c r="V799" s="76" t="str">
        <f>1/(1+'Calculation_Assumptions'!$B$5)^(B799-'Calculation_Assumptions'!$B$2)</f>
      </c>
      <c r="W799" s="77" t="str">
        <f>Q799*V799</f>
      </c>
      <c r="X799" s="78" t="str">
        <f>R799*V799</f>
      </c>
      <c r="Y799" s="79" t="str">
        <f>S799*V799</f>
      </c>
      <c r="Z799" s="80" t="str">
        <f>IFERROR(INDEX('Cost_Components'!$T$2:$T$27,MATCH(E799,'Cost_Components'!$A$2:$A$27,0)),"")</f>
      </c>
      <c r="AA799" s="81" t="str">
        <f>IFERROR(INDEX('Cost_Components'!$U$2:$U$27,MATCH(E799,'Cost_Components'!$A$2:$A$27,0)),"")</f>
      </c>
      <c r="AB799" s="82" t="str">
        <f>IFERROR(INDEX('Cost_Components'!$V$2:$V$27,MATCH(E799,'Cost_Components'!$A$2:$A$27,0)),"")</f>
      </c>
      <c r="AC799" s="83" t="str">
        <f>IFERROR(INDEX('Cost_Components'!$M$2:$M$27,MATCH(E799,'Cost_Components'!$A$2:$A$27,0)),"")</f>
      </c>
      <c r="AD799" s="84" t="str">
        <f>IFERROR(INDEX('Cost_Components'!$N$2:$N$27,MATCH(E799,'Cost_Components'!$A$2:$A$27,0)),"")</f>
      </c>
      <c r="AE799" s="20" t="str">
        <f>IFERROR(INDEX('Cost_Components'!$O$2:$O$27,MATCH(E799,'Cost_Components'!$A$2:$A$27,0)),"")</f>
      </c>
      <c r="AF799" s="85" t="n">
        <v>6349736.76648282</v>
      </c>
      <c r="AG799" s="86" t="n">
        <v>6913099.8808547</v>
      </c>
      <c r="AH799" s="87" t="str">
        <f>IF(H799="shared-count-once",COUNTIFS($A$2:$A$1353,A799,$B$2:$B$1353,B799,$E$2:$E$1353,E799),1)</f>
      </c>
    </row>
    <row r="800">
      <c r="A800" t="s">
        <v>75</v>
      </c>
      <c r="B800" s="59" t="n">
        <v>2043</v>
      </c>
      <c r="C800" t="s">
        <v>186</v>
      </c>
      <c r="D800" t="s">
        <v>180</v>
      </c>
      <c r="E800" s="60" t="s">
        <v>270</v>
      </c>
      <c r="F800" s="61" t="s">
        <v>271</v>
      </c>
      <c r="G800" s="62" t="s">
        <v>198</v>
      </c>
      <c r="H800" s="63" t="s">
        <v>195</v>
      </c>
      <c r="I800" s="64" t="s">
        <v>267</v>
      </c>
      <c r="J800" s="65" t="str">
        <f>IFERROR(INDEX('Cost_Components'!$K$2:$K$27,MATCH(E800,'Cost_Components'!$A$2:$A$27,0)),"")</f>
      </c>
      <c r="K800" s="66" t="str">
        <f>IF(OR(L800="",Z800="",AA800="",AB800=""),"",IF(B800&lt;AA800,L800,IF(B800&gt;AB800,Z800,L800+(Z800-L800)*MIN(MAX((B800-AA800+1)/MAX(AB800-AA800+1,1),0),1))))</f>
      </c>
      <c r="L800" s="67" t="str">
        <f>IFERROR(INDEX('Cost_Components'!$S$2:$S$27,MATCH(E800,'Cost_Components'!$A$2:$A$27,0)),"")</f>
      </c>
      <c r="M800" s="68" t="str">
        <f>IFERROR(INDEX('Cost_Components'!$L$2:$L$27,MATCH(E800,'Cost_Components'!$A$2:$A$27,0)),"")</f>
      </c>
      <c r="N800" s="69" t="str">
        <f>IFERROR(INDEX('Cost_Components'!$P$2:$P$27,MATCH(E800,'Cost_Components'!$A$2:$A$27,0)),"")</f>
      </c>
      <c r="O800" s="70" t="str">
        <f>AF800*J800</f>
      </c>
      <c r="P800" s="71" t="str">
        <f>AG800*J800</f>
      </c>
      <c r="Q800" s="72" t="str">
        <f>P800*L800*M800*N800</f>
      </c>
      <c r="R800" s="73" t="str">
        <f>O800*K800*M800*N800</f>
      </c>
      <c r="S800" s="74" t="str">
        <f>R800-Q800</f>
      </c>
      <c r="T800" s="20" t="str">
        <f>IFERROR(INDEX('Cost_Components'!$R$2:$R$27,MATCH(E800,'Cost_Components'!$A$2:$A$27,0)),"")</f>
      </c>
      <c r="U800" s="75" t="str">
        <f>IFERROR(INDEX('Cost_Components'!$Q$2:$Q$27,MATCH(E800,'Cost_Components'!$A$2:$A$27,0)),"")</f>
      </c>
      <c r="V800" s="76" t="str">
        <f>1/(1+'Calculation_Assumptions'!$B$5)^(B800-'Calculation_Assumptions'!$B$2)</f>
      </c>
      <c r="W800" s="77" t="str">
        <f>Q800*V800</f>
      </c>
      <c r="X800" s="78" t="str">
        <f>R800*V800</f>
      </c>
      <c r="Y800" s="79" t="str">
        <f>S800*V800</f>
      </c>
      <c r="Z800" s="80" t="str">
        <f>IFERROR(INDEX('Cost_Components'!$T$2:$T$27,MATCH(E800,'Cost_Components'!$A$2:$A$27,0)),"")</f>
      </c>
      <c r="AA800" s="81" t="str">
        <f>IFERROR(INDEX('Cost_Components'!$U$2:$U$27,MATCH(E800,'Cost_Components'!$A$2:$A$27,0)),"")</f>
      </c>
      <c r="AB800" s="82" t="str">
        <f>IFERROR(INDEX('Cost_Components'!$V$2:$V$27,MATCH(E800,'Cost_Components'!$A$2:$A$27,0)),"")</f>
      </c>
      <c r="AC800" s="83" t="str">
        <f>IFERROR(INDEX('Cost_Components'!$M$2:$M$27,MATCH(E800,'Cost_Components'!$A$2:$A$27,0)),"")</f>
      </c>
      <c r="AD800" s="84" t="str">
        <f>IFERROR(INDEX('Cost_Components'!$N$2:$N$27,MATCH(E800,'Cost_Components'!$A$2:$A$27,0)),"")</f>
      </c>
      <c r="AE800" s="20" t="str">
        <f>IFERROR(INDEX('Cost_Components'!$O$2:$O$27,MATCH(E800,'Cost_Components'!$A$2:$A$27,0)),"")</f>
      </c>
      <c r="AF800" s="85" t="n">
        <v>6410935.29622537</v>
      </c>
      <c r="AG800" s="86" t="n">
        <v>7028320.53609466</v>
      </c>
      <c r="AH800" s="87" t="str">
        <f>IF(H800="shared-count-once",COUNTIFS($A$2:$A$1353,A800,$B$2:$B$1353,B800,$E$2:$E$1353,E800),1)</f>
      </c>
    </row>
    <row r="801">
      <c r="A801" t="s">
        <v>75</v>
      </c>
      <c r="B801" s="59" t="n">
        <v>2044</v>
      </c>
      <c r="C801" t="s">
        <v>186</v>
      </c>
      <c r="D801" t="s">
        <v>180</v>
      </c>
      <c r="E801" s="60" t="s">
        <v>270</v>
      </c>
      <c r="F801" s="61" t="s">
        <v>271</v>
      </c>
      <c r="G801" s="62" t="s">
        <v>198</v>
      </c>
      <c r="H801" s="63" t="s">
        <v>195</v>
      </c>
      <c r="I801" s="64" t="s">
        <v>267</v>
      </c>
      <c r="J801" s="65" t="str">
        <f>IFERROR(INDEX('Cost_Components'!$K$2:$K$27,MATCH(E801,'Cost_Components'!$A$2:$A$27,0)),"")</f>
      </c>
      <c r="K801" s="66" t="str">
        <f>IF(OR(L801="",Z801="",AA801="",AB801=""),"",IF(B801&lt;AA801,L801,IF(B801&gt;AB801,Z801,L801+(Z801-L801)*MIN(MAX((B801-AA801+1)/MAX(AB801-AA801+1,1),0),1))))</f>
      </c>
      <c r="L801" s="67" t="str">
        <f>IFERROR(INDEX('Cost_Components'!$S$2:$S$27,MATCH(E801,'Cost_Components'!$A$2:$A$27,0)),"")</f>
      </c>
      <c r="M801" s="68" t="str">
        <f>IFERROR(INDEX('Cost_Components'!$L$2:$L$27,MATCH(E801,'Cost_Components'!$A$2:$A$27,0)),"")</f>
      </c>
      <c r="N801" s="69" t="str">
        <f>IFERROR(INDEX('Cost_Components'!$P$2:$P$27,MATCH(E801,'Cost_Components'!$A$2:$A$27,0)),"")</f>
      </c>
      <c r="O801" s="70" t="str">
        <f>AF801*J801</f>
      </c>
      <c r="P801" s="71" t="str">
        <f>AG801*J801</f>
      </c>
      <c r="Q801" s="72" t="str">
        <f>P801*L801*M801*N801</f>
      </c>
      <c r="R801" s="73" t="str">
        <f>O801*K801*M801*N801</f>
      </c>
      <c r="S801" s="74" t="str">
        <f>R801-Q801</f>
      </c>
      <c r="T801" s="20" t="str">
        <f>IFERROR(INDEX('Cost_Components'!$R$2:$R$27,MATCH(E801,'Cost_Components'!$A$2:$A$27,0)),"")</f>
      </c>
      <c r="U801" s="75" t="str">
        <f>IFERROR(INDEX('Cost_Components'!$Q$2:$Q$27,MATCH(E801,'Cost_Components'!$A$2:$A$27,0)),"")</f>
      </c>
      <c r="V801" s="76" t="str">
        <f>1/(1+'Calculation_Assumptions'!$B$5)^(B801-'Calculation_Assumptions'!$B$2)</f>
      </c>
      <c r="W801" s="77" t="str">
        <f>Q801*V801</f>
      </c>
      <c r="X801" s="78" t="str">
        <f>R801*V801</f>
      </c>
      <c r="Y801" s="79" t="str">
        <f>S801*V801</f>
      </c>
      <c r="Z801" s="80" t="str">
        <f>IFERROR(INDEX('Cost_Components'!$T$2:$T$27,MATCH(E801,'Cost_Components'!$A$2:$A$27,0)),"")</f>
      </c>
      <c r="AA801" s="81" t="str">
        <f>IFERROR(INDEX('Cost_Components'!$U$2:$U$27,MATCH(E801,'Cost_Components'!$A$2:$A$27,0)),"")</f>
      </c>
      <c r="AB801" s="82" t="str">
        <f>IFERROR(INDEX('Cost_Components'!$V$2:$V$27,MATCH(E801,'Cost_Components'!$A$2:$A$27,0)),"")</f>
      </c>
      <c r="AC801" s="83" t="str">
        <f>IFERROR(INDEX('Cost_Components'!$M$2:$M$27,MATCH(E801,'Cost_Components'!$A$2:$A$27,0)),"")</f>
      </c>
      <c r="AD801" s="84" t="str">
        <f>IFERROR(INDEX('Cost_Components'!$N$2:$N$27,MATCH(E801,'Cost_Components'!$A$2:$A$27,0)),"")</f>
      </c>
      <c r="AE801" s="20" t="str">
        <f>IFERROR(INDEX('Cost_Components'!$O$2:$O$27,MATCH(E801,'Cost_Components'!$A$2:$A$27,0)),"")</f>
      </c>
      <c r="AF801" s="85" t="n">
        <v>6465946.00959925</v>
      </c>
      <c r="AG801" s="86" t="n">
        <v>7138623.97835749</v>
      </c>
      <c r="AH801" s="87" t="str">
        <f>IF(H801="shared-count-once",COUNTIFS($A$2:$A$1353,A801,$B$2:$B$1353,B801,$E$2:$E$1353,E801),1)</f>
      </c>
    </row>
    <row r="802">
      <c r="A802" t="s">
        <v>75</v>
      </c>
      <c r="B802" s="59" t="n">
        <v>2045</v>
      </c>
      <c r="C802" t="s">
        <v>186</v>
      </c>
      <c r="D802" t="s">
        <v>180</v>
      </c>
      <c r="E802" s="60" t="s">
        <v>270</v>
      </c>
      <c r="F802" s="61" t="s">
        <v>271</v>
      </c>
      <c r="G802" s="62" t="s">
        <v>198</v>
      </c>
      <c r="H802" s="63" t="s">
        <v>195</v>
      </c>
      <c r="I802" s="64" t="s">
        <v>267</v>
      </c>
      <c r="J802" s="65" t="str">
        <f>IFERROR(INDEX('Cost_Components'!$K$2:$K$27,MATCH(E802,'Cost_Components'!$A$2:$A$27,0)),"")</f>
      </c>
      <c r="K802" s="66" t="str">
        <f>IF(OR(L802="",Z802="",AA802="",AB802=""),"",IF(B802&lt;AA802,L802,IF(B802&gt;AB802,Z802,L802+(Z802-L802)*MIN(MAX((B802-AA802+1)/MAX(AB802-AA802+1,1),0),1))))</f>
      </c>
      <c r="L802" s="67" t="str">
        <f>IFERROR(INDEX('Cost_Components'!$S$2:$S$27,MATCH(E802,'Cost_Components'!$A$2:$A$27,0)),"")</f>
      </c>
      <c r="M802" s="68" t="str">
        <f>IFERROR(INDEX('Cost_Components'!$L$2:$L$27,MATCH(E802,'Cost_Components'!$A$2:$A$27,0)),"")</f>
      </c>
      <c r="N802" s="69" t="str">
        <f>IFERROR(INDEX('Cost_Components'!$P$2:$P$27,MATCH(E802,'Cost_Components'!$A$2:$A$27,0)),"")</f>
      </c>
      <c r="O802" s="70" t="str">
        <f>AF802*J802</f>
      </c>
      <c r="P802" s="71" t="str">
        <f>AG802*J802</f>
      </c>
      <c r="Q802" s="72" t="str">
        <f>P802*L802*M802*N802</f>
      </c>
      <c r="R802" s="73" t="str">
        <f>O802*K802*M802*N802</f>
      </c>
      <c r="S802" s="74" t="str">
        <f>R802-Q802</f>
      </c>
      <c r="T802" s="20" t="str">
        <f>IFERROR(INDEX('Cost_Components'!$R$2:$R$27,MATCH(E802,'Cost_Components'!$A$2:$A$27,0)),"")</f>
      </c>
      <c r="U802" s="75" t="str">
        <f>IFERROR(INDEX('Cost_Components'!$Q$2:$Q$27,MATCH(E802,'Cost_Components'!$A$2:$A$27,0)),"")</f>
      </c>
      <c r="V802" s="76" t="str">
        <f>1/(1+'Calculation_Assumptions'!$B$5)^(B802-'Calculation_Assumptions'!$B$2)</f>
      </c>
      <c r="W802" s="77" t="str">
        <f>Q802*V802</f>
      </c>
      <c r="X802" s="78" t="str">
        <f>R802*V802</f>
      </c>
      <c r="Y802" s="79" t="str">
        <f>S802*V802</f>
      </c>
      <c r="Z802" s="80" t="str">
        <f>IFERROR(INDEX('Cost_Components'!$T$2:$T$27,MATCH(E802,'Cost_Components'!$A$2:$A$27,0)),"")</f>
      </c>
      <c r="AA802" s="81" t="str">
        <f>IFERROR(INDEX('Cost_Components'!$U$2:$U$27,MATCH(E802,'Cost_Components'!$A$2:$A$27,0)),"")</f>
      </c>
      <c r="AB802" s="82" t="str">
        <f>IFERROR(INDEX('Cost_Components'!$V$2:$V$27,MATCH(E802,'Cost_Components'!$A$2:$A$27,0)),"")</f>
      </c>
      <c r="AC802" s="83" t="str">
        <f>IFERROR(INDEX('Cost_Components'!$M$2:$M$27,MATCH(E802,'Cost_Components'!$A$2:$A$27,0)),"")</f>
      </c>
      <c r="AD802" s="84" t="str">
        <f>IFERROR(INDEX('Cost_Components'!$N$2:$N$27,MATCH(E802,'Cost_Components'!$A$2:$A$27,0)),"")</f>
      </c>
      <c r="AE802" s="20" t="str">
        <f>IFERROR(INDEX('Cost_Components'!$O$2:$O$27,MATCH(E802,'Cost_Components'!$A$2:$A$27,0)),"")</f>
      </c>
      <c r="AF802" s="85" t="n">
        <v>6517225.77420429</v>
      </c>
      <c r="AG802" s="86" t="n">
        <v>7246779.83544231</v>
      </c>
      <c r="AH802" s="87" t="str">
        <f>IF(H802="shared-count-once",COUNTIFS($A$2:$A$1353,A802,$B$2:$B$1353,B802,$E$2:$E$1353,E802),1)</f>
      </c>
    </row>
    <row r="803">
      <c r="A803" t="s">
        <v>75</v>
      </c>
      <c r="B803" s="59" t="n">
        <v>2046</v>
      </c>
      <c r="C803" t="s">
        <v>186</v>
      </c>
      <c r="D803" t="s">
        <v>180</v>
      </c>
      <c r="E803" s="60" t="s">
        <v>270</v>
      </c>
      <c r="F803" s="61" t="s">
        <v>271</v>
      </c>
      <c r="G803" s="62" t="s">
        <v>198</v>
      </c>
      <c r="H803" s="63" t="s">
        <v>195</v>
      </c>
      <c r="I803" s="64" t="s">
        <v>267</v>
      </c>
      <c r="J803" s="65" t="str">
        <f>IFERROR(INDEX('Cost_Components'!$K$2:$K$27,MATCH(E803,'Cost_Components'!$A$2:$A$27,0)),"")</f>
      </c>
      <c r="K803" s="66" t="str">
        <f>IF(OR(L803="",Z803="",AA803="",AB803=""),"",IF(B803&lt;AA803,L803,IF(B803&gt;AB803,Z803,L803+(Z803-L803)*MIN(MAX((B803-AA803+1)/MAX(AB803-AA803+1,1),0),1))))</f>
      </c>
      <c r="L803" s="67" t="str">
        <f>IFERROR(INDEX('Cost_Components'!$S$2:$S$27,MATCH(E803,'Cost_Components'!$A$2:$A$27,0)),"")</f>
      </c>
      <c r="M803" s="68" t="str">
        <f>IFERROR(INDEX('Cost_Components'!$L$2:$L$27,MATCH(E803,'Cost_Components'!$A$2:$A$27,0)),"")</f>
      </c>
      <c r="N803" s="69" t="str">
        <f>IFERROR(INDEX('Cost_Components'!$P$2:$P$27,MATCH(E803,'Cost_Components'!$A$2:$A$27,0)),"")</f>
      </c>
      <c r="O803" s="70" t="str">
        <f>AF803*J803</f>
      </c>
      <c r="P803" s="71" t="str">
        <f>AG803*J803</f>
      </c>
      <c r="Q803" s="72" t="str">
        <f>P803*L803*M803*N803</f>
      </c>
      <c r="R803" s="73" t="str">
        <f>O803*K803*M803*N803</f>
      </c>
      <c r="S803" s="74" t="str">
        <f>R803-Q803</f>
      </c>
      <c r="T803" s="20" t="str">
        <f>IFERROR(INDEX('Cost_Components'!$R$2:$R$27,MATCH(E803,'Cost_Components'!$A$2:$A$27,0)),"")</f>
      </c>
      <c r="U803" s="75" t="str">
        <f>IFERROR(INDEX('Cost_Components'!$Q$2:$Q$27,MATCH(E803,'Cost_Components'!$A$2:$A$27,0)),"")</f>
      </c>
      <c r="V803" s="76" t="str">
        <f>1/(1+'Calculation_Assumptions'!$B$5)^(B803-'Calculation_Assumptions'!$B$2)</f>
      </c>
      <c r="W803" s="77" t="str">
        <f>Q803*V803</f>
      </c>
      <c r="X803" s="78" t="str">
        <f>R803*V803</f>
      </c>
      <c r="Y803" s="79" t="str">
        <f>S803*V803</f>
      </c>
      <c r="Z803" s="80" t="str">
        <f>IFERROR(INDEX('Cost_Components'!$T$2:$T$27,MATCH(E803,'Cost_Components'!$A$2:$A$27,0)),"")</f>
      </c>
      <c r="AA803" s="81" t="str">
        <f>IFERROR(INDEX('Cost_Components'!$U$2:$U$27,MATCH(E803,'Cost_Components'!$A$2:$A$27,0)),"")</f>
      </c>
      <c r="AB803" s="82" t="str">
        <f>IFERROR(INDEX('Cost_Components'!$V$2:$V$27,MATCH(E803,'Cost_Components'!$A$2:$A$27,0)),"")</f>
      </c>
      <c r="AC803" s="83" t="str">
        <f>IFERROR(INDEX('Cost_Components'!$M$2:$M$27,MATCH(E803,'Cost_Components'!$A$2:$A$27,0)),"")</f>
      </c>
      <c r="AD803" s="84" t="str">
        <f>IFERROR(INDEX('Cost_Components'!$N$2:$N$27,MATCH(E803,'Cost_Components'!$A$2:$A$27,0)),"")</f>
      </c>
      <c r="AE803" s="20" t="str">
        <f>IFERROR(INDEX('Cost_Components'!$O$2:$O$27,MATCH(E803,'Cost_Components'!$A$2:$A$27,0)),"")</f>
      </c>
      <c r="AF803" s="85" t="n">
        <v>6564611.39100195</v>
      </c>
      <c r="AG803" s="86" t="n">
        <v>7352671.00291986</v>
      </c>
      <c r="AH803" s="87" t="str">
        <f>IF(H803="shared-count-once",COUNTIFS($A$2:$A$1353,A803,$B$2:$B$1353,B803,$E$2:$E$1353,E803),1)</f>
      </c>
    </row>
    <row r="804">
      <c r="A804" t="s">
        <v>75</v>
      </c>
      <c r="B804" s="59" t="n">
        <v>2047</v>
      </c>
      <c r="C804" t="s">
        <v>186</v>
      </c>
      <c r="D804" t="s">
        <v>180</v>
      </c>
      <c r="E804" s="60" t="s">
        <v>270</v>
      </c>
      <c r="F804" s="61" t="s">
        <v>271</v>
      </c>
      <c r="G804" s="62" t="s">
        <v>198</v>
      </c>
      <c r="H804" s="63" t="s">
        <v>195</v>
      </c>
      <c r="I804" s="64" t="s">
        <v>267</v>
      </c>
      <c r="J804" s="65" t="str">
        <f>IFERROR(INDEX('Cost_Components'!$K$2:$K$27,MATCH(E804,'Cost_Components'!$A$2:$A$27,0)),"")</f>
      </c>
      <c r="K804" s="66" t="str">
        <f>IF(OR(L804="",Z804="",AA804="",AB804=""),"",IF(B804&lt;AA804,L804,IF(B804&gt;AB804,Z804,L804+(Z804-L804)*MIN(MAX((B804-AA804+1)/MAX(AB804-AA804+1,1),0),1))))</f>
      </c>
      <c r="L804" s="67" t="str">
        <f>IFERROR(INDEX('Cost_Components'!$S$2:$S$27,MATCH(E804,'Cost_Components'!$A$2:$A$27,0)),"")</f>
      </c>
      <c r="M804" s="68" t="str">
        <f>IFERROR(INDEX('Cost_Components'!$L$2:$L$27,MATCH(E804,'Cost_Components'!$A$2:$A$27,0)),"")</f>
      </c>
      <c r="N804" s="69" t="str">
        <f>IFERROR(INDEX('Cost_Components'!$P$2:$P$27,MATCH(E804,'Cost_Components'!$A$2:$A$27,0)),"")</f>
      </c>
      <c r="O804" s="70" t="str">
        <f>AF804*J804</f>
      </c>
      <c r="P804" s="71" t="str">
        <f>AG804*J804</f>
      </c>
      <c r="Q804" s="72" t="str">
        <f>P804*L804*M804*N804</f>
      </c>
      <c r="R804" s="73" t="str">
        <f>O804*K804*M804*N804</f>
      </c>
      <c r="S804" s="74" t="str">
        <f>R804-Q804</f>
      </c>
      <c r="T804" s="20" t="str">
        <f>IFERROR(INDEX('Cost_Components'!$R$2:$R$27,MATCH(E804,'Cost_Components'!$A$2:$A$27,0)),"")</f>
      </c>
      <c r="U804" s="75" t="str">
        <f>IFERROR(INDEX('Cost_Components'!$Q$2:$Q$27,MATCH(E804,'Cost_Components'!$A$2:$A$27,0)),"")</f>
      </c>
      <c r="V804" s="76" t="str">
        <f>1/(1+'Calculation_Assumptions'!$B$5)^(B804-'Calculation_Assumptions'!$B$2)</f>
      </c>
      <c r="W804" s="77" t="str">
        <f>Q804*V804</f>
      </c>
      <c r="X804" s="78" t="str">
        <f>R804*V804</f>
      </c>
      <c r="Y804" s="79" t="str">
        <f>S804*V804</f>
      </c>
      <c r="Z804" s="80" t="str">
        <f>IFERROR(INDEX('Cost_Components'!$T$2:$T$27,MATCH(E804,'Cost_Components'!$A$2:$A$27,0)),"")</f>
      </c>
      <c r="AA804" s="81" t="str">
        <f>IFERROR(INDEX('Cost_Components'!$U$2:$U$27,MATCH(E804,'Cost_Components'!$A$2:$A$27,0)),"")</f>
      </c>
      <c r="AB804" s="82" t="str">
        <f>IFERROR(INDEX('Cost_Components'!$V$2:$V$27,MATCH(E804,'Cost_Components'!$A$2:$A$27,0)),"")</f>
      </c>
      <c r="AC804" s="83" t="str">
        <f>IFERROR(INDEX('Cost_Components'!$M$2:$M$27,MATCH(E804,'Cost_Components'!$A$2:$A$27,0)),"")</f>
      </c>
      <c r="AD804" s="84" t="str">
        <f>IFERROR(INDEX('Cost_Components'!$N$2:$N$27,MATCH(E804,'Cost_Components'!$A$2:$A$27,0)),"")</f>
      </c>
      <c r="AE804" s="20" t="str">
        <f>IFERROR(INDEX('Cost_Components'!$O$2:$O$27,MATCH(E804,'Cost_Components'!$A$2:$A$27,0)),"")</f>
      </c>
      <c r="AF804" s="85" t="n">
        <v>6607210.84699514</v>
      </c>
      <c r="AG804" s="86" t="n">
        <v>7455494.40605094</v>
      </c>
      <c r="AH804" s="87" t="str">
        <f>IF(H804="shared-count-once",COUNTIFS($A$2:$A$1353,A804,$B$2:$B$1353,B804,$E$2:$E$1353,E804),1)</f>
      </c>
    </row>
    <row r="805">
      <c r="A805" t="s">
        <v>75</v>
      </c>
      <c r="B805" s="59" t="n">
        <v>2048</v>
      </c>
      <c r="C805" t="s">
        <v>186</v>
      </c>
      <c r="D805" t="s">
        <v>180</v>
      </c>
      <c r="E805" s="60" t="s">
        <v>270</v>
      </c>
      <c r="F805" s="61" t="s">
        <v>271</v>
      </c>
      <c r="G805" s="62" t="s">
        <v>198</v>
      </c>
      <c r="H805" s="63" t="s">
        <v>195</v>
      </c>
      <c r="I805" s="64" t="s">
        <v>267</v>
      </c>
      <c r="J805" s="65" t="str">
        <f>IFERROR(INDEX('Cost_Components'!$K$2:$K$27,MATCH(E805,'Cost_Components'!$A$2:$A$27,0)),"")</f>
      </c>
      <c r="K805" s="66" t="str">
        <f>IF(OR(L805="",Z805="",AA805="",AB805=""),"",IF(B805&lt;AA805,L805,IF(B805&gt;AB805,Z805,L805+(Z805-L805)*MIN(MAX((B805-AA805+1)/MAX(AB805-AA805+1,1),0),1))))</f>
      </c>
      <c r="L805" s="67" t="str">
        <f>IFERROR(INDEX('Cost_Components'!$S$2:$S$27,MATCH(E805,'Cost_Components'!$A$2:$A$27,0)),"")</f>
      </c>
      <c r="M805" s="68" t="str">
        <f>IFERROR(INDEX('Cost_Components'!$L$2:$L$27,MATCH(E805,'Cost_Components'!$A$2:$A$27,0)),"")</f>
      </c>
      <c r="N805" s="69" t="str">
        <f>IFERROR(INDEX('Cost_Components'!$P$2:$P$27,MATCH(E805,'Cost_Components'!$A$2:$A$27,0)),"")</f>
      </c>
      <c r="O805" s="70" t="str">
        <f>AF805*J805</f>
      </c>
      <c r="P805" s="71" t="str">
        <f>AG805*J805</f>
      </c>
      <c r="Q805" s="72" t="str">
        <f>P805*L805*M805*N805</f>
      </c>
      <c r="R805" s="73" t="str">
        <f>O805*K805*M805*N805</f>
      </c>
      <c r="S805" s="74" t="str">
        <f>R805-Q805</f>
      </c>
      <c r="T805" s="20" t="str">
        <f>IFERROR(INDEX('Cost_Components'!$R$2:$R$27,MATCH(E805,'Cost_Components'!$A$2:$A$27,0)),"")</f>
      </c>
      <c r="U805" s="75" t="str">
        <f>IFERROR(INDEX('Cost_Components'!$Q$2:$Q$27,MATCH(E805,'Cost_Components'!$A$2:$A$27,0)),"")</f>
      </c>
      <c r="V805" s="76" t="str">
        <f>1/(1+'Calculation_Assumptions'!$B$5)^(B805-'Calculation_Assumptions'!$B$2)</f>
      </c>
      <c r="W805" s="77" t="str">
        <f>Q805*V805</f>
      </c>
      <c r="X805" s="78" t="str">
        <f>R805*V805</f>
      </c>
      <c r="Y805" s="79" t="str">
        <f>S805*V805</f>
      </c>
      <c r="Z805" s="80" t="str">
        <f>IFERROR(INDEX('Cost_Components'!$T$2:$T$27,MATCH(E805,'Cost_Components'!$A$2:$A$27,0)),"")</f>
      </c>
      <c r="AA805" s="81" t="str">
        <f>IFERROR(INDEX('Cost_Components'!$U$2:$U$27,MATCH(E805,'Cost_Components'!$A$2:$A$27,0)),"")</f>
      </c>
      <c r="AB805" s="82" t="str">
        <f>IFERROR(INDEX('Cost_Components'!$V$2:$V$27,MATCH(E805,'Cost_Components'!$A$2:$A$27,0)),"")</f>
      </c>
      <c r="AC805" s="83" t="str">
        <f>IFERROR(INDEX('Cost_Components'!$M$2:$M$27,MATCH(E805,'Cost_Components'!$A$2:$A$27,0)),"")</f>
      </c>
      <c r="AD805" s="84" t="str">
        <f>IFERROR(INDEX('Cost_Components'!$N$2:$N$27,MATCH(E805,'Cost_Components'!$A$2:$A$27,0)),"")</f>
      </c>
      <c r="AE805" s="20" t="str">
        <f>IFERROR(INDEX('Cost_Components'!$O$2:$O$27,MATCH(E805,'Cost_Components'!$A$2:$A$27,0)),"")</f>
      </c>
      <c r="AF805" s="85" t="n">
        <v>6646324.94355658</v>
      </c>
      <c r="AG805" s="86" t="n">
        <v>7556459.2432584</v>
      </c>
      <c r="AH805" s="87" t="str">
        <f>IF(H805="shared-count-once",COUNTIFS($A$2:$A$1353,A805,$B$2:$B$1353,B805,$E$2:$E$1353,E805),1)</f>
      </c>
    </row>
    <row r="806">
      <c r="A806" t="s">
        <v>75</v>
      </c>
      <c r="B806" s="59" t="n">
        <v>2049</v>
      </c>
      <c r="C806" t="s">
        <v>186</v>
      </c>
      <c r="D806" t="s">
        <v>180</v>
      </c>
      <c r="E806" s="60" t="s">
        <v>270</v>
      </c>
      <c r="F806" s="61" t="s">
        <v>271</v>
      </c>
      <c r="G806" s="62" t="s">
        <v>198</v>
      </c>
      <c r="H806" s="63" t="s">
        <v>195</v>
      </c>
      <c r="I806" s="64" t="s">
        <v>267</v>
      </c>
      <c r="J806" s="65" t="str">
        <f>IFERROR(INDEX('Cost_Components'!$K$2:$K$27,MATCH(E806,'Cost_Components'!$A$2:$A$27,0)),"")</f>
      </c>
      <c r="K806" s="66" t="str">
        <f>IF(OR(L806="",Z806="",AA806="",AB806=""),"",IF(B806&lt;AA806,L806,IF(B806&gt;AB806,Z806,L806+(Z806-L806)*MIN(MAX((B806-AA806+1)/MAX(AB806-AA806+1,1),0),1))))</f>
      </c>
      <c r="L806" s="67" t="str">
        <f>IFERROR(INDEX('Cost_Components'!$S$2:$S$27,MATCH(E806,'Cost_Components'!$A$2:$A$27,0)),"")</f>
      </c>
      <c r="M806" s="68" t="str">
        <f>IFERROR(INDEX('Cost_Components'!$L$2:$L$27,MATCH(E806,'Cost_Components'!$A$2:$A$27,0)),"")</f>
      </c>
      <c r="N806" s="69" t="str">
        <f>IFERROR(INDEX('Cost_Components'!$P$2:$P$27,MATCH(E806,'Cost_Components'!$A$2:$A$27,0)),"")</f>
      </c>
      <c r="O806" s="70" t="str">
        <f>AF806*J806</f>
      </c>
      <c r="P806" s="71" t="str">
        <f>AG806*J806</f>
      </c>
      <c r="Q806" s="72" t="str">
        <f>P806*L806*M806*N806</f>
      </c>
      <c r="R806" s="73" t="str">
        <f>O806*K806*M806*N806</f>
      </c>
      <c r="S806" s="74" t="str">
        <f>R806-Q806</f>
      </c>
      <c r="T806" s="20" t="str">
        <f>IFERROR(INDEX('Cost_Components'!$R$2:$R$27,MATCH(E806,'Cost_Components'!$A$2:$A$27,0)),"")</f>
      </c>
      <c r="U806" s="75" t="str">
        <f>IFERROR(INDEX('Cost_Components'!$Q$2:$Q$27,MATCH(E806,'Cost_Components'!$A$2:$A$27,0)),"")</f>
      </c>
      <c r="V806" s="76" t="str">
        <f>1/(1+'Calculation_Assumptions'!$B$5)^(B806-'Calculation_Assumptions'!$B$2)</f>
      </c>
      <c r="W806" s="77" t="str">
        <f>Q806*V806</f>
      </c>
      <c r="X806" s="78" t="str">
        <f>R806*V806</f>
      </c>
      <c r="Y806" s="79" t="str">
        <f>S806*V806</f>
      </c>
      <c r="Z806" s="80" t="str">
        <f>IFERROR(INDEX('Cost_Components'!$T$2:$T$27,MATCH(E806,'Cost_Components'!$A$2:$A$27,0)),"")</f>
      </c>
      <c r="AA806" s="81" t="str">
        <f>IFERROR(INDEX('Cost_Components'!$U$2:$U$27,MATCH(E806,'Cost_Components'!$A$2:$A$27,0)),"")</f>
      </c>
      <c r="AB806" s="82" t="str">
        <f>IFERROR(INDEX('Cost_Components'!$V$2:$V$27,MATCH(E806,'Cost_Components'!$A$2:$A$27,0)),"")</f>
      </c>
      <c r="AC806" s="83" t="str">
        <f>IFERROR(INDEX('Cost_Components'!$M$2:$M$27,MATCH(E806,'Cost_Components'!$A$2:$A$27,0)),"")</f>
      </c>
      <c r="AD806" s="84" t="str">
        <f>IFERROR(INDEX('Cost_Components'!$N$2:$N$27,MATCH(E806,'Cost_Components'!$A$2:$A$27,0)),"")</f>
      </c>
      <c r="AE806" s="20" t="str">
        <f>IFERROR(INDEX('Cost_Components'!$O$2:$O$27,MATCH(E806,'Cost_Components'!$A$2:$A$27,0)),"")</f>
      </c>
      <c r="AF806" s="85" t="n">
        <v>6679757.6708429</v>
      </c>
      <c r="AG806" s="86" t="n">
        <v>7652544.64203908</v>
      </c>
      <c r="AH806" s="87" t="str">
        <f>IF(H806="shared-count-once",COUNTIFS($A$2:$A$1353,A806,$B$2:$B$1353,B806,$E$2:$E$1353,E806),1)</f>
      </c>
    </row>
    <row r="807">
      <c r="A807" t="s">
        <v>75</v>
      </c>
      <c r="B807" s="59" t="n">
        <v>2050</v>
      </c>
      <c r="C807" t="s">
        <v>186</v>
      </c>
      <c r="D807" t="s">
        <v>180</v>
      </c>
      <c r="E807" s="60" t="s">
        <v>270</v>
      </c>
      <c r="F807" s="61" t="s">
        <v>271</v>
      </c>
      <c r="G807" s="62" t="s">
        <v>198</v>
      </c>
      <c r="H807" s="63" t="s">
        <v>195</v>
      </c>
      <c r="I807" s="64" t="s">
        <v>267</v>
      </c>
      <c r="J807" s="65" t="str">
        <f>IFERROR(INDEX('Cost_Components'!$K$2:$K$27,MATCH(E807,'Cost_Components'!$A$2:$A$27,0)),"")</f>
      </c>
      <c r="K807" s="66" t="str">
        <f>IF(OR(L807="",Z807="",AA807="",AB807=""),"",IF(B807&lt;AA807,L807,IF(B807&gt;AB807,Z807,L807+(Z807-L807)*MIN(MAX((B807-AA807+1)/MAX(AB807-AA807+1,1),0),1))))</f>
      </c>
      <c r="L807" s="67" t="str">
        <f>IFERROR(INDEX('Cost_Components'!$S$2:$S$27,MATCH(E807,'Cost_Components'!$A$2:$A$27,0)),"")</f>
      </c>
      <c r="M807" s="68" t="str">
        <f>IFERROR(INDEX('Cost_Components'!$L$2:$L$27,MATCH(E807,'Cost_Components'!$A$2:$A$27,0)),"")</f>
      </c>
      <c r="N807" s="69" t="str">
        <f>IFERROR(INDEX('Cost_Components'!$P$2:$P$27,MATCH(E807,'Cost_Components'!$A$2:$A$27,0)),"")</f>
      </c>
      <c r="O807" s="70" t="str">
        <f>AF807*J807</f>
      </c>
      <c r="P807" s="71" t="str">
        <f>AG807*J807</f>
      </c>
      <c r="Q807" s="72" t="str">
        <f>P807*L807*M807*N807</f>
      </c>
      <c r="R807" s="73" t="str">
        <f>O807*K807*M807*N807</f>
      </c>
      <c r="S807" s="74" t="str">
        <f>R807-Q807</f>
      </c>
      <c r="T807" s="20" t="str">
        <f>IFERROR(INDEX('Cost_Components'!$R$2:$R$27,MATCH(E807,'Cost_Components'!$A$2:$A$27,0)),"")</f>
      </c>
      <c r="U807" s="75" t="str">
        <f>IFERROR(INDEX('Cost_Components'!$Q$2:$Q$27,MATCH(E807,'Cost_Components'!$A$2:$A$27,0)),"")</f>
      </c>
      <c r="V807" s="76" t="str">
        <f>1/(1+'Calculation_Assumptions'!$B$5)^(B807-'Calculation_Assumptions'!$B$2)</f>
      </c>
      <c r="W807" s="77" t="str">
        <f>Q807*V807</f>
      </c>
      <c r="X807" s="78" t="str">
        <f>R807*V807</f>
      </c>
      <c r="Y807" s="79" t="str">
        <f>S807*V807</f>
      </c>
      <c r="Z807" s="80" t="str">
        <f>IFERROR(INDEX('Cost_Components'!$T$2:$T$27,MATCH(E807,'Cost_Components'!$A$2:$A$27,0)),"")</f>
      </c>
      <c r="AA807" s="81" t="str">
        <f>IFERROR(INDEX('Cost_Components'!$U$2:$U$27,MATCH(E807,'Cost_Components'!$A$2:$A$27,0)),"")</f>
      </c>
      <c r="AB807" s="82" t="str">
        <f>IFERROR(INDEX('Cost_Components'!$V$2:$V$27,MATCH(E807,'Cost_Components'!$A$2:$A$27,0)),"")</f>
      </c>
      <c r="AC807" s="83" t="str">
        <f>IFERROR(INDEX('Cost_Components'!$M$2:$M$27,MATCH(E807,'Cost_Components'!$A$2:$A$27,0)),"")</f>
      </c>
      <c r="AD807" s="84" t="str">
        <f>IFERROR(INDEX('Cost_Components'!$N$2:$N$27,MATCH(E807,'Cost_Components'!$A$2:$A$27,0)),"")</f>
      </c>
      <c r="AE807" s="20" t="str">
        <f>IFERROR(INDEX('Cost_Components'!$O$2:$O$27,MATCH(E807,'Cost_Components'!$A$2:$A$27,0)),"")</f>
      </c>
      <c r="AF807" s="85" t="n">
        <v>6709718.49634776</v>
      </c>
      <c r="AG807" s="86" t="n">
        <v>7746332.78496876</v>
      </c>
      <c r="AH807" s="87" t="str">
        <f>IF(H807="shared-count-once",COUNTIFS($A$2:$A$1353,A807,$B$2:$B$1353,B807,$E$2:$E$1353,E807),1)</f>
      </c>
    </row>
    <row r="808">
      <c r="A808" t="s">
        <v>75</v>
      </c>
      <c r="B808" s="59" t="n">
        <v>2025</v>
      </c>
      <c r="C808" t="s">
        <v>200</v>
      </c>
      <c r="D808" t="s">
        <v>190</v>
      </c>
      <c r="E808" s="60" t="s">
        <v>272</v>
      </c>
      <c r="F808" s="61" t="s">
        <v>273</v>
      </c>
      <c r="G808" s="62" t="s">
        <v>201</v>
      </c>
      <c r="H808" s="63" t="s">
        <v>195</v>
      </c>
      <c r="I808" s="64" t="s">
        <v>267</v>
      </c>
      <c r="J808" s="65" t="str">
        <f>IFERROR(INDEX('Cost_Components'!$K$2:$K$27,MATCH(E808,'Cost_Components'!$A$2:$A$27,0)),"")</f>
      </c>
      <c r="K808" s="66" t="str">
        <f>IF(OR(L808="",Z808="",AA808="",AB808=""),"",IF(B808&lt;AA808,L808,IF(B808&gt;AB808,Z808,L808+(Z808-L808)*MIN(MAX((B808-AA808+1)/MAX(AB808-AA808+1,1),0),1))))</f>
      </c>
      <c r="L808" s="67" t="str">
        <f>IFERROR(INDEX('Cost_Components'!$S$2:$S$27,MATCH(E808,'Cost_Components'!$A$2:$A$27,0)),"")</f>
      </c>
      <c r="M808" s="68" t="str">
        <f>IFERROR(INDEX('Cost_Components'!$L$2:$L$27,MATCH(E808,'Cost_Components'!$A$2:$A$27,0)),"")</f>
      </c>
      <c r="N808" s="69" t="str">
        <f>IFERROR(INDEX('Cost_Components'!$P$2:$P$27,MATCH(E808,'Cost_Components'!$A$2:$A$27,0)),"")</f>
      </c>
      <c r="O808" s="70" t="str">
        <f>AF808*J808</f>
      </c>
      <c r="P808" s="71" t="str">
        <f>AG808*J808</f>
      </c>
      <c r="Q808" s="72" t="str">
        <f>P808*L808*M808*N808</f>
      </c>
      <c r="R808" s="73" t="str">
        <f>O808*K808*M808*N808</f>
      </c>
      <c r="S808" s="74" t="str">
        <f>R808-Q808</f>
      </c>
      <c r="T808" s="20" t="str">
        <f>IFERROR(INDEX('Cost_Components'!$R$2:$R$27,MATCH(E808,'Cost_Components'!$A$2:$A$27,0)),"")</f>
      </c>
      <c r="U808" s="75" t="str">
        <f>IFERROR(INDEX('Cost_Components'!$Q$2:$Q$27,MATCH(E808,'Cost_Components'!$A$2:$A$27,0)),"")</f>
      </c>
      <c r="V808" s="76" t="str">
        <f>1/(1+'Calculation_Assumptions'!$B$5)^(B808-'Calculation_Assumptions'!$B$2)</f>
      </c>
      <c r="W808" s="77" t="str">
        <f>Q808*V808</f>
      </c>
      <c r="X808" s="78" t="str">
        <f>R808*V808</f>
      </c>
      <c r="Y808" s="79" t="str">
        <f>S808*V808</f>
      </c>
      <c r="Z808" s="80" t="str">
        <f>IFERROR(INDEX('Cost_Components'!$T$2:$T$27,MATCH(E808,'Cost_Components'!$A$2:$A$27,0)),"")</f>
      </c>
      <c r="AA808" s="81" t="str">
        <f>IFERROR(INDEX('Cost_Components'!$U$2:$U$27,MATCH(E808,'Cost_Components'!$A$2:$A$27,0)),"")</f>
      </c>
      <c r="AB808" s="82" t="str">
        <f>IFERROR(INDEX('Cost_Components'!$V$2:$V$27,MATCH(E808,'Cost_Components'!$A$2:$A$27,0)),"")</f>
      </c>
      <c r="AC808" s="83" t="str">
        <f>IFERROR(INDEX('Cost_Components'!$M$2:$M$27,MATCH(E808,'Cost_Components'!$A$2:$A$27,0)),"")</f>
      </c>
      <c r="AD808" s="84" t="str">
        <f>IFERROR(INDEX('Cost_Components'!$N$2:$N$27,MATCH(E808,'Cost_Components'!$A$2:$A$27,0)),"")</f>
      </c>
      <c r="AE808" s="20" t="str">
        <f>IFERROR(INDEX('Cost_Components'!$O$2:$O$27,MATCH(E808,'Cost_Components'!$A$2:$A$27,0)),"")</f>
      </c>
      <c r="AF808" s="85" t="n">
        <v>78020.9188284491</v>
      </c>
      <c r="AG808" s="86" t="n">
        <v>77935.3711028968</v>
      </c>
      <c r="AH808" s="87" t="str">
        <f>IF(H808="shared-count-once",COUNTIFS($A$2:$A$1353,A808,$B$2:$B$1353,B808,$E$2:$E$1353,E808),1)</f>
      </c>
    </row>
    <row r="809">
      <c r="A809" t="s">
        <v>75</v>
      </c>
      <c r="B809" s="59" t="n">
        <v>2026</v>
      </c>
      <c r="C809" t="s">
        <v>200</v>
      </c>
      <c r="D809" t="s">
        <v>190</v>
      </c>
      <c r="E809" s="60" t="s">
        <v>272</v>
      </c>
      <c r="F809" s="61" t="s">
        <v>273</v>
      </c>
      <c r="G809" s="62" t="s">
        <v>201</v>
      </c>
      <c r="H809" s="63" t="s">
        <v>195</v>
      </c>
      <c r="I809" s="64" t="s">
        <v>267</v>
      </c>
      <c r="J809" s="65" t="str">
        <f>IFERROR(INDEX('Cost_Components'!$K$2:$K$27,MATCH(E809,'Cost_Components'!$A$2:$A$27,0)),"")</f>
      </c>
      <c r="K809" s="66" t="str">
        <f>IF(OR(L809="",Z809="",AA809="",AB809=""),"",IF(B809&lt;AA809,L809,IF(B809&gt;AB809,Z809,L809+(Z809-L809)*MIN(MAX((B809-AA809+1)/MAX(AB809-AA809+1,1),0),1))))</f>
      </c>
      <c r="L809" s="67" t="str">
        <f>IFERROR(INDEX('Cost_Components'!$S$2:$S$27,MATCH(E809,'Cost_Components'!$A$2:$A$27,0)),"")</f>
      </c>
      <c r="M809" s="68" t="str">
        <f>IFERROR(INDEX('Cost_Components'!$L$2:$L$27,MATCH(E809,'Cost_Components'!$A$2:$A$27,0)),"")</f>
      </c>
      <c r="N809" s="69" t="str">
        <f>IFERROR(INDEX('Cost_Components'!$P$2:$P$27,MATCH(E809,'Cost_Components'!$A$2:$A$27,0)),"")</f>
      </c>
      <c r="O809" s="70" t="str">
        <f>AF809*J809</f>
      </c>
      <c r="P809" s="71" t="str">
        <f>AG809*J809</f>
      </c>
      <c r="Q809" s="72" t="str">
        <f>P809*L809*M809*N809</f>
      </c>
      <c r="R809" s="73" t="str">
        <f>O809*K809*M809*N809</f>
      </c>
      <c r="S809" s="74" t="str">
        <f>R809-Q809</f>
      </c>
      <c r="T809" s="20" t="str">
        <f>IFERROR(INDEX('Cost_Components'!$R$2:$R$27,MATCH(E809,'Cost_Components'!$A$2:$A$27,0)),"")</f>
      </c>
      <c r="U809" s="75" t="str">
        <f>IFERROR(INDEX('Cost_Components'!$Q$2:$Q$27,MATCH(E809,'Cost_Components'!$A$2:$A$27,0)),"")</f>
      </c>
      <c r="V809" s="76" t="str">
        <f>1/(1+'Calculation_Assumptions'!$B$5)^(B809-'Calculation_Assumptions'!$B$2)</f>
      </c>
      <c r="W809" s="77" t="str">
        <f>Q809*V809</f>
      </c>
      <c r="X809" s="78" t="str">
        <f>R809*V809</f>
      </c>
      <c r="Y809" s="79" t="str">
        <f>S809*V809</f>
      </c>
      <c r="Z809" s="80" t="str">
        <f>IFERROR(INDEX('Cost_Components'!$T$2:$T$27,MATCH(E809,'Cost_Components'!$A$2:$A$27,0)),"")</f>
      </c>
      <c r="AA809" s="81" t="str">
        <f>IFERROR(INDEX('Cost_Components'!$U$2:$U$27,MATCH(E809,'Cost_Components'!$A$2:$A$27,0)),"")</f>
      </c>
      <c r="AB809" s="82" t="str">
        <f>IFERROR(INDEX('Cost_Components'!$V$2:$V$27,MATCH(E809,'Cost_Components'!$A$2:$A$27,0)),"")</f>
      </c>
      <c r="AC809" s="83" t="str">
        <f>IFERROR(INDEX('Cost_Components'!$M$2:$M$27,MATCH(E809,'Cost_Components'!$A$2:$A$27,0)),"")</f>
      </c>
      <c r="AD809" s="84" t="str">
        <f>IFERROR(INDEX('Cost_Components'!$N$2:$N$27,MATCH(E809,'Cost_Components'!$A$2:$A$27,0)),"")</f>
      </c>
      <c r="AE809" s="20" t="str">
        <f>IFERROR(INDEX('Cost_Components'!$O$2:$O$27,MATCH(E809,'Cost_Components'!$A$2:$A$27,0)),"")</f>
      </c>
      <c r="AF809" s="85" t="n">
        <v>79769.3467981511</v>
      </c>
      <c r="AG809" s="86" t="n">
        <v>79525.5974379108</v>
      </c>
      <c r="AH809" s="87" t="str">
        <f>IF(H809="shared-count-once",COUNTIFS($A$2:$A$1353,A809,$B$2:$B$1353,B809,$E$2:$E$1353,E809),1)</f>
      </c>
    </row>
    <row r="810">
      <c r="A810" t="s">
        <v>75</v>
      </c>
      <c r="B810" s="59" t="n">
        <v>2027</v>
      </c>
      <c r="C810" t="s">
        <v>200</v>
      </c>
      <c r="D810" t="s">
        <v>190</v>
      </c>
      <c r="E810" s="60" t="s">
        <v>272</v>
      </c>
      <c r="F810" s="61" t="s">
        <v>273</v>
      </c>
      <c r="G810" s="62" t="s">
        <v>201</v>
      </c>
      <c r="H810" s="63" t="s">
        <v>195</v>
      </c>
      <c r="I810" s="64" t="s">
        <v>267</v>
      </c>
      <c r="J810" s="65" t="str">
        <f>IFERROR(INDEX('Cost_Components'!$K$2:$K$27,MATCH(E810,'Cost_Components'!$A$2:$A$27,0)),"")</f>
      </c>
      <c r="K810" s="66" t="str">
        <f>IF(OR(L810="",Z810="",AA810="",AB810=""),"",IF(B810&lt;AA810,L810,IF(B810&gt;AB810,Z810,L810+(Z810-L810)*MIN(MAX((B810-AA810+1)/MAX(AB810-AA810+1,1),0),1))))</f>
      </c>
      <c r="L810" s="67" t="str">
        <f>IFERROR(INDEX('Cost_Components'!$S$2:$S$27,MATCH(E810,'Cost_Components'!$A$2:$A$27,0)),"")</f>
      </c>
      <c r="M810" s="68" t="str">
        <f>IFERROR(INDEX('Cost_Components'!$L$2:$L$27,MATCH(E810,'Cost_Components'!$A$2:$A$27,0)),"")</f>
      </c>
      <c r="N810" s="69" t="str">
        <f>IFERROR(INDEX('Cost_Components'!$P$2:$P$27,MATCH(E810,'Cost_Components'!$A$2:$A$27,0)),"")</f>
      </c>
      <c r="O810" s="70" t="str">
        <f>AF810*J810</f>
      </c>
      <c r="P810" s="71" t="str">
        <f>AG810*J810</f>
      </c>
      <c r="Q810" s="72" t="str">
        <f>P810*L810*M810*N810</f>
      </c>
      <c r="R810" s="73" t="str">
        <f>O810*K810*M810*N810</f>
      </c>
      <c r="S810" s="74" t="str">
        <f>R810-Q810</f>
      </c>
      <c r="T810" s="20" t="str">
        <f>IFERROR(INDEX('Cost_Components'!$R$2:$R$27,MATCH(E810,'Cost_Components'!$A$2:$A$27,0)),"")</f>
      </c>
      <c r="U810" s="75" t="str">
        <f>IFERROR(INDEX('Cost_Components'!$Q$2:$Q$27,MATCH(E810,'Cost_Components'!$A$2:$A$27,0)),"")</f>
      </c>
      <c r="V810" s="76" t="str">
        <f>1/(1+'Calculation_Assumptions'!$B$5)^(B810-'Calculation_Assumptions'!$B$2)</f>
      </c>
      <c r="W810" s="77" t="str">
        <f>Q810*V810</f>
      </c>
      <c r="X810" s="78" t="str">
        <f>R810*V810</f>
      </c>
      <c r="Y810" s="79" t="str">
        <f>S810*V810</f>
      </c>
      <c r="Z810" s="80" t="str">
        <f>IFERROR(INDEX('Cost_Components'!$T$2:$T$27,MATCH(E810,'Cost_Components'!$A$2:$A$27,0)),"")</f>
      </c>
      <c r="AA810" s="81" t="str">
        <f>IFERROR(INDEX('Cost_Components'!$U$2:$U$27,MATCH(E810,'Cost_Components'!$A$2:$A$27,0)),"")</f>
      </c>
      <c r="AB810" s="82" t="str">
        <f>IFERROR(INDEX('Cost_Components'!$V$2:$V$27,MATCH(E810,'Cost_Components'!$A$2:$A$27,0)),"")</f>
      </c>
      <c r="AC810" s="83" t="str">
        <f>IFERROR(INDEX('Cost_Components'!$M$2:$M$27,MATCH(E810,'Cost_Components'!$A$2:$A$27,0)),"")</f>
      </c>
      <c r="AD810" s="84" t="str">
        <f>IFERROR(INDEX('Cost_Components'!$N$2:$N$27,MATCH(E810,'Cost_Components'!$A$2:$A$27,0)),"")</f>
      </c>
      <c r="AE810" s="20" t="str">
        <f>IFERROR(INDEX('Cost_Components'!$O$2:$O$27,MATCH(E810,'Cost_Components'!$A$2:$A$27,0)),"")</f>
      </c>
      <c r="AF810" s="85" t="n">
        <v>81542.6400877647</v>
      </c>
      <c r="AG810" s="86" t="n">
        <v>81076.9036397701</v>
      </c>
      <c r="AH810" s="87" t="str">
        <f>IF(H810="shared-count-once",COUNTIFS($A$2:$A$1353,A810,$B$2:$B$1353,B810,$E$2:$E$1353,E810),1)</f>
      </c>
    </row>
    <row r="811">
      <c r="A811" t="s">
        <v>75</v>
      </c>
      <c r="B811" s="59" t="n">
        <v>2028</v>
      </c>
      <c r="C811" t="s">
        <v>200</v>
      </c>
      <c r="D811" t="s">
        <v>190</v>
      </c>
      <c r="E811" s="60" t="s">
        <v>272</v>
      </c>
      <c r="F811" s="61" t="s">
        <v>273</v>
      </c>
      <c r="G811" s="62" t="s">
        <v>201</v>
      </c>
      <c r="H811" s="63" t="s">
        <v>195</v>
      </c>
      <c r="I811" s="64" t="s">
        <v>267</v>
      </c>
      <c r="J811" s="65" t="str">
        <f>IFERROR(INDEX('Cost_Components'!$K$2:$K$27,MATCH(E811,'Cost_Components'!$A$2:$A$27,0)),"")</f>
      </c>
      <c r="K811" s="66" t="str">
        <f>IF(OR(L811="",Z811="",AA811="",AB811=""),"",IF(B811&lt;AA811,L811,IF(B811&gt;AB811,Z811,L811+(Z811-L811)*MIN(MAX((B811-AA811+1)/MAX(AB811-AA811+1,1),0),1))))</f>
      </c>
      <c r="L811" s="67" t="str">
        <f>IFERROR(INDEX('Cost_Components'!$S$2:$S$27,MATCH(E811,'Cost_Components'!$A$2:$A$27,0)),"")</f>
      </c>
      <c r="M811" s="68" t="str">
        <f>IFERROR(INDEX('Cost_Components'!$L$2:$L$27,MATCH(E811,'Cost_Components'!$A$2:$A$27,0)),"")</f>
      </c>
      <c r="N811" s="69" t="str">
        <f>IFERROR(INDEX('Cost_Components'!$P$2:$P$27,MATCH(E811,'Cost_Components'!$A$2:$A$27,0)),"")</f>
      </c>
      <c r="O811" s="70" t="str">
        <f>AF811*J811</f>
      </c>
      <c r="P811" s="71" t="str">
        <f>AG811*J811</f>
      </c>
      <c r="Q811" s="72" t="str">
        <f>P811*L811*M811*N811</f>
      </c>
      <c r="R811" s="73" t="str">
        <f>O811*K811*M811*N811</f>
      </c>
      <c r="S811" s="74" t="str">
        <f>R811-Q811</f>
      </c>
      <c r="T811" s="20" t="str">
        <f>IFERROR(INDEX('Cost_Components'!$R$2:$R$27,MATCH(E811,'Cost_Components'!$A$2:$A$27,0)),"")</f>
      </c>
      <c r="U811" s="75" t="str">
        <f>IFERROR(INDEX('Cost_Components'!$Q$2:$Q$27,MATCH(E811,'Cost_Components'!$A$2:$A$27,0)),"")</f>
      </c>
      <c r="V811" s="76" t="str">
        <f>1/(1+'Calculation_Assumptions'!$B$5)^(B811-'Calculation_Assumptions'!$B$2)</f>
      </c>
      <c r="W811" s="77" t="str">
        <f>Q811*V811</f>
      </c>
      <c r="X811" s="78" t="str">
        <f>R811*V811</f>
      </c>
      <c r="Y811" s="79" t="str">
        <f>S811*V811</f>
      </c>
      <c r="Z811" s="80" t="str">
        <f>IFERROR(INDEX('Cost_Components'!$T$2:$T$27,MATCH(E811,'Cost_Components'!$A$2:$A$27,0)),"")</f>
      </c>
      <c r="AA811" s="81" t="str">
        <f>IFERROR(INDEX('Cost_Components'!$U$2:$U$27,MATCH(E811,'Cost_Components'!$A$2:$A$27,0)),"")</f>
      </c>
      <c r="AB811" s="82" t="str">
        <f>IFERROR(INDEX('Cost_Components'!$V$2:$V$27,MATCH(E811,'Cost_Components'!$A$2:$A$27,0)),"")</f>
      </c>
      <c r="AC811" s="83" t="str">
        <f>IFERROR(INDEX('Cost_Components'!$M$2:$M$27,MATCH(E811,'Cost_Components'!$A$2:$A$27,0)),"")</f>
      </c>
      <c r="AD811" s="84" t="str">
        <f>IFERROR(INDEX('Cost_Components'!$N$2:$N$27,MATCH(E811,'Cost_Components'!$A$2:$A$27,0)),"")</f>
      </c>
      <c r="AE811" s="20" t="str">
        <f>IFERROR(INDEX('Cost_Components'!$O$2:$O$27,MATCH(E811,'Cost_Components'!$A$2:$A$27,0)),"")</f>
      </c>
      <c r="AF811" s="85" t="n">
        <v>83347.1807791291</v>
      </c>
      <c r="AG811" s="86" t="n">
        <v>82601.8932700429</v>
      </c>
      <c r="AH811" s="87" t="str">
        <f>IF(H811="shared-count-once",COUNTIFS($A$2:$A$1353,A811,$B$2:$B$1353,B811,$E$2:$E$1353,E811),1)</f>
      </c>
    </row>
    <row r="812">
      <c r="A812" t="s">
        <v>75</v>
      </c>
      <c r="B812" s="59" t="n">
        <v>2029</v>
      </c>
      <c r="C812" t="s">
        <v>200</v>
      </c>
      <c r="D812" t="s">
        <v>190</v>
      </c>
      <c r="E812" s="60" t="s">
        <v>272</v>
      </c>
      <c r="F812" s="61" t="s">
        <v>273</v>
      </c>
      <c r="G812" s="62" t="s">
        <v>201</v>
      </c>
      <c r="H812" s="63" t="s">
        <v>195</v>
      </c>
      <c r="I812" s="64" t="s">
        <v>267</v>
      </c>
      <c r="J812" s="65" t="str">
        <f>IFERROR(INDEX('Cost_Components'!$K$2:$K$27,MATCH(E812,'Cost_Components'!$A$2:$A$27,0)),"")</f>
      </c>
      <c r="K812" s="66" t="str">
        <f>IF(OR(L812="",Z812="",AA812="",AB812=""),"",IF(B812&lt;AA812,L812,IF(B812&gt;AB812,Z812,L812+(Z812-L812)*MIN(MAX((B812-AA812+1)/MAX(AB812-AA812+1,1),0),1))))</f>
      </c>
      <c r="L812" s="67" t="str">
        <f>IFERROR(INDEX('Cost_Components'!$S$2:$S$27,MATCH(E812,'Cost_Components'!$A$2:$A$27,0)),"")</f>
      </c>
      <c r="M812" s="68" t="str">
        <f>IFERROR(INDEX('Cost_Components'!$L$2:$L$27,MATCH(E812,'Cost_Components'!$A$2:$A$27,0)),"")</f>
      </c>
      <c r="N812" s="69" t="str">
        <f>IFERROR(INDEX('Cost_Components'!$P$2:$P$27,MATCH(E812,'Cost_Components'!$A$2:$A$27,0)),"")</f>
      </c>
      <c r="O812" s="70" t="str">
        <f>AF812*J812</f>
      </c>
      <c r="P812" s="71" t="str">
        <f>AG812*J812</f>
      </c>
      <c r="Q812" s="72" t="str">
        <f>P812*L812*M812*N812</f>
      </c>
      <c r="R812" s="73" t="str">
        <f>O812*K812*M812*N812</f>
      </c>
      <c r="S812" s="74" t="str">
        <f>R812-Q812</f>
      </c>
      <c r="T812" s="20" t="str">
        <f>IFERROR(INDEX('Cost_Components'!$R$2:$R$27,MATCH(E812,'Cost_Components'!$A$2:$A$27,0)),"")</f>
      </c>
      <c r="U812" s="75" t="str">
        <f>IFERROR(INDEX('Cost_Components'!$Q$2:$Q$27,MATCH(E812,'Cost_Components'!$A$2:$A$27,0)),"")</f>
      </c>
      <c r="V812" s="76" t="str">
        <f>1/(1+'Calculation_Assumptions'!$B$5)^(B812-'Calculation_Assumptions'!$B$2)</f>
      </c>
      <c r="W812" s="77" t="str">
        <f>Q812*V812</f>
      </c>
      <c r="X812" s="78" t="str">
        <f>R812*V812</f>
      </c>
      <c r="Y812" s="79" t="str">
        <f>S812*V812</f>
      </c>
      <c r="Z812" s="80" t="str">
        <f>IFERROR(INDEX('Cost_Components'!$T$2:$T$27,MATCH(E812,'Cost_Components'!$A$2:$A$27,0)),"")</f>
      </c>
      <c r="AA812" s="81" t="str">
        <f>IFERROR(INDEX('Cost_Components'!$U$2:$U$27,MATCH(E812,'Cost_Components'!$A$2:$A$27,0)),"")</f>
      </c>
      <c r="AB812" s="82" t="str">
        <f>IFERROR(INDEX('Cost_Components'!$V$2:$V$27,MATCH(E812,'Cost_Components'!$A$2:$A$27,0)),"")</f>
      </c>
      <c r="AC812" s="83" t="str">
        <f>IFERROR(INDEX('Cost_Components'!$M$2:$M$27,MATCH(E812,'Cost_Components'!$A$2:$A$27,0)),"")</f>
      </c>
      <c r="AD812" s="84" t="str">
        <f>IFERROR(INDEX('Cost_Components'!$N$2:$N$27,MATCH(E812,'Cost_Components'!$A$2:$A$27,0)),"")</f>
      </c>
      <c r="AE812" s="20" t="str">
        <f>IFERROR(INDEX('Cost_Components'!$O$2:$O$27,MATCH(E812,'Cost_Components'!$A$2:$A$27,0)),"")</f>
      </c>
      <c r="AF812" s="85" t="n">
        <v>85192.5317688061</v>
      </c>
      <c r="AG812" s="86" t="n">
        <v>84114.5100443056</v>
      </c>
      <c r="AH812" s="87" t="str">
        <f>IF(H812="shared-count-once",COUNTIFS($A$2:$A$1353,A812,$B$2:$B$1353,B812,$E$2:$E$1353,E812),1)</f>
      </c>
    </row>
    <row r="813">
      <c r="A813" t="s">
        <v>75</v>
      </c>
      <c r="B813" s="59" t="n">
        <v>2030</v>
      </c>
      <c r="C813" t="s">
        <v>200</v>
      </c>
      <c r="D813" t="s">
        <v>190</v>
      </c>
      <c r="E813" s="60" t="s">
        <v>272</v>
      </c>
      <c r="F813" s="61" t="s">
        <v>273</v>
      </c>
      <c r="G813" s="62" t="s">
        <v>201</v>
      </c>
      <c r="H813" s="63" t="s">
        <v>195</v>
      </c>
      <c r="I813" s="64" t="s">
        <v>267</v>
      </c>
      <c r="J813" s="65" t="str">
        <f>IFERROR(INDEX('Cost_Components'!$K$2:$K$27,MATCH(E813,'Cost_Components'!$A$2:$A$27,0)),"")</f>
      </c>
      <c r="K813" s="66" t="str">
        <f>IF(OR(L813="",Z813="",AA813="",AB813=""),"",IF(B813&lt;AA813,L813,IF(B813&gt;AB813,Z813,L813+(Z813-L813)*MIN(MAX((B813-AA813+1)/MAX(AB813-AA813+1,1),0),1))))</f>
      </c>
      <c r="L813" s="67" t="str">
        <f>IFERROR(INDEX('Cost_Components'!$S$2:$S$27,MATCH(E813,'Cost_Components'!$A$2:$A$27,0)),"")</f>
      </c>
      <c r="M813" s="68" t="str">
        <f>IFERROR(INDEX('Cost_Components'!$L$2:$L$27,MATCH(E813,'Cost_Components'!$A$2:$A$27,0)),"")</f>
      </c>
      <c r="N813" s="69" t="str">
        <f>IFERROR(INDEX('Cost_Components'!$P$2:$P$27,MATCH(E813,'Cost_Components'!$A$2:$A$27,0)),"")</f>
      </c>
      <c r="O813" s="70" t="str">
        <f>AF813*J813</f>
      </c>
      <c r="P813" s="71" t="str">
        <f>AG813*J813</f>
      </c>
      <c r="Q813" s="72" t="str">
        <f>P813*L813*M813*N813</f>
      </c>
      <c r="R813" s="73" t="str">
        <f>O813*K813*M813*N813</f>
      </c>
      <c r="S813" s="74" t="str">
        <f>R813-Q813</f>
      </c>
      <c r="T813" s="20" t="str">
        <f>IFERROR(INDEX('Cost_Components'!$R$2:$R$27,MATCH(E813,'Cost_Components'!$A$2:$A$27,0)),"")</f>
      </c>
      <c r="U813" s="75" t="str">
        <f>IFERROR(INDEX('Cost_Components'!$Q$2:$Q$27,MATCH(E813,'Cost_Components'!$A$2:$A$27,0)),"")</f>
      </c>
      <c r="V813" s="76" t="str">
        <f>1/(1+'Calculation_Assumptions'!$B$5)^(B813-'Calculation_Assumptions'!$B$2)</f>
      </c>
      <c r="W813" s="77" t="str">
        <f>Q813*V813</f>
      </c>
      <c r="X813" s="78" t="str">
        <f>R813*V813</f>
      </c>
      <c r="Y813" s="79" t="str">
        <f>S813*V813</f>
      </c>
      <c r="Z813" s="80" t="str">
        <f>IFERROR(INDEX('Cost_Components'!$T$2:$T$27,MATCH(E813,'Cost_Components'!$A$2:$A$27,0)),"")</f>
      </c>
      <c r="AA813" s="81" t="str">
        <f>IFERROR(INDEX('Cost_Components'!$U$2:$U$27,MATCH(E813,'Cost_Components'!$A$2:$A$27,0)),"")</f>
      </c>
      <c r="AB813" s="82" t="str">
        <f>IFERROR(INDEX('Cost_Components'!$V$2:$V$27,MATCH(E813,'Cost_Components'!$A$2:$A$27,0)),"")</f>
      </c>
      <c r="AC813" s="83" t="str">
        <f>IFERROR(INDEX('Cost_Components'!$M$2:$M$27,MATCH(E813,'Cost_Components'!$A$2:$A$27,0)),"")</f>
      </c>
      <c r="AD813" s="84" t="str">
        <f>IFERROR(INDEX('Cost_Components'!$N$2:$N$27,MATCH(E813,'Cost_Components'!$A$2:$A$27,0)),"")</f>
      </c>
      <c r="AE813" s="20" t="str">
        <f>IFERROR(INDEX('Cost_Components'!$O$2:$O$27,MATCH(E813,'Cost_Components'!$A$2:$A$27,0)),"")</f>
      </c>
      <c r="AF813" s="85" t="n">
        <v>87085.1796873243</v>
      </c>
      <c r="AG813" s="86" t="n">
        <v>85624.1727982227</v>
      </c>
      <c r="AH813" s="87" t="str">
        <f>IF(H813="shared-count-once",COUNTIFS($A$2:$A$1353,A813,$B$2:$B$1353,B813,$E$2:$E$1353,E813),1)</f>
      </c>
    </row>
    <row r="814">
      <c r="A814" t="s">
        <v>75</v>
      </c>
      <c r="B814" s="59" t="n">
        <v>2031</v>
      </c>
      <c r="C814" t="s">
        <v>200</v>
      </c>
      <c r="D814" t="s">
        <v>190</v>
      </c>
      <c r="E814" s="60" t="s">
        <v>272</v>
      </c>
      <c r="F814" s="61" t="s">
        <v>273</v>
      </c>
      <c r="G814" s="62" t="s">
        <v>201</v>
      </c>
      <c r="H814" s="63" t="s">
        <v>195</v>
      </c>
      <c r="I814" s="64" t="s">
        <v>267</v>
      </c>
      <c r="J814" s="65" t="str">
        <f>IFERROR(INDEX('Cost_Components'!$K$2:$K$27,MATCH(E814,'Cost_Components'!$A$2:$A$27,0)),"")</f>
      </c>
      <c r="K814" s="66" t="str">
        <f>IF(OR(L814="",Z814="",AA814="",AB814=""),"",IF(B814&lt;AA814,L814,IF(B814&gt;AB814,Z814,L814+(Z814-L814)*MIN(MAX((B814-AA814+1)/MAX(AB814-AA814+1,1),0),1))))</f>
      </c>
      <c r="L814" s="67" t="str">
        <f>IFERROR(INDEX('Cost_Components'!$S$2:$S$27,MATCH(E814,'Cost_Components'!$A$2:$A$27,0)),"")</f>
      </c>
      <c r="M814" s="68" t="str">
        <f>IFERROR(INDEX('Cost_Components'!$L$2:$L$27,MATCH(E814,'Cost_Components'!$A$2:$A$27,0)),"")</f>
      </c>
      <c r="N814" s="69" t="str">
        <f>IFERROR(INDEX('Cost_Components'!$P$2:$P$27,MATCH(E814,'Cost_Components'!$A$2:$A$27,0)),"")</f>
      </c>
      <c r="O814" s="70" t="str">
        <f>AF814*J814</f>
      </c>
      <c r="P814" s="71" t="str">
        <f>AG814*J814</f>
      </c>
      <c r="Q814" s="72" t="str">
        <f>P814*L814*M814*N814</f>
      </c>
      <c r="R814" s="73" t="str">
        <f>O814*K814*M814*N814</f>
      </c>
      <c r="S814" s="74" t="str">
        <f>R814-Q814</f>
      </c>
      <c r="T814" s="20" t="str">
        <f>IFERROR(INDEX('Cost_Components'!$R$2:$R$27,MATCH(E814,'Cost_Components'!$A$2:$A$27,0)),"")</f>
      </c>
      <c r="U814" s="75" t="str">
        <f>IFERROR(INDEX('Cost_Components'!$Q$2:$Q$27,MATCH(E814,'Cost_Components'!$A$2:$A$27,0)),"")</f>
      </c>
      <c r="V814" s="76" t="str">
        <f>1/(1+'Calculation_Assumptions'!$B$5)^(B814-'Calculation_Assumptions'!$B$2)</f>
      </c>
      <c r="W814" s="77" t="str">
        <f>Q814*V814</f>
      </c>
      <c r="X814" s="78" t="str">
        <f>R814*V814</f>
      </c>
      <c r="Y814" s="79" t="str">
        <f>S814*V814</f>
      </c>
      <c r="Z814" s="80" t="str">
        <f>IFERROR(INDEX('Cost_Components'!$T$2:$T$27,MATCH(E814,'Cost_Components'!$A$2:$A$27,0)),"")</f>
      </c>
      <c r="AA814" s="81" t="str">
        <f>IFERROR(INDEX('Cost_Components'!$U$2:$U$27,MATCH(E814,'Cost_Components'!$A$2:$A$27,0)),"")</f>
      </c>
      <c r="AB814" s="82" t="str">
        <f>IFERROR(INDEX('Cost_Components'!$V$2:$V$27,MATCH(E814,'Cost_Components'!$A$2:$A$27,0)),"")</f>
      </c>
      <c r="AC814" s="83" t="str">
        <f>IFERROR(INDEX('Cost_Components'!$M$2:$M$27,MATCH(E814,'Cost_Components'!$A$2:$A$27,0)),"")</f>
      </c>
      <c r="AD814" s="84" t="str">
        <f>IFERROR(INDEX('Cost_Components'!$N$2:$N$27,MATCH(E814,'Cost_Components'!$A$2:$A$27,0)),"")</f>
      </c>
      <c r="AE814" s="20" t="str">
        <f>IFERROR(INDEX('Cost_Components'!$O$2:$O$27,MATCH(E814,'Cost_Components'!$A$2:$A$27,0)),"")</f>
      </c>
      <c r="AF814" s="85" t="n">
        <v>89038.8162324485</v>
      </c>
      <c r="AG814" s="86" t="n">
        <v>87146.4468739637</v>
      </c>
      <c r="AH814" s="87" t="str">
        <f>IF(H814="shared-count-once",COUNTIFS($A$2:$A$1353,A814,$B$2:$B$1353,B814,$E$2:$E$1353,E814),1)</f>
      </c>
    </row>
    <row r="815">
      <c r="A815" t="s">
        <v>75</v>
      </c>
      <c r="B815" s="59" t="n">
        <v>2032</v>
      </c>
      <c r="C815" t="s">
        <v>200</v>
      </c>
      <c r="D815" t="s">
        <v>190</v>
      </c>
      <c r="E815" s="60" t="s">
        <v>272</v>
      </c>
      <c r="F815" s="61" t="s">
        <v>273</v>
      </c>
      <c r="G815" s="62" t="s">
        <v>201</v>
      </c>
      <c r="H815" s="63" t="s">
        <v>195</v>
      </c>
      <c r="I815" s="64" t="s">
        <v>267</v>
      </c>
      <c r="J815" s="65" t="str">
        <f>IFERROR(INDEX('Cost_Components'!$K$2:$K$27,MATCH(E815,'Cost_Components'!$A$2:$A$27,0)),"")</f>
      </c>
      <c r="K815" s="66" t="str">
        <f>IF(OR(L815="",Z815="",AA815="",AB815=""),"",IF(B815&lt;AA815,L815,IF(B815&gt;AB815,Z815,L815+(Z815-L815)*MIN(MAX((B815-AA815+1)/MAX(AB815-AA815+1,1),0),1))))</f>
      </c>
      <c r="L815" s="67" t="str">
        <f>IFERROR(INDEX('Cost_Components'!$S$2:$S$27,MATCH(E815,'Cost_Components'!$A$2:$A$27,0)),"")</f>
      </c>
      <c r="M815" s="68" t="str">
        <f>IFERROR(INDEX('Cost_Components'!$L$2:$L$27,MATCH(E815,'Cost_Components'!$A$2:$A$27,0)),"")</f>
      </c>
      <c r="N815" s="69" t="str">
        <f>IFERROR(INDEX('Cost_Components'!$P$2:$P$27,MATCH(E815,'Cost_Components'!$A$2:$A$27,0)),"")</f>
      </c>
      <c r="O815" s="70" t="str">
        <f>AF815*J815</f>
      </c>
      <c r="P815" s="71" t="str">
        <f>AG815*J815</f>
      </c>
      <c r="Q815" s="72" t="str">
        <f>P815*L815*M815*N815</f>
      </c>
      <c r="R815" s="73" t="str">
        <f>O815*K815*M815*N815</f>
      </c>
      <c r="S815" s="74" t="str">
        <f>R815-Q815</f>
      </c>
      <c r="T815" s="20" t="str">
        <f>IFERROR(INDEX('Cost_Components'!$R$2:$R$27,MATCH(E815,'Cost_Components'!$A$2:$A$27,0)),"")</f>
      </c>
      <c r="U815" s="75" t="str">
        <f>IFERROR(INDEX('Cost_Components'!$Q$2:$Q$27,MATCH(E815,'Cost_Components'!$A$2:$A$27,0)),"")</f>
      </c>
      <c r="V815" s="76" t="str">
        <f>1/(1+'Calculation_Assumptions'!$B$5)^(B815-'Calculation_Assumptions'!$B$2)</f>
      </c>
      <c r="W815" s="77" t="str">
        <f>Q815*V815</f>
      </c>
      <c r="X815" s="78" t="str">
        <f>R815*V815</f>
      </c>
      <c r="Y815" s="79" t="str">
        <f>S815*V815</f>
      </c>
      <c r="Z815" s="80" t="str">
        <f>IFERROR(INDEX('Cost_Components'!$T$2:$T$27,MATCH(E815,'Cost_Components'!$A$2:$A$27,0)),"")</f>
      </c>
      <c r="AA815" s="81" t="str">
        <f>IFERROR(INDEX('Cost_Components'!$U$2:$U$27,MATCH(E815,'Cost_Components'!$A$2:$A$27,0)),"")</f>
      </c>
      <c r="AB815" s="82" t="str">
        <f>IFERROR(INDEX('Cost_Components'!$V$2:$V$27,MATCH(E815,'Cost_Components'!$A$2:$A$27,0)),"")</f>
      </c>
      <c r="AC815" s="83" t="str">
        <f>IFERROR(INDEX('Cost_Components'!$M$2:$M$27,MATCH(E815,'Cost_Components'!$A$2:$A$27,0)),"")</f>
      </c>
      <c r="AD815" s="84" t="str">
        <f>IFERROR(INDEX('Cost_Components'!$N$2:$N$27,MATCH(E815,'Cost_Components'!$A$2:$A$27,0)),"")</f>
      </c>
      <c r="AE815" s="20" t="str">
        <f>IFERROR(INDEX('Cost_Components'!$O$2:$O$27,MATCH(E815,'Cost_Components'!$A$2:$A$27,0)),"")</f>
      </c>
      <c r="AF815" s="85" t="n">
        <v>91066.4087833916</v>
      </c>
      <c r="AG815" s="86" t="n">
        <v>88695.9957981069</v>
      </c>
      <c r="AH815" s="87" t="str">
        <f>IF(H815="shared-count-once",COUNTIFS($A$2:$A$1353,A815,$B$2:$B$1353,B815,$E$2:$E$1353,E815),1)</f>
      </c>
    </row>
    <row r="816">
      <c r="A816" t="s">
        <v>75</v>
      </c>
      <c r="B816" s="59" t="n">
        <v>2033</v>
      </c>
      <c r="C816" t="s">
        <v>200</v>
      </c>
      <c r="D816" t="s">
        <v>190</v>
      </c>
      <c r="E816" s="60" t="s">
        <v>272</v>
      </c>
      <c r="F816" s="61" t="s">
        <v>273</v>
      </c>
      <c r="G816" s="62" t="s">
        <v>201</v>
      </c>
      <c r="H816" s="63" t="s">
        <v>195</v>
      </c>
      <c r="I816" s="64" t="s">
        <v>267</v>
      </c>
      <c r="J816" s="65" t="str">
        <f>IFERROR(INDEX('Cost_Components'!$K$2:$K$27,MATCH(E816,'Cost_Components'!$A$2:$A$27,0)),"")</f>
      </c>
      <c r="K816" s="66" t="str">
        <f>IF(OR(L816="",Z816="",AA816="",AB816=""),"",IF(B816&lt;AA816,L816,IF(B816&gt;AB816,Z816,L816+(Z816-L816)*MIN(MAX((B816-AA816+1)/MAX(AB816-AA816+1,1),0),1))))</f>
      </c>
      <c r="L816" s="67" t="str">
        <f>IFERROR(INDEX('Cost_Components'!$S$2:$S$27,MATCH(E816,'Cost_Components'!$A$2:$A$27,0)),"")</f>
      </c>
      <c r="M816" s="68" t="str">
        <f>IFERROR(INDEX('Cost_Components'!$L$2:$L$27,MATCH(E816,'Cost_Components'!$A$2:$A$27,0)),"")</f>
      </c>
      <c r="N816" s="69" t="str">
        <f>IFERROR(INDEX('Cost_Components'!$P$2:$P$27,MATCH(E816,'Cost_Components'!$A$2:$A$27,0)),"")</f>
      </c>
      <c r="O816" s="70" t="str">
        <f>AF816*J816</f>
      </c>
      <c r="P816" s="71" t="str">
        <f>AG816*J816</f>
      </c>
      <c r="Q816" s="72" t="str">
        <f>P816*L816*M816*N816</f>
      </c>
      <c r="R816" s="73" t="str">
        <f>O816*K816*M816*N816</f>
      </c>
      <c r="S816" s="74" t="str">
        <f>R816-Q816</f>
      </c>
      <c r="T816" s="20" t="str">
        <f>IFERROR(INDEX('Cost_Components'!$R$2:$R$27,MATCH(E816,'Cost_Components'!$A$2:$A$27,0)),"")</f>
      </c>
      <c r="U816" s="75" t="str">
        <f>IFERROR(INDEX('Cost_Components'!$Q$2:$Q$27,MATCH(E816,'Cost_Components'!$A$2:$A$27,0)),"")</f>
      </c>
      <c r="V816" s="76" t="str">
        <f>1/(1+'Calculation_Assumptions'!$B$5)^(B816-'Calculation_Assumptions'!$B$2)</f>
      </c>
      <c r="W816" s="77" t="str">
        <f>Q816*V816</f>
      </c>
      <c r="X816" s="78" t="str">
        <f>R816*V816</f>
      </c>
      <c r="Y816" s="79" t="str">
        <f>S816*V816</f>
      </c>
      <c r="Z816" s="80" t="str">
        <f>IFERROR(INDEX('Cost_Components'!$T$2:$T$27,MATCH(E816,'Cost_Components'!$A$2:$A$27,0)),"")</f>
      </c>
      <c r="AA816" s="81" t="str">
        <f>IFERROR(INDEX('Cost_Components'!$U$2:$U$27,MATCH(E816,'Cost_Components'!$A$2:$A$27,0)),"")</f>
      </c>
      <c r="AB816" s="82" t="str">
        <f>IFERROR(INDEX('Cost_Components'!$V$2:$V$27,MATCH(E816,'Cost_Components'!$A$2:$A$27,0)),"")</f>
      </c>
      <c r="AC816" s="83" t="str">
        <f>IFERROR(INDEX('Cost_Components'!$M$2:$M$27,MATCH(E816,'Cost_Components'!$A$2:$A$27,0)),"")</f>
      </c>
      <c r="AD816" s="84" t="str">
        <f>IFERROR(INDEX('Cost_Components'!$N$2:$N$27,MATCH(E816,'Cost_Components'!$A$2:$A$27,0)),"")</f>
      </c>
      <c r="AE816" s="20" t="str">
        <f>IFERROR(INDEX('Cost_Components'!$O$2:$O$27,MATCH(E816,'Cost_Components'!$A$2:$A$27,0)),"")</f>
      </c>
      <c r="AF816" s="85" t="n">
        <v>93178.2651764223</v>
      </c>
      <c r="AG816" s="86" t="n">
        <v>90284.4762528307</v>
      </c>
      <c r="AH816" s="87" t="str">
        <f>IF(H816="shared-count-once",COUNTIFS($A$2:$A$1353,A816,$B$2:$B$1353,B816,$E$2:$E$1353,E816),1)</f>
      </c>
    </row>
    <row r="817">
      <c r="A817" t="s">
        <v>75</v>
      </c>
      <c r="B817" s="59" t="n">
        <v>2034</v>
      </c>
      <c r="C817" t="s">
        <v>200</v>
      </c>
      <c r="D817" t="s">
        <v>190</v>
      </c>
      <c r="E817" s="60" t="s">
        <v>272</v>
      </c>
      <c r="F817" s="61" t="s">
        <v>273</v>
      </c>
      <c r="G817" s="62" t="s">
        <v>201</v>
      </c>
      <c r="H817" s="63" t="s">
        <v>195</v>
      </c>
      <c r="I817" s="64" t="s">
        <v>267</v>
      </c>
      <c r="J817" s="65" t="str">
        <f>IFERROR(INDEX('Cost_Components'!$K$2:$K$27,MATCH(E817,'Cost_Components'!$A$2:$A$27,0)),"")</f>
      </c>
      <c r="K817" s="66" t="str">
        <f>IF(OR(L817="",Z817="",AA817="",AB817=""),"",IF(B817&lt;AA817,L817,IF(B817&gt;AB817,Z817,L817+(Z817-L817)*MIN(MAX((B817-AA817+1)/MAX(AB817-AA817+1,1),0),1))))</f>
      </c>
      <c r="L817" s="67" t="str">
        <f>IFERROR(INDEX('Cost_Components'!$S$2:$S$27,MATCH(E817,'Cost_Components'!$A$2:$A$27,0)),"")</f>
      </c>
      <c r="M817" s="68" t="str">
        <f>IFERROR(INDEX('Cost_Components'!$L$2:$L$27,MATCH(E817,'Cost_Components'!$A$2:$A$27,0)),"")</f>
      </c>
      <c r="N817" s="69" t="str">
        <f>IFERROR(INDEX('Cost_Components'!$P$2:$P$27,MATCH(E817,'Cost_Components'!$A$2:$A$27,0)),"")</f>
      </c>
      <c r="O817" s="70" t="str">
        <f>AF817*J817</f>
      </c>
      <c r="P817" s="71" t="str">
        <f>AG817*J817</f>
      </c>
      <c r="Q817" s="72" t="str">
        <f>P817*L817*M817*N817</f>
      </c>
      <c r="R817" s="73" t="str">
        <f>O817*K817*M817*N817</f>
      </c>
      <c r="S817" s="74" t="str">
        <f>R817-Q817</f>
      </c>
      <c r="T817" s="20" t="str">
        <f>IFERROR(INDEX('Cost_Components'!$R$2:$R$27,MATCH(E817,'Cost_Components'!$A$2:$A$27,0)),"")</f>
      </c>
      <c r="U817" s="75" t="str">
        <f>IFERROR(INDEX('Cost_Components'!$Q$2:$Q$27,MATCH(E817,'Cost_Components'!$A$2:$A$27,0)),"")</f>
      </c>
      <c r="V817" s="76" t="str">
        <f>1/(1+'Calculation_Assumptions'!$B$5)^(B817-'Calculation_Assumptions'!$B$2)</f>
      </c>
      <c r="W817" s="77" t="str">
        <f>Q817*V817</f>
      </c>
      <c r="X817" s="78" t="str">
        <f>R817*V817</f>
      </c>
      <c r="Y817" s="79" t="str">
        <f>S817*V817</f>
      </c>
      <c r="Z817" s="80" t="str">
        <f>IFERROR(INDEX('Cost_Components'!$T$2:$T$27,MATCH(E817,'Cost_Components'!$A$2:$A$27,0)),"")</f>
      </c>
      <c r="AA817" s="81" t="str">
        <f>IFERROR(INDEX('Cost_Components'!$U$2:$U$27,MATCH(E817,'Cost_Components'!$A$2:$A$27,0)),"")</f>
      </c>
      <c r="AB817" s="82" t="str">
        <f>IFERROR(INDEX('Cost_Components'!$V$2:$V$27,MATCH(E817,'Cost_Components'!$A$2:$A$27,0)),"")</f>
      </c>
      <c r="AC817" s="83" t="str">
        <f>IFERROR(INDEX('Cost_Components'!$M$2:$M$27,MATCH(E817,'Cost_Components'!$A$2:$A$27,0)),"")</f>
      </c>
      <c r="AD817" s="84" t="str">
        <f>IFERROR(INDEX('Cost_Components'!$N$2:$N$27,MATCH(E817,'Cost_Components'!$A$2:$A$27,0)),"")</f>
      </c>
      <c r="AE817" s="20" t="str">
        <f>IFERROR(INDEX('Cost_Components'!$O$2:$O$27,MATCH(E817,'Cost_Components'!$A$2:$A$27,0)),"")</f>
      </c>
      <c r="AF817" s="85" t="n">
        <v>95376.9990260234</v>
      </c>
      <c r="AG817" s="86" t="n">
        <v>91915.1700532053</v>
      </c>
      <c r="AH817" s="87" t="str">
        <f>IF(H817="shared-count-once",COUNTIFS($A$2:$A$1353,A817,$B$2:$B$1353,B817,$E$2:$E$1353,E817),1)</f>
      </c>
    </row>
    <row r="818">
      <c r="A818" t="s">
        <v>75</v>
      </c>
      <c r="B818" s="59" t="n">
        <v>2035</v>
      </c>
      <c r="C818" t="s">
        <v>200</v>
      </c>
      <c r="D818" t="s">
        <v>190</v>
      </c>
      <c r="E818" s="60" t="s">
        <v>272</v>
      </c>
      <c r="F818" s="61" t="s">
        <v>273</v>
      </c>
      <c r="G818" s="62" t="s">
        <v>201</v>
      </c>
      <c r="H818" s="63" t="s">
        <v>195</v>
      </c>
      <c r="I818" s="64" t="s">
        <v>267</v>
      </c>
      <c r="J818" s="65" t="str">
        <f>IFERROR(INDEX('Cost_Components'!$K$2:$K$27,MATCH(E818,'Cost_Components'!$A$2:$A$27,0)),"")</f>
      </c>
      <c r="K818" s="66" t="str">
        <f>IF(OR(L818="",Z818="",AA818="",AB818=""),"",IF(B818&lt;AA818,L818,IF(B818&gt;AB818,Z818,L818+(Z818-L818)*MIN(MAX((B818-AA818+1)/MAX(AB818-AA818+1,1),0),1))))</f>
      </c>
      <c r="L818" s="67" t="str">
        <f>IFERROR(INDEX('Cost_Components'!$S$2:$S$27,MATCH(E818,'Cost_Components'!$A$2:$A$27,0)),"")</f>
      </c>
      <c r="M818" s="68" t="str">
        <f>IFERROR(INDEX('Cost_Components'!$L$2:$L$27,MATCH(E818,'Cost_Components'!$A$2:$A$27,0)),"")</f>
      </c>
      <c r="N818" s="69" t="str">
        <f>IFERROR(INDEX('Cost_Components'!$P$2:$P$27,MATCH(E818,'Cost_Components'!$A$2:$A$27,0)),"")</f>
      </c>
      <c r="O818" s="70" t="str">
        <f>AF818*J818</f>
      </c>
      <c r="P818" s="71" t="str">
        <f>AG818*J818</f>
      </c>
      <c r="Q818" s="72" t="str">
        <f>P818*L818*M818*N818</f>
      </c>
      <c r="R818" s="73" t="str">
        <f>O818*K818*M818*N818</f>
      </c>
      <c r="S818" s="74" t="str">
        <f>R818-Q818</f>
      </c>
      <c r="T818" s="20" t="str">
        <f>IFERROR(INDEX('Cost_Components'!$R$2:$R$27,MATCH(E818,'Cost_Components'!$A$2:$A$27,0)),"")</f>
      </c>
      <c r="U818" s="75" t="str">
        <f>IFERROR(INDEX('Cost_Components'!$Q$2:$Q$27,MATCH(E818,'Cost_Components'!$A$2:$A$27,0)),"")</f>
      </c>
      <c r="V818" s="76" t="str">
        <f>1/(1+'Calculation_Assumptions'!$B$5)^(B818-'Calculation_Assumptions'!$B$2)</f>
      </c>
      <c r="W818" s="77" t="str">
        <f>Q818*V818</f>
      </c>
      <c r="X818" s="78" t="str">
        <f>R818*V818</f>
      </c>
      <c r="Y818" s="79" t="str">
        <f>S818*V818</f>
      </c>
      <c r="Z818" s="80" t="str">
        <f>IFERROR(INDEX('Cost_Components'!$T$2:$T$27,MATCH(E818,'Cost_Components'!$A$2:$A$27,0)),"")</f>
      </c>
      <c r="AA818" s="81" t="str">
        <f>IFERROR(INDEX('Cost_Components'!$U$2:$U$27,MATCH(E818,'Cost_Components'!$A$2:$A$27,0)),"")</f>
      </c>
      <c r="AB818" s="82" t="str">
        <f>IFERROR(INDEX('Cost_Components'!$V$2:$V$27,MATCH(E818,'Cost_Components'!$A$2:$A$27,0)),"")</f>
      </c>
      <c r="AC818" s="83" t="str">
        <f>IFERROR(INDEX('Cost_Components'!$M$2:$M$27,MATCH(E818,'Cost_Components'!$A$2:$A$27,0)),"")</f>
      </c>
      <c r="AD818" s="84" t="str">
        <f>IFERROR(INDEX('Cost_Components'!$N$2:$N$27,MATCH(E818,'Cost_Components'!$A$2:$A$27,0)),"")</f>
      </c>
      <c r="AE818" s="20" t="str">
        <f>IFERROR(INDEX('Cost_Components'!$O$2:$O$27,MATCH(E818,'Cost_Components'!$A$2:$A$27,0)),"")</f>
      </c>
      <c r="AF818" s="85" t="n">
        <v>97670.9713233604</v>
      </c>
      <c r="AG818" s="86" t="n">
        <v>93596.9100615363</v>
      </c>
      <c r="AH818" s="87" t="str">
        <f>IF(H818="shared-count-once",COUNTIFS($A$2:$A$1353,A818,$B$2:$B$1353,B818,$E$2:$E$1353,E818),1)</f>
      </c>
    </row>
    <row r="819">
      <c r="A819" t="s">
        <v>75</v>
      </c>
      <c r="B819" s="59" t="n">
        <v>2036</v>
      </c>
      <c r="C819" t="s">
        <v>200</v>
      </c>
      <c r="D819" t="s">
        <v>190</v>
      </c>
      <c r="E819" s="60" t="s">
        <v>272</v>
      </c>
      <c r="F819" s="61" t="s">
        <v>273</v>
      </c>
      <c r="G819" s="62" t="s">
        <v>201</v>
      </c>
      <c r="H819" s="63" t="s">
        <v>195</v>
      </c>
      <c r="I819" s="64" t="s">
        <v>267</v>
      </c>
      <c r="J819" s="65" t="str">
        <f>IFERROR(INDEX('Cost_Components'!$K$2:$K$27,MATCH(E819,'Cost_Components'!$A$2:$A$27,0)),"")</f>
      </c>
      <c r="K819" s="66" t="str">
        <f>IF(OR(L819="",Z819="",AA819="",AB819=""),"",IF(B819&lt;AA819,L819,IF(B819&gt;AB819,Z819,L819+(Z819-L819)*MIN(MAX((B819-AA819+1)/MAX(AB819-AA819+1,1),0),1))))</f>
      </c>
      <c r="L819" s="67" t="str">
        <f>IFERROR(INDEX('Cost_Components'!$S$2:$S$27,MATCH(E819,'Cost_Components'!$A$2:$A$27,0)),"")</f>
      </c>
      <c r="M819" s="68" t="str">
        <f>IFERROR(INDEX('Cost_Components'!$L$2:$L$27,MATCH(E819,'Cost_Components'!$A$2:$A$27,0)),"")</f>
      </c>
      <c r="N819" s="69" t="str">
        <f>IFERROR(INDEX('Cost_Components'!$P$2:$P$27,MATCH(E819,'Cost_Components'!$A$2:$A$27,0)),"")</f>
      </c>
      <c r="O819" s="70" t="str">
        <f>AF819*J819</f>
      </c>
      <c r="P819" s="71" t="str">
        <f>AG819*J819</f>
      </c>
      <c r="Q819" s="72" t="str">
        <f>P819*L819*M819*N819</f>
      </c>
      <c r="R819" s="73" t="str">
        <f>O819*K819*M819*N819</f>
      </c>
      <c r="S819" s="74" t="str">
        <f>R819-Q819</f>
      </c>
      <c r="T819" s="20" t="str">
        <f>IFERROR(INDEX('Cost_Components'!$R$2:$R$27,MATCH(E819,'Cost_Components'!$A$2:$A$27,0)),"")</f>
      </c>
      <c r="U819" s="75" t="str">
        <f>IFERROR(INDEX('Cost_Components'!$Q$2:$Q$27,MATCH(E819,'Cost_Components'!$A$2:$A$27,0)),"")</f>
      </c>
      <c r="V819" s="76" t="str">
        <f>1/(1+'Calculation_Assumptions'!$B$5)^(B819-'Calculation_Assumptions'!$B$2)</f>
      </c>
      <c r="W819" s="77" t="str">
        <f>Q819*V819</f>
      </c>
      <c r="X819" s="78" t="str">
        <f>R819*V819</f>
      </c>
      <c r="Y819" s="79" t="str">
        <f>S819*V819</f>
      </c>
      <c r="Z819" s="80" t="str">
        <f>IFERROR(INDEX('Cost_Components'!$T$2:$T$27,MATCH(E819,'Cost_Components'!$A$2:$A$27,0)),"")</f>
      </c>
      <c r="AA819" s="81" t="str">
        <f>IFERROR(INDEX('Cost_Components'!$U$2:$U$27,MATCH(E819,'Cost_Components'!$A$2:$A$27,0)),"")</f>
      </c>
      <c r="AB819" s="82" t="str">
        <f>IFERROR(INDEX('Cost_Components'!$V$2:$V$27,MATCH(E819,'Cost_Components'!$A$2:$A$27,0)),"")</f>
      </c>
      <c r="AC819" s="83" t="str">
        <f>IFERROR(INDEX('Cost_Components'!$M$2:$M$27,MATCH(E819,'Cost_Components'!$A$2:$A$27,0)),"")</f>
      </c>
      <c r="AD819" s="84" t="str">
        <f>IFERROR(INDEX('Cost_Components'!$N$2:$N$27,MATCH(E819,'Cost_Components'!$A$2:$A$27,0)),"")</f>
      </c>
      <c r="AE819" s="20" t="str">
        <f>IFERROR(INDEX('Cost_Components'!$O$2:$O$27,MATCH(E819,'Cost_Components'!$A$2:$A$27,0)),"")</f>
      </c>
      <c r="AF819" s="85" t="n">
        <v>100066.765191579</v>
      </c>
      <c r="AG819" s="86" t="n">
        <v>95335.6352226668</v>
      </c>
      <c r="AH819" s="87" t="str">
        <f>IF(H819="shared-count-once",COUNTIFS($A$2:$A$1353,A819,$B$2:$B$1353,B819,$E$2:$E$1353,E819),1)</f>
      </c>
    </row>
    <row r="820">
      <c r="A820" t="s">
        <v>75</v>
      </c>
      <c r="B820" s="59" t="n">
        <v>2037</v>
      </c>
      <c r="C820" t="s">
        <v>200</v>
      </c>
      <c r="D820" t="s">
        <v>190</v>
      </c>
      <c r="E820" s="60" t="s">
        <v>272</v>
      </c>
      <c r="F820" s="61" t="s">
        <v>273</v>
      </c>
      <c r="G820" s="62" t="s">
        <v>201</v>
      </c>
      <c r="H820" s="63" t="s">
        <v>195</v>
      </c>
      <c r="I820" s="64" t="s">
        <v>267</v>
      </c>
      <c r="J820" s="65" t="str">
        <f>IFERROR(INDEX('Cost_Components'!$K$2:$K$27,MATCH(E820,'Cost_Components'!$A$2:$A$27,0)),"")</f>
      </c>
      <c r="K820" s="66" t="str">
        <f>IF(OR(L820="",Z820="",AA820="",AB820=""),"",IF(B820&lt;AA820,L820,IF(B820&gt;AB820,Z820,L820+(Z820-L820)*MIN(MAX((B820-AA820+1)/MAX(AB820-AA820+1,1),0),1))))</f>
      </c>
      <c r="L820" s="67" t="str">
        <f>IFERROR(INDEX('Cost_Components'!$S$2:$S$27,MATCH(E820,'Cost_Components'!$A$2:$A$27,0)),"")</f>
      </c>
      <c r="M820" s="68" t="str">
        <f>IFERROR(INDEX('Cost_Components'!$L$2:$L$27,MATCH(E820,'Cost_Components'!$A$2:$A$27,0)),"")</f>
      </c>
      <c r="N820" s="69" t="str">
        <f>IFERROR(INDEX('Cost_Components'!$P$2:$P$27,MATCH(E820,'Cost_Components'!$A$2:$A$27,0)),"")</f>
      </c>
      <c r="O820" s="70" t="str">
        <f>AF820*J820</f>
      </c>
      <c r="P820" s="71" t="str">
        <f>AG820*J820</f>
      </c>
      <c r="Q820" s="72" t="str">
        <f>P820*L820*M820*N820</f>
      </c>
      <c r="R820" s="73" t="str">
        <f>O820*K820*M820*N820</f>
      </c>
      <c r="S820" s="74" t="str">
        <f>R820-Q820</f>
      </c>
      <c r="T820" s="20" t="str">
        <f>IFERROR(INDEX('Cost_Components'!$R$2:$R$27,MATCH(E820,'Cost_Components'!$A$2:$A$27,0)),"")</f>
      </c>
      <c r="U820" s="75" t="str">
        <f>IFERROR(INDEX('Cost_Components'!$Q$2:$Q$27,MATCH(E820,'Cost_Components'!$A$2:$A$27,0)),"")</f>
      </c>
      <c r="V820" s="76" t="str">
        <f>1/(1+'Calculation_Assumptions'!$B$5)^(B820-'Calculation_Assumptions'!$B$2)</f>
      </c>
      <c r="W820" s="77" t="str">
        <f>Q820*V820</f>
      </c>
      <c r="X820" s="78" t="str">
        <f>R820*V820</f>
      </c>
      <c r="Y820" s="79" t="str">
        <f>S820*V820</f>
      </c>
      <c r="Z820" s="80" t="str">
        <f>IFERROR(INDEX('Cost_Components'!$T$2:$T$27,MATCH(E820,'Cost_Components'!$A$2:$A$27,0)),"")</f>
      </c>
      <c r="AA820" s="81" t="str">
        <f>IFERROR(INDEX('Cost_Components'!$U$2:$U$27,MATCH(E820,'Cost_Components'!$A$2:$A$27,0)),"")</f>
      </c>
      <c r="AB820" s="82" t="str">
        <f>IFERROR(INDEX('Cost_Components'!$V$2:$V$27,MATCH(E820,'Cost_Components'!$A$2:$A$27,0)),"")</f>
      </c>
      <c r="AC820" s="83" t="str">
        <f>IFERROR(INDEX('Cost_Components'!$M$2:$M$27,MATCH(E820,'Cost_Components'!$A$2:$A$27,0)),"")</f>
      </c>
      <c r="AD820" s="84" t="str">
        <f>IFERROR(INDEX('Cost_Components'!$N$2:$N$27,MATCH(E820,'Cost_Components'!$A$2:$A$27,0)),"")</f>
      </c>
      <c r="AE820" s="20" t="str">
        <f>IFERROR(INDEX('Cost_Components'!$O$2:$O$27,MATCH(E820,'Cost_Components'!$A$2:$A$27,0)),"")</f>
      </c>
      <c r="AF820" s="85" t="n">
        <v>102569.951554009</v>
      </c>
      <c r="AG820" s="86" t="n">
        <v>97136.1570592132</v>
      </c>
      <c r="AH820" s="87" t="str">
        <f>IF(H820="shared-count-once",COUNTIFS($A$2:$A$1353,A820,$B$2:$B$1353,B820,$E$2:$E$1353,E820),1)</f>
      </c>
    </row>
    <row r="821">
      <c r="A821" t="s">
        <v>75</v>
      </c>
      <c r="B821" s="59" t="n">
        <v>2038</v>
      </c>
      <c r="C821" t="s">
        <v>200</v>
      </c>
      <c r="D821" t="s">
        <v>190</v>
      </c>
      <c r="E821" s="60" t="s">
        <v>272</v>
      </c>
      <c r="F821" s="61" t="s">
        <v>273</v>
      </c>
      <c r="G821" s="62" t="s">
        <v>201</v>
      </c>
      <c r="H821" s="63" t="s">
        <v>195</v>
      </c>
      <c r="I821" s="64" t="s">
        <v>267</v>
      </c>
      <c r="J821" s="65" t="str">
        <f>IFERROR(INDEX('Cost_Components'!$K$2:$K$27,MATCH(E821,'Cost_Components'!$A$2:$A$27,0)),"")</f>
      </c>
      <c r="K821" s="66" t="str">
        <f>IF(OR(L821="",Z821="",AA821="",AB821=""),"",IF(B821&lt;AA821,L821,IF(B821&gt;AB821,Z821,L821+(Z821-L821)*MIN(MAX((B821-AA821+1)/MAX(AB821-AA821+1,1),0),1))))</f>
      </c>
      <c r="L821" s="67" t="str">
        <f>IFERROR(INDEX('Cost_Components'!$S$2:$S$27,MATCH(E821,'Cost_Components'!$A$2:$A$27,0)),"")</f>
      </c>
      <c r="M821" s="68" t="str">
        <f>IFERROR(INDEX('Cost_Components'!$L$2:$L$27,MATCH(E821,'Cost_Components'!$A$2:$A$27,0)),"")</f>
      </c>
      <c r="N821" s="69" t="str">
        <f>IFERROR(INDEX('Cost_Components'!$P$2:$P$27,MATCH(E821,'Cost_Components'!$A$2:$A$27,0)),"")</f>
      </c>
      <c r="O821" s="70" t="str">
        <f>AF821*J821</f>
      </c>
      <c r="P821" s="71" t="str">
        <f>AG821*J821</f>
      </c>
      <c r="Q821" s="72" t="str">
        <f>P821*L821*M821*N821</f>
      </c>
      <c r="R821" s="73" t="str">
        <f>O821*K821*M821*N821</f>
      </c>
      <c r="S821" s="74" t="str">
        <f>R821-Q821</f>
      </c>
      <c r="T821" s="20" t="str">
        <f>IFERROR(INDEX('Cost_Components'!$R$2:$R$27,MATCH(E821,'Cost_Components'!$A$2:$A$27,0)),"")</f>
      </c>
      <c r="U821" s="75" t="str">
        <f>IFERROR(INDEX('Cost_Components'!$Q$2:$Q$27,MATCH(E821,'Cost_Components'!$A$2:$A$27,0)),"")</f>
      </c>
      <c r="V821" s="76" t="str">
        <f>1/(1+'Calculation_Assumptions'!$B$5)^(B821-'Calculation_Assumptions'!$B$2)</f>
      </c>
      <c r="W821" s="77" t="str">
        <f>Q821*V821</f>
      </c>
      <c r="X821" s="78" t="str">
        <f>R821*V821</f>
      </c>
      <c r="Y821" s="79" t="str">
        <f>S821*V821</f>
      </c>
      <c r="Z821" s="80" t="str">
        <f>IFERROR(INDEX('Cost_Components'!$T$2:$T$27,MATCH(E821,'Cost_Components'!$A$2:$A$27,0)),"")</f>
      </c>
      <c r="AA821" s="81" t="str">
        <f>IFERROR(INDEX('Cost_Components'!$U$2:$U$27,MATCH(E821,'Cost_Components'!$A$2:$A$27,0)),"")</f>
      </c>
      <c r="AB821" s="82" t="str">
        <f>IFERROR(INDEX('Cost_Components'!$V$2:$V$27,MATCH(E821,'Cost_Components'!$A$2:$A$27,0)),"")</f>
      </c>
      <c r="AC821" s="83" t="str">
        <f>IFERROR(INDEX('Cost_Components'!$M$2:$M$27,MATCH(E821,'Cost_Components'!$A$2:$A$27,0)),"")</f>
      </c>
      <c r="AD821" s="84" t="str">
        <f>IFERROR(INDEX('Cost_Components'!$N$2:$N$27,MATCH(E821,'Cost_Components'!$A$2:$A$27,0)),"")</f>
      </c>
      <c r="AE821" s="20" t="str">
        <f>IFERROR(INDEX('Cost_Components'!$O$2:$O$27,MATCH(E821,'Cost_Components'!$A$2:$A$27,0)),"")</f>
      </c>
      <c r="AF821" s="85" t="n">
        <v>105180.908462499</v>
      </c>
      <c r="AG821" s="86" t="n">
        <v>98998.0143549304</v>
      </c>
      <c r="AH821" s="87" t="str">
        <f>IF(H821="shared-count-once",COUNTIFS($A$2:$A$1353,A821,$B$2:$B$1353,B821,$E$2:$E$1353,E821),1)</f>
      </c>
    </row>
    <row r="822">
      <c r="A822" t="s">
        <v>75</v>
      </c>
      <c r="B822" s="59" t="n">
        <v>2039</v>
      </c>
      <c r="C822" t="s">
        <v>200</v>
      </c>
      <c r="D822" t="s">
        <v>190</v>
      </c>
      <c r="E822" s="60" t="s">
        <v>272</v>
      </c>
      <c r="F822" s="61" t="s">
        <v>273</v>
      </c>
      <c r="G822" s="62" t="s">
        <v>201</v>
      </c>
      <c r="H822" s="63" t="s">
        <v>195</v>
      </c>
      <c r="I822" s="64" t="s">
        <v>267</v>
      </c>
      <c r="J822" s="65" t="str">
        <f>IFERROR(INDEX('Cost_Components'!$K$2:$K$27,MATCH(E822,'Cost_Components'!$A$2:$A$27,0)),"")</f>
      </c>
      <c r="K822" s="66" t="str">
        <f>IF(OR(L822="",Z822="",AA822="",AB822=""),"",IF(B822&lt;AA822,L822,IF(B822&gt;AB822,Z822,L822+(Z822-L822)*MIN(MAX((B822-AA822+1)/MAX(AB822-AA822+1,1),0),1))))</f>
      </c>
      <c r="L822" s="67" t="str">
        <f>IFERROR(INDEX('Cost_Components'!$S$2:$S$27,MATCH(E822,'Cost_Components'!$A$2:$A$27,0)),"")</f>
      </c>
      <c r="M822" s="68" t="str">
        <f>IFERROR(INDEX('Cost_Components'!$L$2:$L$27,MATCH(E822,'Cost_Components'!$A$2:$A$27,0)),"")</f>
      </c>
      <c r="N822" s="69" t="str">
        <f>IFERROR(INDEX('Cost_Components'!$P$2:$P$27,MATCH(E822,'Cost_Components'!$A$2:$A$27,0)),"")</f>
      </c>
      <c r="O822" s="70" t="str">
        <f>AF822*J822</f>
      </c>
      <c r="P822" s="71" t="str">
        <f>AG822*J822</f>
      </c>
      <c r="Q822" s="72" t="str">
        <f>P822*L822*M822*N822</f>
      </c>
      <c r="R822" s="73" t="str">
        <f>O822*K822*M822*N822</f>
      </c>
      <c r="S822" s="74" t="str">
        <f>R822-Q822</f>
      </c>
      <c r="T822" s="20" t="str">
        <f>IFERROR(INDEX('Cost_Components'!$R$2:$R$27,MATCH(E822,'Cost_Components'!$A$2:$A$27,0)),"")</f>
      </c>
      <c r="U822" s="75" t="str">
        <f>IFERROR(INDEX('Cost_Components'!$Q$2:$Q$27,MATCH(E822,'Cost_Components'!$A$2:$A$27,0)),"")</f>
      </c>
      <c r="V822" s="76" t="str">
        <f>1/(1+'Calculation_Assumptions'!$B$5)^(B822-'Calculation_Assumptions'!$B$2)</f>
      </c>
      <c r="W822" s="77" t="str">
        <f>Q822*V822</f>
      </c>
      <c r="X822" s="78" t="str">
        <f>R822*V822</f>
      </c>
      <c r="Y822" s="79" t="str">
        <f>S822*V822</f>
      </c>
      <c r="Z822" s="80" t="str">
        <f>IFERROR(INDEX('Cost_Components'!$T$2:$T$27,MATCH(E822,'Cost_Components'!$A$2:$A$27,0)),"")</f>
      </c>
      <c r="AA822" s="81" t="str">
        <f>IFERROR(INDEX('Cost_Components'!$U$2:$U$27,MATCH(E822,'Cost_Components'!$A$2:$A$27,0)),"")</f>
      </c>
      <c r="AB822" s="82" t="str">
        <f>IFERROR(INDEX('Cost_Components'!$V$2:$V$27,MATCH(E822,'Cost_Components'!$A$2:$A$27,0)),"")</f>
      </c>
      <c r="AC822" s="83" t="str">
        <f>IFERROR(INDEX('Cost_Components'!$M$2:$M$27,MATCH(E822,'Cost_Components'!$A$2:$A$27,0)),"")</f>
      </c>
      <c r="AD822" s="84" t="str">
        <f>IFERROR(INDEX('Cost_Components'!$N$2:$N$27,MATCH(E822,'Cost_Components'!$A$2:$A$27,0)),"")</f>
      </c>
      <c r="AE822" s="20" t="str">
        <f>IFERROR(INDEX('Cost_Components'!$O$2:$O$27,MATCH(E822,'Cost_Components'!$A$2:$A$27,0)),"")</f>
      </c>
      <c r="AF822" s="85" t="n">
        <v>107905.458355807</v>
      </c>
      <c r="AG822" s="86" t="n">
        <v>100926.209893404</v>
      </c>
      <c r="AH822" s="87" t="str">
        <f>IF(H822="shared-count-once",COUNTIFS($A$2:$A$1353,A822,$B$2:$B$1353,B822,$E$2:$E$1353,E822),1)</f>
      </c>
    </row>
    <row r="823">
      <c r="A823" t="s">
        <v>75</v>
      </c>
      <c r="B823" s="59" t="n">
        <v>2040</v>
      </c>
      <c r="C823" t="s">
        <v>200</v>
      </c>
      <c r="D823" t="s">
        <v>190</v>
      </c>
      <c r="E823" s="60" t="s">
        <v>272</v>
      </c>
      <c r="F823" s="61" t="s">
        <v>273</v>
      </c>
      <c r="G823" s="62" t="s">
        <v>201</v>
      </c>
      <c r="H823" s="63" t="s">
        <v>195</v>
      </c>
      <c r="I823" s="64" t="s">
        <v>267</v>
      </c>
      <c r="J823" s="65" t="str">
        <f>IFERROR(INDEX('Cost_Components'!$K$2:$K$27,MATCH(E823,'Cost_Components'!$A$2:$A$27,0)),"")</f>
      </c>
      <c r="K823" s="66" t="str">
        <f>IF(OR(L823="",Z823="",AA823="",AB823=""),"",IF(B823&lt;AA823,L823,IF(B823&gt;AB823,Z823,L823+(Z823-L823)*MIN(MAX((B823-AA823+1)/MAX(AB823-AA823+1,1),0),1))))</f>
      </c>
      <c r="L823" s="67" t="str">
        <f>IFERROR(INDEX('Cost_Components'!$S$2:$S$27,MATCH(E823,'Cost_Components'!$A$2:$A$27,0)),"")</f>
      </c>
      <c r="M823" s="68" t="str">
        <f>IFERROR(INDEX('Cost_Components'!$L$2:$L$27,MATCH(E823,'Cost_Components'!$A$2:$A$27,0)),"")</f>
      </c>
      <c r="N823" s="69" t="str">
        <f>IFERROR(INDEX('Cost_Components'!$P$2:$P$27,MATCH(E823,'Cost_Components'!$A$2:$A$27,0)),"")</f>
      </c>
      <c r="O823" s="70" t="str">
        <f>AF823*J823</f>
      </c>
      <c r="P823" s="71" t="str">
        <f>AG823*J823</f>
      </c>
      <c r="Q823" s="72" t="str">
        <f>P823*L823*M823*N823</f>
      </c>
      <c r="R823" s="73" t="str">
        <f>O823*K823*M823*N823</f>
      </c>
      <c r="S823" s="74" t="str">
        <f>R823-Q823</f>
      </c>
      <c r="T823" s="20" t="str">
        <f>IFERROR(INDEX('Cost_Components'!$R$2:$R$27,MATCH(E823,'Cost_Components'!$A$2:$A$27,0)),"")</f>
      </c>
      <c r="U823" s="75" t="str">
        <f>IFERROR(INDEX('Cost_Components'!$Q$2:$Q$27,MATCH(E823,'Cost_Components'!$A$2:$A$27,0)),"")</f>
      </c>
      <c r="V823" s="76" t="str">
        <f>1/(1+'Calculation_Assumptions'!$B$5)^(B823-'Calculation_Assumptions'!$B$2)</f>
      </c>
      <c r="W823" s="77" t="str">
        <f>Q823*V823</f>
      </c>
      <c r="X823" s="78" t="str">
        <f>R823*V823</f>
      </c>
      <c r="Y823" s="79" t="str">
        <f>S823*V823</f>
      </c>
      <c r="Z823" s="80" t="str">
        <f>IFERROR(INDEX('Cost_Components'!$T$2:$T$27,MATCH(E823,'Cost_Components'!$A$2:$A$27,0)),"")</f>
      </c>
      <c r="AA823" s="81" t="str">
        <f>IFERROR(INDEX('Cost_Components'!$U$2:$U$27,MATCH(E823,'Cost_Components'!$A$2:$A$27,0)),"")</f>
      </c>
      <c r="AB823" s="82" t="str">
        <f>IFERROR(INDEX('Cost_Components'!$V$2:$V$27,MATCH(E823,'Cost_Components'!$A$2:$A$27,0)),"")</f>
      </c>
      <c r="AC823" s="83" t="str">
        <f>IFERROR(INDEX('Cost_Components'!$M$2:$M$27,MATCH(E823,'Cost_Components'!$A$2:$A$27,0)),"")</f>
      </c>
      <c r="AD823" s="84" t="str">
        <f>IFERROR(INDEX('Cost_Components'!$N$2:$N$27,MATCH(E823,'Cost_Components'!$A$2:$A$27,0)),"")</f>
      </c>
      <c r="AE823" s="20" t="str">
        <f>IFERROR(INDEX('Cost_Components'!$O$2:$O$27,MATCH(E823,'Cost_Components'!$A$2:$A$27,0)),"")</f>
      </c>
      <c r="AF823" s="85" t="n">
        <v>110756.244646658</v>
      </c>
      <c r="AG823" s="86" t="n">
        <v>102933.12938022</v>
      </c>
      <c r="AH823" s="87" t="str">
        <f>IF(H823="shared-count-once",COUNTIFS($A$2:$A$1353,A823,$B$2:$B$1353,B823,$E$2:$E$1353,E823),1)</f>
      </c>
    </row>
    <row r="824">
      <c r="A824" t="s">
        <v>75</v>
      </c>
      <c r="B824" s="59" t="n">
        <v>2041</v>
      </c>
      <c r="C824" t="s">
        <v>200</v>
      </c>
      <c r="D824" t="s">
        <v>190</v>
      </c>
      <c r="E824" s="60" t="s">
        <v>272</v>
      </c>
      <c r="F824" s="61" t="s">
        <v>273</v>
      </c>
      <c r="G824" s="62" t="s">
        <v>201</v>
      </c>
      <c r="H824" s="63" t="s">
        <v>195</v>
      </c>
      <c r="I824" s="64" t="s">
        <v>267</v>
      </c>
      <c r="J824" s="65" t="str">
        <f>IFERROR(INDEX('Cost_Components'!$K$2:$K$27,MATCH(E824,'Cost_Components'!$A$2:$A$27,0)),"")</f>
      </c>
      <c r="K824" s="66" t="str">
        <f>IF(OR(L824="",Z824="",AA824="",AB824=""),"",IF(B824&lt;AA824,L824,IF(B824&gt;AB824,Z824,L824+(Z824-L824)*MIN(MAX((B824-AA824+1)/MAX(AB824-AA824+1,1),0),1))))</f>
      </c>
      <c r="L824" s="67" t="str">
        <f>IFERROR(INDEX('Cost_Components'!$S$2:$S$27,MATCH(E824,'Cost_Components'!$A$2:$A$27,0)),"")</f>
      </c>
      <c r="M824" s="68" t="str">
        <f>IFERROR(INDEX('Cost_Components'!$L$2:$L$27,MATCH(E824,'Cost_Components'!$A$2:$A$27,0)),"")</f>
      </c>
      <c r="N824" s="69" t="str">
        <f>IFERROR(INDEX('Cost_Components'!$P$2:$P$27,MATCH(E824,'Cost_Components'!$A$2:$A$27,0)),"")</f>
      </c>
      <c r="O824" s="70" t="str">
        <f>AF824*J824</f>
      </c>
      <c r="P824" s="71" t="str">
        <f>AG824*J824</f>
      </c>
      <c r="Q824" s="72" t="str">
        <f>P824*L824*M824*N824</f>
      </c>
      <c r="R824" s="73" t="str">
        <f>O824*K824*M824*N824</f>
      </c>
      <c r="S824" s="74" t="str">
        <f>R824-Q824</f>
      </c>
      <c r="T824" s="20" t="str">
        <f>IFERROR(INDEX('Cost_Components'!$R$2:$R$27,MATCH(E824,'Cost_Components'!$A$2:$A$27,0)),"")</f>
      </c>
      <c r="U824" s="75" t="str">
        <f>IFERROR(INDEX('Cost_Components'!$Q$2:$Q$27,MATCH(E824,'Cost_Components'!$A$2:$A$27,0)),"")</f>
      </c>
      <c r="V824" s="76" t="str">
        <f>1/(1+'Calculation_Assumptions'!$B$5)^(B824-'Calculation_Assumptions'!$B$2)</f>
      </c>
      <c r="W824" s="77" t="str">
        <f>Q824*V824</f>
      </c>
      <c r="X824" s="78" t="str">
        <f>R824*V824</f>
      </c>
      <c r="Y824" s="79" t="str">
        <f>S824*V824</f>
      </c>
      <c r="Z824" s="80" t="str">
        <f>IFERROR(INDEX('Cost_Components'!$T$2:$T$27,MATCH(E824,'Cost_Components'!$A$2:$A$27,0)),"")</f>
      </c>
      <c r="AA824" s="81" t="str">
        <f>IFERROR(INDEX('Cost_Components'!$U$2:$U$27,MATCH(E824,'Cost_Components'!$A$2:$A$27,0)),"")</f>
      </c>
      <c r="AB824" s="82" t="str">
        <f>IFERROR(INDEX('Cost_Components'!$V$2:$V$27,MATCH(E824,'Cost_Components'!$A$2:$A$27,0)),"")</f>
      </c>
      <c r="AC824" s="83" t="str">
        <f>IFERROR(INDEX('Cost_Components'!$M$2:$M$27,MATCH(E824,'Cost_Components'!$A$2:$A$27,0)),"")</f>
      </c>
      <c r="AD824" s="84" t="str">
        <f>IFERROR(INDEX('Cost_Components'!$N$2:$N$27,MATCH(E824,'Cost_Components'!$A$2:$A$27,0)),"")</f>
      </c>
      <c r="AE824" s="20" t="str">
        <f>IFERROR(INDEX('Cost_Components'!$O$2:$O$27,MATCH(E824,'Cost_Components'!$A$2:$A$27,0)),"")</f>
      </c>
      <c r="AF824" s="85" t="n">
        <v>113734.34938265</v>
      </c>
      <c r="AG824" s="86" t="n">
        <v>105017.945173141</v>
      </c>
      <c r="AH824" s="87" t="str">
        <f>IF(H824="shared-count-once",COUNTIFS($A$2:$A$1353,A824,$B$2:$B$1353,B824,$E$2:$E$1353,E824),1)</f>
      </c>
    </row>
    <row r="825">
      <c r="A825" t="s">
        <v>75</v>
      </c>
      <c r="B825" s="59" t="n">
        <v>2042</v>
      </c>
      <c r="C825" t="s">
        <v>200</v>
      </c>
      <c r="D825" t="s">
        <v>190</v>
      </c>
      <c r="E825" s="60" t="s">
        <v>272</v>
      </c>
      <c r="F825" s="61" t="s">
        <v>273</v>
      </c>
      <c r="G825" s="62" t="s">
        <v>201</v>
      </c>
      <c r="H825" s="63" t="s">
        <v>195</v>
      </c>
      <c r="I825" s="64" t="s">
        <v>267</v>
      </c>
      <c r="J825" s="65" t="str">
        <f>IFERROR(INDEX('Cost_Components'!$K$2:$K$27,MATCH(E825,'Cost_Components'!$A$2:$A$27,0)),"")</f>
      </c>
      <c r="K825" s="66" t="str">
        <f>IF(OR(L825="",Z825="",AA825="",AB825=""),"",IF(B825&lt;AA825,L825,IF(B825&gt;AB825,Z825,L825+(Z825-L825)*MIN(MAX((B825-AA825+1)/MAX(AB825-AA825+1,1),0),1))))</f>
      </c>
      <c r="L825" s="67" t="str">
        <f>IFERROR(INDEX('Cost_Components'!$S$2:$S$27,MATCH(E825,'Cost_Components'!$A$2:$A$27,0)),"")</f>
      </c>
      <c r="M825" s="68" t="str">
        <f>IFERROR(INDEX('Cost_Components'!$L$2:$L$27,MATCH(E825,'Cost_Components'!$A$2:$A$27,0)),"")</f>
      </c>
      <c r="N825" s="69" t="str">
        <f>IFERROR(INDEX('Cost_Components'!$P$2:$P$27,MATCH(E825,'Cost_Components'!$A$2:$A$27,0)),"")</f>
      </c>
      <c r="O825" s="70" t="str">
        <f>AF825*J825</f>
      </c>
      <c r="P825" s="71" t="str">
        <f>AG825*J825</f>
      </c>
      <c r="Q825" s="72" t="str">
        <f>P825*L825*M825*N825</f>
      </c>
      <c r="R825" s="73" t="str">
        <f>O825*K825*M825*N825</f>
      </c>
      <c r="S825" s="74" t="str">
        <f>R825-Q825</f>
      </c>
      <c r="T825" s="20" t="str">
        <f>IFERROR(INDEX('Cost_Components'!$R$2:$R$27,MATCH(E825,'Cost_Components'!$A$2:$A$27,0)),"")</f>
      </c>
      <c r="U825" s="75" t="str">
        <f>IFERROR(INDEX('Cost_Components'!$Q$2:$Q$27,MATCH(E825,'Cost_Components'!$A$2:$A$27,0)),"")</f>
      </c>
      <c r="V825" s="76" t="str">
        <f>1/(1+'Calculation_Assumptions'!$B$5)^(B825-'Calculation_Assumptions'!$B$2)</f>
      </c>
      <c r="W825" s="77" t="str">
        <f>Q825*V825</f>
      </c>
      <c r="X825" s="78" t="str">
        <f>R825*V825</f>
      </c>
      <c r="Y825" s="79" t="str">
        <f>S825*V825</f>
      </c>
      <c r="Z825" s="80" t="str">
        <f>IFERROR(INDEX('Cost_Components'!$T$2:$T$27,MATCH(E825,'Cost_Components'!$A$2:$A$27,0)),"")</f>
      </c>
      <c r="AA825" s="81" t="str">
        <f>IFERROR(INDEX('Cost_Components'!$U$2:$U$27,MATCH(E825,'Cost_Components'!$A$2:$A$27,0)),"")</f>
      </c>
      <c r="AB825" s="82" t="str">
        <f>IFERROR(INDEX('Cost_Components'!$V$2:$V$27,MATCH(E825,'Cost_Components'!$A$2:$A$27,0)),"")</f>
      </c>
      <c r="AC825" s="83" t="str">
        <f>IFERROR(INDEX('Cost_Components'!$M$2:$M$27,MATCH(E825,'Cost_Components'!$A$2:$A$27,0)),"")</f>
      </c>
      <c r="AD825" s="84" t="str">
        <f>IFERROR(INDEX('Cost_Components'!$N$2:$N$27,MATCH(E825,'Cost_Components'!$A$2:$A$27,0)),"")</f>
      </c>
      <c r="AE825" s="20" t="str">
        <f>IFERROR(INDEX('Cost_Components'!$O$2:$O$27,MATCH(E825,'Cost_Components'!$A$2:$A$27,0)),"")</f>
      </c>
      <c r="AF825" s="85" t="n">
        <v>116837.065186677</v>
      </c>
      <c r="AG825" s="86" t="n">
        <v>107176.827813899</v>
      </c>
      <c r="AH825" s="87" t="str">
        <f>IF(H825="shared-count-once",COUNTIFS($A$2:$A$1353,A825,$B$2:$B$1353,B825,$E$2:$E$1353,E825),1)</f>
      </c>
    </row>
    <row r="826">
      <c r="A826" t="s">
        <v>75</v>
      </c>
      <c r="B826" s="59" t="n">
        <v>2043</v>
      </c>
      <c r="C826" t="s">
        <v>200</v>
      </c>
      <c r="D826" t="s">
        <v>190</v>
      </c>
      <c r="E826" s="60" t="s">
        <v>272</v>
      </c>
      <c r="F826" s="61" t="s">
        <v>273</v>
      </c>
      <c r="G826" s="62" t="s">
        <v>201</v>
      </c>
      <c r="H826" s="63" t="s">
        <v>195</v>
      </c>
      <c r="I826" s="64" t="s">
        <v>267</v>
      </c>
      <c r="J826" s="65" t="str">
        <f>IFERROR(INDEX('Cost_Components'!$K$2:$K$27,MATCH(E826,'Cost_Components'!$A$2:$A$27,0)),"")</f>
      </c>
      <c r="K826" s="66" t="str">
        <f>IF(OR(L826="",Z826="",AA826="",AB826=""),"",IF(B826&lt;AA826,L826,IF(B826&gt;AB826,Z826,L826+(Z826-L826)*MIN(MAX((B826-AA826+1)/MAX(AB826-AA826+1,1),0),1))))</f>
      </c>
      <c r="L826" s="67" t="str">
        <f>IFERROR(INDEX('Cost_Components'!$S$2:$S$27,MATCH(E826,'Cost_Components'!$A$2:$A$27,0)),"")</f>
      </c>
      <c r="M826" s="68" t="str">
        <f>IFERROR(INDEX('Cost_Components'!$L$2:$L$27,MATCH(E826,'Cost_Components'!$A$2:$A$27,0)),"")</f>
      </c>
      <c r="N826" s="69" t="str">
        <f>IFERROR(INDEX('Cost_Components'!$P$2:$P$27,MATCH(E826,'Cost_Components'!$A$2:$A$27,0)),"")</f>
      </c>
      <c r="O826" s="70" t="str">
        <f>AF826*J826</f>
      </c>
      <c r="P826" s="71" t="str">
        <f>AG826*J826</f>
      </c>
      <c r="Q826" s="72" t="str">
        <f>P826*L826*M826*N826</f>
      </c>
      <c r="R826" s="73" t="str">
        <f>O826*K826*M826*N826</f>
      </c>
      <c r="S826" s="74" t="str">
        <f>R826-Q826</f>
      </c>
      <c r="T826" s="20" t="str">
        <f>IFERROR(INDEX('Cost_Components'!$R$2:$R$27,MATCH(E826,'Cost_Components'!$A$2:$A$27,0)),"")</f>
      </c>
      <c r="U826" s="75" t="str">
        <f>IFERROR(INDEX('Cost_Components'!$Q$2:$Q$27,MATCH(E826,'Cost_Components'!$A$2:$A$27,0)),"")</f>
      </c>
      <c r="V826" s="76" t="str">
        <f>1/(1+'Calculation_Assumptions'!$B$5)^(B826-'Calculation_Assumptions'!$B$2)</f>
      </c>
      <c r="W826" s="77" t="str">
        <f>Q826*V826</f>
      </c>
      <c r="X826" s="78" t="str">
        <f>R826*V826</f>
      </c>
      <c r="Y826" s="79" t="str">
        <f>S826*V826</f>
      </c>
      <c r="Z826" s="80" t="str">
        <f>IFERROR(INDEX('Cost_Components'!$T$2:$T$27,MATCH(E826,'Cost_Components'!$A$2:$A$27,0)),"")</f>
      </c>
      <c r="AA826" s="81" t="str">
        <f>IFERROR(INDEX('Cost_Components'!$U$2:$U$27,MATCH(E826,'Cost_Components'!$A$2:$A$27,0)),"")</f>
      </c>
      <c r="AB826" s="82" t="str">
        <f>IFERROR(INDEX('Cost_Components'!$V$2:$V$27,MATCH(E826,'Cost_Components'!$A$2:$A$27,0)),"")</f>
      </c>
      <c r="AC826" s="83" t="str">
        <f>IFERROR(INDEX('Cost_Components'!$M$2:$M$27,MATCH(E826,'Cost_Components'!$A$2:$A$27,0)),"")</f>
      </c>
      <c r="AD826" s="84" t="str">
        <f>IFERROR(INDEX('Cost_Components'!$N$2:$N$27,MATCH(E826,'Cost_Components'!$A$2:$A$27,0)),"")</f>
      </c>
      <c r="AE826" s="20" t="str">
        <f>IFERROR(INDEX('Cost_Components'!$O$2:$O$27,MATCH(E826,'Cost_Components'!$A$2:$A$27,0)),"")</f>
      </c>
      <c r="AF826" s="85" t="n">
        <v>120067.956480177</v>
      </c>
      <c r="AG826" s="86" t="n">
        <v>109412.075927052</v>
      </c>
      <c r="AH826" s="87" t="str">
        <f>IF(H826="shared-count-once",COUNTIFS($A$2:$A$1353,A826,$B$2:$B$1353,B826,$E$2:$E$1353,E826),1)</f>
      </c>
    </row>
    <row r="827">
      <c r="A827" t="s">
        <v>75</v>
      </c>
      <c r="B827" s="59" t="n">
        <v>2044</v>
      </c>
      <c r="C827" t="s">
        <v>200</v>
      </c>
      <c r="D827" t="s">
        <v>190</v>
      </c>
      <c r="E827" s="60" t="s">
        <v>272</v>
      </c>
      <c r="F827" s="61" t="s">
        <v>273</v>
      </c>
      <c r="G827" s="62" t="s">
        <v>201</v>
      </c>
      <c r="H827" s="63" t="s">
        <v>195</v>
      </c>
      <c r="I827" s="64" t="s">
        <v>267</v>
      </c>
      <c r="J827" s="65" t="str">
        <f>IFERROR(INDEX('Cost_Components'!$K$2:$K$27,MATCH(E827,'Cost_Components'!$A$2:$A$27,0)),"")</f>
      </c>
      <c r="K827" s="66" t="str">
        <f>IF(OR(L827="",Z827="",AA827="",AB827=""),"",IF(B827&lt;AA827,L827,IF(B827&gt;AB827,Z827,L827+(Z827-L827)*MIN(MAX((B827-AA827+1)/MAX(AB827-AA827+1,1),0),1))))</f>
      </c>
      <c r="L827" s="67" t="str">
        <f>IFERROR(INDEX('Cost_Components'!$S$2:$S$27,MATCH(E827,'Cost_Components'!$A$2:$A$27,0)),"")</f>
      </c>
      <c r="M827" s="68" t="str">
        <f>IFERROR(INDEX('Cost_Components'!$L$2:$L$27,MATCH(E827,'Cost_Components'!$A$2:$A$27,0)),"")</f>
      </c>
      <c r="N827" s="69" t="str">
        <f>IFERROR(INDEX('Cost_Components'!$P$2:$P$27,MATCH(E827,'Cost_Components'!$A$2:$A$27,0)),"")</f>
      </c>
      <c r="O827" s="70" t="str">
        <f>AF827*J827</f>
      </c>
      <c r="P827" s="71" t="str">
        <f>AG827*J827</f>
      </c>
      <c r="Q827" s="72" t="str">
        <f>P827*L827*M827*N827</f>
      </c>
      <c r="R827" s="73" t="str">
        <f>O827*K827*M827*N827</f>
      </c>
      <c r="S827" s="74" t="str">
        <f>R827-Q827</f>
      </c>
      <c r="T827" s="20" t="str">
        <f>IFERROR(INDEX('Cost_Components'!$R$2:$R$27,MATCH(E827,'Cost_Components'!$A$2:$A$27,0)),"")</f>
      </c>
      <c r="U827" s="75" t="str">
        <f>IFERROR(INDEX('Cost_Components'!$Q$2:$Q$27,MATCH(E827,'Cost_Components'!$A$2:$A$27,0)),"")</f>
      </c>
      <c r="V827" s="76" t="str">
        <f>1/(1+'Calculation_Assumptions'!$B$5)^(B827-'Calculation_Assumptions'!$B$2)</f>
      </c>
      <c r="W827" s="77" t="str">
        <f>Q827*V827</f>
      </c>
      <c r="X827" s="78" t="str">
        <f>R827*V827</f>
      </c>
      <c r="Y827" s="79" t="str">
        <f>S827*V827</f>
      </c>
      <c r="Z827" s="80" t="str">
        <f>IFERROR(INDEX('Cost_Components'!$T$2:$T$27,MATCH(E827,'Cost_Components'!$A$2:$A$27,0)),"")</f>
      </c>
      <c r="AA827" s="81" t="str">
        <f>IFERROR(INDEX('Cost_Components'!$U$2:$U$27,MATCH(E827,'Cost_Components'!$A$2:$A$27,0)),"")</f>
      </c>
      <c r="AB827" s="82" t="str">
        <f>IFERROR(INDEX('Cost_Components'!$V$2:$V$27,MATCH(E827,'Cost_Components'!$A$2:$A$27,0)),"")</f>
      </c>
      <c r="AC827" s="83" t="str">
        <f>IFERROR(INDEX('Cost_Components'!$M$2:$M$27,MATCH(E827,'Cost_Components'!$A$2:$A$27,0)),"")</f>
      </c>
      <c r="AD827" s="84" t="str">
        <f>IFERROR(INDEX('Cost_Components'!$N$2:$N$27,MATCH(E827,'Cost_Components'!$A$2:$A$27,0)),"")</f>
      </c>
      <c r="AE827" s="20" t="str">
        <f>IFERROR(INDEX('Cost_Components'!$O$2:$O$27,MATCH(E827,'Cost_Components'!$A$2:$A$27,0)),"")</f>
      </c>
      <c r="AF827" s="85" t="n">
        <v>123421.351595587</v>
      </c>
      <c r="AG827" s="86" t="n">
        <v>111717.49359171</v>
      </c>
      <c r="AH827" s="87" t="str">
        <f>IF(H827="shared-count-once",COUNTIFS($A$2:$A$1353,A827,$B$2:$B$1353,B827,$E$2:$E$1353,E827),1)</f>
      </c>
    </row>
    <row r="828">
      <c r="A828" t="s">
        <v>75</v>
      </c>
      <c r="B828" s="59" t="n">
        <v>2045</v>
      </c>
      <c r="C828" t="s">
        <v>200</v>
      </c>
      <c r="D828" t="s">
        <v>190</v>
      </c>
      <c r="E828" s="60" t="s">
        <v>272</v>
      </c>
      <c r="F828" s="61" t="s">
        <v>273</v>
      </c>
      <c r="G828" s="62" t="s">
        <v>201</v>
      </c>
      <c r="H828" s="63" t="s">
        <v>195</v>
      </c>
      <c r="I828" s="64" t="s">
        <v>267</v>
      </c>
      <c r="J828" s="65" t="str">
        <f>IFERROR(INDEX('Cost_Components'!$K$2:$K$27,MATCH(E828,'Cost_Components'!$A$2:$A$27,0)),"")</f>
      </c>
      <c r="K828" s="66" t="str">
        <f>IF(OR(L828="",Z828="",AA828="",AB828=""),"",IF(B828&lt;AA828,L828,IF(B828&gt;AB828,Z828,L828+(Z828-L828)*MIN(MAX((B828-AA828+1)/MAX(AB828-AA828+1,1),0),1))))</f>
      </c>
      <c r="L828" s="67" t="str">
        <f>IFERROR(INDEX('Cost_Components'!$S$2:$S$27,MATCH(E828,'Cost_Components'!$A$2:$A$27,0)),"")</f>
      </c>
      <c r="M828" s="68" t="str">
        <f>IFERROR(INDEX('Cost_Components'!$L$2:$L$27,MATCH(E828,'Cost_Components'!$A$2:$A$27,0)),"")</f>
      </c>
      <c r="N828" s="69" t="str">
        <f>IFERROR(INDEX('Cost_Components'!$P$2:$P$27,MATCH(E828,'Cost_Components'!$A$2:$A$27,0)),"")</f>
      </c>
      <c r="O828" s="70" t="str">
        <f>AF828*J828</f>
      </c>
      <c r="P828" s="71" t="str">
        <f>AG828*J828</f>
      </c>
      <c r="Q828" s="72" t="str">
        <f>P828*L828*M828*N828</f>
      </c>
      <c r="R828" s="73" t="str">
        <f>O828*K828*M828*N828</f>
      </c>
      <c r="S828" s="74" t="str">
        <f>R828-Q828</f>
      </c>
      <c r="T828" s="20" t="str">
        <f>IFERROR(INDEX('Cost_Components'!$R$2:$R$27,MATCH(E828,'Cost_Components'!$A$2:$A$27,0)),"")</f>
      </c>
      <c r="U828" s="75" t="str">
        <f>IFERROR(INDEX('Cost_Components'!$Q$2:$Q$27,MATCH(E828,'Cost_Components'!$A$2:$A$27,0)),"")</f>
      </c>
      <c r="V828" s="76" t="str">
        <f>1/(1+'Calculation_Assumptions'!$B$5)^(B828-'Calculation_Assumptions'!$B$2)</f>
      </c>
      <c r="W828" s="77" t="str">
        <f>Q828*V828</f>
      </c>
      <c r="X828" s="78" t="str">
        <f>R828*V828</f>
      </c>
      <c r="Y828" s="79" t="str">
        <f>S828*V828</f>
      </c>
      <c r="Z828" s="80" t="str">
        <f>IFERROR(INDEX('Cost_Components'!$T$2:$T$27,MATCH(E828,'Cost_Components'!$A$2:$A$27,0)),"")</f>
      </c>
      <c r="AA828" s="81" t="str">
        <f>IFERROR(INDEX('Cost_Components'!$U$2:$U$27,MATCH(E828,'Cost_Components'!$A$2:$A$27,0)),"")</f>
      </c>
      <c r="AB828" s="82" t="str">
        <f>IFERROR(INDEX('Cost_Components'!$V$2:$V$27,MATCH(E828,'Cost_Components'!$A$2:$A$27,0)),"")</f>
      </c>
      <c r="AC828" s="83" t="str">
        <f>IFERROR(INDEX('Cost_Components'!$M$2:$M$27,MATCH(E828,'Cost_Components'!$A$2:$A$27,0)),"")</f>
      </c>
      <c r="AD828" s="84" t="str">
        <f>IFERROR(INDEX('Cost_Components'!$N$2:$N$27,MATCH(E828,'Cost_Components'!$A$2:$A$27,0)),"")</f>
      </c>
      <c r="AE828" s="20" t="str">
        <f>IFERROR(INDEX('Cost_Components'!$O$2:$O$27,MATCH(E828,'Cost_Components'!$A$2:$A$27,0)),"")</f>
      </c>
      <c r="AF828" s="85" t="n">
        <v>126898.670263431</v>
      </c>
      <c r="AG828" s="86" t="n">
        <v>114095.274012368</v>
      </c>
      <c r="AH828" s="87" t="str">
        <f>IF(H828="shared-count-once",COUNTIFS($A$2:$A$1353,A828,$B$2:$B$1353,B828,$E$2:$E$1353,E828),1)</f>
      </c>
    </row>
    <row r="829">
      <c r="A829" t="s">
        <v>75</v>
      </c>
      <c r="B829" s="59" t="n">
        <v>2046</v>
      </c>
      <c r="C829" t="s">
        <v>200</v>
      </c>
      <c r="D829" t="s">
        <v>190</v>
      </c>
      <c r="E829" s="60" t="s">
        <v>272</v>
      </c>
      <c r="F829" s="61" t="s">
        <v>273</v>
      </c>
      <c r="G829" s="62" t="s">
        <v>201</v>
      </c>
      <c r="H829" s="63" t="s">
        <v>195</v>
      </c>
      <c r="I829" s="64" t="s">
        <v>267</v>
      </c>
      <c r="J829" s="65" t="str">
        <f>IFERROR(INDEX('Cost_Components'!$K$2:$K$27,MATCH(E829,'Cost_Components'!$A$2:$A$27,0)),"")</f>
      </c>
      <c r="K829" s="66" t="str">
        <f>IF(OR(L829="",Z829="",AA829="",AB829=""),"",IF(B829&lt;AA829,L829,IF(B829&gt;AB829,Z829,L829+(Z829-L829)*MIN(MAX((B829-AA829+1)/MAX(AB829-AA829+1,1),0),1))))</f>
      </c>
      <c r="L829" s="67" t="str">
        <f>IFERROR(INDEX('Cost_Components'!$S$2:$S$27,MATCH(E829,'Cost_Components'!$A$2:$A$27,0)),"")</f>
      </c>
      <c r="M829" s="68" t="str">
        <f>IFERROR(INDEX('Cost_Components'!$L$2:$L$27,MATCH(E829,'Cost_Components'!$A$2:$A$27,0)),"")</f>
      </c>
      <c r="N829" s="69" t="str">
        <f>IFERROR(INDEX('Cost_Components'!$P$2:$P$27,MATCH(E829,'Cost_Components'!$A$2:$A$27,0)),"")</f>
      </c>
      <c r="O829" s="70" t="str">
        <f>AF829*J829</f>
      </c>
      <c r="P829" s="71" t="str">
        <f>AG829*J829</f>
      </c>
      <c r="Q829" s="72" t="str">
        <f>P829*L829*M829*N829</f>
      </c>
      <c r="R829" s="73" t="str">
        <f>O829*K829*M829*N829</f>
      </c>
      <c r="S829" s="74" t="str">
        <f>R829-Q829</f>
      </c>
      <c r="T829" s="20" t="str">
        <f>IFERROR(INDEX('Cost_Components'!$R$2:$R$27,MATCH(E829,'Cost_Components'!$A$2:$A$27,0)),"")</f>
      </c>
      <c r="U829" s="75" t="str">
        <f>IFERROR(INDEX('Cost_Components'!$Q$2:$Q$27,MATCH(E829,'Cost_Components'!$A$2:$A$27,0)),"")</f>
      </c>
      <c r="V829" s="76" t="str">
        <f>1/(1+'Calculation_Assumptions'!$B$5)^(B829-'Calculation_Assumptions'!$B$2)</f>
      </c>
      <c r="W829" s="77" t="str">
        <f>Q829*V829</f>
      </c>
      <c r="X829" s="78" t="str">
        <f>R829*V829</f>
      </c>
      <c r="Y829" s="79" t="str">
        <f>S829*V829</f>
      </c>
      <c r="Z829" s="80" t="str">
        <f>IFERROR(INDEX('Cost_Components'!$T$2:$T$27,MATCH(E829,'Cost_Components'!$A$2:$A$27,0)),"")</f>
      </c>
      <c r="AA829" s="81" t="str">
        <f>IFERROR(INDEX('Cost_Components'!$U$2:$U$27,MATCH(E829,'Cost_Components'!$A$2:$A$27,0)),"")</f>
      </c>
      <c r="AB829" s="82" t="str">
        <f>IFERROR(INDEX('Cost_Components'!$V$2:$V$27,MATCH(E829,'Cost_Components'!$A$2:$A$27,0)),"")</f>
      </c>
      <c r="AC829" s="83" t="str">
        <f>IFERROR(INDEX('Cost_Components'!$M$2:$M$27,MATCH(E829,'Cost_Components'!$A$2:$A$27,0)),"")</f>
      </c>
      <c r="AD829" s="84" t="str">
        <f>IFERROR(INDEX('Cost_Components'!$N$2:$N$27,MATCH(E829,'Cost_Components'!$A$2:$A$27,0)),"")</f>
      </c>
      <c r="AE829" s="20" t="str">
        <f>IFERROR(INDEX('Cost_Components'!$O$2:$O$27,MATCH(E829,'Cost_Components'!$A$2:$A$27,0)),"")</f>
      </c>
      <c r="AF829" s="85" t="n">
        <v>130482.125746266</v>
      </c>
      <c r="AG829" s="86" t="n">
        <v>116526.846002341</v>
      </c>
      <c r="AH829" s="87" t="str">
        <f>IF(H829="shared-count-once",COUNTIFS($A$2:$A$1353,A829,$B$2:$B$1353,B829,$E$2:$E$1353,E829),1)</f>
      </c>
    </row>
    <row r="830">
      <c r="A830" t="s">
        <v>75</v>
      </c>
      <c r="B830" s="59" t="n">
        <v>2047</v>
      </c>
      <c r="C830" t="s">
        <v>200</v>
      </c>
      <c r="D830" t="s">
        <v>190</v>
      </c>
      <c r="E830" s="60" t="s">
        <v>272</v>
      </c>
      <c r="F830" s="61" t="s">
        <v>273</v>
      </c>
      <c r="G830" s="62" t="s">
        <v>201</v>
      </c>
      <c r="H830" s="63" t="s">
        <v>195</v>
      </c>
      <c r="I830" s="64" t="s">
        <v>267</v>
      </c>
      <c r="J830" s="65" t="str">
        <f>IFERROR(INDEX('Cost_Components'!$K$2:$K$27,MATCH(E830,'Cost_Components'!$A$2:$A$27,0)),"")</f>
      </c>
      <c r="K830" s="66" t="str">
        <f>IF(OR(L830="",Z830="",AA830="",AB830=""),"",IF(B830&lt;AA830,L830,IF(B830&gt;AB830,Z830,L830+(Z830-L830)*MIN(MAX((B830-AA830+1)/MAX(AB830-AA830+1,1),0),1))))</f>
      </c>
      <c r="L830" s="67" t="str">
        <f>IFERROR(INDEX('Cost_Components'!$S$2:$S$27,MATCH(E830,'Cost_Components'!$A$2:$A$27,0)),"")</f>
      </c>
      <c r="M830" s="68" t="str">
        <f>IFERROR(INDEX('Cost_Components'!$L$2:$L$27,MATCH(E830,'Cost_Components'!$A$2:$A$27,0)),"")</f>
      </c>
      <c r="N830" s="69" t="str">
        <f>IFERROR(INDEX('Cost_Components'!$P$2:$P$27,MATCH(E830,'Cost_Components'!$A$2:$A$27,0)),"")</f>
      </c>
      <c r="O830" s="70" t="str">
        <f>AF830*J830</f>
      </c>
      <c r="P830" s="71" t="str">
        <f>AG830*J830</f>
      </c>
      <c r="Q830" s="72" t="str">
        <f>P830*L830*M830*N830</f>
      </c>
      <c r="R830" s="73" t="str">
        <f>O830*K830*M830*N830</f>
      </c>
      <c r="S830" s="74" t="str">
        <f>R830-Q830</f>
      </c>
      <c r="T830" s="20" t="str">
        <f>IFERROR(INDEX('Cost_Components'!$R$2:$R$27,MATCH(E830,'Cost_Components'!$A$2:$A$27,0)),"")</f>
      </c>
      <c r="U830" s="75" t="str">
        <f>IFERROR(INDEX('Cost_Components'!$Q$2:$Q$27,MATCH(E830,'Cost_Components'!$A$2:$A$27,0)),"")</f>
      </c>
      <c r="V830" s="76" t="str">
        <f>1/(1+'Calculation_Assumptions'!$B$5)^(B830-'Calculation_Assumptions'!$B$2)</f>
      </c>
      <c r="W830" s="77" t="str">
        <f>Q830*V830</f>
      </c>
      <c r="X830" s="78" t="str">
        <f>R830*V830</f>
      </c>
      <c r="Y830" s="79" t="str">
        <f>S830*V830</f>
      </c>
      <c r="Z830" s="80" t="str">
        <f>IFERROR(INDEX('Cost_Components'!$T$2:$T$27,MATCH(E830,'Cost_Components'!$A$2:$A$27,0)),"")</f>
      </c>
      <c r="AA830" s="81" t="str">
        <f>IFERROR(INDEX('Cost_Components'!$U$2:$U$27,MATCH(E830,'Cost_Components'!$A$2:$A$27,0)),"")</f>
      </c>
      <c r="AB830" s="82" t="str">
        <f>IFERROR(INDEX('Cost_Components'!$V$2:$V$27,MATCH(E830,'Cost_Components'!$A$2:$A$27,0)),"")</f>
      </c>
      <c r="AC830" s="83" t="str">
        <f>IFERROR(INDEX('Cost_Components'!$M$2:$M$27,MATCH(E830,'Cost_Components'!$A$2:$A$27,0)),"")</f>
      </c>
      <c r="AD830" s="84" t="str">
        <f>IFERROR(INDEX('Cost_Components'!$N$2:$N$27,MATCH(E830,'Cost_Components'!$A$2:$A$27,0)),"")</f>
      </c>
      <c r="AE830" s="20" t="str">
        <f>IFERROR(INDEX('Cost_Components'!$O$2:$O$27,MATCH(E830,'Cost_Components'!$A$2:$A$27,0)),"")</f>
      </c>
      <c r="AF830" s="85" t="n">
        <v>134154.275115244</v>
      </c>
      <c r="AG830" s="86" t="n">
        <v>118996.23941396</v>
      </c>
      <c r="AH830" s="87" t="str">
        <f>IF(H830="shared-count-once",COUNTIFS($A$2:$A$1353,A830,$B$2:$B$1353,B830,$E$2:$E$1353,E830),1)</f>
      </c>
    </row>
    <row r="831">
      <c r="A831" t="s">
        <v>75</v>
      </c>
      <c r="B831" s="59" t="n">
        <v>2048</v>
      </c>
      <c r="C831" t="s">
        <v>200</v>
      </c>
      <c r="D831" t="s">
        <v>190</v>
      </c>
      <c r="E831" s="60" t="s">
        <v>272</v>
      </c>
      <c r="F831" s="61" t="s">
        <v>273</v>
      </c>
      <c r="G831" s="62" t="s">
        <v>201</v>
      </c>
      <c r="H831" s="63" t="s">
        <v>195</v>
      </c>
      <c r="I831" s="64" t="s">
        <v>267</v>
      </c>
      <c r="J831" s="65" t="str">
        <f>IFERROR(INDEX('Cost_Components'!$K$2:$K$27,MATCH(E831,'Cost_Components'!$A$2:$A$27,0)),"")</f>
      </c>
      <c r="K831" s="66" t="str">
        <f>IF(OR(L831="",Z831="",AA831="",AB831=""),"",IF(B831&lt;AA831,L831,IF(B831&gt;AB831,Z831,L831+(Z831-L831)*MIN(MAX((B831-AA831+1)/MAX(AB831-AA831+1,1),0),1))))</f>
      </c>
      <c r="L831" s="67" t="str">
        <f>IFERROR(INDEX('Cost_Components'!$S$2:$S$27,MATCH(E831,'Cost_Components'!$A$2:$A$27,0)),"")</f>
      </c>
      <c r="M831" s="68" t="str">
        <f>IFERROR(INDEX('Cost_Components'!$L$2:$L$27,MATCH(E831,'Cost_Components'!$A$2:$A$27,0)),"")</f>
      </c>
      <c r="N831" s="69" t="str">
        <f>IFERROR(INDEX('Cost_Components'!$P$2:$P$27,MATCH(E831,'Cost_Components'!$A$2:$A$27,0)),"")</f>
      </c>
      <c r="O831" s="70" t="str">
        <f>AF831*J831</f>
      </c>
      <c r="P831" s="71" t="str">
        <f>AG831*J831</f>
      </c>
      <c r="Q831" s="72" t="str">
        <f>P831*L831*M831*N831</f>
      </c>
      <c r="R831" s="73" t="str">
        <f>O831*K831*M831*N831</f>
      </c>
      <c r="S831" s="74" t="str">
        <f>R831-Q831</f>
      </c>
      <c r="T831" s="20" t="str">
        <f>IFERROR(INDEX('Cost_Components'!$R$2:$R$27,MATCH(E831,'Cost_Components'!$A$2:$A$27,0)),"")</f>
      </c>
      <c r="U831" s="75" t="str">
        <f>IFERROR(INDEX('Cost_Components'!$Q$2:$Q$27,MATCH(E831,'Cost_Components'!$A$2:$A$27,0)),"")</f>
      </c>
      <c r="V831" s="76" t="str">
        <f>1/(1+'Calculation_Assumptions'!$B$5)^(B831-'Calculation_Assumptions'!$B$2)</f>
      </c>
      <c r="W831" s="77" t="str">
        <f>Q831*V831</f>
      </c>
      <c r="X831" s="78" t="str">
        <f>R831*V831</f>
      </c>
      <c r="Y831" s="79" t="str">
        <f>S831*V831</f>
      </c>
      <c r="Z831" s="80" t="str">
        <f>IFERROR(INDEX('Cost_Components'!$T$2:$T$27,MATCH(E831,'Cost_Components'!$A$2:$A$27,0)),"")</f>
      </c>
      <c r="AA831" s="81" t="str">
        <f>IFERROR(INDEX('Cost_Components'!$U$2:$U$27,MATCH(E831,'Cost_Components'!$A$2:$A$27,0)),"")</f>
      </c>
      <c r="AB831" s="82" t="str">
        <f>IFERROR(INDEX('Cost_Components'!$V$2:$V$27,MATCH(E831,'Cost_Components'!$A$2:$A$27,0)),"")</f>
      </c>
      <c r="AC831" s="83" t="str">
        <f>IFERROR(INDEX('Cost_Components'!$M$2:$M$27,MATCH(E831,'Cost_Components'!$A$2:$A$27,0)),"")</f>
      </c>
      <c r="AD831" s="84" t="str">
        <f>IFERROR(INDEX('Cost_Components'!$N$2:$N$27,MATCH(E831,'Cost_Components'!$A$2:$A$27,0)),"")</f>
      </c>
      <c r="AE831" s="20" t="str">
        <f>IFERROR(INDEX('Cost_Components'!$O$2:$O$27,MATCH(E831,'Cost_Components'!$A$2:$A$27,0)),"")</f>
      </c>
      <c r="AF831" s="85" t="n">
        <v>137892.438781598</v>
      </c>
      <c r="AG831" s="86" t="n">
        <v>121484.742904679</v>
      </c>
      <c r="AH831" s="87" t="str">
        <f>IF(H831="shared-count-once",COUNTIFS($A$2:$A$1353,A831,$B$2:$B$1353,B831,$E$2:$E$1353,E831),1)</f>
      </c>
    </row>
    <row r="832">
      <c r="A832" t="s">
        <v>75</v>
      </c>
      <c r="B832" s="59" t="n">
        <v>2049</v>
      </c>
      <c r="C832" t="s">
        <v>200</v>
      </c>
      <c r="D832" t="s">
        <v>190</v>
      </c>
      <c r="E832" s="60" t="s">
        <v>272</v>
      </c>
      <c r="F832" s="61" t="s">
        <v>273</v>
      </c>
      <c r="G832" s="62" t="s">
        <v>201</v>
      </c>
      <c r="H832" s="63" t="s">
        <v>195</v>
      </c>
      <c r="I832" s="64" t="s">
        <v>267</v>
      </c>
      <c r="J832" s="65" t="str">
        <f>IFERROR(INDEX('Cost_Components'!$K$2:$K$27,MATCH(E832,'Cost_Components'!$A$2:$A$27,0)),"")</f>
      </c>
      <c r="K832" s="66" t="str">
        <f>IF(OR(L832="",Z832="",AA832="",AB832=""),"",IF(B832&lt;AA832,L832,IF(B832&gt;AB832,Z832,L832+(Z832-L832)*MIN(MAX((B832-AA832+1)/MAX(AB832-AA832+1,1),0),1))))</f>
      </c>
      <c r="L832" s="67" t="str">
        <f>IFERROR(INDEX('Cost_Components'!$S$2:$S$27,MATCH(E832,'Cost_Components'!$A$2:$A$27,0)),"")</f>
      </c>
      <c r="M832" s="68" t="str">
        <f>IFERROR(INDEX('Cost_Components'!$L$2:$L$27,MATCH(E832,'Cost_Components'!$A$2:$A$27,0)),"")</f>
      </c>
      <c r="N832" s="69" t="str">
        <f>IFERROR(INDEX('Cost_Components'!$P$2:$P$27,MATCH(E832,'Cost_Components'!$A$2:$A$27,0)),"")</f>
      </c>
      <c r="O832" s="70" t="str">
        <f>AF832*J832</f>
      </c>
      <c r="P832" s="71" t="str">
        <f>AG832*J832</f>
      </c>
      <c r="Q832" s="72" t="str">
        <f>P832*L832*M832*N832</f>
      </c>
      <c r="R832" s="73" t="str">
        <f>O832*K832*M832*N832</f>
      </c>
      <c r="S832" s="74" t="str">
        <f>R832-Q832</f>
      </c>
      <c r="T832" s="20" t="str">
        <f>IFERROR(INDEX('Cost_Components'!$R$2:$R$27,MATCH(E832,'Cost_Components'!$A$2:$A$27,0)),"")</f>
      </c>
      <c r="U832" s="75" t="str">
        <f>IFERROR(INDEX('Cost_Components'!$Q$2:$Q$27,MATCH(E832,'Cost_Components'!$A$2:$A$27,0)),"")</f>
      </c>
      <c r="V832" s="76" t="str">
        <f>1/(1+'Calculation_Assumptions'!$B$5)^(B832-'Calculation_Assumptions'!$B$2)</f>
      </c>
      <c r="W832" s="77" t="str">
        <f>Q832*V832</f>
      </c>
      <c r="X832" s="78" t="str">
        <f>R832*V832</f>
      </c>
      <c r="Y832" s="79" t="str">
        <f>S832*V832</f>
      </c>
      <c r="Z832" s="80" t="str">
        <f>IFERROR(INDEX('Cost_Components'!$T$2:$T$27,MATCH(E832,'Cost_Components'!$A$2:$A$27,0)),"")</f>
      </c>
      <c r="AA832" s="81" t="str">
        <f>IFERROR(INDEX('Cost_Components'!$U$2:$U$27,MATCH(E832,'Cost_Components'!$A$2:$A$27,0)),"")</f>
      </c>
      <c r="AB832" s="82" t="str">
        <f>IFERROR(INDEX('Cost_Components'!$V$2:$V$27,MATCH(E832,'Cost_Components'!$A$2:$A$27,0)),"")</f>
      </c>
      <c r="AC832" s="83" t="str">
        <f>IFERROR(INDEX('Cost_Components'!$M$2:$M$27,MATCH(E832,'Cost_Components'!$A$2:$A$27,0)),"")</f>
      </c>
      <c r="AD832" s="84" t="str">
        <f>IFERROR(INDEX('Cost_Components'!$N$2:$N$27,MATCH(E832,'Cost_Components'!$A$2:$A$27,0)),"")</f>
      </c>
      <c r="AE832" s="20" t="str">
        <f>IFERROR(INDEX('Cost_Components'!$O$2:$O$27,MATCH(E832,'Cost_Components'!$A$2:$A$27,0)),"")</f>
      </c>
      <c r="AF832" s="85" t="n">
        <v>141677.178445436</v>
      </c>
      <c r="AG832" s="86" t="n">
        <v>123973.319152679</v>
      </c>
      <c r="AH832" s="87" t="str">
        <f>IF(H832="shared-count-once",COUNTIFS($A$2:$A$1353,A832,$B$2:$B$1353,B832,$E$2:$E$1353,E832),1)</f>
      </c>
    </row>
    <row r="833">
      <c r="A833" t="s">
        <v>75</v>
      </c>
      <c r="B833" s="59" t="n">
        <v>2050</v>
      </c>
      <c r="C833" t="s">
        <v>200</v>
      </c>
      <c r="D833" t="s">
        <v>190</v>
      </c>
      <c r="E833" s="60" t="s">
        <v>272</v>
      </c>
      <c r="F833" s="61" t="s">
        <v>273</v>
      </c>
      <c r="G833" s="62" t="s">
        <v>201</v>
      </c>
      <c r="H833" s="63" t="s">
        <v>195</v>
      </c>
      <c r="I833" s="64" t="s">
        <v>267</v>
      </c>
      <c r="J833" s="65" t="str">
        <f>IFERROR(INDEX('Cost_Components'!$K$2:$K$27,MATCH(E833,'Cost_Components'!$A$2:$A$27,0)),"")</f>
      </c>
      <c r="K833" s="66" t="str">
        <f>IF(OR(L833="",Z833="",AA833="",AB833=""),"",IF(B833&lt;AA833,L833,IF(B833&gt;AB833,Z833,L833+(Z833-L833)*MIN(MAX((B833-AA833+1)/MAX(AB833-AA833+1,1),0),1))))</f>
      </c>
      <c r="L833" s="67" t="str">
        <f>IFERROR(INDEX('Cost_Components'!$S$2:$S$27,MATCH(E833,'Cost_Components'!$A$2:$A$27,0)),"")</f>
      </c>
      <c r="M833" s="68" t="str">
        <f>IFERROR(INDEX('Cost_Components'!$L$2:$L$27,MATCH(E833,'Cost_Components'!$A$2:$A$27,0)),"")</f>
      </c>
      <c r="N833" s="69" t="str">
        <f>IFERROR(INDEX('Cost_Components'!$P$2:$P$27,MATCH(E833,'Cost_Components'!$A$2:$A$27,0)),"")</f>
      </c>
      <c r="O833" s="70" t="str">
        <f>AF833*J833</f>
      </c>
      <c r="P833" s="71" t="str">
        <f>AG833*J833</f>
      </c>
      <c r="Q833" s="72" t="str">
        <f>P833*L833*M833*N833</f>
      </c>
      <c r="R833" s="73" t="str">
        <f>O833*K833*M833*N833</f>
      </c>
      <c r="S833" s="74" t="str">
        <f>R833-Q833</f>
      </c>
      <c r="T833" s="20" t="str">
        <f>IFERROR(INDEX('Cost_Components'!$R$2:$R$27,MATCH(E833,'Cost_Components'!$A$2:$A$27,0)),"")</f>
      </c>
      <c r="U833" s="75" t="str">
        <f>IFERROR(INDEX('Cost_Components'!$Q$2:$Q$27,MATCH(E833,'Cost_Components'!$A$2:$A$27,0)),"")</f>
      </c>
      <c r="V833" s="76" t="str">
        <f>1/(1+'Calculation_Assumptions'!$B$5)^(B833-'Calculation_Assumptions'!$B$2)</f>
      </c>
      <c r="W833" s="77" t="str">
        <f>Q833*V833</f>
      </c>
      <c r="X833" s="78" t="str">
        <f>R833*V833</f>
      </c>
      <c r="Y833" s="79" t="str">
        <f>S833*V833</f>
      </c>
      <c r="Z833" s="80" t="str">
        <f>IFERROR(INDEX('Cost_Components'!$T$2:$T$27,MATCH(E833,'Cost_Components'!$A$2:$A$27,0)),"")</f>
      </c>
      <c r="AA833" s="81" t="str">
        <f>IFERROR(INDEX('Cost_Components'!$U$2:$U$27,MATCH(E833,'Cost_Components'!$A$2:$A$27,0)),"")</f>
      </c>
      <c r="AB833" s="82" t="str">
        <f>IFERROR(INDEX('Cost_Components'!$V$2:$V$27,MATCH(E833,'Cost_Components'!$A$2:$A$27,0)),"")</f>
      </c>
      <c r="AC833" s="83" t="str">
        <f>IFERROR(INDEX('Cost_Components'!$M$2:$M$27,MATCH(E833,'Cost_Components'!$A$2:$A$27,0)),"")</f>
      </c>
      <c r="AD833" s="84" t="str">
        <f>IFERROR(INDEX('Cost_Components'!$N$2:$N$27,MATCH(E833,'Cost_Components'!$A$2:$A$27,0)),"")</f>
      </c>
      <c r="AE833" s="20" t="str">
        <f>IFERROR(INDEX('Cost_Components'!$O$2:$O$27,MATCH(E833,'Cost_Components'!$A$2:$A$27,0)),"")</f>
      </c>
      <c r="AF833" s="85" t="n">
        <v>145505.106237114</v>
      </c>
      <c r="AG833" s="86" t="n">
        <v>126459.62395605</v>
      </c>
      <c r="AH833" s="87" t="str">
        <f>IF(H833="shared-count-once",COUNTIFS($A$2:$A$1353,A833,$B$2:$B$1353,B833,$E$2:$E$1353,E833),1)</f>
      </c>
    </row>
    <row r="834">
      <c r="A834" t="s">
        <v>75</v>
      </c>
      <c r="B834" s="59" t="n">
        <v>2025</v>
      </c>
      <c r="C834" t="s">
        <v>200</v>
      </c>
      <c r="D834" t="s">
        <v>190</v>
      </c>
      <c r="E834" s="60" t="s">
        <v>275</v>
      </c>
      <c r="F834" s="61" t="s">
        <v>276</v>
      </c>
      <c r="G834" s="62" t="s">
        <v>201</v>
      </c>
      <c r="H834" s="63" t="s">
        <v>195</v>
      </c>
      <c r="I834" s="64" t="s">
        <v>267</v>
      </c>
      <c r="J834" s="65" t="str">
        <f>IFERROR(INDEX('Cost_Components'!$K$2:$K$27,MATCH(E834,'Cost_Components'!$A$2:$A$27,0)),"")</f>
      </c>
      <c r="K834" s="66" t="str">
        <f>IF(OR(L834="",Z834="",AA834="",AB834=""),"",IF(B834&lt;AA834,L834,IF(B834&gt;AB834,Z834,L834+(Z834-L834)*MIN(MAX((B834-AA834+1)/MAX(AB834-AA834+1,1),0),1))))</f>
      </c>
      <c r="L834" s="67" t="str">
        <f>IFERROR(INDEX('Cost_Components'!$S$2:$S$27,MATCH(E834,'Cost_Components'!$A$2:$A$27,0)),"")</f>
      </c>
      <c r="M834" s="68" t="str">
        <f>IFERROR(INDEX('Cost_Components'!$L$2:$L$27,MATCH(E834,'Cost_Components'!$A$2:$A$27,0)),"")</f>
      </c>
      <c r="N834" s="69" t="str">
        <f>IFERROR(INDEX('Cost_Components'!$P$2:$P$27,MATCH(E834,'Cost_Components'!$A$2:$A$27,0)),"")</f>
      </c>
      <c r="O834" s="70" t="str">
        <f>AF834*J834</f>
      </c>
      <c r="P834" s="71" t="str">
        <f>AG834*J834</f>
      </c>
      <c r="Q834" s="72" t="str">
        <f>P834*L834*M834*N834</f>
      </c>
      <c r="R834" s="73" t="str">
        <f>O834*K834*M834*N834</f>
      </c>
      <c r="S834" s="74" t="str">
        <f>R834-Q834</f>
      </c>
      <c r="T834" s="20" t="str">
        <f>IFERROR(INDEX('Cost_Components'!$R$2:$R$27,MATCH(E834,'Cost_Components'!$A$2:$A$27,0)),"")</f>
      </c>
      <c r="U834" s="75" t="str">
        <f>IFERROR(INDEX('Cost_Components'!$Q$2:$Q$27,MATCH(E834,'Cost_Components'!$A$2:$A$27,0)),"")</f>
      </c>
      <c r="V834" s="76" t="str">
        <f>1/(1+'Calculation_Assumptions'!$B$5)^(B834-'Calculation_Assumptions'!$B$2)</f>
      </c>
      <c r="W834" s="77" t="str">
        <f>Q834*V834</f>
      </c>
      <c r="X834" s="78" t="str">
        <f>R834*V834</f>
      </c>
      <c r="Y834" s="79" t="str">
        <f>S834*V834</f>
      </c>
      <c r="Z834" s="80" t="str">
        <f>IFERROR(INDEX('Cost_Components'!$T$2:$T$27,MATCH(E834,'Cost_Components'!$A$2:$A$27,0)),"")</f>
      </c>
      <c r="AA834" s="81" t="str">
        <f>IFERROR(INDEX('Cost_Components'!$U$2:$U$27,MATCH(E834,'Cost_Components'!$A$2:$A$27,0)),"")</f>
      </c>
      <c r="AB834" s="82" t="str">
        <f>IFERROR(INDEX('Cost_Components'!$V$2:$V$27,MATCH(E834,'Cost_Components'!$A$2:$A$27,0)),"")</f>
      </c>
      <c r="AC834" s="83" t="str">
        <f>IFERROR(INDEX('Cost_Components'!$M$2:$M$27,MATCH(E834,'Cost_Components'!$A$2:$A$27,0)),"")</f>
      </c>
      <c r="AD834" s="84" t="str">
        <f>IFERROR(INDEX('Cost_Components'!$N$2:$N$27,MATCH(E834,'Cost_Components'!$A$2:$A$27,0)),"")</f>
      </c>
      <c r="AE834" s="20" t="str">
        <f>IFERROR(INDEX('Cost_Components'!$O$2:$O$27,MATCH(E834,'Cost_Components'!$A$2:$A$27,0)),"")</f>
      </c>
      <c r="AF834" s="85" t="n">
        <v>78020.9188284491</v>
      </c>
      <c r="AG834" s="86" t="n">
        <v>77935.3711028968</v>
      </c>
      <c r="AH834" s="87" t="str">
        <f>IF(H834="shared-count-once",COUNTIFS($A$2:$A$1353,A834,$B$2:$B$1353,B834,$E$2:$E$1353,E834),1)</f>
      </c>
    </row>
    <row r="835">
      <c r="A835" t="s">
        <v>75</v>
      </c>
      <c r="B835" s="59" t="n">
        <v>2026</v>
      </c>
      <c r="C835" t="s">
        <v>200</v>
      </c>
      <c r="D835" t="s">
        <v>190</v>
      </c>
      <c r="E835" s="60" t="s">
        <v>275</v>
      </c>
      <c r="F835" s="61" t="s">
        <v>276</v>
      </c>
      <c r="G835" s="62" t="s">
        <v>201</v>
      </c>
      <c r="H835" s="63" t="s">
        <v>195</v>
      </c>
      <c r="I835" s="64" t="s">
        <v>267</v>
      </c>
      <c r="J835" s="65" t="str">
        <f>IFERROR(INDEX('Cost_Components'!$K$2:$K$27,MATCH(E835,'Cost_Components'!$A$2:$A$27,0)),"")</f>
      </c>
      <c r="K835" s="66" t="str">
        <f>IF(OR(L835="",Z835="",AA835="",AB835=""),"",IF(B835&lt;AA835,L835,IF(B835&gt;AB835,Z835,L835+(Z835-L835)*MIN(MAX((B835-AA835+1)/MAX(AB835-AA835+1,1),0),1))))</f>
      </c>
      <c r="L835" s="67" t="str">
        <f>IFERROR(INDEX('Cost_Components'!$S$2:$S$27,MATCH(E835,'Cost_Components'!$A$2:$A$27,0)),"")</f>
      </c>
      <c r="M835" s="68" t="str">
        <f>IFERROR(INDEX('Cost_Components'!$L$2:$L$27,MATCH(E835,'Cost_Components'!$A$2:$A$27,0)),"")</f>
      </c>
      <c r="N835" s="69" t="str">
        <f>IFERROR(INDEX('Cost_Components'!$P$2:$P$27,MATCH(E835,'Cost_Components'!$A$2:$A$27,0)),"")</f>
      </c>
      <c r="O835" s="70" t="str">
        <f>AF835*J835</f>
      </c>
      <c r="P835" s="71" t="str">
        <f>AG835*J835</f>
      </c>
      <c r="Q835" s="72" t="str">
        <f>P835*L835*M835*N835</f>
      </c>
      <c r="R835" s="73" t="str">
        <f>O835*K835*M835*N835</f>
      </c>
      <c r="S835" s="74" t="str">
        <f>R835-Q835</f>
      </c>
      <c r="T835" s="20" t="str">
        <f>IFERROR(INDEX('Cost_Components'!$R$2:$R$27,MATCH(E835,'Cost_Components'!$A$2:$A$27,0)),"")</f>
      </c>
      <c r="U835" s="75" t="str">
        <f>IFERROR(INDEX('Cost_Components'!$Q$2:$Q$27,MATCH(E835,'Cost_Components'!$A$2:$A$27,0)),"")</f>
      </c>
      <c r="V835" s="76" t="str">
        <f>1/(1+'Calculation_Assumptions'!$B$5)^(B835-'Calculation_Assumptions'!$B$2)</f>
      </c>
      <c r="W835" s="77" t="str">
        <f>Q835*V835</f>
      </c>
      <c r="X835" s="78" t="str">
        <f>R835*V835</f>
      </c>
      <c r="Y835" s="79" t="str">
        <f>S835*V835</f>
      </c>
      <c r="Z835" s="80" t="str">
        <f>IFERROR(INDEX('Cost_Components'!$T$2:$T$27,MATCH(E835,'Cost_Components'!$A$2:$A$27,0)),"")</f>
      </c>
      <c r="AA835" s="81" t="str">
        <f>IFERROR(INDEX('Cost_Components'!$U$2:$U$27,MATCH(E835,'Cost_Components'!$A$2:$A$27,0)),"")</f>
      </c>
      <c r="AB835" s="82" t="str">
        <f>IFERROR(INDEX('Cost_Components'!$V$2:$V$27,MATCH(E835,'Cost_Components'!$A$2:$A$27,0)),"")</f>
      </c>
      <c r="AC835" s="83" t="str">
        <f>IFERROR(INDEX('Cost_Components'!$M$2:$M$27,MATCH(E835,'Cost_Components'!$A$2:$A$27,0)),"")</f>
      </c>
      <c r="AD835" s="84" t="str">
        <f>IFERROR(INDEX('Cost_Components'!$N$2:$N$27,MATCH(E835,'Cost_Components'!$A$2:$A$27,0)),"")</f>
      </c>
      <c r="AE835" s="20" t="str">
        <f>IFERROR(INDEX('Cost_Components'!$O$2:$O$27,MATCH(E835,'Cost_Components'!$A$2:$A$27,0)),"")</f>
      </c>
      <c r="AF835" s="85" t="n">
        <v>79769.3467981511</v>
      </c>
      <c r="AG835" s="86" t="n">
        <v>79525.5974379108</v>
      </c>
      <c r="AH835" s="87" t="str">
        <f>IF(H835="shared-count-once",COUNTIFS($A$2:$A$1353,A835,$B$2:$B$1353,B835,$E$2:$E$1353,E835),1)</f>
      </c>
    </row>
    <row r="836">
      <c r="A836" t="s">
        <v>75</v>
      </c>
      <c r="B836" s="59" t="n">
        <v>2027</v>
      </c>
      <c r="C836" t="s">
        <v>200</v>
      </c>
      <c r="D836" t="s">
        <v>190</v>
      </c>
      <c r="E836" s="60" t="s">
        <v>275</v>
      </c>
      <c r="F836" s="61" t="s">
        <v>276</v>
      </c>
      <c r="G836" s="62" t="s">
        <v>201</v>
      </c>
      <c r="H836" s="63" t="s">
        <v>195</v>
      </c>
      <c r="I836" s="64" t="s">
        <v>267</v>
      </c>
      <c r="J836" s="65" t="str">
        <f>IFERROR(INDEX('Cost_Components'!$K$2:$K$27,MATCH(E836,'Cost_Components'!$A$2:$A$27,0)),"")</f>
      </c>
      <c r="K836" s="66" t="str">
        <f>IF(OR(L836="",Z836="",AA836="",AB836=""),"",IF(B836&lt;AA836,L836,IF(B836&gt;AB836,Z836,L836+(Z836-L836)*MIN(MAX((B836-AA836+1)/MAX(AB836-AA836+1,1),0),1))))</f>
      </c>
      <c r="L836" s="67" t="str">
        <f>IFERROR(INDEX('Cost_Components'!$S$2:$S$27,MATCH(E836,'Cost_Components'!$A$2:$A$27,0)),"")</f>
      </c>
      <c r="M836" s="68" t="str">
        <f>IFERROR(INDEX('Cost_Components'!$L$2:$L$27,MATCH(E836,'Cost_Components'!$A$2:$A$27,0)),"")</f>
      </c>
      <c r="N836" s="69" t="str">
        <f>IFERROR(INDEX('Cost_Components'!$P$2:$P$27,MATCH(E836,'Cost_Components'!$A$2:$A$27,0)),"")</f>
      </c>
      <c r="O836" s="70" t="str">
        <f>AF836*J836</f>
      </c>
      <c r="P836" s="71" t="str">
        <f>AG836*J836</f>
      </c>
      <c r="Q836" s="72" t="str">
        <f>P836*L836*M836*N836</f>
      </c>
      <c r="R836" s="73" t="str">
        <f>O836*K836*M836*N836</f>
      </c>
      <c r="S836" s="74" t="str">
        <f>R836-Q836</f>
      </c>
      <c r="T836" s="20" t="str">
        <f>IFERROR(INDEX('Cost_Components'!$R$2:$R$27,MATCH(E836,'Cost_Components'!$A$2:$A$27,0)),"")</f>
      </c>
      <c r="U836" s="75" t="str">
        <f>IFERROR(INDEX('Cost_Components'!$Q$2:$Q$27,MATCH(E836,'Cost_Components'!$A$2:$A$27,0)),"")</f>
      </c>
      <c r="V836" s="76" t="str">
        <f>1/(1+'Calculation_Assumptions'!$B$5)^(B836-'Calculation_Assumptions'!$B$2)</f>
      </c>
      <c r="W836" s="77" t="str">
        <f>Q836*V836</f>
      </c>
      <c r="X836" s="78" t="str">
        <f>R836*V836</f>
      </c>
      <c r="Y836" s="79" t="str">
        <f>S836*V836</f>
      </c>
      <c r="Z836" s="80" t="str">
        <f>IFERROR(INDEX('Cost_Components'!$T$2:$T$27,MATCH(E836,'Cost_Components'!$A$2:$A$27,0)),"")</f>
      </c>
      <c r="AA836" s="81" t="str">
        <f>IFERROR(INDEX('Cost_Components'!$U$2:$U$27,MATCH(E836,'Cost_Components'!$A$2:$A$27,0)),"")</f>
      </c>
      <c r="AB836" s="82" t="str">
        <f>IFERROR(INDEX('Cost_Components'!$V$2:$V$27,MATCH(E836,'Cost_Components'!$A$2:$A$27,0)),"")</f>
      </c>
      <c r="AC836" s="83" t="str">
        <f>IFERROR(INDEX('Cost_Components'!$M$2:$M$27,MATCH(E836,'Cost_Components'!$A$2:$A$27,0)),"")</f>
      </c>
      <c r="AD836" s="84" t="str">
        <f>IFERROR(INDEX('Cost_Components'!$N$2:$N$27,MATCH(E836,'Cost_Components'!$A$2:$A$27,0)),"")</f>
      </c>
      <c r="AE836" s="20" t="str">
        <f>IFERROR(INDEX('Cost_Components'!$O$2:$O$27,MATCH(E836,'Cost_Components'!$A$2:$A$27,0)),"")</f>
      </c>
      <c r="AF836" s="85" t="n">
        <v>81542.6400877647</v>
      </c>
      <c r="AG836" s="86" t="n">
        <v>81076.9036397701</v>
      </c>
      <c r="AH836" s="87" t="str">
        <f>IF(H836="shared-count-once",COUNTIFS($A$2:$A$1353,A836,$B$2:$B$1353,B836,$E$2:$E$1353,E836),1)</f>
      </c>
    </row>
    <row r="837">
      <c r="A837" t="s">
        <v>75</v>
      </c>
      <c r="B837" s="59" t="n">
        <v>2028</v>
      </c>
      <c r="C837" t="s">
        <v>200</v>
      </c>
      <c r="D837" t="s">
        <v>190</v>
      </c>
      <c r="E837" s="60" t="s">
        <v>275</v>
      </c>
      <c r="F837" s="61" t="s">
        <v>276</v>
      </c>
      <c r="G837" s="62" t="s">
        <v>201</v>
      </c>
      <c r="H837" s="63" t="s">
        <v>195</v>
      </c>
      <c r="I837" s="64" t="s">
        <v>267</v>
      </c>
      <c r="J837" s="65" t="str">
        <f>IFERROR(INDEX('Cost_Components'!$K$2:$K$27,MATCH(E837,'Cost_Components'!$A$2:$A$27,0)),"")</f>
      </c>
      <c r="K837" s="66" t="str">
        <f>IF(OR(L837="",Z837="",AA837="",AB837=""),"",IF(B837&lt;AA837,L837,IF(B837&gt;AB837,Z837,L837+(Z837-L837)*MIN(MAX((B837-AA837+1)/MAX(AB837-AA837+1,1),0),1))))</f>
      </c>
      <c r="L837" s="67" t="str">
        <f>IFERROR(INDEX('Cost_Components'!$S$2:$S$27,MATCH(E837,'Cost_Components'!$A$2:$A$27,0)),"")</f>
      </c>
      <c r="M837" s="68" t="str">
        <f>IFERROR(INDEX('Cost_Components'!$L$2:$L$27,MATCH(E837,'Cost_Components'!$A$2:$A$27,0)),"")</f>
      </c>
      <c r="N837" s="69" t="str">
        <f>IFERROR(INDEX('Cost_Components'!$P$2:$P$27,MATCH(E837,'Cost_Components'!$A$2:$A$27,0)),"")</f>
      </c>
      <c r="O837" s="70" t="str">
        <f>AF837*J837</f>
      </c>
      <c r="P837" s="71" t="str">
        <f>AG837*J837</f>
      </c>
      <c r="Q837" s="72" t="str">
        <f>P837*L837*M837*N837</f>
      </c>
      <c r="R837" s="73" t="str">
        <f>O837*K837*M837*N837</f>
      </c>
      <c r="S837" s="74" t="str">
        <f>R837-Q837</f>
      </c>
      <c r="T837" s="20" t="str">
        <f>IFERROR(INDEX('Cost_Components'!$R$2:$R$27,MATCH(E837,'Cost_Components'!$A$2:$A$27,0)),"")</f>
      </c>
      <c r="U837" s="75" t="str">
        <f>IFERROR(INDEX('Cost_Components'!$Q$2:$Q$27,MATCH(E837,'Cost_Components'!$A$2:$A$27,0)),"")</f>
      </c>
      <c r="V837" s="76" t="str">
        <f>1/(1+'Calculation_Assumptions'!$B$5)^(B837-'Calculation_Assumptions'!$B$2)</f>
      </c>
      <c r="W837" s="77" t="str">
        <f>Q837*V837</f>
      </c>
      <c r="X837" s="78" t="str">
        <f>R837*V837</f>
      </c>
      <c r="Y837" s="79" t="str">
        <f>S837*V837</f>
      </c>
      <c r="Z837" s="80" t="str">
        <f>IFERROR(INDEX('Cost_Components'!$T$2:$T$27,MATCH(E837,'Cost_Components'!$A$2:$A$27,0)),"")</f>
      </c>
      <c r="AA837" s="81" t="str">
        <f>IFERROR(INDEX('Cost_Components'!$U$2:$U$27,MATCH(E837,'Cost_Components'!$A$2:$A$27,0)),"")</f>
      </c>
      <c r="AB837" s="82" t="str">
        <f>IFERROR(INDEX('Cost_Components'!$V$2:$V$27,MATCH(E837,'Cost_Components'!$A$2:$A$27,0)),"")</f>
      </c>
      <c r="AC837" s="83" t="str">
        <f>IFERROR(INDEX('Cost_Components'!$M$2:$M$27,MATCH(E837,'Cost_Components'!$A$2:$A$27,0)),"")</f>
      </c>
      <c r="AD837" s="84" t="str">
        <f>IFERROR(INDEX('Cost_Components'!$N$2:$N$27,MATCH(E837,'Cost_Components'!$A$2:$A$27,0)),"")</f>
      </c>
      <c r="AE837" s="20" t="str">
        <f>IFERROR(INDEX('Cost_Components'!$O$2:$O$27,MATCH(E837,'Cost_Components'!$A$2:$A$27,0)),"")</f>
      </c>
      <c r="AF837" s="85" t="n">
        <v>83347.1807791291</v>
      </c>
      <c r="AG837" s="86" t="n">
        <v>82601.8932700429</v>
      </c>
      <c r="AH837" s="87" t="str">
        <f>IF(H837="shared-count-once",COUNTIFS($A$2:$A$1353,A837,$B$2:$B$1353,B837,$E$2:$E$1353,E837),1)</f>
      </c>
    </row>
    <row r="838">
      <c r="A838" t="s">
        <v>75</v>
      </c>
      <c r="B838" s="59" t="n">
        <v>2029</v>
      </c>
      <c r="C838" t="s">
        <v>200</v>
      </c>
      <c r="D838" t="s">
        <v>190</v>
      </c>
      <c r="E838" s="60" t="s">
        <v>275</v>
      </c>
      <c r="F838" s="61" t="s">
        <v>276</v>
      </c>
      <c r="G838" s="62" t="s">
        <v>201</v>
      </c>
      <c r="H838" s="63" t="s">
        <v>195</v>
      </c>
      <c r="I838" s="64" t="s">
        <v>267</v>
      </c>
      <c r="J838" s="65" t="str">
        <f>IFERROR(INDEX('Cost_Components'!$K$2:$K$27,MATCH(E838,'Cost_Components'!$A$2:$A$27,0)),"")</f>
      </c>
      <c r="K838" s="66" t="str">
        <f>IF(OR(L838="",Z838="",AA838="",AB838=""),"",IF(B838&lt;AA838,L838,IF(B838&gt;AB838,Z838,L838+(Z838-L838)*MIN(MAX((B838-AA838+1)/MAX(AB838-AA838+1,1),0),1))))</f>
      </c>
      <c r="L838" s="67" t="str">
        <f>IFERROR(INDEX('Cost_Components'!$S$2:$S$27,MATCH(E838,'Cost_Components'!$A$2:$A$27,0)),"")</f>
      </c>
      <c r="M838" s="68" t="str">
        <f>IFERROR(INDEX('Cost_Components'!$L$2:$L$27,MATCH(E838,'Cost_Components'!$A$2:$A$27,0)),"")</f>
      </c>
      <c r="N838" s="69" t="str">
        <f>IFERROR(INDEX('Cost_Components'!$P$2:$P$27,MATCH(E838,'Cost_Components'!$A$2:$A$27,0)),"")</f>
      </c>
      <c r="O838" s="70" t="str">
        <f>AF838*J838</f>
      </c>
      <c r="P838" s="71" t="str">
        <f>AG838*J838</f>
      </c>
      <c r="Q838" s="72" t="str">
        <f>P838*L838*M838*N838</f>
      </c>
      <c r="R838" s="73" t="str">
        <f>O838*K838*M838*N838</f>
      </c>
      <c r="S838" s="74" t="str">
        <f>R838-Q838</f>
      </c>
      <c r="T838" s="20" t="str">
        <f>IFERROR(INDEX('Cost_Components'!$R$2:$R$27,MATCH(E838,'Cost_Components'!$A$2:$A$27,0)),"")</f>
      </c>
      <c r="U838" s="75" t="str">
        <f>IFERROR(INDEX('Cost_Components'!$Q$2:$Q$27,MATCH(E838,'Cost_Components'!$A$2:$A$27,0)),"")</f>
      </c>
      <c r="V838" s="76" t="str">
        <f>1/(1+'Calculation_Assumptions'!$B$5)^(B838-'Calculation_Assumptions'!$B$2)</f>
      </c>
      <c r="W838" s="77" t="str">
        <f>Q838*V838</f>
      </c>
      <c r="X838" s="78" t="str">
        <f>R838*V838</f>
      </c>
      <c r="Y838" s="79" t="str">
        <f>S838*V838</f>
      </c>
      <c r="Z838" s="80" t="str">
        <f>IFERROR(INDEX('Cost_Components'!$T$2:$T$27,MATCH(E838,'Cost_Components'!$A$2:$A$27,0)),"")</f>
      </c>
      <c r="AA838" s="81" t="str">
        <f>IFERROR(INDEX('Cost_Components'!$U$2:$U$27,MATCH(E838,'Cost_Components'!$A$2:$A$27,0)),"")</f>
      </c>
      <c r="AB838" s="82" t="str">
        <f>IFERROR(INDEX('Cost_Components'!$V$2:$V$27,MATCH(E838,'Cost_Components'!$A$2:$A$27,0)),"")</f>
      </c>
      <c r="AC838" s="83" t="str">
        <f>IFERROR(INDEX('Cost_Components'!$M$2:$M$27,MATCH(E838,'Cost_Components'!$A$2:$A$27,0)),"")</f>
      </c>
      <c r="AD838" s="84" t="str">
        <f>IFERROR(INDEX('Cost_Components'!$N$2:$N$27,MATCH(E838,'Cost_Components'!$A$2:$A$27,0)),"")</f>
      </c>
      <c r="AE838" s="20" t="str">
        <f>IFERROR(INDEX('Cost_Components'!$O$2:$O$27,MATCH(E838,'Cost_Components'!$A$2:$A$27,0)),"")</f>
      </c>
      <c r="AF838" s="85" t="n">
        <v>85192.5317688061</v>
      </c>
      <c r="AG838" s="86" t="n">
        <v>84114.5100443056</v>
      </c>
      <c r="AH838" s="87" t="str">
        <f>IF(H838="shared-count-once",COUNTIFS($A$2:$A$1353,A838,$B$2:$B$1353,B838,$E$2:$E$1353,E838),1)</f>
      </c>
    </row>
    <row r="839">
      <c r="A839" t="s">
        <v>75</v>
      </c>
      <c r="B839" s="59" t="n">
        <v>2030</v>
      </c>
      <c r="C839" t="s">
        <v>200</v>
      </c>
      <c r="D839" t="s">
        <v>190</v>
      </c>
      <c r="E839" s="60" t="s">
        <v>275</v>
      </c>
      <c r="F839" s="61" t="s">
        <v>276</v>
      </c>
      <c r="G839" s="62" t="s">
        <v>201</v>
      </c>
      <c r="H839" s="63" t="s">
        <v>195</v>
      </c>
      <c r="I839" s="64" t="s">
        <v>267</v>
      </c>
      <c r="J839" s="65" t="str">
        <f>IFERROR(INDEX('Cost_Components'!$K$2:$K$27,MATCH(E839,'Cost_Components'!$A$2:$A$27,0)),"")</f>
      </c>
      <c r="K839" s="66" t="str">
        <f>IF(OR(L839="",Z839="",AA839="",AB839=""),"",IF(B839&lt;AA839,L839,IF(B839&gt;AB839,Z839,L839+(Z839-L839)*MIN(MAX((B839-AA839+1)/MAX(AB839-AA839+1,1),0),1))))</f>
      </c>
      <c r="L839" s="67" t="str">
        <f>IFERROR(INDEX('Cost_Components'!$S$2:$S$27,MATCH(E839,'Cost_Components'!$A$2:$A$27,0)),"")</f>
      </c>
      <c r="M839" s="68" t="str">
        <f>IFERROR(INDEX('Cost_Components'!$L$2:$L$27,MATCH(E839,'Cost_Components'!$A$2:$A$27,0)),"")</f>
      </c>
      <c r="N839" s="69" t="str">
        <f>IFERROR(INDEX('Cost_Components'!$P$2:$P$27,MATCH(E839,'Cost_Components'!$A$2:$A$27,0)),"")</f>
      </c>
      <c r="O839" s="70" t="str">
        <f>AF839*J839</f>
      </c>
      <c r="P839" s="71" t="str">
        <f>AG839*J839</f>
      </c>
      <c r="Q839" s="72" t="str">
        <f>P839*L839*M839*N839</f>
      </c>
      <c r="R839" s="73" t="str">
        <f>O839*K839*M839*N839</f>
      </c>
      <c r="S839" s="74" t="str">
        <f>R839-Q839</f>
      </c>
      <c r="T839" s="20" t="str">
        <f>IFERROR(INDEX('Cost_Components'!$R$2:$R$27,MATCH(E839,'Cost_Components'!$A$2:$A$27,0)),"")</f>
      </c>
      <c r="U839" s="75" t="str">
        <f>IFERROR(INDEX('Cost_Components'!$Q$2:$Q$27,MATCH(E839,'Cost_Components'!$A$2:$A$27,0)),"")</f>
      </c>
      <c r="V839" s="76" t="str">
        <f>1/(1+'Calculation_Assumptions'!$B$5)^(B839-'Calculation_Assumptions'!$B$2)</f>
      </c>
      <c r="W839" s="77" t="str">
        <f>Q839*V839</f>
      </c>
      <c r="X839" s="78" t="str">
        <f>R839*V839</f>
      </c>
      <c r="Y839" s="79" t="str">
        <f>S839*V839</f>
      </c>
      <c r="Z839" s="80" t="str">
        <f>IFERROR(INDEX('Cost_Components'!$T$2:$T$27,MATCH(E839,'Cost_Components'!$A$2:$A$27,0)),"")</f>
      </c>
      <c r="AA839" s="81" t="str">
        <f>IFERROR(INDEX('Cost_Components'!$U$2:$U$27,MATCH(E839,'Cost_Components'!$A$2:$A$27,0)),"")</f>
      </c>
      <c r="AB839" s="82" t="str">
        <f>IFERROR(INDEX('Cost_Components'!$V$2:$V$27,MATCH(E839,'Cost_Components'!$A$2:$A$27,0)),"")</f>
      </c>
      <c r="AC839" s="83" t="str">
        <f>IFERROR(INDEX('Cost_Components'!$M$2:$M$27,MATCH(E839,'Cost_Components'!$A$2:$A$27,0)),"")</f>
      </c>
      <c r="AD839" s="84" t="str">
        <f>IFERROR(INDEX('Cost_Components'!$N$2:$N$27,MATCH(E839,'Cost_Components'!$A$2:$A$27,0)),"")</f>
      </c>
      <c r="AE839" s="20" t="str">
        <f>IFERROR(INDEX('Cost_Components'!$O$2:$O$27,MATCH(E839,'Cost_Components'!$A$2:$A$27,0)),"")</f>
      </c>
      <c r="AF839" s="85" t="n">
        <v>87085.1796873243</v>
      </c>
      <c r="AG839" s="86" t="n">
        <v>85624.1727982227</v>
      </c>
      <c r="AH839" s="87" t="str">
        <f>IF(H839="shared-count-once",COUNTIFS($A$2:$A$1353,A839,$B$2:$B$1353,B839,$E$2:$E$1353,E839),1)</f>
      </c>
    </row>
    <row r="840">
      <c r="A840" t="s">
        <v>75</v>
      </c>
      <c r="B840" s="59" t="n">
        <v>2031</v>
      </c>
      <c r="C840" t="s">
        <v>200</v>
      </c>
      <c r="D840" t="s">
        <v>190</v>
      </c>
      <c r="E840" s="60" t="s">
        <v>275</v>
      </c>
      <c r="F840" s="61" t="s">
        <v>276</v>
      </c>
      <c r="G840" s="62" t="s">
        <v>201</v>
      </c>
      <c r="H840" s="63" t="s">
        <v>195</v>
      </c>
      <c r="I840" s="64" t="s">
        <v>267</v>
      </c>
      <c r="J840" s="65" t="str">
        <f>IFERROR(INDEX('Cost_Components'!$K$2:$K$27,MATCH(E840,'Cost_Components'!$A$2:$A$27,0)),"")</f>
      </c>
      <c r="K840" s="66" t="str">
        <f>IF(OR(L840="",Z840="",AA840="",AB840=""),"",IF(B840&lt;AA840,L840,IF(B840&gt;AB840,Z840,L840+(Z840-L840)*MIN(MAX((B840-AA840+1)/MAX(AB840-AA840+1,1),0),1))))</f>
      </c>
      <c r="L840" s="67" t="str">
        <f>IFERROR(INDEX('Cost_Components'!$S$2:$S$27,MATCH(E840,'Cost_Components'!$A$2:$A$27,0)),"")</f>
      </c>
      <c r="M840" s="68" t="str">
        <f>IFERROR(INDEX('Cost_Components'!$L$2:$L$27,MATCH(E840,'Cost_Components'!$A$2:$A$27,0)),"")</f>
      </c>
      <c r="N840" s="69" t="str">
        <f>IFERROR(INDEX('Cost_Components'!$P$2:$P$27,MATCH(E840,'Cost_Components'!$A$2:$A$27,0)),"")</f>
      </c>
      <c r="O840" s="70" t="str">
        <f>AF840*J840</f>
      </c>
      <c r="P840" s="71" t="str">
        <f>AG840*J840</f>
      </c>
      <c r="Q840" s="72" t="str">
        <f>P840*L840*M840*N840</f>
      </c>
      <c r="R840" s="73" t="str">
        <f>O840*K840*M840*N840</f>
      </c>
      <c r="S840" s="74" t="str">
        <f>R840-Q840</f>
      </c>
      <c r="T840" s="20" t="str">
        <f>IFERROR(INDEX('Cost_Components'!$R$2:$R$27,MATCH(E840,'Cost_Components'!$A$2:$A$27,0)),"")</f>
      </c>
      <c r="U840" s="75" t="str">
        <f>IFERROR(INDEX('Cost_Components'!$Q$2:$Q$27,MATCH(E840,'Cost_Components'!$A$2:$A$27,0)),"")</f>
      </c>
      <c r="V840" s="76" t="str">
        <f>1/(1+'Calculation_Assumptions'!$B$5)^(B840-'Calculation_Assumptions'!$B$2)</f>
      </c>
      <c r="W840" s="77" t="str">
        <f>Q840*V840</f>
      </c>
      <c r="X840" s="78" t="str">
        <f>R840*V840</f>
      </c>
      <c r="Y840" s="79" t="str">
        <f>S840*V840</f>
      </c>
      <c r="Z840" s="80" t="str">
        <f>IFERROR(INDEX('Cost_Components'!$T$2:$T$27,MATCH(E840,'Cost_Components'!$A$2:$A$27,0)),"")</f>
      </c>
      <c r="AA840" s="81" t="str">
        <f>IFERROR(INDEX('Cost_Components'!$U$2:$U$27,MATCH(E840,'Cost_Components'!$A$2:$A$27,0)),"")</f>
      </c>
      <c r="AB840" s="82" t="str">
        <f>IFERROR(INDEX('Cost_Components'!$V$2:$V$27,MATCH(E840,'Cost_Components'!$A$2:$A$27,0)),"")</f>
      </c>
      <c r="AC840" s="83" t="str">
        <f>IFERROR(INDEX('Cost_Components'!$M$2:$M$27,MATCH(E840,'Cost_Components'!$A$2:$A$27,0)),"")</f>
      </c>
      <c r="AD840" s="84" t="str">
        <f>IFERROR(INDEX('Cost_Components'!$N$2:$N$27,MATCH(E840,'Cost_Components'!$A$2:$A$27,0)),"")</f>
      </c>
      <c r="AE840" s="20" t="str">
        <f>IFERROR(INDEX('Cost_Components'!$O$2:$O$27,MATCH(E840,'Cost_Components'!$A$2:$A$27,0)),"")</f>
      </c>
      <c r="AF840" s="85" t="n">
        <v>89038.8162324485</v>
      </c>
      <c r="AG840" s="86" t="n">
        <v>87146.4468739637</v>
      </c>
      <c r="AH840" s="87" t="str">
        <f>IF(H840="shared-count-once",COUNTIFS($A$2:$A$1353,A840,$B$2:$B$1353,B840,$E$2:$E$1353,E840),1)</f>
      </c>
    </row>
    <row r="841">
      <c r="A841" t="s">
        <v>75</v>
      </c>
      <c r="B841" s="59" t="n">
        <v>2032</v>
      </c>
      <c r="C841" t="s">
        <v>200</v>
      </c>
      <c r="D841" t="s">
        <v>190</v>
      </c>
      <c r="E841" s="60" t="s">
        <v>275</v>
      </c>
      <c r="F841" s="61" t="s">
        <v>276</v>
      </c>
      <c r="G841" s="62" t="s">
        <v>201</v>
      </c>
      <c r="H841" s="63" t="s">
        <v>195</v>
      </c>
      <c r="I841" s="64" t="s">
        <v>267</v>
      </c>
      <c r="J841" s="65" t="str">
        <f>IFERROR(INDEX('Cost_Components'!$K$2:$K$27,MATCH(E841,'Cost_Components'!$A$2:$A$27,0)),"")</f>
      </c>
      <c r="K841" s="66" t="str">
        <f>IF(OR(L841="",Z841="",AA841="",AB841=""),"",IF(B841&lt;AA841,L841,IF(B841&gt;AB841,Z841,L841+(Z841-L841)*MIN(MAX((B841-AA841+1)/MAX(AB841-AA841+1,1),0),1))))</f>
      </c>
      <c r="L841" s="67" t="str">
        <f>IFERROR(INDEX('Cost_Components'!$S$2:$S$27,MATCH(E841,'Cost_Components'!$A$2:$A$27,0)),"")</f>
      </c>
      <c r="M841" s="68" t="str">
        <f>IFERROR(INDEX('Cost_Components'!$L$2:$L$27,MATCH(E841,'Cost_Components'!$A$2:$A$27,0)),"")</f>
      </c>
      <c r="N841" s="69" t="str">
        <f>IFERROR(INDEX('Cost_Components'!$P$2:$P$27,MATCH(E841,'Cost_Components'!$A$2:$A$27,0)),"")</f>
      </c>
      <c r="O841" s="70" t="str">
        <f>AF841*J841</f>
      </c>
      <c r="P841" s="71" t="str">
        <f>AG841*J841</f>
      </c>
      <c r="Q841" s="72" t="str">
        <f>P841*L841*M841*N841</f>
      </c>
      <c r="R841" s="73" t="str">
        <f>O841*K841*M841*N841</f>
      </c>
      <c r="S841" s="74" t="str">
        <f>R841-Q841</f>
      </c>
      <c r="T841" s="20" t="str">
        <f>IFERROR(INDEX('Cost_Components'!$R$2:$R$27,MATCH(E841,'Cost_Components'!$A$2:$A$27,0)),"")</f>
      </c>
      <c r="U841" s="75" t="str">
        <f>IFERROR(INDEX('Cost_Components'!$Q$2:$Q$27,MATCH(E841,'Cost_Components'!$A$2:$A$27,0)),"")</f>
      </c>
      <c r="V841" s="76" t="str">
        <f>1/(1+'Calculation_Assumptions'!$B$5)^(B841-'Calculation_Assumptions'!$B$2)</f>
      </c>
      <c r="W841" s="77" t="str">
        <f>Q841*V841</f>
      </c>
      <c r="X841" s="78" t="str">
        <f>R841*V841</f>
      </c>
      <c r="Y841" s="79" t="str">
        <f>S841*V841</f>
      </c>
      <c r="Z841" s="80" t="str">
        <f>IFERROR(INDEX('Cost_Components'!$T$2:$T$27,MATCH(E841,'Cost_Components'!$A$2:$A$27,0)),"")</f>
      </c>
      <c r="AA841" s="81" t="str">
        <f>IFERROR(INDEX('Cost_Components'!$U$2:$U$27,MATCH(E841,'Cost_Components'!$A$2:$A$27,0)),"")</f>
      </c>
      <c r="AB841" s="82" t="str">
        <f>IFERROR(INDEX('Cost_Components'!$V$2:$V$27,MATCH(E841,'Cost_Components'!$A$2:$A$27,0)),"")</f>
      </c>
      <c r="AC841" s="83" t="str">
        <f>IFERROR(INDEX('Cost_Components'!$M$2:$M$27,MATCH(E841,'Cost_Components'!$A$2:$A$27,0)),"")</f>
      </c>
      <c r="AD841" s="84" t="str">
        <f>IFERROR(INDEX('Cost_Components'!$N$2:$N$27,MATCH(E841,'Cost_Components'!$A$2:$A$27,0)),"")</f>
      </c>
      <c r="AE841" s="20" t="str">
        <f>IFERROR(INDEX('Cost_Components'!$O$2:$O$27,MATCH(E841,'Cost_Components'!$A$2:$A$27,0)),"")</f>
      </c>
      <c r="AF841" s="85" t="n">
        <v>91066.4087833916</v>
      </c>
      <c r="AG841" s="86" t="n">
        <v>88695.9957981069</v>
      </c>
      <c r="AH841" s="87" t="str">
        <f>IF(H841="shared-count-once",COUNTIFS($A$2:$A$1353,A841,$B$2:$B$1353,B841,$E$2:$E$1353,E841),1)</f>
      </c>
    </row>
    <row r="842">
      <c r="A842" t="s">
        <v>75</v>
      </c>
      <c r="B842" s="59" t="n">
        <v>2033</v>
      </c>
      <c r="C842" t="s">
        <v>200</v>
      </c>
      <c r="D842" t="s">
        <v>190</v>
      </c>
      <c r="E842" s="60" t="s">
        <v>275</v>
      </c>
      <c r="F842" s="61" t="s">
        <v>276</v>
      </c>
      <c r="G842" s="62" t="s">
        <v>201</v>
      </c>
      <c r="H842" s="63" t="s">
        <v>195</v>
      </c>
      <c r="I842" s="64" t="s">
        <v>267</v>
      </c>
      <c r="J842" s="65" t="str">
        <f>IFERROR(INDEX('Cost_Components'!$K$2:$K$27,MATCH(E842,'Cost_Components'!$A$2:$A$27,0)),"")</f>
      </c>
      <c r="K842" s="66" t="str">
        <f>IF(OR(L842="",Z842="",AA842="",AB842=""),"",IF(B842&lt;AA842,L842,IF(B842&gt;AB842,Z842,L842+(Z842-L842)*MIN(MAX((B842-AA842+1)/MAX(AB842-AA842+1,1),0),1))))</f>
      </c>
      <c r="L842" s="67" t="str">
        <f>IFERROR(INDEX('Cost_Components'!$S$2:$S$27,MATCH(E842,'Cost_Components'!$A$2:$A$27,0)),"")</f>
      </c>
      <c r="M842" s="68" t="str">
        <f>IFERROR(INDEX('Cost_Components'!$L$2:$L$27,MATCH(E842,'Cost_Components'!$A$2:$A$27,0)),"")</f>
      </c>
      <c r="N842" s="69" t="str">
        <f>IFERROR(INDEX('Cost_Components'!$P$2:$P$27,MATCH(E842,'Cost_Components'!$A$2:$A$27,0)),"")</f>
      </c>
      <c r="O842" s="70" t="str">
        <f>AF842*J842</f>
      </c>
      <c r="P842" s="71" t="str">
        <f>AG842*J842</f>
      </c>
      <c r="Q842" s="72" t="str">
        <f>P842*L842*M842*N842</f>
      </c>
      <c r="R842" s="73" t="str">
        <f>O842*K842*M842*N842</f>
      </c>
      <c r="S842" s="74" t="str">
        <f>R842-Q842</f>
      </c>
      <c r="T842" s="20" t="str">
        <f>IFERROR(INDEX('Cost_Components'!$R$2:$R$27,MATCH(E842,'Cost_Components'!$A$2:$A$27,0)),"")</f>
      </c>
      <c r="U842" s="75" t="str">
        <f>IFERROR(INDEX('Cost_Components'!$Q$2:$Q$27,MATCH(E842,'Cost_Components'!$A$2:$A$27,0)),"")</f>
      </c>
      <c r="V842" s="76" t="str">
        <f>1/(1+'Calculation_Assumptions'!$B$5)^(B842-'Calculation_Assumptions'!$B$2)</f>
      </c>
      <c r="W842" s="77" t="str">
        <f>Q842*V842</f>
      </c>
      <c r="X842" s="78" t="str">
        <f>R842*V842</f>
      </c>
      <c r="Y842" s="79" t="str">
        <f>S842*V842</f>
      </c>
      <c r="Z842" s="80" t="str">
        <f>IFERROR(INDEX('Cost_Components'!$T$2:$T$27,MATCH(E842,'Cost_Components'!$A$2:$A$27,0)),"")</f>
      </c>
      <c r="AA842" s="81" t="str">
        <f>IFERROR(INDEX('Cost_Components'!$U$2:$U$27,MATCH(E842,'Cost_Components'!$A$2:$A$27,0)),"")</f>
      </c>
      <c r="AB842" s="82" t="str">
        <f>IFERROR(INDEX('Cost_Components'!$V$2:$V$27,MATCH(E842,'Cost_Components'!$A$2:$A$27,0)),"")</f>
      </c>
      <c r="AC842" s="83" t="str">
        <f>IFERROR(INDEX('Cost_Components'!$M$2:$M$27,MATCH(E842,'Cost_Components'!$A$2:$A$27,0)),"")</f>
      </c>
      <c r="AD842" s="84" t="str">
        <f>IFERROR(INDEX('Cost_Components'!$N$2:$N$27,MATCH(E842,'Cost_Components'!$A$2:$A$27,0)),"")</f>
      </c>
      <c r="AE842" s="20" t="str">
        <f>IFERROR(INDEX('Cost_Components'!$O$2:$O$27,MATCH(E842,'Cost_Components'!$A$2:$A$27,0)),"")</f>
      </c>
      <c r="AF842" s="85" t="n">
        <v>93178.2651764223</v>
      </c>
      <c r="AG842" s="86" t="n">
        <v>90284.4762528307</v>
      </c>
      <c r="AH842" s="87" t="str">
        <f>IF(H842="shared-count-once",COUNTIFS($A$2:$A$1353,A842,$B$2:$B$1353,B842,$E$2:$E$1353,E842),1)</f>
      </c>
    </row>
    <row r="843">
      <c r="A843" t="s">
        <v>75</v>
      </c>
      <c r="B843" s="59" t="n">
        <v>2034</v>
      </c>
      <c r="C843" t="s">
        <v>200</v>
      </c>
      <c r="D843" t="s">
        <v>190</v>
      </c>
      <c r="E843" s="60" t="s">
        <v>275</v>
      </c>
      <c r="F843" s="61" t="s">
        <v>276</v>
      </c>
      <c r="G843" s="62" t="s">
        <v>201</v>
      </c>
      <c r="H843" s="63" t="s">
        <v>195</v>
      </c>
      <c r="I843" s="64" t="s">
        <v>267</v>
      </c>
      <c r="J843" s="65" t="str">
        <f>IFERROR(INDEX('Cost_Components'!$K$2:$K$27,MATCH(E843,'Cost_Components'!$A$2:$A$27,0)),"")</f>
      </c>
      <c r="K843" s="66" t="str">
        <f>IF(OR(L843="",Z843="",AA843="",AB843=""),"",IF(B843&lt;AA843,L843,IF(B843&gt;AB843,Z843,L843+(Z843-L843)*MIN(MAX((B843-AA843+1)/MAX(AB843-AA843+1,1),0),1))))</f>
      </c>
      <c r="L843" s="67" t="str">
        <f>IFERROR(INDEX('Cost_Components'!$S$2:$S$27,MATCH(E843,'Cost_Components'!$A$2:$A$27,0)),"")</f>
      </c>
      <c r="M843" s="68" t="str">
        <f>IFERROR(INDEX('Cost_Components'!$L$2:$L$27,MATCH(E843,'Cost_Components'!$A$2:$A$27,0)),"")</f>
      </c>
      <c r="N843" s="69" t="str">
        <f>IFERROR(INDEX('Cost_Components'!$P$2:$P$27,MATCH(E843,'Cost_Components'!$A$2:$A$27,0)),"")</f>
      </c>
      <c r="O843" s="70" t="str">
        <f>AF843*J843</f>
      </c>
      <c r="P843" s="71" t="str">
        <f>AG843*J843</f>
      </c>
      <c r="Q843" s="72" t="str">
        <f>P843*L843*M843*N843</f>
      </c>
      <c r="R843" s="73" t="str">
        <f>O843*K843*M843*N843</f>
      </c>
      <c r="S843" s="74" t="str">
        <f>R843-Q843</f>
      </c>
      <c r="T843" s="20" t="str">
        <f>IFERROR(INDEX('Cost_Components'!$R$2:$R$27,MATCH(E843,'Cost_Components'!$A$2:$A$27,0)),"")</f>
      </c>
      <c r="U843" s="75" t="str">
        <f>IFERROR(INDEX('Cost_Components'!$Q$2:$Q$27,MATCH(E843,'Cost_Components'!$A$2:$A$27,0)),"")</f>
      </c>
      <c r="V843" s="76" t="str">
        <f>1/(1+'Calculation_Assumptions'!$B$5)^(B843-'Calculation_Assumptions'!$B$2)</f>
      </c>
      <c r="W843" s="77" t="str">
        <f>Q843*V843</f>
      </c>
      <c r="X843" s="78" t="str">
        <f>R843*V843</f>
      </c>
      <c r="Y843" s="79" t="str">
        <f>S843*V843</f>
      </c>
      <c r="Z843" s="80" t="str">
        <f>IFERROR(INDEX('Cost_Components'!$T$2:$T$27,MATCH(E843,'Cost_Components'!$A$2:$A$27,0)),"")</f>
      </c>
      <c r="AA843" s="81" t="str">
        <f>IFERROR(INDEX('Cost_Components'!$U$2:$U$27,MATCH(E843,'Cost_Components'!$A$2:$A$27,0)),"")</f>
      </c>
      <c r="AB843" s="82" t="str">
        <f>IFERROR(INDEX('Cost_Components'!$V$2:$V$27,MATCH(E843,'Cost_Components'!$A$2:$A$27,0)),"")</f>
      </c>
      <c r="AC843" s="83" t="str">
        <f>IFERROR(INDEX('Cost_Components'!$M$2:$M$27,MATCH(E843,'Cost_Components'!$A$2:$A$27,0)),"")</f>
      </c>
      <c r="AD843" s="84" t="str">
        <f>IFERROR(INDEX('Cost_Components'!$N$2:$N$27,MATCH(E843,'Cost_Components'!$A$2:$A$27,0)),"")</f>
      </c>
      <c r="AE843" s="20" t="str">
        <f>IFERROR(INDEX('Cost_Components'!$O$2:$O$27,MATCH(E843,'Cost_Components'!$A$2:$A$27,0)),"")</f>
      </c>
      <c r="AF843" s="85" t="n">
        <v>95376.9990260234</v>
      </c>
      <c r="AG843" s="86" t="n">
        <v>91915.1700532053</v>
      </c>
      <c r="AH843" s="87" t="str">
        <f>IF(H843="shared-count-once",COUNTIFS($A$2:$A$1353,A843,$B$2:$B$1353,B843,$E$2:$E$1353,E843),1)</f>
      </c>
    </row>
    <row r="844">
      <c r="A844" t="s">
        <v>75</v>
      </c>
      <c r="B844" s="59" t="n">
        <v>2035</v>
      </c>
      <c r="C844" t="s">
        <v>200</v>
      </c>
      <c r="D844" t="s">
        <v>190</v>
      </c>
      <c r="E844" s="60" t="s">
        <v>275</v>
      </c>
      <c r="F844" s="61" t="s">
        <v>276</v>
      </c>
      <c r="G844" s="62" t="s">
        <v>201</v>
      </c>
      <c r="H844" s="63" t="s">
        <v>195</v>
      </c>
      <c r="I844" s="64" t="s">
        <v>267</v>
      </c>
      <c r="J844" s="65" t="str">
        <f>IFERROR(INDEX('Cost_Components'!$K$2:$K$27,MATCH(E844,'Cost_Components'!$A$2:$A$27,0)),"")</f>
      </c>
      <c r="K844" s="66" t="str">
        <f>IF(OR(L844="",Z844="",AA844="",AB844=""),"",IF(B844&lt;AA844,L844,IF(B844&gt;AB844,Z844,L844+(Z844-L844)*MIN(MAX((B844-AA844+1)/MAX(AB844-AA844+1,1),0),1))))</f>
      </c>
      <c r="L844" s="67" t="str">
        <f>IFERROR(INDEX('Cost_Components'!$S$2:$S$27,MATCH(E844,'Cost_Components'!$A$2:$A$27,0)),"")</f>
      </c>
      <c r="M844" s="68" t="str">
        <f>IFERROR(INDEX('Cost_Components'!$L$2:$L$27,MATCH(E844,'Cost_Components'!$A$2:$A$27,0)),"")</f>
      </c>
      <c r="N844" s="69" t="str">
        <f>IFERROR(INDEX('Cost_Components'!$P$2:$P$27,MATCH(E844,'Cost_Components'!$A$2:$A$27,0)),"")</f>
      </c>
      <c r="O844" s="70" t="str">
        <f>AF844*J844</f>
      </c>
      <c r="P844" s="71" t="str">
        <f>AG844*J844</f>
      </c>
      <c r="Q844" s="72" t="str">
        <f>P844*L844*M844*N844</f>
      </c>
      <c r="R844" s="73" t="str">
        <f>O844*K844*M844*N844</f>
      </c>
      <c r="S844" s="74" t="str">
        <f>R844-Q844</f>
      </c>
      <c r="T844" s="20" t="str">
        <f>IFERROR(INDEX('Cost_Components'!$R$2:$R$27,MATCH(E844,'Cost_Components'!$A$2:$A$27,0)),"")</f>
      </c>
      <c r="U844" s="75" t="str">
        <f>IFERROR(INDEX('Cost_Components'!$Q$2:$Q$27,MATCH(E844,'Cost_Components'!$A$2:$A$27,0)),"")</f>
      </c>
      <c r="V844" s="76" t="str">
        <f>1/(1+'Calculation_Assumptions'!$B$5)^(B844-'Calculation_Assumptions'!$B$2)</f>
      </c>
      <c r="W844" s="77" t="str">
        <f>Q844*V844</f>
      </c>
      <c r="X844" s="78" t="str">
        <f>R844*V844</f>
      </c>
      <c r="Y844" s="79" t="str">
        <f>S844*V844</f>
      </c>
      <c r="Z844" s="80" t="str">
        <f>IFERROR(INDEX('Cost_Components'!$T$2:$T$27,MATCH(E844,'Cost_Components'!$A$2:$A$27,0)),"")</f>
      </c>
      <c r="AA844" s="81" t="str">
        <f>IFERROR(INDEX('Cost_Components'!$U$2:$U$27,MATCH(E844,'Cost_Components'!$A$2:$A$27,0)),"")</f>
      </c>
      <c r="AB844" s="82" t="str">
        <f>IFERROR(INDEX('Cost_Components'!$V$2:$V$27,MATCH(E844,'Cost_Components'!$A$2:$A$27,0)),"")</f>
      </c>
      <c r="AC844" s="83" t="str">
        <f>IFERROR(INDEX('Cost_Components'!$M$2:$M$27,MATCH(E844,'Cost_Components'!$A$2:$A$27,0)),"")</f>
      </c>
      <c r="AD844" s="84" t="str">
        <f>IFERROR(INDEX('Cost_Components'!$N$2:$N$27,MATCH(E844,'Cost_Components'!$A$2:$A$27,0)),"")</f>
      </c>
      <c r="AE844" s="20" t="str">
        <f>IFERROR(INDEX('Cost_Components'!$O$2:$O$27,MATCH(E844,'Cost_Components'!$A$2:$A$27,0)),"")</f>
      </c>
      <c r="AF844" s="85" t="n">
        <v>97670.9713233604</v>
      </c>
      <c r="AG844" s="86" t="n">
        <v>93596.9100615363</v>
      </c>
      <c r="AH844" s="87" t="str">
        <f>IF(H844="shared-count-once",COUNTIFS($A$2:$A$1353,A844,$B$2:$B$1353,B844,$E$2:$E$1353,E844),1)</f>
      </c>
    </row>
    <row r="845">
      <c r="A845" t="s">
        <v>75</v>
      </c>
      <c r="B845" s="59" t="n">
        <v>2036</v>
      </c>
      <c r="C845" t="s">
        <v>200</v>
      </c>
      <c r="D845" t="s">
        <v>190</v>
      </c>
      <c r="E845" s="60" t="s">
        <v>275</v>
      </c>
      <c r="F845" s="61" t="s">
        <v>276</v>
      </c>
      <c r="G845" s="62" t="s">
        <v>201</v>
      </c>
      <c r="H845" s="63" t="s">
        <v>195</v>
      </c>
      <c r="I845" s="64" t="s">
        <v>267</v>
      </c>
      <c r="J845" s="65" t="str">
        <f>IFERROR(INDEX('Cost_Components'!$K$2:$K$27,MATCH(E845,'Cost_Components'!$A$2:$A$27,0)),"")</f>
      </c>
      <c r="K845" s="66" t="str">
        <f>IF(OR(L845="",Z845="",AA845="",AB845=""),"",IF(B845&lt;AA845,L845,IF(B845&gt;AB845,Z845,L845+(Z845-L845)*MIN(MAX((B845-AA845+1)/MAX(AB845-AA845+1,1),0),1))))</f>
      </c>
      <c r="L845" s="67" t="str">
        <f>IFERROR(INDEX('Cost_Components'!$S$2:$S$27,MATCH(E845,'Cost_Components'!$A$2:$A$27,0)),"")</f>
      </c>
      <c r="M845" s="68" t="str">
        <f>IFERROR(INDEX('Cost_Components'!$L$2:$L$27,MATCH(E845,'Cost_Components'!$A$2:$A$27,0)),"")</f>
      </c>
      <c r="N845" s="69" t="str">
        <f>IFERROR(INDEX('Cost_Components'!$P$2:$P$27,MATCH(E845,'Cost_Components'!$A$2:$A$27,0)),"")</f>
      </c>
      <c r="O845" s="70" t="str">
        <f>AF845*J845</f>
      </c>
      <c r="P845" s="71" t="str">
        <f>AG845*J845</f>
      </c>
      <c r="Q845" s="72" t="str">
        <f>P845*L845*M845*N845</f>
      </c>
      <c r="R845" s="73" t="str">
        <f>O845*K845*M845*N845</f>
      </c>
      <c r="S845" s="74" t="str">
        <f>R845-Q845</f>
      </c>
      <c r="T845" s="20" t="str">
        <f>IFERROR(INDEX('Cost_Components'!$R$2:$R$27,MATCH(E845,'Cost_Components'!$A$2:$A$27,0)),"")</f>
      </c>
      <c r="U845" s="75" t="str">
        <f>IFERROR(INDEX('Cost_Components'!$Q$2:$Q$27,MATCH(E845,'Cost_Components'!$A$2:$A$27,0)),"")</f>
      </c>
      <c r="V845" s="76" t="str">
        <f>1/(1+'Calculation_Assumptions'!$B$5)^(B845-'Calculation_Assumptions'!$B$2)</f>
      </c>
      <c r="W845" s="77" t="str">
        <f>Q845*V845</f>
      </c>
      <c r="X845" s="78" t="str">
        <f>R845*V845</f>
      </c>
      <c r="Y845" s="79" t="str">
        <f>S845*V845</f>
      </c>
      <c r="Z845" s="80" t="str">
        <f>IFERROR(INDEX('Cost_Components'!$T$2:$T$27,MATCH(E845,'Cost_Components'!$A$2:$A$27,0)),"")</f>
      </c>
      <c r="AA845" s="81" t="str">
        <f>IFERROR(INDEX('Cost_Components'!$U$2:$U$27,MATCH(E845,'Cost_Components'!$A$2:$A$27,0)),"")</f>
      </c>
      <c r="AB845" s="82" t="str">
        <f>IFERROR(INDEX('Cost_Components'!$V$2:$V$27,MATCH(E845,'Cost_Components'!$A$2:$A$27,0)),"")</f>
      </c>
      <c r="AC845" s="83" t="str">
        <f>IFERROR(INDEX('Cost_Components'!$M$2:$M$27,MATCH(E845,'Cost_Components'!$A$2:$A$27,0)),"")</f>
      </c>
      <c r="AD845" s="84" t="str">
        <f>IFERROR(INDEX('Cost_Components'!$N$2:$N$27,MATCH(E845,'Cost_Components'!$A$2:$A$27,0)),"")</f>
      </c>
      <c r="AE845" s="20" t="str">
        <f>IFERROR(INDEX('Cost_Components'!$O$2:$O$27,MATCH(E845,'Cost_Components'!$A$2:$A$27,0)),"")</f>
      </c>
      <c r="AF845" s="85" t="n">
        <v>100066.765191579</v>
      </c>
      <c r="AG845" s="86" t="n">
        <v>95335.6352226668</v>
      </c>
      <c r="AH845" s="87" t="str">
        <f>IF(H845="shared-count-once",COUNTIFS($A$2:$A$1353,A845,$B$2:$B$1353,B845,$E$2:$E$1353,E845),1)</f>
      </c>
    </row>
    <row r="846">
      <c r="A846" t="s">
        <v>75</v>
      </c>
      <c r="B846" s="59" t="n">
        <v>2037</v>
      </c>
      <c r="C846" t="s">
        <v>200</v>
      </c>
      <c r="D846" t="s">
        <v>190</v>
      </c>
      <c r="E846" s="60" t="s">
        <v>275</v>
      </c>
      <c r="F846" s="61" t="s">
        <v>276</v>
      </c>
      <c r="G846" s="62" t="s">
        <v>201</v>
      </c>
      <c r="H846" s="63" t="s">
        <v>195</v>
      </c>
      <c r="I846" s="64" t="s">
        <v>267</v>
      </c>
      <c r="J846" s="65" t="str">
        <f>IFERROR(INDEX('Cost_Components'!$K$2:$K$27,MATCH(E846,'Cost_Components'!$A$2:$A$27,0)),"")</f>
      </c>
      <c r="K846" s="66" t="str">
        <f>IF(OR(L846="",Z846="",AA846="",AB846=""),"",IF(B846&lt;AA846,L846,IF(B846&gt;AB846,Z846,L846+(Z846-L846)*MIN(MAX((B846-AA846+1)/MAX(AB846-AA846+1,1),0),1))))</f>
      </c>
      <c r="L846" s="67" t="str">
        <f>IFERROR(INDEX('Cost_Components'!$S$2:$S$27,MATCH(E846,'Cost_Components'!$A$2:$A$27,0)),"")</f>
      </c>
      <c r="M846" s="68" t="str">
        <f>IFERROR(INDEX('Cost_Components'!$L$2:$L$27,MATCH(E846,'Cost_Components'!$A$2:$A$27,0)),"")</f>
      </c>
      <c r="N846" s="69" t="str">
        <f>IFERROR(INDEX('Cost_Components'!$P$2:$P$27,MATCH(E846,'Cost_Components'!$A$2:$A$27,0)),"")</f>
      </c>
      <c r="O846" s="70" t="str">
        <f>AF846*J846</f>
      </c>
      <c r="P846" s="71" t="str">
        <f>AG846*J846</f>
      </c>
      <c r="Q846" s="72" t="str">
        <f>P846*L846*M846*N846</f>
      </c>
      <c r="R846" s="73" t="str">
        <f>O846*K846*M846*N846</f>
      </c>
      <c r="S846" s="74" t="str">
        <f>R846-Q846</f>
      </c>
      <c r="T846" s="20" t="str">
        <f>IFERROR(INDEX('Cost_Components'!$R$2:$R$27,MATCH(E846,'Cost_Components'!$A$2:$A$27,0)),"")</f>
      </c>
      <c r="U846" s="75" t="str">
        <f>IFERROR(INDEX('Cost_Components'!$Q$2:$Q$27,MATCH(E846,'Cost_Components'!$A$2:$A$27,0)),"")</f>
      </c>
      <c r="V846" s="76" t="str">
        <f>1/(1+'Calculation_Assumptions'!$B$5)^(B846-'Calculation_Assumptions'!$B$2)</f>
      </c>
      <c r="W846" s="77" t="str">
        <f>Q846*V846</f>
      </c>
      <c r="X846" s="78" t="str">
        <f>R846*V846</f>
      </c>
      <c r="Y846" s="79" t="str">
        <f>S846*V846</f>
      </c>
      <c r="Z846" s="80" t="str">
        <f>IFERROR(INDEX('Cost_Components'!$T$2:$T$27,MATCH(E846,'Cost_Components'!$A$2:$A$27,0)),"")</f>
      </c>
      <c r="AA846" s="81" t="str">
        <f>IFERROR(INDEX('Cost_Components'!$U$2:$U$27,MATCH(E846,'Cost_Components'!$A$2:$A$27,0)),"")</f>
      </c>
      <c r="AB846" s="82" t="str">
        <f>IFERROR(INDEX('Cost_Components'!$V$2:$V$27,MATCH(E846,'Cost_Components'!$A$2:$A$27,0)),"")</f>
      </c>
      <c r="AC846" s="83" t="str">
        <f>IFERROR(INDEX('Cost_Components'!$M$2:$M$27,MATCH(E846,'Cost_Components'!$A$2:$A$27,0)),"")</f>
      </c>
      <c r="AD846" s="84" t="str">
        <f>IFERROR(INDEX('Cost_Components'!$N$2:$N$27,MATCH(E846,'Cost_Components'!$A$2:$A$27,0)),"")</f>
      </c>
      <c r="AE846" s="20" t="str">
        <f>IFERROR(INDEX('Cost_Components'!$O$2:$O$27,MATCH(E846,'Cost_Components'!$A$2:$A$27,0)),"")</f>
      </c>
      <c r="AF846" s="85" t="n">
        <v>102569.951554009</v>
      </c>
      <c r="AG846" s="86" t="n">
        <v>97136.1570592132</v>
      </c>
      <c r="AH846" s="87" t="str">
        <f>IF(H846="shared-count-once",COUNTIFS($A$2:$A$1353,A846,$B$2:$B$1353,B846,$E$2:$E$1353,E846),1)</f>
      </c>
    </row>
    <row r="847">
      <c r="A847" t="s">
        <v>75</v>
      </c>
      <c r="B847" s="59" t="n">
        <v>2038</v>
      </c>
      <c r="C847" t="s">
        <v>200</v>
      </c>
      <c r="D847" t="s">
        <v>190</v>
      </c>
      <c r="E847" s="60" t="s">
        <v>275</v>
      </c>
      <c r="F847" s="61" t="s">
        <v>276</v>
      </c>
      <c r="G847" s="62" t="s">
        <v>201</v>
      </c>
      <c r="H847" s="63" t="s">
        <v>195</v>
      </c>
      <c r="I847" s="64" t="s">
        <v>267</v>
      </c>
      <c r="J847" s="65" t="str">
        <f>IFERROR(INDEX('Cost_Components'!$K$2:$K$27,MATCH(E847,'Cost_Components'!$A$2:$A$27,0)),"")</f>
      </c>
      <c r="K847" s="66" t="str">
        <f>IF(OR(L847="",Z847="",AA847="",AB847=""),"",IF(B847&lt;AA847,L847,IF(B847&gt;AB847,Z847,L847+(Z847-L847)*MIN(MAX((B847-AA847+1)/MAX(AB847-AA847+1,1),0),1))))</f>
      </c>
      <c r="L847" s="67" t="str">
        <f>IFERROR(INDEX('Cost_Components'!$S$2:$S$27,MATCH(E847,'Cost_Components'!$A$2:$A$27,0)),"")</f>
      </c>
      <c r="M847" s="68" t="str">
        <f>IFERROR(INDEX('Cost_Components'!$L$2:$L$27,MATCH(E847,'Cost_Components'!$A$2:$A$27,0)),"")</f>
      </c>
      <c r="N847" s="69" t="str">
        <f>IFERROR(INDEX('Cost_Components'!$P$2:$P$27,MATCH(E847,'Cost_Components'!$A$2:$A$27,0)),"")</f>
      </c>
      <c r="O847" s="70" t="str">
        <f>AF847*J847</f>
      </c>
      <c r="P847" s="71" t="str">
        <f>AG847*J847</f>
      </c>
      <c r="Q847" s="72" t="str">
        <f>P847*L847*M847*N847</f>
      </c>
      <c r="R847" s="73" t="str">
        <f>O847*K847*M847*N847</f>
      </c>
      <c r="S847" s="74" t="str">
        <f>R847-Q847</f>
      </c>
      <c r="T847" s="20" t="str">
        <f>IFERROR(INDEX('Cost_Components'!$R$2:$R$27,MATCH(E847,'Cost_Components'!$A$2:$A$27,0)),"")</f>
      </c>
      <c r="U847" s="75" t="str">
        <f>IFERROR(INDEX('Cost_Components'!$Q$2:$Q$27,MATCH(E847,'Cost_Components'!$A$2:$A$27,0)),"")</f>
      </c>
      <c r="V847" s="76" t="str">
        <f>1/(1+'Calculation_Assumptions'!$B$5)^(B847-'Calculation_Assumptions'!$B$2)</f>
      </c>
      <c r="W847" s="77" t="str">
        <f>Q847*V847</f>
      </c>
      <c r="X847" s="78" t="str">
        <f>R847*V847</f>
      </c>
      <c r="Y847" s="79" t="str">
        <f>S847*V847</f>
      </c>
      <c r="Z847" s="80" t="str">
        <f>IFERROR(INDEX('Cost_Components'!$T$2:$T$27,MATCH(E847,'Cost_Components'!$A$2:$A$27,0)),"")</f>
      </c>
      <c r="AA847" s="81" t="str">
        <f>IFERROR(INDEX('Cost_Components'!$U$2:$U$27,MATCH(E847,'Cost_Components'!$A$2:$A$27,0)),"")</f>
      </c>
      <c r="AB847" s="82" t="str">
        <f>IFERROR(INDEX('Cost_Components'!$V$2:$V$27,MATCH(E847,'Cost_Components'!$A$2:$A$27,0)),"")</f>
      </c>
      <c r="AC847" s="83" t="str">
        <f>IFERROR(INDEX('Cost_Components'!$M$2:$M$27,MATCH(E847,'Cost_Components'!$A$2:$A$27,0)),"")</f>
      </c>
      <c r="AD847" s="84" t="str">
        <f>IFERROR(INDEX('Cost_Components'!$N$2:$N$27,MATCH(E847,'Cost_Components'!$A$2:$A$27,0)),"")</f>
      </c>
      <c r="AE847" s="20" t="str">
        <f>IFERROR(INDEX('Cost_Components'!$O$2:$O$27,MATCH(E847,'Cost_Components'!$A$2:$A$27,0)),"")</f>
      </c>
      <c r="AF847" s="85" t="n">
        <v>105180.908462499</v>
      </c>
      <c r="AG847" s="86" t="n">
        <v>98998.0143549304</v>
      </c>
      <c r="AH847" s="87" t="str">
        <f>IF(H847="shared-count-once",COUNTIFS($A$2:$A$1353,A847,$B$2:$B$1353,B847,$E$2:$E$1353,E847),1)</f>
      </c>
    </row>
    <row r="848">
      <c r="A848" t="s">
        <v>75</v>
      </c>
      <c r="B848" s="59" t="n">
        <v>2039</v>
      </c>
      <c r="C848" t="s">
        <v>200</v>
      </c>
      <c r="D848" t="s">
        <v>190</v>
      </c>
      <c r="E848" s="60" t="s">
        <v>275</v>
      </c>
      <c r="F848" s="61" t="s">
        <v>276</v>
      </c>
      <c r="G848" s="62" t="s">
        <v>201</v>
      </c>
      <c r="H848" s="63" t="s">
        <v>195</v>
      </c>
      <c r="I848" s="64" t="s">
        <v>267</v>
      </c>
      <c r="J848" s="65" t="str">
        <f>IFERROR(INDEX('Cost_Components'!$K$2:$K$27,MATCH(E848,'Cost_Components'!$A$2:$A$27,0)),"")</f>
      </c>
      <c r="K848" s="66" t="str">
        <f>IF(OR(L848="",Z848="",AA848="",AB848=""),"",IF(B848&lt;AA848,L848,IF(B848&gt;AB848,Z848,L848+(Z848-L848)*MIN(MAX((B848-AA848+1)/MAX(AB848-AA848+1,1),0),1))))</f>
      </c>
      <c r="L848" s="67" t="str">
        <f>IFERROR(INDEX('Cost_Components'!$S$2:$S$27,MATCH(E848,'Cost_Components'!$A$2:$A$27,0)),"")</f>
      </c>
      <c r="M848" s="68" t="str">
        <f>IFERROR(INDEX('Cost_Components'!$L$2:$L$27,MATCH(E848,'Cost_Components'!$A$2:$A$27,0)),"")</f>
      </c>
      <c r="N848" s="69" t="str">
        <f>IFERROR(INDEX('Cost_Components'!$P$2:$P$27,MATCH(E848,'Cost_Components'!$A$2:$A$27,0)),"")</f>
      </c>
      <c r="O848" s="70" t="str">
        <f>AF848*J848</f>
      </c>
      <c r="P848" s="71" t="str">
        <f>AG848*J848</f>
      </c>
      <c r="Q848" s="72" t="str">
        <f>P848*L848*M848*N848</f>
      </c>
      <c r="R848" s="73" t="str">
        <f>O848*K848*M848*N848</f>
      </c>
      <c r="S848" s="74" t="str">
        <f>R848-Q848</f>
      </c>
      <c r="T848" s="20" t="str">
        <f>IFERROR(INDEX('Cost_Components'!$R$2:$R$27,MATCH(E848,'Cost_Components'!$A$2:$A$27,0)),"")</f>
      </c>
      <c r="U848" s="75" t="str">
        <f>IFERROR(INDEX('Cost_Components'!$Q$2:$Q$27,MATCH(E848,'Cost_Components'!$A$2:$A$27,0)),"")</f>
      </c>
      <c r="V848" s="76" t="str">
        <f>1/(1+'Calculation_Assumptions'!$B$5)^(B848-'Calculation_Assumptions'!$B$2)</f>
      </c>
      <c r="W848" s="77" t="str">
        <f>Q848*V848</f>
      </c>
      <c r="X848" s="78" t="str">
        <f>R848*V848</f>
      </c>
      <c r="Y848" s="79" t="str">
        <f>S848*V848</f>
      </c>
      <c r="Z848" s="80" t="str">
        <f>IFERROR(INDEX('Cost_Components'!$T$2:$T$27,MATCH(E848,'Cost_Components'!$A$2:$A$27,0)),"")</f>
      </c>
      <c r="AA848" s="81" t="str">
        <f>IFERROR(INDEX('Cost_Components'!$U$2:$U$27,MATCH(E848,'Cost_Components'!$A$2:$A$27,0)),"")</f>
      </c>
      <c r="AB848" s="82" t="str">
        <f>IFERROR(INDEX('Cost_Components'!$V$2:$V$27,MATCH(E848,'Cost_Components'!$A$2:$A$27,0)),"")</f>
      </c>
      <c r="AC848" s="83" t="str">
        <f>IFERROR(INDEX('Cost_Components'!$M$2:$M$27,MATCH(E848,'Cost_Components'!$A$2:$A$27,0)),"")</f>
      </c>
      <c r="AD848" s="84" t="str">
        <f>IFERROR(INDEX('Cost_Components'!$N$2:$N$27,MATCH(E848,'Cost_Components'!$A$2:$A$27,0)),"")</f>
      </c>
      <c r="AE848" s="20" t="str">
        <f>IFERROR(INDEX('Cost_Components'!$O$2:$O$27,MATCH(E848,'Cost_Components'!$A$2:$A$27,0)),"")</f>
      </c>
      <c r="AF848" s="85" t="n">
        <v>107905.458355807</v>
      </c>
      <c r="AG848" s="86" t="n">
        <v>100926.209893404</v>
      </c>
      <c r="AH848" s="87" t="str">
        <f>IF(H848="shared-count-once",COUNTIFS($A$2:$A$1353,A848,$B$2:$B$1353,B848,$E$2:$E$1353,E848),1)</f>
      </c>
    </row>
    <row r="849">
      <c r="A849" t="s">
        <v>75</v>
      </c>
      <c r="B849" s="59" t="n">
        <v>2040</v>
      </c>
      <c r="C849" t="s">
        <v>200</v>
      </c>
      <c r="D849" t="s">
        <v>190</v>
      </c>
      <c r="E849" s="60" t="s">
        <v>275</v>
      </c>
      <c r="F849" s="61" t="s">
        <v>276</v>
      </c>
      <c r="G849" s="62" t="s">
        <v>201</v>
      </c>
      <c r="H849" s="63" t="s">
        <v>195</v>
      </c>
      <c r="I849" s="64" t="s">
        <v>267</v>
      </c>
      <c r="J849" s="65" t="str">
        <f>IFERROR(INDEX('Cost_Components'!$K$2:$K$27,MATCH(E849,'Cost_Components'!$A$2:$A$27,0)),"")</f>
      </c>
      <c r="K849" s="66" t="str">
        <f>IF(OR(L849="",Z849="",AA849="",AB849=""),"",IF(B849&lt;AA849,L849,IF(B849&gt;AB849,Z849,L849+(Z849-L849)*MIN(MAX((B849-AA849+1)/MAX(AB849-AA849+1,1),0),1))))</f>
      </c>
      <c r="L849" s="67" t="str">
        <f>IFERROR(INDEX('Cost_Components'!$S$2:$S$27,MATCH(E849,'Cost_Components'!$A$2:$A$27,0)),"")</f>
      </c>
      <c r="M849" s="68" t="str">
        <f>IFERROR(INDEX('Cost_Components'!$L$2:$L$27,MATCH(E849,'Cost_Components'!$A$2:$A$27,0)),"")</f>
      </c>
      <c r="N849" s="69" t="str">
        <f>IFERROR(INDEX('Cost_Components'!$P$2:$P$27,MATCH(E849,'Cost_Components'!$A$2:$A$27,0)),"")</f>
      </c>
      <c r="O849" s="70" t="str">
        <f>AF849*J849</f>
      </c>
      <c r="P849" s="71" t="str">
        <f>AG849*J849</f>
      </c>
      <c r="Q849" s="72" t="str">
        <f>P849*L849*M849*N849</f>
      </c>
      <c r="R849" s="73" t="str">
        <f>O849*K849*M849*N849</f>
      </c>
      <c r="S849" s="74" t="str">
        <f>R849-Q849</f>
      </c>
      <c r="T849" s="20" t="str">
        <f>IFERROR(INDEX('Cost_Components'!$R$2:$R$27,MATCH(E849,'Cost_Components'!$A$2:$A$27,0)),"")</f>
      </c>
      <c r="U849" s="75" t="str">
        <f>IFERROR(INDEX('Cost_Components'!$Q$2:$Q$27,MATCH(E849,'Cost_Components'!$A$2:$A$27,0)),"")</f>
      </c>
      <c r="V849" s="76" t="str">
        <f>1/(1+'Calculation_Assumptions'!$B$5)^(B849-'Calculation_Assumptions'!$B$2)</f>
      </c>
      <c r="W849" s="77" t="str">
        <f>Q849*V849</f>
      </c>
      <c r="X849" s="78" t="str">
        <f>R849*V849</f>
      </c>
      <c r="Y849" s="79" t="str">
        <f>S849*V849</f>
      </c>
      <c r="Z849" s="80" t="str">
        <f>IFERROR(INDEX('Cost_Components'!$T$2:$T$27,MATCH(E849,'Cost_Components'!$A$2:$A$27,0)),"")</f>
      </c>
      <c r="AA849" s="81" t="str">
        <f>IFERROR(INDEX('Cost_Components'!$U$2:$U$27,MATCH(E849,'Cost_Components'!$A$2:$A$27,0)),"")</f>
      </c>
      <c r="AB849" s="82" t="str">
        <f>IFERROR(INDEX('Cost_Components'!$V$2:$V$27,MATCH(E849,'Cost_Components'!$A$2:$A$27,0)),"")</f>
      </c>
      <c r="AC849" s="83" t="str">
        <f>IFERROR(INDEX('Cost_Components'!$M$2:$M$27,MATCH(E849,'Cost_Components'!$A$2:$A$27,0)),"")</f>
      </c>
      <c r="AD849" s="84" t="str">
        <f>IFERROR(INDEX('Cost_Components'!$N$2:$N$27,MATCH(E849,'Cost_Components'!$A$2:$A$27,0)),"")</f>
      </c>
      <c r="AE849" s="20" t="str">
        <f>IFERROR(INDEX('Cost_Components'!$O$2:$O$27,MATCH(E849,'Cost_Components'!$A$2:$A$27,0)),"")</f>
      </c>
      <c r="AF849" s="85" t="n">
        <v>110756.244646658</v>
      </c>
      <c r="AG849" s="86" t="n">
        <v>102933.12938022</v>
      </c>
      <c r="AH849" s="87" t="str">
        <f>IF(H849="shared-count-once",COUNTIFS($A$2:$A$1353,A849,$B$2:$B$1353,B849,$E$2:$E$1353,E849),1)</f>
      </c>
    </row>
    <row r="850">
      <c r="A850" t="s">
        <v>75</v>
      </c>
      <c r="B850" s="59" t="n">
        <v>2041</v>
      </c>
      <c r="C850" t="s">
        <v>200</v>
      </c>
      <c r="D850" t="s">
        <v>190</v>
      </c>
      <c r="E850" s="60" t="s">
        <v>275</v>
      </c>
      <c r="F850" s="61" t="s">
        <v>276</v>
      </c>
      <c r="G850" s="62" t="s">
        <v>201</v>
      </c>
      <c r="H850" s="63" t="s">
        <v>195</v>
      </c>
      <c r="I850" s="64" t="s">
        <v>267</v>
      </c>
      <c r="J850" s="65" t="str">
        <f>IFERROR(INDEX('Cost_Components'!$K$2:$K$27,MATCH(E850,'Cost_Components'!$A$2:$A$27,0)),"")</f>
      </c>
      <c r="K850" s="66" t="str">
        <f>IF(OR(L850="",Z850="",AA850="",AB850=""),"",IF(B850&lt;AA850,L850,IF(B850&gt;AB850,Z850,L850+(Z850-L850)*MIN(MAX((B850-AA850+1)/MAX(AB850-AA850+1,1),0),1))))</f>
      </c>
      <c r="L850" s="67" t="str">
        <f>IFERROR(INDEX('Cost_Components'!$S$2:$S$27,MATCH(E850,'Cost_Components'!$A$2:$A$27,0)),"")</f>
      </c>
      <c r="M850" s="68" t="str">
        <f>IFERROR(INDEX('Cost_Components'!$L$2:$L$27,MATCH(E850,'Cost_Components'!$A$2:$A$27,0)),"")</f>
      </c>
      <c r="N850" s="69" t="str">
        <f>IFERROR(INDEX('Cost_Components'!$P$2:$P$27,MATCH(E850,'Cost_Components'!$A$2:$A$27,0)),"")</f>
      </c>
      <c r="O850" s="70" t="str">
        <f>AF850*J850</f>
      </c>
      <c r="P850" s="71" t="str">
        <f>AG850*J850</f>
      </c>
      <c r="Q850" s="72" t="str">
        <f>P850*L850*M850*N850</f>
      </c>
      <c r="R850" s="73" t="str">
        <f>O850*K850*M850*N850</f>
      </c>
      <c r="S850" s="74" t="str">
        <f>R850-Q850</f>
      </c>
      <c r="T850" s="20" t="str">
        <f>IFERROR(INDEX('Cost_Components'!$R$2:$R$27,MATCH(E850,'Cost_Components'!$A$2:$A$27,0)),"")</f>
      </c>
      <c r="U850" s="75" t="str">
        <f>IFERROR(INDEX('Cost_Components'!$Q$2:$Q$27,MATCH(E850,'Cost_Components'!$A$2:$A$27,0)),"")</f>
      </c>
      <c r="V850" s="76" t="str">
        <f>1/(1+'Calculation_Assumptions'!$B$5)^(B850-'Calculation_Assumptions'!$B$2)</f>
      </c>
      <c r="W850" s="77" t="str">
        <f>Q850*V850</f>
      </c>
      <c r="X850" s="78" t="str">
        <f>R850*V850</f>
      </c>
      <c r="Y850" s="79" t="str">
        <f>S850*V850</f>
      </c>
      <c r="Z850" s="80" t="str">
        <f>IFERROR(INDEX('Cost_Components'!$T$2:$T$27,MATCH(E850,'Cost_Components'!$A$2:$A$27,0)),"")</f>
      </c>
      <c r="AA850" s="81" t="str">
        <f>IFERROR(INDEX('Cost_Components'!$U$2:$U$27,MATCH(E850,'Cost_Components'!$A$2:$A$27,0)),"")</f>
      </c>
      <c r="AB850" s="82" t="str">
        <f>IFERROR(INDEX('Cost_Components'!$V$2:$V$27,MATCH(E850,'Cost_Components'!$A$2:$A$27,0)),"")</f>
      </c>
      <c r="AC850" s="83" t="str">
        <f>IFERROR(INDEX('Cost_Components'!$M$2:$M$27,MATCH(E850,'Cost_Components'!$A$2:$A$27,0)),"")</f>
      </c>
      <c r="AD850" s="84" t="str">
        <f>IFERROR(INDEX('Cost_Components'!$N$2:$N$27,MATCH(E850,'Cost_Components'!$A$2:$A$27,0)),"")</f>
      </c>
      <c r="AE850" s="20" t="str">
        <f>IFERROR(INDEX('Cost_Components'!$O$2:$O$27,MATCH(E850,'Cost_Components'!$A$2:$A$27,0)),"")</f>
      </c>
      <c r="AF850" s="85" t="n">
        <v>113734.34938265</v>
      </c>
      <c r="AG850" s="86" t="n">
        <v>105017.945173141</v>
      </c>
      <c r="AH850" s="87" t="str">
        <f>IF(H850="shared-count-once",COUNTIFS($A$2:$A$1353,A850,$B$2:$B$1353,B850,$E$2:$E$1353,E850),1)</f>
      </c>
    </row>
    <row r="851">
      <c r="A851" t="s">
        <v>75</v>
      </c>
      <c r="B851" s="59" t="n">
        <v>2042</v>
      </c>
      <c r="C851" t="s">
        <v>200</v>
      </c>
      <c r="D851" t="s">
        <v>190</v>
      </c>
      <c r="E851" s="60" t="s">
        <v>275</v>
      </c>
      <c r="F851" s="61" t="s">
        <v>276</v>
      </c>
      <c r="G851" s="62" t="s">
        <v>201</v>
      </c>
      <c r="H851" s="63" t="s">
        <v>195</v>
      </c>
      <c r="I851" s="64" t="s">
        <v>267</v>
      </c>
      <c r="J851" s="65" t="str">
        <f>IFERROR(INDEX('Cost_Components'!$K$2:$K$27,MATCH(E851,'Cost_Components'!$A$2:$A$27,0)),"")</f>
      </c>
      <c r="K851" s="66" t="str">
        <f>IF(OR(L851="",Z851="",AA851="",AB851=""),"",IF(B851&lt;AA851,L851,IF(B851&gt;AB851,Z851,L851+(Z851-L851)*MIN(MAX((B851-AA851+1)/MAX(AB851-AA851+1,1),0),1))))</f>
      </c>
      <c r="L851" s="67" t="str">
        <f>IFERROR(INDEX('Cost_Components'!$S$2:$S$27,MATCH(E851,'Cost_Components'!$A$2:$A$27,0)),"")</f>
      </c>
      <c r="M851" s="68" t="str">
        <f>IFERROR(INDEX('Cost_Components'!$L$2:$L$27,MATCH(E851,'Cost_Components'!$A$2:$A$27,0)),"")</f>
      </c>
      <c r="N851" s="69" t="str">
        <f>IFERROR(INDEX('Cost_Components'!$P$2:$P$27,MATCH(E851,'Cost_Components'!$A$2:$A$27,0)),"")</f>
      </c>
      <c r="O851" s="70" t="str">
        <f>AF851*J851</f>
      </c>
      <c r="P851" s="71" t="str">
        <f>AG851*J851</f>
      </c>
      <c r="Q851" s="72" t="str">
        <f>P851*L851*M851*N851</f>
      </c>
      <c r="R851" s="73" t="str">
        <f>O851*K851*M851*N851</f>
      </c>
      <c r="S851" s="74" t="str">
        <f>R851-Q851</f>
      </c>
      <c r="T851" s="20" t="str">
        <f>IFERROR(INDEX('Cost_Components'!$R$2:$R$27,MATCH(E851,'Cost_Components'!$A$2:$A$27,0)),"")</f>
      </c>
      <c r="U851" s="75" t="str">
        <f>IFERROR(INDEX('Cost_Components'!$Q$2:$Q$27,MATCH(E851,'Cost_Components'!$A$2:$A$27,0)),"")</f>
      </c>
      <c r="V851" s="76" t="str">
        <f>1/(1+'Calculation_Assumptions'!$B$5)^(B851-'Calculation_Assumptions'!$B$2)</f>
      </c>
      <c r="W851" s="77" t="str">
        <f>Q851*V851</f>
      </c>
      <c r="X851" s="78" t="str">
        <f>R851*V851</f>
      </c>
      <c r="Y851" s="79" t="str">
        <f>S851*V851</f>
      </c>
      <c r="Z851" s="80" t="str">
        <f>IFERROR(INDEX('Cost_Components'!$T$2:$T$27,MATCH(E851,'Cost_Components'!$A$2:$A$27,0)),"")</f>
      </c>
      <c r="AA851" s="81" t="str">
        <f>IFERROR(INDEX('Cost_Components'!$U$2:$U$27,MATCH(E851,'Cost_Components'!$A$2:$A$27,0)),"")</f>
      </c>
      <c r="AB851" s="82" t="str">
        <f>IFERROR(INDEX('Cost_Components'!$V$2:$V$27,MATCH(E851,'Cost_Components'!$A$2:$A$27,0)),"")</f>
      </c>
      <c r="AC851" s="83" t="str">
        <f>IFERROR(INDEX('Cost_Components'!$M$2:$M$27,MATCH(E851,'Cost_Components'!$A$2:$A$27,0)),"")</f>
      </c>
      <c r="AD851" s="84" t="str">
        <f>IFERROR(INDEX('Cost_Components'!$N$2:$N$27,MATCH(E851,'Cost_Components'!$A$2:$A$27,0)),"")</f>
      </c>
      <c r="AE851" s="20" t="str">
        <f>IFERROR(INDEX('Cost_Components'!$O$2:$O$27,MATCH(E851,'Cost_Components'!$A$2:$A$27,0)),"")</f>
      </c>
      <c r="AF851" s="85" t="n">
        <v>116837.065186677</v>
      </c>
      <c r="AG851" s="86" t="n">
        <v>107176.827813899</v>
      </c>
      <c r="AH851" s="87" t="str">
        <f>IF(H851="shared-count-once",COUNTIFS($A$2:$A$1353,A851,$B$2:$B$1353,B851,$E$2:$E$1353,E851),1)</f>
      </c>
    </row>
    <row r="852">
      <c r="A852" t="s">
        <v>75</v>
      </c>
      <c r="B852" s="59" t="n">
        <v>2043</v>
      </c>
      <c r="C852" t="s">
        <v>200</v>
      </c>
      <c r="D852" t="s">
        <v>190</v>
      </c>
      <c r="E852" s="60" t="s">
        <v>275</v>
      </c>
      <c r="F852" s="61" t="s">
        <v>276</v>
      </c>
      <c r="G852" s="62" t="s">
        <v>201</v>
      </c>
      <c r="H852" s="63" t="s">
        <v>195</v>
      </c>
      <c r="I852" s="64" t="s">
        <v>267</v>
      </c>
      <c r="J852" s="65" t="str">
        <f>IFERROR(INDEX('Cost_Components'!$K$2:$K$27,MATCH(E852,'Cost_Components'!$A$2:$A$27,0)),"")</f>
      </c>
      <c r="K852" s="66" t="str">
        <f>IF(OR(L852="",Z852="",AA852="",AB852=""),"",IF(B852&lt;AA852,L852,IF(B852&gt;AB852,Z852,L852+(Z852-L852)*MIN(MAX((B852-AA852+1)/MAX(AB852-AA852+1,1),0),1))))</f>
      </c>
      <c r="L852" s="67" t="str">
        <f>IFERROR(INDEX('Cost_Components'!$S$2:$S$27,MATCH(E852,'Cost_Components'!$A$2:$A$27,0)),"")</f>
      </c>
      <c r="M852" s="68" t="str">
        <f>IFERROR(INDEX('Cost_Components'!$L$2:$L$27,MATCH(E852,'Cost_Components'!$A$2:$A$27,0)),"")</f>
      </c>
      <c r="N852" s="69" t="str">
        <f>IFERROR(INDEX('Cost_Components'!$P$2:$P$27,MATCH(E852,'Cost_Components'!$A$2:$A$27,0)),"")</f>
      </c>
      <c r="O852" s="70" t="str">
        <f>AF852*J852</f>
      </c>
      <c r="P852" s="71" t="str">
        <f>AG852*J852</f>
      </c>
      <c r="Q852" s="72" t="str">
        <f>P852*L852*M852*N852</f>
      </c>
      <c r="R852" s="73" t="str">
        <f>O852*K852*M852*N852</f>
      </c>
      <c r="S852" s="74" t="str">
        <f>R852-Q852</f>
      </c>
      <c r="T852" s="20" t="str">
        <f>IFERROR(INDEX('Cost_Components'!$R$2:$R$27,MATCH(E852,'Cost_Components'!$A$2:$A$27,0)),"")</f>
      </c>
      <c r="U852" s="75" t="str">
        <f>IFERROR(INDEX('Cost_Components'!$Q$2:$Q$27,MATCH(E852,'Cost_Components'!$A$2:$A$27,0)),"")</f>
      </c>
      <c r="V852" s="76" t="str">
        <f>1/(1+'Calculation_Assumptions'!$B$5)^(B852-'Calculation_Assumptions'!$B$2)</f>
      </c>
      <c r="W852" s="77" t="str">
        <f>Q852*V852</f>
      </c>
      <c r="X852" s="78" t="str">
        <f>R852*V852</f>
      </c>
      <c r="Y852" s="79" t="str">
        <f>S852*V852</f>
      </c>
      <c r="Z852" s="80" t="str">
        <f>IFERROR(INDEX('Cost_Components'!$T$2:$T$27,MATCH(E852,'Cost_Components'!$A$2:$A$27,0)),"")</f>
      </c>
      <c r="AA852" s="81" t="str">
        <f>IFERROR(INDEX('Cost_Components'!$U$2:$U$27,MATCH(E852,'Cost_Components'!$A$2:$A$27,0)),"")</f>
      </c>
      <c r="AB852" s="82" t="str">
        <f>IFERROR(INDEX('Cost_Components'!$V$2:$V$27,MATCH(E852,'Cost_Components'!$A$2:$A$27,0)),"")</f>
      </c>
      <c r="AC852" s="83" t="str">
        <f>IFERROR(INDEX('Cost_Components'!$M$2:$M$27,MATCH(E852,'Cost_Components'!$A$2:$A$27,0)),"")</f>
      </c>
      <c r="AD852" s="84" t="str">
        <f>IFERROR(INDEX('Cost_Components'!$N$2:$N$27,MATCH(E852,'Cost_Components'!$A$2:$A$27,0)),"")</f>
      </c>
      <c r="AE852" s="20" t="str">
        <f>IFERROR(INDEX('Cost_Components'!$O$2:$O$27,MATCH(E852,'Cost_Components'!$A$2:$A$27,0)),"")</f>
      </c>
      <c r="AF852" s="85" t="n">
        <v>120067.956480177</v>
      </c>
      <c r="AG852" s="86" t="n">
        <v>109412.075927052</v>
      </c>
      <c r="AH852" s="87" t="str">
        <f>IF(H852="shared-count-once",COUNTIFS($A$2:$A$1353,A852,$B$2:$B$1353,B852,$E$2:$E$1353,E852),1)</f>
      </c>
    </row>
    <row r="853">
      <c r="A853" t="s">
        <v>75</v>
      </c>
      <c r="B853" s="59" t="n">
        <v>2044</v>
      </c>
      <c r="C853" t="s">
        <v>200</v>
      </c>
      <c r="D853" t="s">
        <v>190</v>
      </c>
      <c r="E853" s="60" t="s">
        <v>275</v>
      </c>
      <c r="F853" s="61" t="s">
        <v>276</v>
      </c>
      <c r="G853" s="62" t="s">
        <v>201</v>
      </c>
      <c r="H853" s="63" t="s">
        <v>195</v>
      </c>
      <c r="I853" s="64" t="s">
        <v>267</v>
      </c>
      <c r="J853" s="65" t="str">
        <f>IFERROR(INDEX('Cost_Components'!$K$2:$K$27,MATCH(E853,'Cost_Components'!$A$2:$A$27,0)),"")</f>
      </c>
      <c r="K853" s="66" t="str">
        <f>IF(OR(L853="",Z853="",AA853="",AB853=""),"",IF(B853&lt;AA853,L853,IF(B853&gt;AB853,Z853,L853+(Z853-L853)*MIN(MAX((B853-AA853+1)/MAX(AB853-AA853+1,1),0),1))))</f>
      </c>
      <c r="L853" s="67" t="str">
        <f>IFERROR(INDEX('Cost_Components'!$S$2:$S$27,MATCH(E853,'Cost_Components'!$A$2:$A$27,0)),"")</f>
      </c>
      <c r="M853" s="68" t="str">
        <f>IFERROR(INDEX('Cost_Components'!$L$2:$L$27,MATCH(E853,'Cost_Components'!$A$2:$A$27,0)),"")</f>
      </c>
      <c r="N853" s="69" t="str">
        <f>IFERROR(INDEX('Cost_Components'!$P$2:$P$27,MATCH(E853,'Cost_Components'!$A$2:$A$27,0)),"")</f>
      </c>
      <c r="O853" s="70" t="str">
        <f>AF853*J853</f>
      </c>
      <c r="P853" s="71" t="str">
        <f>AG853*J853</f>
      </c>
      <c r="Q853" s="72" t="str">
        <f>P853*L853*M853*N853</f>
      </c>
      <c r="R853" s="73" t="str">
        <f>O853*K853*M853*N853</f>
      </c>
      <c r="S853" s="74" t="str">
        <f>R853-Q853</f>
      </c>
      <c r="T853" s="20" t="str">
        <f>IFERROR(INDEX('Cost_Components'!$R$2:$R$27,MATCH(E853,'Cost_Components'!$A$2:$A$27,0)),"")</f>
      </c>
      <c r="U853" s="75" t="str">
        <f>IFERROR(INDEX('Cost_Components'!$Q$2:$Q$27,MATCH(E853,'Cost_Components'!$A$2:$A$27,0)),"")</f>
      </c>
      <c r="V853" s="76" t="str">
        <f>1/(1+'Calculation_Assumptions'!$B$5)^(B853-'Calculation_Assumptions'!$B$2)</f>
      </c>
      <c r="W853" s="77" t="str">
        <f>Q853*V853</f>
      </c>
      <c r="X853" s="78" t="str">
        <f>R853*V853</f>
      </c>
      <c r="Y853" s="79" t="str">
        <f>S853*V853</f>
      </c>
      <c r="Z853" s="80" t="str">
        <f>IFERROR(INDEX('Cost_Components'!$T$2:$T$27,MATCH(E853,'Cost_Components'!$A$2:$A$27,0)),"")</f>
      </c>
      <c r="AA853" s="81" t="str">
        <f>IFERROR(INDEX('Cost_Components'!$U$2:$U$27,MATCH(E853,'Cost_Components'!$A$2:$A$27,0)),"")</f>
      </c>
      <c r="AB853" s="82" t="str">
        <f>IFERROR(INDEX('Cost_Components'!$V$2:$V$27,MATCH(E853,'Cost_Components'!$A$2:$A$27,0)),"")</f>
      </c>
      <c r="AC853" s="83" t="str">
        <f>IFERROR(INDEX('Cost_Components'!$M$2:$M$27,MATCH(E853,'Cost_Components'!$A$2:$A$27,0)),"")</f>
      </c>
      <c r="AD853" s="84" t="str">
        <f>IFERROR(INDEX('Cost_Components'!$N$2:$N$27,MATCH(E853,'Cost_Components'!$A$2:$A$27,0)),"")</f>
      </c>
      <c r="AE853" s="20" t="str">
        <f>IFERROR(INDEX('Cost_Components'!$O$2:$O$27,MATCH(E853,'Cost_Components'!$A$2:$A$27,0)),"")</f>
      </c>
      <c r="AF853" s="85" t="n">
        <v>123421.351595587</v>
      </c>
      <c r="AG853" s="86" t="n">
        <v>111717.49359171</v>
      </c>
      <c r="AH853" s="87" t="str">
        <f>IF(H853="shared-count-once",COUNTIFS($A$2:$A$1353,A853,$B$2:$B$1353,B853,$E$2:$E$1353,E853),1)</f>
      </c>
    </row>
    <row r="854">
      <c r="A854" t="s">
        <v>75</v>
      </c>
      <c r="B854" s="59" t="n">
        <v>2045</v>
      </c>
      <c r="C854" t="s">
        <v>200</v>
      </c>
      <c r="D854" t="s">
        <v>190</v>
      </c>
      <c r="E854" s="60" t="s">
        <v>275</v>
      </c>
      <c r="F854" s="61" t="s">
        <v>276</v>
      </c>
      <c r="G854" s="62" t="s">
        <v>201</v>
      </c>
      <c r="H854" s="63" t="s">
        <v>195</v>
      </c>
      <c r="I854" s="64" t="s">
        <v>267</v>
      </c>
      <c r="J854" s="65" t="str">
        <f>IFERROR(INDEX('Cost_Components'!$K$2:$K$27,MATCH(E854,'Cost_Components'!$A$2:$A$27,0)),"")</f>
      </c>
      <c r="K854" s="66" t="str">
        <f>IF(OR(L854="",Z854="",AA854="",AB854=""),"",IF(B854&lt;AA854,L854,IF(B854&gt;AB854,Z854,L854+(Z854-L854)*MIN(MAX((B854-AA854+1)/MAX(AB854-AA854+1,1),0),1))))</f>
      </c>
      <c r="L854" s="67" t="str">
        <f>IFERROR(INDEX('Cost_Components'!$S$2:$S$27,MATCH(E854,'Cost_Components'!$A$2:$A$27,0)),"")</f>
      </c>
      <c r="M854" s="68" t="str">
        <f>IFERROR(INDEX('Cost_Components'!$L$2:$L$27,MATCH(E854,'Cost_Components'!$A$2:$A$27,0)),"")</f>
      </c>
      <c r="N854" s="69" t="str">
        <f>IFERROR(INDEX('Cost_Components'!$P$2:$P$27,MATCH(E854,'Cost_Components'!$A$2:$A$27,0)),"")</f>
      </c>
      <c r="O854" s="70" t="str">
        <f>AF854*J854</f>
      </c>
      <c r="P854" s="71" t="str">
        <f>AG854*J854</f>
      </c>
      <c r="Q854" s="72" t="str">
        <f>P854*L854*M854*N854</f>
      </c>
      <c r="R854" s="73" t="str">
        <f>O854*K854*M854*N854</f>
      </c>
      <c r="S854" s="74" t="str">
        <f>R854-Q854</f>
      </c>
      <c r="T854" s="20" t="str">
        <f>IFERROR(INDEX('Cost_Components'!$R$2:$R$27,MATCH(E854,'Cost_Components'!$A$2:$A$27,0)),"")</f>
      </c>
      <c r="U854" s="75" t="str">
        <f>IFERROR(INDEX('Cost_Components'!$Q$2:$Q$27,MATCH(E854,'Cost_Components'!$A$2:$A$27,0)),"")</f>
      </c>
      <c r="V854" s="76" t="str">
        <f>1/(1+'Calculation_Assumptions'!$B$5)^(B854-'Calculation_Assumptions'!$B$2)</f>
      </c>
      <c r="W854" s="77" t="str">
        <f>Q854*V854</f>
      </c>
      <c r="X854" s="78" t="str">
        <f>R854*V854</f>
      </c>
      <c r="Y854" s="79" t="str">
        <f>S854*V854</f>
      </c>
      <c r="Z854" s="80" t="str">
        <f>IFERROR(INDEX('Cost_Components'!$T$2:$T$27,MATCH(E854,'Cost_Components'!$A$2:$A$27,0)),"")</f>
      </c>
      <c r="AA854" s="81" t="str">
        <f>IFERROR(INDEX('Cost_Components'!$U$2:$U$27,MATCH(E854,'Cost_Components'!$A$2:$A$27,0)),"")</f>
      </c>
      <c r="AB854" s="82" t="str">
        <f>IFERROR(INDEX('Cost_Components'!$V$2:$V$27,MATCH(E854,'Cost_Components'!$A$2:$A$27,0)),"")</f>
      </c>
      <c r="AC854" s="83" t="str">
        <f>IFERROR(INDEX('Cost_Components'!$M$2:$M$27,MATCH(E854,'Cost_Components'!$A$2:$A$27,0)),"")</f>
      </c>
      <c r="AD854" s="84" t="str">
        <f>IFERROR(INDEX('Cost_Components'!$N$2:$N$27,MATCH(E854,'Cost_Components'!$A$2:$A$27,0)),"")</f>
      </c>
      <c r="AE854" s="20" t="str">
        <f>IFERROR(INDEX('Cost_Components'!$O$2:$O$27,MATCH(E854,'Cost_Components'!$A$2:$A$27,0)),"")</f>
      </c>
      <c r="AF854" s="85" t="n">
        <v>126898.670263431</v>
      </c>
      <c r="AG854" s="86" t="n">
        <v>114095.274012368</v>
      </c>
      <c r="AH854" s="87" t="str">
        <f>IF(H854="shared-count-once",COUNTIFS($A$2:$A$1353,A854,$B$2:$B$1353,B854,$E$2:$E$1353,E854),1)</f>
      </c>
    </row>
    <row r="855">
      <c r="A855" t="s">
        <v>75</v>
      </c>
      <c r="B855" s="59" t="n">
        <v>2046</v>
      </c>
      <c r="C855" t="s">
        <v>200</v>
      </c>
      <c r="D855" t="s">
        <v>190</v>
      </c>
      <c r="E855" s="60" t="s">
        <v>275</v>
      </c>
      <c r="F855" s="61" t="s">
        <v>276</v>
      </c>
      <c r="G855" s="62" t="s">
        <v>201</v>
      </c>
      <c r="H855" s="63" t="s">
        <v>195</v>
      </c>
      <c r="I855" s="64" t="s">
        <v>267</v>
      </c>
      <c r="J855" s="65" t="str">
        <f>IFERROR(INDEX('Cost_Components'!$K$2:$K$27,MATCH(E855,'Cost_Components'!$A$2:$A$27,0)),"")</f>
      </c>
      <c r="K855" s="66" t="str">
        <f>IF(OR(L855="",Z855="",AA855="",AB855=""),"",IF(B855&lt;AA855,L855,IF(B855&gt;AB855,Z855,L855+(Z855-L855)*MIN(MAX((B855-AA855+1)/MAX(AB855-AA855+1,1),0),1))))</f>
      </c>
      <c r="L855" s="67" t="str">
        <f>IFERROR(INDEX('Cost_Components'!$S$2:$S$27,MATCH(E855,'Cost_Components'!$A$2:$A$27,0)),"")</f>
      </c>
      <c r="M855" s="68" t="str">
        <f>IFERROR(INDEX('Cost_Components'!$L$2:$L$27,MATCH(E855,'Cost_Components'!$A$2:$A$27,0)),"")</f>
      </c>
      <c r="N855" s="69" t="str">
        <f>IFERROR(INDEX('Cost_Components'!$P$2:$P$27,MATCH(E855,'Cost_Components'!$A$2:$A$27,0)),"")</f>
      </c>
      <c r="O855" s="70" t="str">
        <f>AF855*J855</f>
      </c>
      <c r="P855" s="71" t="str">
        <f>AG855*J855</f>
      </c>
      <c r="Q855" s="72" t="str">
        <f>P855*L855*M855*N855</f>
      </c>
      <c r="R855" s="73" t="str">
        <f>O855*K855*M855*N855</f>
      </c>
      <c r="S855" s="74" t="str">
        <f>R855-Q855</f>
      </c>
      <c r="T855" s="20" t="str">
        <f>IFERROR(INDEX('Cost_Components'!$R$2:$R$27,MATCH(E855,'Cost_Components'!$A$2:$A$27,0)),"")</f>
      </c>
      <c r="U855" s="75" t="str">
        <f>IFERROR(INDEX('Cost_Components'!$Q$2:$Q$27,MATCH(E855,'Cost_Components'!$A$2:$A$27,0)),"")</f>
      </c>
      <c r="V855" s="76" t="str">
        <f>1/(1+'Calculation_Assumptions'!$B$5)^(B855-'Calculation_Assumptions'!$B$2)</f>
      </c>
      <c r="W855" s="77" t="str">
        <f>Q855*V855</f>
      </c>
      <c r="X855" s="78" t="str">
        <f>R855*V855</f>
      </c>
      <c r="Y855" s="79" t="str">
        <f>S855*V855</f>
      </c>
      <c r="Z855" s="80" t="str">
        <f>IFERROR(INDEX('Cost_Components'!$T$2:$T$27,MATCH(E855,'Cost_Components'!$A$2:$A$27,0)),"")</f>
      </c>
      <c r="AA855" s="81" t="str">
        <f>IFERROR(INDEX('Cost_Components'!$U$2:$U$27,MATCH(E855,'Cost_Components'!$A$2:$A$27,0)),"")</f>
      </c>
      <c r="AB855" s="82" t="str">
        <f>IFERROR(INDEX('Cost_Components'!$V$2:$V$27,MATCH(E855,'Cost_Components'!$A$2:$A$27,0)),"")</f>
      </c>
      <c r="AC855" s="83" t="str">
        <f>IFERROR(INDEX('Cost_Components'!$M$2:$M$27,MATCH(E855,'Cost_Components'!$A$2:$A$27,0)),"")</f>
      </c>
      <c r="AD855" s="84" t="str">
        <f>IFERROR(INDEX('Cost_Components'!$N$2:$N$27,MATCH(E855,'Cost_Components'!$A$2:$A$27,0)),"")</f>
      </c>
      <c r="AE855" s="20" t="str">
        <f>IFERROR(INDEX('Cost_Components'!$O$2:$O$27,MATCH(E855,'Cost_Components'!$A$2:$A$27,0)),"")</f>
      </c>
      <c r="AF855" s="85" t="n">
        <v>130482.125746266</v>
      </c>
      <c r="AG855" s="86" t="n">
        <v>116526.846002341</v>
      </c>
      <c r="AH855" s="87" t="str">
        <f>IF(H855="shared-count-once",COUNTIFS($A$2:$A$1353,A855,$B$2:$B$1353,B855,$E$2:$E$1353,E855),1)</f>
      </c>
    </row>
    <row r="856">
      <c r="A856" t="s">
        <v>75</v>
      </c>
      <c r="B856" s="59" t="n">
        <v>2047</v>
      </c>
      <c r="C856" t="s">
        <v>200</v>
      </c>
      <c r="D856" t="s">
        <v>190</v>
      </c>
      <c r="E856" s="60" t="s">
        <v>275</v>
      </c>
      <c r="F856" s="61" t="s">
        <v>276</v>
      </c>
      <c r="G856" s="62" t="s">
        <v>201</v>
      </c>
      <c r="H856" s="63" t="s">
        <v>195</v>
      </c>
      <c r="I856" s="64" t="s">
        <v>267</v>
      </c>
      <c r="J856" s="65" t="str">
        <f>IFERROR(INDEX('Cost_Components'!$K$2:$K$27,MATCH(E856,'Cost_Components'!$A$2:$A$27,0)),"")</f>
      </c>
      <c r="K856" s="66" t="str">
        <f>IF(OR(L856="",Z856="",AA856="",AB856=""),"",IF(B856&lt;AA856,L856,IF(B856&gt;AB856,Z856,L856+(Z856-L856)*MIN(MAX((B856-AA856+1)/MAX(AB856-AA856+1,1),0),1))))</f>
      </c>
      <c r="L856" s="67" t="str">
        <f>IFERROR(INDEX('Cost_Components'!$S$2:$S$27,MATCH(E856,'Cost_Components'!$A$2:$A$27,0)),"")</f>
      </c>
      <c r="M856" s="68" t="str">
        <f>IFERROR(INDEX('Cost_Components'!$L$2:$L$27,MATCH(E856,'Cost_Components'!$A$2:$A$27,0)),"")</f>
      </c>
      <c r="N856" s="69" t="str">
        <f>IFERROR(INDEX('Cost_Components'!$P$2:$P$27,MATCH(E856,'Cost_Components'!$A$2:$A$27,0)),"")</f>
      </c>
      <c r="O856" s="70" t="str">
        <f>AF856*J856</f>
      </c>
      <c r="P856" s="71" t="str">
        <f>AG856*J856</f>
      </c>
      <c r="Q856" s="72" t="str">
        <f>P856*L856*M856*N856</f>
      </c>
      <c r="R856" s="73" t="str">
        <f>O856*K856*M856*N856</f>
      </c>
      <c r="S856" s="74" t="str">
        <f>R856-Q856</f>
      </c>
      <c r="T856" s="20" t="str">
        <f>IFERROR(INDEX('Cost_Components'!$R$2:$R$27,MATCH(E856,'Cost_Components'!$A$2:$A$27,0)),"")</f>
      </c>
      <c r="U856" s="75" t="str">
        <f>IFERROR(INDEX('Cost_Components'!$Q$2:$Q$27,MATCH(E856,'Cost_Components'!$A$2:$A$27,0)),"")</f>
      </c>
      <c r="V856" s="76" t="str">
        <f>1/(1+'Calculation_Assumptions'!$B$5)^(B856-'Calculation_Assumptions'!$B$2)</f>
      </c>
      <c r="W856" s="77" t="str">
        <f>Q856*V856</f>
      </c>
      <c r="X856" s="78" t="str">
        <f>R856*V856</f>
      </c>
      <c r="Y856" s="79" t="str">
        <f>S856*V856</f>
      </c>
      <c r="Z856" s="80" t="str">
        <f>IFERROR(INDEX('Cost_Components'!$T$2:$T$27,MATCH(E856,'Cost_Components'!$A$2:$A$27,0)),"")</f>
      </c>
      <c r="AA856" s="81" t="str">
        <f>IFERROR(INDEX('Cost_Components'!$U$2:$U$27,MATCH(E856,'Cost_Components'!$A$2:$A$27,0)),"")</f>
      </c>
      <c r="AB856" s="82" t="str">
        <f>IFERROR(INDEX('Cost_Components'!$V$2:$V$27,MATCH(E856,'Cost_Components'!$A$2:$A$27,0)),"")</f>
      </c>
      <c r="AC856" s="83" t="str">
        <f>IFERROR(INDEX('Cost_Components'!$M$2:$M$27,MATCH(E856,'Cost_Components'!$A$2:$A$27,0)),"")</f>
      </c>
      <c r="AD856" s="84" t="str">
        <f>IFERROR(INDEX('Cost_Components'!$N$2:$N$27,MATCH(E856,'Cost_Components'!$A$2:$A$27,0)),"")</f>
      </c>
      <c r="AE856" s="20" t="str">
        <f>IFERROR(INDEX('Cost_Components'!$O$2:$O$27,MATCH(E856,'Cost_Components'!$A$2:$A$27,0)),"")</f>
      </c>
      <c r="AF856" s="85" t="n">
        <v>134154.275115244</v>
      </c>
      <c r="AG856" s="86" t="n">
        <v>118996.23941396</v>
      </c>
      <c r="AH856" s="87" t="str">
        <f>IF(H856="shared-count-once",COUNTIFS($A$2:$A$1353,A856,$B$2:$B$1353,B856,$E$2:$E$1353,E856),1)</f>
      </c>
    </row>
    <row r="857">
      <c r="A857" t="s">
        <v>75</v>
      </c>
      <c r="B857" s="59" t="n">
        <v>2048</v>
      </c>
      <c r="C857" t="s">
        <v>200</v>
      </c>
      <c r="D857" t="s">
        <v>190</v>
      </c>
      <c r="E857" s="60" t="s">
        <v>275</v>
      </c>
      <c r="F857" s="61" t="s">
        <v>276</v>
      </c>
      <c r="G857" s="62" t="s">
        <v>201</v>
      </c>
      <c r="H857" s="63" t="s">
        <v>195</v>
      </c>
      <c r="I857" s="64" t="s">
        <v>267</v>
      </c>
      <c r="J857" s="65" t="str">
        <f>IFERROR(INDEX('Cost_Components'!$K$2:$K$27,MATCH(E857,'Cost_Components'!$A$2:$A$27,0)),"")</f>
      </c>
      <c r="K857" s="66" t="str">
        <f>IF(OR(L857="",Z857="",AA857="",AB857=""),"",IF(B857&lt;AA857,L857,IF(B857&gt;AB857,Z857,L857+(Z857-L857)*MIN(MAX((B857-AA857+1)/MAX(AB857-AA857+1,1),0),1))))</f>
      </c>
      <c r="L857" s="67" t="str">
        <f>IFERROR(INDEX('Cost_Components'!$S$2:$S$27,MATCH(E857,'Cost_Components'!$A$2:$A$27,0)),"")</f>
      </c>
      <c r="M857" s="68" t="str">
        <f>IFERROR(INDEX('Cost_Components'!$L$2:$L$27,MATCH(E857,'Cost_Components'!$A$2:$A$27,0)),"")</f>
      </c>
      <c r="N857" s="69" t="str">
        <f>IFERROR(INDEX('Cost_Components'!$P$2:$P$27,MATCH(E857,'Cost_Components'!$A$2:$A$27,0)),"")</f>
      </c>
      <c r="O857" s="70" t="str">
        <f>AF857*J857</f>
      </c>
      <c r="P857" s="71" t="str">
        <f>AG857*J857</f>
      </c>
      <c r="Q857" s="72" t="str">
        <f>P857*L857*M857*N857</f>
      </c>
      <c r="R857" s="73" t="str">
        <f>O857*K857*M857*N857</f>
      </c>
      <c r="S857" s="74" t="str">
        <f>R857-Q857</f>
      </c>
      <c r="T857" s="20" t="str">
        <f>IFERROR(INDEX('Cost_Components'!$R$2:$R$27,MATCH(E857,'Cost_Components'!$A$2:$A$27,0)),"")</f>
      </c>
      <c r="U857" s="75" t="str">
        <f>IFERROR(INDEX('Cost_Components'!$Q$2:$Q$27,MATCH(E857,'Cost_Components'!$A$2:$A$27,0)),"")</f>
      </c>
      <c r="V857" s="76" t="str">
        <f>1/(1+'Calculation_Assumptions'!$B$5)^(B857-'Calculation_Assumptions'!$B$2)</f>
      </c>
      <c r="W857" s="77" t="str">
        <f>Q857*V857</f>
      </c>
      <c r="X857" s="78" t="str">
        <f>R857*V857</f>
      </c>
      <c r="Y857" s="79" t="str">
        <f>S857*V857</f>
      </c>
      <c r="Z857" s="80" t="str">
        <f>IFERROR(INDEX('Cost_Components'!$T$2:$T$27,MATCH(E857,'Cost_Components'!$A$2:$A$27,0)),"")</f>
      </c>
      <c r="AA857" s="81" t="str">
        <f>IFERROR(INDEX('Cost_Components'!$U$2:$U$27,MATCH(E857,'Cost_Components'!$A$2:$A$27,0)),"")</f>
      </c>
      <c r="AB857" s="82" t="str">
        <f>IFERROR(INDEX('Cost_Components'!$V$2:$V$27,MATCH(E857,'Cost_Components'!$A$2:$A$27,0)),"")</f>
      </c>
      <c r="AC857" s="83" t="str">
        <f>IFERROR(INDEX('Cost_Components'!$M$2:$M$27,MATCH(E857,'Cost_Components'!$A$2:$A$27,0)),"")</f>
      </c>
      <c r="AD857" s="84" t="str">
        <f>IFERROR(INDEX('Cost_Components'!$N$2:$N$27,MATCH(E857,'Cost_Components'!$A$2:$A$27,0)),"")</f>
      </c>
      <c r="AE857" s="20" t="str">
        <f>IFERROR(INDEX('Cost_Components'!$O$2:$O$27,MATCH(E857,'Cost_Components'!$A$2:$A$27,0)),"")</f>
      </c>
      <c r="AF857" s="85" t="n">
        <v>137892.438781598</v>
      </c>
      <c r="AG857" s="86" t="n">
        <v>121484.742904679</v>
      </c>
      <c r="AH857" s="87" t="str">
        <f>IF(H857="shared-count-once",COUNTIFS($A$2:$A$1353,A857,$B$2:$B$1353,B857,$E$2:$E$1353,E857),1)</f>
      </c>
    </row>
    <row r="858">
      <c r="A858" t="s">
        <v>75</v>
      </c>
      <c r="B858" s="59" t="n">
        <v>2049</v>
      </c>
      <c r="C858" t="s">
        <v>200</v>
      </c>
      <c r="D858" t="s">
        <v>190</v>
      </c>
      <c r="E858" s="60" t="s">
        <v>275</v>
      </c>
      <c r="F858" s="61" t="s">
        <v>276</v>
      </c>
      <c r="G858" s="62" t="s">
        <v>201</v>
      </c>
      <c r="H858" s="63" t="s">
        <v>195</v>
      </c>
      <c r="I858" s="64" t="s">
        <v>267</v>
      </c>
      <c r="J858" s="65" t="str">
        <f>IFERROR(INDEX('Cost_Components'!$K$2:$K$27,MATCH(E858,'Cost_Components'!$A$2:$A$27,0)),"")</f>
      </c>
      <c r="K858" s="66" t="str">
        <f>IF(OR(L858="",Z858="",AA858="",AB858=""),"",IF(B858&lt;AA858,L858,IF(B858&gt;AB858,Z858,L858+(Z858-L858)*MIN(MAX((B858-AA858+1)/MAX(AB858-AA858+1,1),0),1))))</f>
      </c>
      <c r="L858" s="67" t="str">
        <f>IFERROR(INDEX('Cost_Components'!$S$2:$S$27,MATCH(E858,'Cost_Components'!$A$2:$A$27,0)),"")</f>
      </c>
      <c r="M858" s="68" t="str">
        <f>IFERROR(INDEX('Cost_Components'!$L$2:$L$27,MATCH(E858,'Cost_Components'!$A$2:$A$27,0)),"")</f>
      </c>
      <c r="N858" s="69" t="str">
        <f>IFERROR(INDEX('Cost_Components'!$P$2:$P$27,MATCH(E858,'Cost_Components'!$A$2:$A$27,0)),"")</f>
      </c>
      <c r="O858" s="70" t="str">
        <f>AF858*J858</f>
      </c>
      <c r="P858" s="71" t="str">
        <f>AG858*J858</f>
      </c>
      <c r="Q858" s="72" t="str">
        <f>P858*L858*M858*N858</f>
      </c>
      <c r="R858" s="73" t="str">
        <f>O858*K858*M858*N858</f>
      </c>
      <c r="S858" s="74" t="str">
        <f>R858-Q858</f>
      </c>
      <c r="T858" s="20" t="str">
        <f>IFERROR(INDEX('Cost_Components'!$R$2:$R$27,MATCH(E858,'Cost_Components'!$A$2:$A$27,0)),"")</f>
      </c>
      <c r="U858" s="75" t="str">
        <f>IFERROR(INDEX('Cost_Components'!$Q$2:$Q$27,MATCH(E858,'Cost_Components'!$A$2:$A$27,0)),"")</f>
      </c>
      <c r="V858" s="76" t="str">
        <f>1/(1+'Calculation_Assumptions'!$B$5)^(B858-'Calculation_Assumptions'!$B$2)</f>
      </c>
      <c r="W858" s="77" t="str">
        <f>Q858*V858</f>
      </c>
      <c r="X858" s="78" t="str">
        <f>R858*V858</f>
      </c>
      <c r="Y858" s="79" t="str">
        <f>S858*V858</f>
      </c>
      <c r="Z858" s="80" t="str">
        <f>IFERROR(INDEX('Cost_Components'!$T$2:$T$27,MATCH(E858,'Cost_Components'!$A$2:$A$27,0)),"")</f>
      </c>
      <c r="AA858" s="81" t="str">
        <f>IFERROR(INDEX('Cost_Components'!$U$2:$U$27,MATCH(E858,'Cost_Components'!$A$2:$A$27,0)),"")</f>
      </c>
      <c r="AB858" s="82" t="str">
        <f>IFERROR(INDEX('Cost_Components'!$V$2:$V$27,MATCH(E858,'Cost_Components'!$A$2:$A$27,0)),"")</f>
      </c>
      <c r="AC858" s="83" t="str">
        <f>IFERROR(INDEX('Cost_Components'!$M$2:$M$27,MATCH(E858,'Cost_Components'!$A$2:$A$27,0)),"")</f>
      </c>
      <c r="AD858" s="84" t="str">
        <f>IFERROR(INDEX('Cost_Components'!$N$2:$N$27,MATCH(E858,'Cost_Components'!$A$2:$A$27,0)),"")</f>
      </c>
      <c r="AE858" s="20" t="str">
        <f>IFERROR(INDEX('Cost_Components'!$O$2:$O$27,MATCH(E858,'Cost_Components'!$A$2:$A$27,0)),"")</f>
      </c>
      <c r="AF858" s="85" t="n">
        <v>141677.178445436</v>
      </c>
      <c r="AG858" s="86" t="n">
        <v>123973.319152679</v>
      </c>
      <c r="AH858" s="87" t="str">
        <f>IF(H858="shared-count-once",COUNTIFS($A$2:$A$1353,A858,$B$2:$B$1353,B858,$E$2:$E$1353,E858),1)</f>
      </c>
    </row>
    <row r="859">
      <c r="A859" t="s">
        <v>75</v>
      </c>
      <c r="B859" s="59" t="n">
        <v>2050</v>
      </c>
      <c r="C859" t="s">
        <v>200</v>
      </c>
      <c r="D859" t="s">
        <v>190</v>
      </c>
      <c r="E859" s="60" t="s">
        <v>275</v>
      </c>
      <c r="F859" s="61" t="s">
        <v>276</v>
      </c>
      <c r="G859" s="62" t="s">
        <v>201</v>
      </c>
      <c r="H859" s="63" t="s">
        <v>195</v>
      </c>
      <c r="I859" s="64" t="s">
        <v>267</v>
      </c>
      <c r="J859" s="65" t="str">
        <f>IFERROR(INDEX('Cost_Components'!$K$2:$K$27,MATCH(E859,'Cost_Components'!$A$2:$A$27,0)),"")</f>
      </c>
      <c r="K859" s="66" t="str">
        <f>IF(OR(L859="",Z859="",AA859="",AB859=""),"",IF(B859&lt;AA859,L859,IF(B859&gt;AB859,Z859,L859+(Z859-L859)*MIN(MAX((B859-AA859+1)/MAX(AB859-AA859+1,1),0),1))))</f>
      </c>
      <c r="L859" s="67" t="str">
        <f>IFERROR(INDEX('Cost_Components'!$S$2:$S$27,MATCH(E859,'Cost_Components'!$A$2:$A$27,0)),"")</f>
      </c>
      <c r="M859" s="68" t="str">
        <f>IFERROR(INDEX('Cost_Components'!$L$2:$L$27,MATCH(E859,'Cost_Components'!$A$2:$A$27,0)),"")</f>
      </c>
      <c r="N859" s="69" t="str">
        <f>IFERROR(INDEX('Cost_Components'!$P$2:$P$27,MATCH(E859,'Cost_Components'!$A$2:$A$27,0)),"")</f>
      </c>
      <c r="O859" s="70" t="str">
        <f>AF859*J859</f>
      </c>
      <c r="P859" s="71" t="str">
        <f>AG859*J859</f>
      </c>
      <c r="Q859" s="72" t="str">
        <f>P859*L859*M859*N859</f>
      </c>
      <c r="R859" s="73" t="str">
        <f>O859*K859*M859*N859</f>
      </c>
      <c r="S859" s="74" t="str">
        <f>R859-Q859</f>
      </c>
      <c r="T859" s="20" t="str">
        <f>IFERROR(INDEX('Cost_Components'!$R$2:$R$27,MATCH(E859,'Cost_Components'!$A$2:$A$27,0)),"")</f>
      </c>
      <c r="U859" s="75" t="str">
        <f>IFERROR(INDEX('Cost_Components'!$Q$2:$Q$27,MATCH(E859,'Cost_Components'!$A$2:$A$27,0)),"")</f>
      </c>
      <c r="V859" s="76" t="str">
        <f>1/(1+'Calculation_Assumptions'!$B$5)^(B859-'Calculation_Assumptions'!$B$2)</f>
      </c>
      <c r="W859" s="77" t="str">
        <f>Q859*V859</f>
      </c>
      <c r="X859" s="78" t="str">
        <f>R859*V859</f>
      </c>
      <c r="Y859" s="79" t="str">
        <f>S859*V859</f>
      </c>
      <c r="Z859" s="80" t="str">
        <f>IFERROR(INDEX('Cost_Components'!$T$2:$T$27,MATCH(E859,'Cost_Components'!$A$2:$A$27,0)),"")</f>
      </c>
      <c r="AA859" s="81" t="str">
        <f>IFERROR(INDEX('Cost_Components'!$U$2:$U$27,MATCH(E859,'Cost_Components'!$A$2:$A$27,0)),"")</f>
      </c>
      <c r="AB859" s="82" t="str">
        <f>IFERROR(INDEX('Cost_Components'!$V$2:$V$27,MATCH(E859,'Cost_Components'!$A$2:$A$27,0)),"")</f>
      </c>
      <c r="AC859" s="83" t="str">
        <f>IFERROR(INDEX('Cost_Components'!$M$2:$M$27,MATCH(E859,'Cost_Components'!$A$2:$A$27,0)),"")</f>
      </c>
      <c r="AD859" s="84" t="str">
        <f>IFERROR(INDEX('Cost_Components'!$N$2:$N$27,MATCH(E859,'Cost_Components'!$A$2:$A$27,0)),"")</f>
      </c>
      <c r="AE859" s="20" t="str">
        <f>IFERROR(INDEX('Cost_Components'!$O$2:$O$27,MATCH(E859,'Cost_Components'!$A$2:$A$27,0)),"")</f>
      </c>
      <c r="AF859" s="85" t="n">
        <v>145505.106237114</v>
      </c>
      <c r="AG859" s="86" t="n">
        <v>126459.62395605</v>
      </c>
      <c r="AH859" s="87" t="str">
        <f>IF(H859="shared-count-once",COUNTIFS($A$2:$A$1353,A859,$B$2:$B$1353,B859,$E$2:$E$1353,E859),1)</f>
      </c>
    </row>
    <row r="860">
      <c r="A860" t="s">
        <v>75</v>
      </c>
      <c r="B860" s="59" t="n">
        <v>2025</v>
      </c>
      <c r="C860" t="s">
        <v>200</v>
      </c>
      <c r="D860" t="s">
        <v>190</v>
      </c>
      <c r="E860" s="60" t="s">
        <v>278</v>
      </c>
      <c r="F860" s="61" t="s">
        <v>279</v>
      </c>
      <c r="G860" s="62" t="s">
        <v>201</v>
      </c>
      <c r="H860" s="63" t="s">
        <v>195</v>
      </c>
      <c r="I860" s="64" t="s">
        <v>267</v>
      </c>
      <c r="J860" s="65" t="str">
        <f>IFERROR(INDEX('Cost_Components'!$K$2:$K$27,MATCH(E860,'Cost_Components'!$A$2:$A$27,0)),"")</f>
      </c>
      <c r="K860" s="66" t="str">
        <f>IF(OR(L860="",Z860="",AA860="",AB860=""),"",IF(B860&lt;AA860,L860,IF(B860&gt;AB860,Z860,L860+(Z860-L860)*MIN(MAX((B860-AA860+1)/MAX(AB860-AA860+1,1),0),1))))</f>
      </c>
      <c r="L860" s="67" t="str">
        <f>IFERROR(INDEX('Cost_Components'!$S$2:$S$27,MATCH(E860,'Cost_Components'!$A$2:$A$27,0)),"")</f>
      </c>
      <c r="M860" s="68" t="str">
        <f>IFERROR(INDEX('Cost_Components'!$L$2:$L$27,MATCH(E860,'Cost_Components'!$A$2:$A$27,0)),"")</f>
      </c>
      <c r="N860" s="69" t="str">
        <f>IFERROR(INDEX('Cost_Components'!$P$2:$P$27,MATCH(E860,'Cost_Components'!$A$2:$A$27,0)),"")</f>
      </c>
      <c r="O860" s="70" t="str">
        <f>AF860*J860</f>
      </c>
      <c r="P860" s="71" t="str">
        <f>AG860*J860</f>
      </c>
      <c r="Q860" s="72" t="str">
        <f>P860*L860*M860*N860</f>
      </c>
      <c r="R860" s="73" t="str">
        <f>O860*K860*M860*N860</f>
      </c>
      <c r="S860" s="74" t="str">
        <f>R860-Q860</f>
      </c>
      <c r="T860" s="20" t="str">
        <f>IFERROR(INDEX('Cost_Components'!$R$2:$R$27,MATCH(E860,'Cost_Components'!$A$2:$A$27,0)),"")</f>
      </c>
      <c r="U860" s="75" t="str">
        <f>IFERROR(INDEX('Cost_Components'!$Q$2:$Q$27,MATCH(E860,'Cost_Components'!$A$2:$A$27,0)),"")</f>
      </c>
      <c r="V860" s="76" t="str">
        <f>1/(1+'Calculation_Assumptions'!$B$5)^(B860-'Calculation_Assumptions'!$B$2)</f>
      </c>
      <c r="W860" s="77" t="str">
        <f>Q860*V860</f>
      </c>
      <c r="X860" s="78" t="str">
        <f>R860*V860</f>
      </c>
      <c r="Y860" s="79" t="str">
        <f>S860*V860</f>
      </c>
      <c r="Z860" s="80" t="str">
        <f>IFERROR(INDEX('Cost_Components'!$T$2:$T$27,MATCH(E860,'Cost_Components'!$A$2:$A$27,0)),"")</f>
      </c>
      <c r="AA860" s="81" t="str">
        <f>IFERROR(INDEX('Cost_Components'!$U$2:$U$27,MATCH(E860,'Cost_Components'!$A$2:$A$27,0)),"")</f>
      </c>
      <c r="AB860" s="82" t="str">
        <f>IFERROR(INDEX('Cost_Components'!$V$2:$V$27,MATCH(E860,'Cost_Components'!$A$2:$A$27,0)),"")</f>
      </c>
      <c r="AC860" s="83" t="str">
        <f>IFERROR(INDEX('Cost_Components'!$M$2:$M$27,MATCH(E860,'Cost_Components'!$A$2:$A$27,0)),"")</f>
      </c>
      <c r="AD860" s="84" t="str">
        <f>IFERROR(INDEX('Cost_Components'!$N$2:$N$27,MATCH(E860,'Cost_Components'!$A$2:$A$27,0)),"")</f>
      </c>
      <c r="AE860" s="20" t="str">
        <f>IFERROR(INDEX('Cost_Components'!$O$2:$O$27,MATCH(E860,'Cost_Components'!$A$2:$A$27,0)),"")</f>
      </c>
      <c r="AF860" s="85" t="n">
        <v>78020.9188284491</v>
      </c>
      <c r="AG860" s="86" t="n">
        <v>77935.3711028968</v>
      </c>
      <c r="AH860" s="87" t="str">
        <f>IF(H860="shared-count-once",COUNTIFS($A$2:$A$1353,A860,$B$2:$B$1353,B860,$E$2:$E$1353,E860),1)</f>
      </c>
    </row>
    <row r="861">
      <c r="A861" t="s">
        <v>75</v>
      </c>
      <c r="B861" s="59" t="n">
        <v>2026</v>
      </c>
      <c r="C861" t="s">
        <v>200</v>
      </c>
      <c r="D861" t="s">
        <v>190</v>
      </c>
      <c r="E861" s="60" t="s">
        <v>278</v>
      </c>
      <c r="F861" s="61" t="s">
        <v>279</v>
      </c>
      <c r="G861" s="62" t="s">
        <v>201</v>
      </c>
      <c r="H861" s="63" t="s">
        <v>195</v>
      </c>
      <c r="I861" s="64" t="s">
        <v>267</v>
      </c>
      <c r="J861" s="65" t="str">
        <f>IFERROR(INDEX('Cost_Components'!$K$2:$K$27,MATCH(E861,'Cost_Components'!$A$2:$A$27,0)),"")</f>
      </c>
      <c r="K861" s="66" t="str">
        <f>IF(OR(L861="",Z861="",AA861="",AB861=""),"",IF(B861&lt;AA861,L861,IF(B861&gt;AB861,Z861,L861+(Z861-L861)*MIN(MAX((B861-AA861+1)/MAX(AB861-AA861+1,1),0),1))))</f>
      </c>
      <c r="L861" s="67" t="str">
        <f>IFERROR(INDEX('Cost_Components'!$S$2:$S$27,MATCH(E861,'Cost_Components'!$A$2:$A$27,0)),"")</f>
      </c>
      <c r="M861" s="68" t="str">
        <f>IFERROR(INDEX('Cost_Components'!$L$2:$L$27,MATCH(E861,'Cost_Components'!$A$2:$A$27,0)),"")</f>
      </c>
      <c r="N861" s="69" t="str">
        <f>IFERROR(INDEX('Cost_Components'!$P$2:$P$27,MATCH(E861,'Cost_Components'!$A$2:$A$27,0)),"")</f>
      </c>
      <c r="O861" s="70" t="str">
        <f>AF861*J861</f>
      </c>
      <c r="P861" s="71" t="str">
        <f>AG861*J861</f>
      </c>
      <c r="Q861" s="72" t="str">
        <f>P861*L861*M861*N861</f>
      </c>
      <c r="R861" s="73" t="str">
        <f>O861*K861*M861*N861</f>
      </c>
      <c r="S861" s="74" t="str">
        <f>R861-Q861</f>
      </c>
      <c r="T861" s="20" t="str">
        <f>IFERROR(INDEX('Cost_Components'!$R$2:$R$27,MATCH(E861,'Cost_Components'!$A$2:$A$27,0)),"")</f>
      </c>
      <c r="U861" s="75" t="str">
        <f>IFERROR(INDEX('Cost_Components'!$Q$2:$Q$27,MATCH(E861,'Cost_Components'!$A$2:$A$27,0)),"")</f>
      </c>
      <c r="V861" s="76" t="str">
        <f>1/(1+'Calculation_Assumptions'!$B$5)^(B861-'Calculation_Assumptions'!$B$2)</f>
      </c>
      <c r="W861" s="77" t="str">
        <f>Q861*V861</f>
      </c>
      <c r="X861" s="78" t="str">
        <f>R861*V861</f>
      </c>
      <c r="Y861" s="79" t="str">
        <f>S861*V861</f>
      </c>
      <c r="Z861" s="80" t="str">
        <f>IFERROR(INDEX('Cost_Components'!$T$2:$T$27,MATCH(E861,'Cost_Components'!$A$2:$A$27,0)),"")</f>
      </c>
      <c r="AA861" s="81" t="str">
        <f>IFERROR(INDEX('Cost_Components'!$U$2:$U$27,MATCH(E861,'Cost_Components'!$A$2:$A$27,0)),"")</f>
      </c>
      <c r="AB861" s="82" t="str">
        <f>IFERROR(INDEX('Cost_Components'!$V$2:$V$27,MATCH(E861,'Cost_Components'!$A$2:$A$27,0)),"")</f>
      </c>
      <c r="AC861" s="83" t="str">
        <f>IFERROR(INDEX('Cost_Components'!$M$2:$M$27,MATCH(E861,'Cost_Components'!$A$2:$A$27,0)),"")</f>
      </c>
      <c r="AD861" s="84" t="str">
        <f>IFERROR(INDEX('Cost_Components'!$N$2:$N$27,MATCH(E861,'Cost_Components'!$A$2:$A$27,0)),"")</f>
      </c>
      <c r="AE861" s="20" t="str">
        <f>IFERROR(INDEX('Cost_Components'!$O$2:$O$27,MATCH(E861,'Cost_Components'!$A$2:$A$27,0)),"")</f>
      </c>
      <c r="AF861" s="85" t="n">
        <v>79769.3467981511</v>
      </c>
      <c r="AG861" s="86" t="n">
        <v>79525.5974379108</v>
      </c>
      <c r="AH861" s="87" t="str">
        <f>IF(H861="shared-count-once",COUNTIFS($A$2:$A$1353,A861,$B$2:$B$1353,B861,$E$2:$E$1353,E861),1)</f>
      </c>
    </row>
    <row r="862">
      <c r="A862" t="s">
        <v>75</v>
      </c>
      <c r="B862" s="59" t="n">
        <v>2027</v>
      </c>
      <c r="C862" t="s">
        <v>200</v>
      </c>
      <c r="D862" t="s">
        <v>190</v>
      </c>
      <c r="E862" s="60" t="s">
        <v>278</v>
      </c>
      <c r="F862" s="61" t="s">
        <v>279</v>
      </c>
      <c r="G862" s="62" t="s">
        <v>201</v>
      </c>
      <c r="H862" s="63" t="s">
        <v>195</v>
      </c>
      <c r="I862" s="64" t="s">
        <v>267</v>
      </c>
      <c r="J862" s="65" t="str">
        <f>IFERROR(INDEX('Cost_Components'!$K$2:$K$27,MATCH(E862,'Cost_Components'!$A$2:$A$27,0)),"")</f>
      </c>
      <c r="K862" s="66" t="str">
        <f>IF(OR(L862="",Z862="",AA862="",AB862=""),"",IF(B862&lt;AA862,L862,IF(B862&gt;AB862,Z862,L862+(Z862-L862)*MIN(MAX((B862-AA862+1)/MAX(AB862-AA862+1,1),0),1))))</f>
      </c>
      <c r="L862" s="67" t="str">
        <f>IFERROR(INDEX('Cost_Components'!$S$2:$S$27,MATCH(E862,'Cost_Components'!$A$2:$A$27,0)),"")</f>
      </c>
      <c r="M862" s="68" t="str">
        <f>IFERROR(INDEX('Cost_Components'!$L$2:$L$27,MATCH(E862,'Cost_Components'!$A$2:$A$27,0)),"")</f>
      </c>
      <c r="N862" s="69" t="str">
        <f>IFERROR(INDEX('Cost_Components'!$P$2:$P$27,MATCH(E862,'Cost_Components'!$A$2:$A$27,0)),"")</f>
      </c>
      <c r="O862" s="70" t="str">
        <f>AF862*J862</f>
      </c>
      <c r="P862" s="71" t="str">
        <f>AG862*J862</f>
      </c>
      <c r="Q862" s="72" t="str">
        <f>P862*L862*M862*N862</f>
      </c>
      <c r="R862" s="73" t="str">
        <f>O862*K862*M862*N862</f>
      </c>
      <c r="S862" s="74" t="str">
        <f>R862-Q862</f>
      </c>
      <c r="T862" s="20" t="str">
        <f>IFERROR(INDEX('Cost_Components'!$R$2:$R$27,MATCH(E862,'Cost_Components'!$A$2:$A$27,0)),"")</f>
      </c>
      <c r="U862" s="75" t="str">
        <f>IFERROR(INDEX('Cost_Components'!$Q$2:$Q$27,MATCH(E862,'Cost_Components'!$A$2:$A$27,0)),"")</f>
      </c>
      <c r="V862" s="76" t="str">
        <f>1/(1+'Calculation_Assumptions'!$B$5)^(B862-'Calculation_Assumptions'!$B$2)</f>
      </c>
      <c r="W862" s="77" t="str">
        <f>Q862*V862</f>
      </c>
      <c r="X862" s="78" t="str">
        <f>R862*V862</f>
      </c>
      <c r="Y862" s="79" t="str">
        <f>S862*V862</f>
      </c>
      <c r="Z862" s="80" t="str">
        <f>IFERROR(INDEX('Cost_Components'!$T$2:$T$27,MATCH(E862,'Cost_Components'!$A$2:$A$27,0)),"")</f>
      </c>
      <c r="AA862" s="81" t="str">
        <f>IFERROR(INDEX('Cost_Components'!$U$2:$U$27,MATCH(E862,'Cost_Components'!$A$2:$A$27,0)),"")</f>
      </c>
      <c r="AB862" s="82" t="str">
        <f>IFERROR(INDEX('Cost_Components'!$V$2:$V$27,MATCH(E862,'Cost_Components'!$A$2:$A$27,0)),"")</f>
      </c>
      <c r="AC862" s="83" t="str">
        <f>IFERROR(INDEX('Cost_Components'!$M$2:$M$27,MATCH(E862,'Cost_Components'!$A$2:$A$27,0)),"")</f>
      </c>
      <c r="AD862" s="84" t="str">
        <f>IFERROR(INDEX('Cost_Components'!$N$2:$N$27,MATCH(E862,'Cost_Components'!$A$2:$A$27,0)),"")</f>
      </c>
      <c r="AE862" s="20" t="str">
        <f>IFERROR(INDEX('Cost_Components'!$O$2:$O$27,MATCH(E862,'Cost_Components'!$A$2:$A$27,0)),"")</f>
      </c>
      <c r="AF862" s="85" t="n">
        <v>81542.6400877647</v>
      </c>
      <c r="AG862" s="86" t="n">
        <v>81076.9036397701</v>
      </c>
      <c r="AH862" s="87" t="str">
        <f>IF(H862="shared-count-once",COUNTIFS($A$2:$A$1353,A862,$B$2:$B$1353,B862,$E$2:$E$1353,E862),1)</f>
      </c>
    </row>
    <row r="863">
      <c r="A863" t="s">
        <v>75</v>
      </c>
      <c r="B863" s="59" t="n">
        <v>2028</v>
      </c>
      <c r="C863" t="s">
        <v>200</v>
      </c>
      <c r="D863" t="s">
        <v>190</v>
      </c>
      <c r="E863" s="60" t="s">
        <v>278</v>
      </c>
      <c r="F863" s="61" t="s">
        <v>279</v>
      </c>
      <c r="G863" s="62" t="s">
        <v>201</v>
      </c>
      <c r="H863" s="63" t="s">
        <v>195</v>
      </c>
      <c r="I863" s="64" t="s">
        <v>267</v>
      </c>
      <c r="J863" s="65" t="str">
        <f>IFERROR(INDEX('Cost_Components'!$K$2:$K$27,MATCH(E863,'Cost_Components'!$A$2:$A$27,0)),"")</f>
      </c>
      <c r="K863" s="66" t="str">
        <f>IF(OR(L863="",Z863="",AA863="",AB863=""),"",IF(B863&lt;AA863,L863,IF(B863&gt;AB863,Z863,L863+(Z863-L863)*MIN(MAX((B863-AA863+1)/MAX(AB863-AA863+1,1),0),1))))</f>
      </c>
      <c r="L863" s="67" t="str">
        <f>IFERROR(INDEX('Cost_Components'!$S$2:$S$27,MATCH(E863,'Cost_Components'!$A$2:$A$27,0)),"")</f>
      </c>
      <c r="M863" s="68" t="str">
        <f>IFERROR(INDEX('Cost_Components'!$L$2:$L$27,MATCH(E863,'Cost_Components'!$A$2:$A$27,0)),"")</f>
      </c>
      <c r="N863" s="69" t="str">
        <f>IFERROR(INDEX('Cost_Components'!$P$2:$P$27,MATCH(E863,'Cost_Components'!$A$2:$A$27,0)),"")</f>
      </c>
      <c r="O863" s="70" t="str">
        <f>AF863*J863</f>
      </c>
      <c r="P863" s="71" t="str">
        <f>AG863*J863</f>
      </c>
      <c r="Q863" s="72" t="str">
        <f>P863*L863*M863*N863</f>
      </c>
      <c r="R863" s="73" t="str">
        <f>O863*K863*M863*N863</f>
      </c>
      <c r="S863" s="74" t="str">
        <f>R863-Q863</f>
      </c>
      <c r="T863" s="20" t="str">
        <f>IFERROR(INDEX('Cost_Components'!$R$2:$R$27,MATCH(E863,'Cost_Components'!$A$2:$A$27,0)),"")</f>
      </c>
      <c r="U863" s="75" t="str">
        <f>IFERROR(INDEX('Cost_Components'!$Q$2:$Q$27,MATCH(E863,'Cost_Components'!$A$2:$A$27,0)),"")</f>
      </c>
      <c r="V863" s="76" t="str">
        <f>1/(1+'Calculation_Assumptions'!$B$5)^(B863-'Calculation_Assumptions'!$B$2)</f>
      </c>
      <c r="W863" s="77" t="str">
        <f>Q863*V863</f>
      </c>
      <c r="X863" s="78" t="str">
        <f>R863*V863</f>
      </c>
      <c r="Y863" s="79" t="str">
        <f>S863*V863</f>
      </c>
      <c r="Z863" s="80" t="str">
        <f>IFERROR(INDEX('Cost_Components'!$T$2:$T$27,MATCH(E863,'Cost_Components'!$A$2:$A$27,0)),"")</f>
      </c>
      <c r="AA863" s="81" t="str">
        <f>IFERROR(INDEX('Cost_Components'!$U$2:$U$27,MATCH(E863,'Cost_Components'!$A$2:$A$27,0)),"")</f>
      </c>
      <c r="AB863" s="82" t="str">
        <f>IFERROR(INDEX('Cost_Components'!$V$2:$V$27,MATCH(E863,'Cost_Components'!$A$2:$A$27,0)),"")</f>
      </c>
      <c r="AC863" s="83" t="str">
        <f>IFERROR(INDEX('Cost_Components'!$M$2:$M$27,MATCH(E863,'Cost_Components'!$A$2:$A$27,0)),"")</f>
      </c>
      <c r="AD863" s="84" t="str">
        <f>IFERROR(INDEX('Cost_Components'!$N$2:$N$27,MATCH(E863,'Cost_Components'!$A$2:$A$27,0)),"")</f>
      </c>
      <c r="AE863" s="20" t="str">
        <f>IFERROR(INDEX('Cost_Components'!$O$2:$O$27,MATCH(E863,'Cost_Components'!$A$2:$A$27,0)),"")</f>
      </c>
      <c r="AF863" s="85" t="n">
        <v>83347.1807791291</v>
      </c>
      <c r="AG863" s="86" t="n">
        <v>82601.8932700429</v>
      </c>
      <c r="AH863" s="87" t="str">
        <f>IF(H863="shared-count-once",COUNTIFS($A$2:$A$1353,A863,$B$2:$B$1353,B863,$E$2:$E$1353,E863),1)</f>
      </c>
    </row>
    <row r="864">
      <c r="A864" t="s">
        <v>75</v>
      </c>
      <c r="B864" s="59" t="n">
        <v>2029</v>
      </c>
      <c r="C864" t="s">
        <v>200</v>
      </c>
      <c r="D864" t="s">
        <v>190</v>
      </c>
      <c r="E864" s="60" t="s">
        <v>278</v>
      </c>
      <c r="F864" s="61" t="s">
        <v>279</v>
      </c>
      <c r="G864" s="62" t="s">
        <v>201</v>
      </c>
      <c r="H864" s="63" t="s">
        <v>195</v>
      </c>
      <c r="I864" s="64" t="s">
        <v>267</v>
      </c>
      <c r="J864" s="65" t="str">
        <f>IFERROR(INDEX('Cost_Components'!$K$2:$K$27,MATCH(E864,'Cost_Components'!$A$2:$A$27,0)),"")</f>
      </c>
      <c r="K864" s="66" t="str">
        <f>IF(OR(L864="",Z864="",AA864="",AB864=""),"",IF(B864&lt;AA864,L864,IF(B864&gt;AB864,Z864,L864+(Z864-L864)*MIN(MAX((B864-AA864+1)/MAX(AB864-AA864+1,1),0),1))))</f>
      </c>
      <c r="L864" s="67" t="str">
        <f>IFERROR(INDEX('Cost_Components'!$S$2:$S$27,MATCH(E864,'Cost_Components'!$A$2:$A$27,0)),"")</f>
      </c>
      <c r="M864" s="68" t="str">
        <f>IFERROR(INDEX('Cost_Components'!$L$2:$L$27,MATCH(E864,'Cost_Components'!$A$2:$A$27,0)),"")</f>
      </c>
      <c r="N864" s="69" t="str">
        <f>IFERROR(INDEX('Cost_Components'!$P$2:$P$27,MATCH(E864,'Cost_Components'!$A$2:$A$27,0)),"")</f>
      </c>
      <c r="O864" s="70" t="str">
        <f>AF864*J864</f>
      </c>
      <c r="P864" s="71" t="str">
        <f>AG864*J864</f>
      </c>
      <c r="Q864" s="72" t="str">
        <f>P864*L864*M864*N864</f>
      </c>
      <c r="R864" s="73" t="str">
        <f>O864*K864*M864*N864</f>
      </c>
      <c r="S864" s="74" t="str">
        <f>R864-Q864</f>
      </c>
      <c r="T864" s="20" t="str">
        <f>IFERROR(INDEX('Cost_Components'!$R$2:$R$27,MATCH(E864,'Cost_Components'!$A$2:$A$27,0)),"")</f>
      </c>
      <c r="U864" s="75" t="str">
        <f>IFERROR(INDEX('Cost_Components'!$Q$2:$Q$27,MATCH(E864,'Cost_Components'!$A$2:$A$27,0)),"")</f>
      </c>
      <c r="V864" s="76" t="str">
        <f>1/(1+'Calculation_Assumptions'!$B$5)^(B864-'Calculation_Assumptions'!$B$2)</f>
      </c>
      <c r="W864" s="77" t="str">
        <f>Q864*V864</f>
      </c>
      <c r="X864" s="78" t="str">
        <f>R864*V864</f>
      </c>
      <c r="Y864" s="79" t="str">
        <f>S864*V864</f>
      </c>
      <c r="Z864" s="80" t="str">
        <f>IFERROR(INDEX('Cost_Components'!$T$2:$T$27,MATCH(E864,'Cost_Components'!$A$2:$A$27,0)),"")</f>
      </c>
      <c r="AA864" s="81" t="str">
        <f>IFERROR(INDEX('Cost_Components'!$U$2:$U$27,MATCH(E864,'Cost_Components'!$A$2:$A$27,0)),"")</f>
      </c>
      <c r="AB864" s="82" t="str">
        <f>IFERROR(INDEX('Cost_Components'!$V$2:$V$27,MATCH(E864,'Cost_Components'!$A$2:$A$27,0)),"")</f>
      </c>
      <c r="AC864" s="83" t="str">
        <f>IFERROR(INDEX('Cost_Components'!$M$2:$M$27,MATCH(E864,'Cost_Components'!$A$2:$A$27,0)),"")</f>
      </c>
      <c r="AD864" s="84" t="str">
        <f>IFERROR(INDEX('Cost_Components'!$N$2:$N$27,MATCH(E864,'Cost_Components'!$A$2:$A$27,0)),"")</f>
      </c>
      <c r="AE864" s="20" t="str">
        <f>IFERROR(INDEX('Cost_Components'!$O$2:$O$27,MATCH(E864,'Cost_Components'!$A$2:$A$27,0)),"")</f>
      </c>
      <c r="AF864" s="85" t="n">
        <v>85192.5317688061</v>
      </c>
      <c r="AG864" s="86" t="n">
        <v>84114.5100443056</v>
      </c>
      <c r="AH864" s="87" t="str">
        <f>IF(H864="shared-count-once",COUNTIFS($A$2:$A$1353,A864,$B$2:$B$1353,B864,$E$2:$E$1353,E864),1)</f>
      </c>
    </row>
    <row r="865">
      <c r="A865" t="s">
        <v>75</v>
      </c>
      <c r="B865" s="59" t="n">
        <v>2030</v>
      </c>
      <c r="C865" t="s">
        <v>200</v>
      </c>
      <c r="D865" t="s">
        <v>190</v>
      </c>
      <c r="E865" s="60" t="s">
        <v>278</v>
      </c>
      <c r="F865" s="61" t="s">
        <v>279</v>
      </c>
      <c r="G865" s="62" t="s">
        <v>201</v>
      </c>
      <c r="H865" s="63" t="s">
        <v>195</v>
      </c>
      <c r="I865" s="64" t="s">
        <v>267</v>
      </c>
      <c r="J865" s="65" t="str">
        <f>IFERROR(INDEX('Cost_Components'!$K$2:$K$27,MATCH(E865,'Cost_Components'!$A$2:$A$27,0)),"")</f>
      </c>
      <c r="K865" s="66" t="str">
        <f>IF(OR(L865="",Z865="",AA865="",AB865=""),"",IF(B865&lt;AA865,L865,IF(B865&gt;AB865,Z865,L865+(Z865-L865)*MIN(MAX((B865-AA865+1)/MAX(AB865-AA865+1,1),0),1))))</f>
      </c>
      <c r="L865" s="67" t="str">
        <f>IFERROR(INDEX('Cost_Components'!$S$2:$S$27,MATCH(E865,'Cost_Components'!$A$2:$A$27,0)),"")</f>
      </c>
      <c r="M865" s="68" t="str">
        <f>IFERROR(INDEX('Cost_Components'!$L$2:$L$27,MATCH(E865,'Cost_Components'!$A$2:$A$27,0)),"")</f>
      </c>
      <c r="N865" s="69" t="str">
        <f>IFERROR(INDEX('Cost_Components'!$P$2:$P$27,MATCH(E865,'Cost_Components'!$A$2:$A$27,0)),"")</f>
      </c>
      <c r="O865" s="70" t="str">
        <f>AF865*J865</f>
      </c>
      <c r="P865" s="71" t="str">
        <f>AG865*J865</f>
      </c>
      <c r="Q865" s="72" t="str">
        <f>P865*L865*M865*N865</f>
      </c>
      <c r="R865" s="73" t="str">
        <f>O865*K865*M865*N865</f>
      </c>
      <c r="S865" s="74" t="str">
        <f>R865-Q865</f>
      </c>
      <c r="T865" s="20" t="str">
        <f>IFERROR(INDEX('Cost_Components'!$R$2:$R$27,MATCH(E865,'Cost_Components'!$A$2:$A$27,0)),"")</f>
      </c>
      <c r="U865" s="75" t="str">
        <f>IFERROR(INDEX('Cost_Components'!$Q$2:$Q$27,MATCH(E865,'Cost_Components'!$A$2:$A$27,0)),"")</f>
      </c>
      <c r="V865" s="76" t="str">
        <f>1/(1+'Calculation_Assumptions'!$B$5)^(B865-'Calculation_Assumptions'!$B$2)</f>
      </c>
      <c r="W865" s="77" t="str">
        <f>Q865*V865</f>
      </c>
      <c r="X865" s="78" t="str">
        <f>R865*V865</f>
      </c>
      <c r="Y865" s="79" t="str">
        <f>S865*V865</f>
      </c>
      <c r="Z865" s="80" t="str">
        <f>IFERROR(INDEX('Cost_Components'!$T$2:$T$27,MATCH(E865,'Cost_Components'!$A$2:$A$27,0)),"")</f>
      </c>
      <c r="AA865" s="81" t="str">
        <f>IFERROR(INDEX('Cost_Components'!$U$2:$U$27,MATCH(E865,'Cost_Components'!$A$2:$A$27,0)),"")</f>
      </c>
      <c r="AB865" s="82" t="str">
        <f>IFERROR(INDEX('Cost_Components'!$V$2:$V$27,MATCH(E865,'Cost_Components'!$A$2:$A$27,0)),"")</f>
      </c>
      <c r="AC865" s="83" t="str">
        <f>IFERROR(INDEX('Cost_Components'!$M$2:$M$27,MATCH(E865,'Cost_Components'!$A$2:$A$27,0)),"")</f>
      </c>
      <c r="AD865" s="84" t="str">
        <f>IFERROR(INDEX('Cost_Components'!$N$2:$N$27,MATCH(E865,'Cost_Components'!$A$2:$A$27,0)),"")</f>
      </c>
      <c r="AE865" s="20" t="str">
        <f>IFERROR(INDEX('Cost_Components'!$O$2:$O$27,MATCH(E865,'Cost_Components'!$A$2:$A$27,0)),"")</f>
      </c>
      <c r="AF865" s="85" t="n">
        <v>87085.1796873243</v>
      </c>
      <c r="AG865" s="86" t="n">
        <v>85624.1727982227</v>
      </c>
      <c r="AH865" s="87" t="str">
        <f>IF(H865="shared-count-once",COUNTIFS($A$2:$A$1353,A865,$B$2:$B$1353,B865,$E$2:$E$1353,E865),1)</f>
      </c>
    </row>
    <row r="866">
      <c r="A866" t="s">
        <v>75</v>
      </c>
      <c r="B866" s="59" t="n">
        <v>2031</v>
      </c>
      <c r="C866" t="s">
        <v>200</v>
      </c>
      <c r="D866" t="s">
        <v>190</v>
      </c>
      <c r="E866" s="60" t="s">
        <v>278</v>
      </c>
      <c r="F866" s="61" t="s">
        <v>279</v>
      </c>
      <c r="G866" s="62" t="s">
        <v>201</v>
      </c>
      <c r="H866" s="63" t="s">
        <v>195</v>
      </c>
      <c r="I866" s="64" t="s">
        <v>267</v>
      </c>
      <c r="J866" s="65" t="str">
        <f>IFERROR(INDEX('Cost_Components'!$K$2:$K$27,MATCH(E866,'Cost_Components'!$A$2:$A$27,0)),"")</f>
      </c>
      <c r="K866" s="66" t="str">
        <f>IF(OR(L866="",Z866="",AA866="",AB866=""),"",IF(B866&lt;AA866,L866,IF(B866&gt;AB866,Z866,L866+(Z866-L866)*MIN(MAX((B866-AA866+1)/MAX(AB866-AA866+1,1),0),1))))</f>
      </c>
      <c r="L866" s="67" t="str">
        <f>IFERROR(INDEX('Cost_Components'!$S$2:$S$27,MATCH(E866,'Cost_Components'!$A$2:$A$27,0)),"")</f>
      </c>
      <c r="M866" s="68" t="str">
        <f>IFERROR(INDEX('Cost_Components'!$L$2:$L$27,MATCH(E866,'Cost_Components'!$A$2:$A$27,0)),"")</f>
      </c>
      <c r="N866" s="69" t="str">
        <f>IFERROR(INDEX('Cost_Components'!$P$2:$P$27,MATCH(E866,'Cost_Components'!$A$2:$A$27,0)),"")</f>
      </c>
      <c r="O866" s="70" t="str">
        <f>AF866*J866</f>
      </c>
      <c r="P866" s="71" t="str">
        <f>AG866*J866</f>
      </c>
      <c r="Q866" s="72" t="str">
        <f>P866*L866*M866*N866</f>
      </c>
      <c r="R866" s="73" t="str">
        <f>O866*K866*M866*N866</f>
      </c>
      <c r="S866" s="74" t="str">
        <f>R866-Q866</f>
      </c>
      <c r="T866" s="20" t="str">
        <f>IFERROR(INDEX('Cost_Components'!$R$2:$R$27,MATCH(E866,'Cost_Components'!$A$2:$A$27,0)),"")</f>
      </c>
      <c r="U866" s="75" t="str">
        <f>IFERROR(INDEX('Cost_Components'!$Q$2:$Q$27,MATCH(E866,'Cost_Components'!$A$2:$A$27,0)),"")</f>
      </c>
      <c r="V866" s="76" t="str">
        <f>1/(1+'Calculation_Assumptions'!$B$5)^(B866-'Calculation_Assumptions'!$B$2)</f>
      </c>
      <c r="W866" s="77" t="str">
        <f>Q866*V866</f>
      </c>
      <c r="X866" s="78" t="str">
        <f>R866*V866</f>
      </c>
      <c r="Y866" s="79" t="str">
        <f>S866*V866</f>
      </c>
      <c r="Z866" s="80" t="str">
        <f>IFERROR(INDEX('Cost_Components'!$T$2:$T$27,MATCH(E866,'Cost_Components'!$A$2:$A$27,0)),"")</f>
      </c>
      <c r="AA866" s="81" t="str">
        <f>IFERROR(INDEX('Cost_Components'!$U$2:$U$27,MATCH(E866,'Cost_Components'!$A$2:$A$27,0)),"")</f>
      </c>
      <c r="AB866" s="82" t="str">
        <f>IFERROR(INDEX('Cost_Components'!$V$2:$V$27,MATCH(E866,'Cost_Components'!$A$2:$A$27,0)),"")</f>
      </c>
      <c r="AC866" s="83" t="str">
        <f>IFERROR(INDEX('Cost_Components'!$M$2:$M$27,MATCH(E866,'Cost_Components'!$A$2:$A$27,0)),"")</f>
      </c>
      <c r="AD866" s="84" t="str">
        <f>IFERROR(INDEX('Cost_Components'!$N$2:$N$27,MATCH(E866,'Cost_Components'!$A$2:$A$27,0)),"")</f>
      </c>
      <c r="AE866" s="20" t="str">
        <f>IFERROR(INDEX('Cost_Components'!$O$2:$O$27,MATCH(E866,'Cost_Components'!$A$2:$A$27,0)),"")</f>
      </c>
      <c r="AF866" s="85" t="n">
        <v>89038.8162324485</v>
      </c>
      <c r="AG866" s="86" t="n">
        <v>87146.4468739637</v>
      </c>
      <c r="AH866" s="87" t="str">
        <f>IF(H866="shared-count-once",COUNTIFS($A$2:$A$1353,A866,$B$2:$B$1353,B866,$E$2:$E$1353,E866),1)</f>
      </c>
    </row>
    <row r="867">
      <c r="A867" t="s">
        <v>75</v>
      </c>
      <c r="B867" s="59" t="n">
        <v>2032</v>
      </c>
      <c r="C867" t="s">
        <v>200</v>
      </c>
      <c r="D867" t="s">
        <v>190</v>
      </c>
      <c r="E867" s="60" t="s">
        <v>278</v>
      </c>
      <c r="F867" s="61" t="s">
        <v>279</v>
      </c>
      <c r="G867" s="62" t="s">
        <v>201</v>
      </c>
      <c r="H867" s="63" t="s">
        <v>195</v>
      </c>
      <c r="I867" s="64" t="s">
        <v>267</v>
      </c>
      <c r="J867" s="65" t="str">
        <f>IFERROR(INDEX('Cost_Components'!$K$2:$K$27,MATCH(E867,'Cost_Components'!$A$2:$A$27,0)),"")</f>
      </c>
      <c r="K867" s="66" t="str">
        <f>IF(OR(L867="",Z867="",AA867="",AB867=""),"",IF(B867&lt;AA867,L867,IF(B867&gt;AB867,Z867,L867+(Z867-L867)*MIN(MAX((B867-AA867+1)/MAX(AB867-AA867+1,1),0),1))))</f>
      </c>
      <c r="L867" s="67" t="str">
        <f>IFERROR(INDEX('Cost_Components'!$S$2:$S$27,MATCH(E867,'Cost_Components'!$A$2:$A$27,0)),"")</f>
      </c>
      <c r="M867" s="68" t="str">
        <f>IFERROR(INDEX('Cost_Components'!$L$2:$L$27,MATCH(E867,'Cost_Components'!$A$2:$A$27,0)),"")</f>
      </c>
      <c r="N867" s="69" t="str">
        <f>IFERROR(INDEX('Cost_Components'!$P$2:$P$27,MATCH(E867,'Cost_Components'!$A$2:$A$27,0)),"")</f>
      </c>
      <c r="O867" s="70" t="str">
        <f>AF867*J867</f>
      </c>
      <c r="P867" s="71" t="str">
        <f>AG867*J867</f>
      </c>
      <c r="Q867" s="72" t="str">
        <f>P867*L867*M867*N867</f>
      </c>
      <c r="R867" s="73" t="str">
        <f>O867*K867*M867*N867</f>
      </c>
      <c r="S867" s="74" t="str">
        <f>R867-Q867</f>
      </c>
      <c r="T867" s="20" t="str">
        <f>IFERROR(INDEX('Cost_Components'!$R$2:$R$27,MATCH(E867,'Cost_Components'!$A$2:$A$27,0)),"")</f>
      </c>
      <c r="U867" s="75" t="str">
        <f>IFERROR(INDEX('Cost_Components'!$Q$2:$Q$27,MATCH(E867,'Cost_Components'!$A$2:$A$27,0)),"")</f>
      </c>
      <c r="V867" s="76" t="str">
        <f>1/(1+'Calculation_Assumptions'!$B$5)^(B867-'Calculation_Assumptions'!$B$2)</f>
      </c>
      <c r="W867" s="77" t="str">
        <f>Q867*V867</f>
      </c>
      <c r="X867" s="78" t="str">
        <f>R867*V867</f>
      </c>
      <c r="Y867" s="79" t="str">
        <f>S867*V867</f>
      </c>
      <c r="Z867" s="80" t="str">
        <f>IFERROR(INDEX('Cost_Components'!$T$2:$T$27,MATCH(E867,'Cost_Components'!$A$2:$A$27,0)),"")</f>
      </c>
      <c r="AA867" s="81" t="str">
        <f>IFERROR(INDEX('Cost_Components'!$U$2:$U$27,MATCH(E867,'Cost_Components'!$A$2:$A$27,0)),"")</f>
      </c>
      <c r="AB867" s="82" t="str">
        <f>IFERROR(INDEX('Cost_Components'!$V$2:$V$27,MATCH(E867,'Cost_Components'!$A$2:$A$27,0)),"")</f>
      </c>
      <c r="AC867" s="83" t="str">
        <f>IFERROR(INDEX('Cost_Components'!$M$2:$M$27,MATCH(E867,'Cost_Components'!$A$2:$A$27,0)),"")</f>
      </c>
      <c r="AD867" s="84" t="str">
        <f>IFERROR(INDEX('Cost_Components'!$N$2:$N$27,MATCH(E867,'Cost_Components'!$A$2:$A$27,0)),"")</f>
      </c>
      <c r="AE867" s="20" t="str">
        <f>IFERROR(INDEX('Cost_Components'!$O$2:$O$27,MATCH(E867,'Cost_Components'!$A$2:$A$27,0)),"")</f>
      </c>
      <c r="AF867" s="85" t="n">
        <v>91066.4087833916</v>
      </c>
      <c r="AG867" s="86" t="n">
        <v>88695.9957981069</v>
      </c>
      <c r="AH867" s="87" t="str">
        <f>IF(H867="shared-count-once",COUNTIFS($A$2:$A$1353,A867,$B$2:$B$1353,B867,$E$2:$E$1353,E867),1)</f>
      </c>
    </row>
    <row r="868">
      <c r="A868" t="s">
        <v>75</v>
      </c>
      <c r="B868" s="59" t="n">
        <v>2033</v>
      </c>
      <c r="C868" t="s">
        <v>200</v>
      </c>
      <c r="D868" t="s">
        <v>190</v>
      </c>
      <c r="E868" s="60" t="s">
        <v>278</v>
      </c>
      <c r="F868" s="61" t="s">
        <v>279</v>
      </c>
      <c r="G868" s="62" t="s">
        <v>201</v>
      </c>
      <c r="H868" s="63" t="s">
        <v>195</v>
      </c>
      <c r="I868" s="64" t="s">
        <v>267</v>
      </c>
      <c r="J868" s="65" t="str">
        <f>IFERROR(INDEX('Cost_Components'!$K$2:$K$27,MATCH(E868,'Cost_Components'!$A$2:$A$27,0)),"")</f>
      </c>
      <c r="K868" s="66" t="str">
        <f>IF(OR(L868="",Z868="",AA868="",AB868=""),"",IF(B868&lt;AA868,L868,IF(B868&gt;AB868,Z868,L868+(Z868-L868)*MIN(MAX((B868-AA868+1)/MAX(AB868-AA868+1,1),0),1))))</f>
      </c>
      <c r="L868" s="67" t="str">
        <f>IFERROR(INDEX('Cost_Components'!$S$2:$S$27,MATCH(E868,'Cost_Components'!$A$2:$A$27,0)),"")</f>
      </c>
      <c r="M868" s="68" t="str">
        <f>IFERROR(INDEX('Cost_Components'!$L$2:$L$27,MATCH(E868,'Cost_Components'!$A$2:$A$27,0)),"")</f>
      </c>
      <c r="N868" s="69" t="str">
        <f>IFERROR(INDEX('Cost_Components'!$P$2:$P$27,MATCH(E868,'Cost_Components'!$A$2:$A$27,0)),"")</f>
      </c>
      <c r="O868" s="70" t="str">
        <f>AF868*J868</f>
      </c>
      <c r="P868" s="71" t="str">
        <f>AG868*J868</f>
      </c>
      <c r="Q868" s="72" t="str">
        <f>P868*L868*M868*N868</f>
      </c>
      <c r="R868" s="73" t="str">
        <f>O868*K868*M868*N868</f>
      </c>
      <c r="S868" s="74" t="str">
        <f>R868-Q868</f>
      </c>
      <c r="T868" s="20" t="str">
        <f>IFERROR(INDEX('Cost_Components'!$R$2:$R$27,MATCH(E868,'Cost_Components'!$A$2:$A$27,0)),"")</f>
      </c>
      <c r="U868" s="75" t="str">
        <f>IFERROR(INDEX('Cost_Components'!$Q$2:$Q$27,MATCH(E868,'Cost_Components'!$A$2:$A$27,0)),"")</f>
      </c>
      <c r="V868" s="76" t="str">
        <f>1/(1+'Calculation_Assumptions'!$B$5)^(B868-'Calculation_Assumptions'!$B$2)</f>
      </c>
      <c r="W868" s="77" t="str">
        <f>Q868*V868</f>
      </c>
      <c r="X868" s="78" t="str">
        <f>R868*V868</f>
      </c>
      <c r="Y868" s="79" t="str">
        <f>S868*V868</f>
      </c>
      <c r="Z868" s="80" t="str">
        <f>IFERROR(INDEX('Cost_Components'!$T$2:$T$27,MATCH(E868,'Cost_Components'!$A$2:$A$27,0)),"")</f>
      </c>
      <c r="AA868" s="81" t="str">
        <f>IFERROR(INDEX('Cost_Components'!$U$2:$U$27,MATCH(E868,'Cost_Components'!$A$2:$A$27,0)),"")</f>
      </c>
      <c r="AB868" s="82" t="str">
        <f>IFERROR(INDEX('Cost_Components'!$V$2:$V$27,MATCH(E868,'Cost_Components'!$A$2:$A$27,0)),"")</f>
      </c>
      <c r="AC868" s="83" t="str">
        <f>IFERROR(INDEX('Cost_Components'!$M$2:$M$27,MATCH(E868,'Cost_Components'!$A$2:$A$27,0)),"")</f>
      </c>
      <c r="AD868" s="84" t="str">
        <f>IFERROR(INDEX('Cost_Components'!$N$2:$N$27,MATCH(E868,'Cost_Components'!$A$2:$A$27,0)),"")</f>
      </c>
      <c r="AE868" s="20" t="str">
        <f>IFERROR(INDEX('Cost_Components'!$O$2:$O$27,MATCH(E868,'Cost_Components'!$A$2:$A$27,0)),"")</f>
      </c>
      <c r="AF868" s="85" t="n">
        <v>93178.2651764223</v>
      </c>
      <c r="AG868" s="86" t="n">
        <v>90284.4762528307</v>
      </c>
      <c r="AH868" s="87" t="str">
        <f>IF(H868="shared-count-once",COUNTIFS($A$2:$A$1353,A868,$B$2:$B$1353,B868,$E$2:$E$1353,E868),1)</f>
      </c>
    </row>
    <row r="869">
      <c r="A869" t="s">
        <v>75</v>
      </c>
      <c r="B869" s="59" t="n">
        <v>2034</v>
      </c>
      <c r="C869" t="s">
        <v>200</v>
      </c>
      <c r="D869" t="s">
        <v>190</v>
      </c>
      <c r="E869" s="60" t="s">
        <v>278</v>
      </c>
      <c r="F869" s="61" t="s">
        <v>279</v>
      </c>
      <c r="G869" s="62" t="s">
        <v>201</v>
      </c>
      <c r="H869" s="63" t="s">
        <v>195</v>
      </c>
      <c r="I869" s="64" t="s">
        <v>267</v>
      </c>
      <c r="J869" s="65" t="str">
        <f>IFERROR(INDEX('Cost_Components'!$K$2:$K$27,MATCH(E869,'Cost_Components'!$A$2:$A$27,0)),"")</f>
      </c>
      <c r="K869" s="66" t="str">
        <f>IF(OR(L869="",Z869="",AA869="",AB869=""),"",IF(B869&lt;AA869,L869,IF(B869&gt;AB869,Z869,L869+(Z869-L869)*MIN(MAX((B869-AA869+1)/MAX(AB869-AA869+1,1),0),1))))</f>
      </c>
      <c r="L869" s="67" t="str">
        <f>IFERROR(INDEX('Cost_Components'!$S$2:$S$27,MATCH(E869,'Cost_Components'!$A$2:$A$27,0)),"")</f>
      </c>
      <c r="M869" s="68" t="str">
        <f>IFERROR(INDEX('Cost_Components'!$L$2:$L$27,MATCH(E869,'Cost_Components'!$A$2:$A$27,0)),"")</f>
      </c>
      <c r="N869" s="69" t="str">
        <f>IFERROR(INDEX('Cost_Components'!$P$2:$P$27,MATCH(E869,'Cost_Components'!$A$2:$A$27,0)),"")</f>
      </c>
      <c r="O869" s="70" t="str">
        <f>AF869*J869</f>
      </c>
      <c r="P869" s="71" t="str">
        <f>AG869*J869</f>
      </c>
      <c r="Q869" s="72" t="str">
        <f>P869*L869*M869*N869</f>
      </c>
      <c r="R869" s="73" t="str">
        <f>O869*K869*M869*N869</f>
      </c>
      <c r="S869" s="74" t="str">
        <f>R869-Q869</f>
      </c>
      <c r="T869" s="20" t="str">
        <f>IFERROR(INDEX('Cost_Components'!$R$2:$R$27,MATCH(E869,'Cost_Components'!$A$2:$A$27,0)),"")</f>
      </c>
      <c r="U869" s="75" t="str">
        <f>IFERROR(INDEX('Cost_Components'!$Q$2:$Q$27,MATCH(E869,'Cost_Components'!$A$2:$A$27,0)),"")</f>
      </c>
      <c r="V869" s="76" t="str">
        <f>1/(1+'Calculation_Assumptions'!$B$5)^(B869-'Calculation_Assumptions'!$B$2)</f>
      </c>
      <c r="W869" s="77" t="str">
        <f>Q869*V869</f>
      </c>
      <c r="X869" s="78" t="str">
        <f>R869*V869</f>
      </c>
      <c r="Y869" s="79" t="str">
        <f>S869*V869</f>
      </c>
      <c r="Z869" s="80" t="str">
        <f>IFERROR(INDEX('Cost_Components'!$T$2:$T$27,MATCH(E869,'Cost_Components'!$A$2:$A$27,0)),"")</f>
      </c>
      <c r="AA869" s="81" t="str">
        <f>IFERROR(INDEX('Cost_Components'!$U$2:$U$27,MATCH(E869,'Cost_Components'!$A$2:$A$27,0)),"")</f>
      </c>
      <c r="AB869" s="82" t="str">
        <f>IFERROR(INDEX('Cost_Components'!$V$2:$V$27,MATCH(E869,'Cost_Components'!$A$2:$A$27,0)),"")</f>
      </c>
      <c r="AC869" s="83" t="str">
        <f>IFERROR(INDEX('Cost_Components'!$M$2:$M$27,MATCH(E869,'Cost_Components'!$A$2:$A$27,0)),"")</f>
      </c>
      <c r="AD869" s="84" t="str">
        <f>IFERROR(INDEX('Cost_Components'!$N$2:$N$27,MATCH(E869,'Cost_Components'!$A$2:$A$27,0)),"")</f>
      </c>
      <c r="AE869" s="20" t="str">
        <f>IFERROR(INDEX('Cost_Components'!$O$2:$O$27,MATCH(E869,'Cost_Components'!$A$2:$A$27,0)),"")</f>
      </c>
      <c r="AF869" s="85" t="n">
        <v>95376.9990260234</v>
      </c>
      <c r="AG869" s="86" t="n">
        <v>91915.1700532053</v>
      </c>
      <c r="AH869" s="87" t="str">
        <f>IF(H869="shared-count-once",COUNTIFS($A$2:$A$1353,A869,$B$2:$B$1353,B869,$E$2:$E$1353,E869),1)</f>
      </c>
    </row>
    <row r="870">
      <c r="A870" t="s">
        <v>75</v>
      </c>
      <c r="B870" s="59" t="n">
        <v>2035</v>
      </c>
      <c r="C870" t="s">
        <v>200</v>
      </c>
      <c r="D870" t="s">
        <v>190</v>
      </c>
      <c r="E870" s="60" t="s">
        <v>278</v>
      </c>
      <c r="F870" s="61" t="s">
        <v>279</v>
      </c>
      <c r="G870" s="62" t="s">
        <v>201</v>
      </c>
      <c r="H870" s="63" t="s">
        <v>195</v>
      </c>
      <c r="I870" s="64" t="s">
        <v>267</v>
      </c>
      <c r="J870" s="65" t="str">
        <f>IFERROR(INDEX('Cost_Components'!$K$2:$K$27,MATCH(E870,'Cost_Components'!$A$2:$A$27,0)),"")</f>
      </c>
      <c r="K870" s="66" t="str">
        <f>IF(OR(L870="",Z870="",AA870="",AB870=""),"",IF(B870&lt;AA870,L870,IF(B870&gt;AB870,Z870,L870+(Z870-L870)*MIN(MAX((B870-AA870+1)/MAX(AB870-AA870+1,1),0),1))))</f>
      </c>
      <c r="L870" s="67" t="str">
        <f>IFERROR(INDEX('Cost_Components'!$S$2:$S$27,MATCH(E870,'Cost_Components'!$A$2:$A$27,0)),"")</f>
      </c>
      <c r="M870" s="68" t="str">
        <f>IFERROR(INDEX('Cost_Components'!$L$2:$L$27,MATCH(E870,'Cost_Components'!$A$2:$A$27,0)),"")</f>
      </c>
      <c r="N870" s="69" t="str">
        <f>IFERROR(INDEX('Cost_Components'!$P$2:$P$27,MATCH(E870,'Cost_Components'!$A$2:$A$27,0)),"")</f>
      </c>
      <c r="O870" s="70" t="str">
        <f>AF870*J870</f>
      </c>
      <c r="P870" s="71" t="str">
        <f>AG870*J870</f>
      </c>
      <c r="Q870" s="72" t="str">
        <f>P870*L870*M870*N870</f>
      </c>
      <c r="R870" s="73" t="str">
        <f>O870*K870*M870*N870</f>
      </c>
      <c r="S870" s="74" t="str">
        <f>R870-Q870</f>
      </c>
      <c r="T870" s="20" t="str">
        <f>IFERROR(INDEX('Cost_Components'!$R$2:$R$27,MATCH(E870,'Cost_Components'!$A$2:$A$27,0)),"")</f>
      </c>
      <c r="U870" s="75" t="str">
        <f>IFERROR(INDEX('Cost_Components'!$Q$2:$Q$27,MATCH(E870,'Cost_Components'!$A$2:$A$27,0)),"")</f>
      </c>
      <c r="V870" s="76" t="str">
        <f>1/(1+'Calculation_Assumptions'!$B$5)^(B870-'Calculation_Assumptions'!$B$2)</f>
      </c>
      <c r="W870" s="77" t="str">
        <f>Q870*V870</f>
      </c>
      <c r="X870" s="78" t="str">
        <f>R870*V870</f>
      </c>
      <c r="Y870" s="79" t="str">
        <f>S870*V870</f>
      </c>
      <c r="Z870" s="80" t="str">
        <f>IFERROR(INDEX('Cost_Components'!$T$2:$T$27,MATCH(E870,'Cost_Components'!$A$2:$A$27,0)),"")</f>
      </c>
      <c r="AA870" s="81" t="str">
        <f>IFERROR(INDEX('Cost_Components'!$U$2:$U$27,MATCH(E870,'Cost_Components'!$A$2:$A$27,0)),"")</f>
      </c>
      <c r="AB870" s="82" t="str">
        <f>IFERROR(INDEX('Cost_Components'!$V$2:$V$27,MATCH(E870,'Cost_Components'!$A$2:$A$27,0)),"")</f>
      </c>
      <c r="AC870" s="83" t="str">
        <f>IFERROR(INDEX('Cost_Components'!$M$2:$M$27,MATCH(E870,'Cost_Components'!$A$2:$A$27,0)),"")</f>
      </c>
      <c r="AD870" s="84" t="str">
        <f>IFERROR(INDEX('Cost_Components'!$N$2:$N$27,MATCH(E870,'Cost_Components'!$A$2:$A$27,0)),"")</f>
      </c>
      <c r="AE870" s="20" t="str">
        <f>IFERROR(INDEX('Cost_Components'!$O$2:$O$27,MATCH(E870,'Cost_Components'!$A$2:$A$27,0)),"")</f>
      </c>
      <c r="AF870" s="85" t="n">
        <v>97670.9713233604</v>
      </c>
      <c r="AG870" s="86" t="n">
        <v>93596.9100615363</v>
      </c>
      <c r="AH870" s="87" t="str">
        <f>IF(H870="shared-count-once",COUNTIFS($A$2:$A$1353,A870,$B$2:$B$1353,B870,$E$2:$E$1353,E870),1)</f>
      </c>
    </row>
    <row r="871">
      <c r="A871" t="s">
        <v>75</v>
      </c>
      <c r="B871" s="59" t="n">
        <v>2036</v>
      </c>
      <c r="C871" t="s">
        <v>200</v>
      </c>
      <c r="D871" t="s">
        <v>190</v>
      </c>
      <c r="E871" s="60" t="s">
        <v>278</v>
      </c>
      <c r="F871" s="61" t="s">
        <v>279</v>
      </c>
      <c r="G871" s="62" t="s">
        <v>201</v>
      </c>
      <c r="H871" s="63" t="s">
        <v>195</v>
      </c>
      <c r="I871" s="64" t="s">
        <v>267</v>
      </c>
      <c r="J871" s="65" t="str">
        <f>IFERROR(INDEX('Cost_Components'!$K$2:$K$27,MATCH(E871,'Cost_Components'!$A$2:$A$27,0)),"")</f>
      </c>
      <c r="K871" s="66" t="str">
        <f>IF(OR(L871="",Z871="",AA871="",AB871=""),"",IF(B871&lt;AA871,L871,IF(B871&gt;AB871,Z871,L871+(Z871-L871)*MIN(MAX((B871-AA871+1)/MAX(AB871-AA871+1,1),0),1))))</f>
      </c>
      <c r="L871" s="67" t="str">
        <f>IFERROR(INDEX('Cost_Components'!$S$2:$S$27,MATCH(E871,'Cost_Components'!$A$2:$A$27,0)),"")</f>
      </c>
      <c r="M871" s="68" t="str">
        <f>IFERROR(INDEX('Cost_Components'!$L$2:$L$27,MATCH(E871,'Cost_Components'!$A$2:$A$27,0)),"")</f>
      </c>
      <c r="N871" s="69" t="str">
        <f>IFERROR(INDEX('Cost_Components'!$P$2:$P$27,MATCH(E871,'Cost_Components'!$A$2:$A$27,0)),"")</f>
      </c>
      <c r="O871" s="70" t="str">
        <f>AF871*J871</f>
      </c>
      <c r="P871" s="71" t="str">
        <f>AG871*J871</f>
      </c>
      <c r="Q871" s="72" t="str">
        <f>P871*L871*M871*N871</f>
      </c>
      <c r="R871" s="73" t="str">
        <f>O871*K871*M871*N871</f>
      </c>
      <c r="S871" s="74" t="str">
        <f>R871-Q871</f>
      </c>
      <c r="T871" s="20" t="str">
        <f>IFERROR(INDEX('Cost_Components'!$R$2:$R$27,MATCH(E871,'Cost_Components'!$A$2:$A$27,0)),"")</f>
      </c>
      <c r="U871" s="75" t="str">
        <f>IFERROR(INDEX('Cost_Components'!$Q$2:$Q$27,MATCH(E871,'Cost_Components'!$A$2:$A$27,0)),"")</f>
      </c>
      <c r="V871" s="76" t="str">
        <f>1/(1+'Calculation_Assumptions'!$B$5)^(B871-'Calculation_Assumptions'!$B$2)</f>
      </c>
      <c r="W871" s="77" t="str">
        <f>Q871*V871</f>
      </c>
      <c r="X871" s="78" t="str">
        <f>R871*V871</f>
      </c>
      <c r="Y871" s="79" t="str">
        <f>S871*V871</f>
      </c>
      <c r="Z871" s="80" t="str">
        <f>IFERROR(INDEX('Cost_Components'!$T$2:$T$27,MATCH(E871,'Cost_Components'!$A$2:$A$27,0)),"")</f>
      </c>
      <c r="AA871" s="81" t="str">
        <f>IFERROR(INDEX('Cost_Components'!$U$2:$U$27,MATCH(E871,'Cost_Components'!$A$2:$A$27,0)),"")</f>
      </c>
      <c r="AB871" s="82" t="str">
        <f>IFERROR(INDEX('Cost_Components'!$V$2:$V$27,MATCH(E871,'Cost_Components'!$A$2:$A$27,0)),"")</f>
      </c>
      <c r="AC871" s="83" t="str">
        <f>IFERROR(INDEX('Cost_Components'!$M$2:$M$27,MATCH(E871,'Cost_Components'!$A$2:$A$27,0)),"")</f>
      </c>
      <c r="AD871" s="84" t="str">
        <f>IFERROR(INDEX('Cost_Components'!$N$2:$N$27,MATCH(E871,'Cost_Components'!$A$2:$A$27,0)),"")</f>
      </c>
      <c r="AE871" s="20" t="str">
        <f>IFERROR(INDEX('Cost_Components'!$O$2:$O$27,MATCH(E871,'Cost_Components'!$A$2:$A$27,0)),"")</f>
      </c>
      <c r="AF871" s="85" t="n">
        <v>100066.765191579</v>
      </c>
      <c r="AG871" s="86" t="n">
        <v>95335.6352226668</v>
      </c>
      <c r="AH871" s="87" t="str">
        <f>IF(H871="shared-count-once",COUNTIFS($A$2:$A$1353,A871,$B$2:$B$1353,B871,$E$2:$E$1353,E871),1)</f>
      </c>
    </row>
    <row r="872">
      <c r="A872" t="s">
        <v>75</v>
      </c>
      <c r="B872" s="59" t="n">
        <v>2037</v>
      </c>
      <c r="C872" t="s">
        <v>200</v>
      </c>
      <c r="D872" t="s">
        <v>190</v>
      </c>
      <c r="E872" s="60" t="s">
        <v>278</v>
      </c>
      <c r="F872" s="61" t="s">
        <v>279</v>
      </c>
      <c r="G872" s="62" t="s">
        <v>201</v>
      </c>
      <c r="H872" s="63" t="s">
        <v>195</v>
      </c>
      <c r="I872" s="64" t="s">
        <v>267</v>
      </c>
      <c r="J872" s="65" t="str">
        <f>IFERROR(INDEX('Cost_Components'!$K$2:$K$27,MATCH(E872,'Cost_Components'!$A$2:$A$27,0)),"")</f>
      </c>
      <c r="K872" s="66" t="str">
        <f>IF(OR(L872="",Z872="",AA872="",AB872=""),"",IF(B872&lt;AA872,L872,IF(B872&gt;AB872,Z872,L872+(Z872-L872)*MIN(MAX((B872-AA872+1)/MAX(AB872-AA872+1,1),0),1))))</f>
      </c>
      <c r="L872" s="67" t="str">
        <f>IFERROR(INDEX('Cost_Components'!$S$2:$S$27,MATCH(E872,'Cost_Components'!$A$2:$A$27,0)),"")</f>
      </c>
      <c r="M872" s="68" t="str">
        <f>IFERROR(INDEX('Cost_Components'!$L$2:$L$27,MATCH(E872,'Cost_Components'!$A$2:$A$27,0)),"")</f>
      </c>
      <c r="N872" s="69" t="str">
        <f>IFERROR(INDEX('Cost_Components'!$P$2:$P$27,MATCH(E872,'Cost_Components'!$A$2:$A$27,0)),"")</f>
      </c>
      <c r="O872" s="70" t="str">
        <f>AF872*J872</f>
      </c>
      <c r="P872" s="71" t="str">
        <f>AG872*J872</f>
      </c>
      <c r="Q872" s="72" t="str">
        <f>P872*L872*M872*N872</f>
      </c>
      <c r="R872" s="73" t="str">
        <f>O872*K872*M872*N872</f>
      </c>
      <c r="S872" s="74" t="str">
        <f>R872-Q872</f>
      </c>
      <c r="T872" s="20" t="str">
        <f>IFERROR(INDEX('Cost_Components'!$R$2:$R$27,MATCH(E872,'Cost_Components'!$A$2:$A$27,0)),"")</f>
      </c>
      <c r="U872" s="75" t="str">
        <f>IFERROR(INDEX('Cost_Components'!$Q$2:$Q$27,MATCH(E872,'Cost_Components'!$A$2:$A$27,0)),"")</f>
      </c>
      <c r="V872" s="76" t="str">
        <f>1/(1+'Calculation_Assumptions'!$B$5)^(B872-'Calculation_Assumptions'!$B$2)</f>
      </c>
      <c r="W872" s="77" t="str">
        <f>Q872*V872</f>
      </c>
      <c r="X872" s="78" t="str">
        <f>R872*V872</f>
      </c>
      <c r="Y872" s="79" t="str">
        <f>S872*V872</f>
      </c>
      <c r="Z872" s="80" t="str">
        <f>IFERROR(INDEX('Cost_Components'!$T$2:$T$27,MATCH(E872,'Cost_Components'!$A$2:$A$27,0)),"")</f>
      </c>
      <c r="AA872" s="81" t="str">
        <f>IFERROR(INDEX('Cost_Components'!$U$2:$U$27,MATCH(E872,'Cost_Components'!$A$2:$A$27,0)),"")</f>
      </c>
      <c r="AB872" s="82" t="str">
        <f>IFERROR(INDEX('Cost_Components'!$V$2:$V$27,MATCH(E872,'Cost_Components'!$A$2:$A$27,0)),"")</f>
      </c>
      <c r="AC872" s="83" t="str">
        <f>IFERROR(INDEX('Cost_Components'!$M$2:$M$27,MATCH(E872,'Cost_Components'!$A$2:$A$27,0)),"")</f>
      </c>
      <c r="AD872" s="84" t="str">
        <f>IFERROR(INDEX('Cost_Components'!$N$2:$N$27,MATCH(E872,'Cost_Components'!$A$2:$A$27,0)),"")</f>
      </c>
      <c r="AE872" s="20" t="str">
        <f>IFERROR(INDEX('Cost_Components'!$O$2:$O$27,MATCH(E872,'Cost_Components'!$A$2:$A$27,0)),"")</f>
      </c>
      <c r="AF872" s="85" t="n">
        <v>102569.951554009</v>
      </c>
      <c r="AG872" s="86" t="n">
        <v>97136.1570592132</v>
      </c>
      <c r="AH872" s="87" t="str">
        <f>IF(H872="shared-count-once",COUNTIFS($A$2:$A$1353,A872,$B$2:$B$1353,B872,$E$2:$E$1353,E872),1)</f>
      </c>
    </row>
    <row r="873">
      <c r="A873" t="s">
        <v>75</v>
      </c>
      <c r="B873" s="59" t="n">
        <v>2038</v>
      </c>
      <c r="C873" t="s">
        <v>200</v>
      </c>
      <c r="D873" t="s">
        <v>190</v>
      </c>
      <c r="E873" s="60" t="s">
        <v>278</v>
      </c>
      <c r="F873" s="61" t="s">
        <v>279</v>
      </c>
      <c r="G873" s="62" t="s">
        <v>201</v>
      </c>
      <c r="H873" s="63" t="s">
        <v>195</v>
      </c>
      <c r="I873" s="64" t="s">
        <v>267</v>
      </c>
      <c r="J873" s="65" t="str">
        <f>IFERROR(INDEX('Cost_Components'!$K$2:$K$27,MATCH(E873,'Cost_Components'!$A$2:$A$27,0)),"")</f>
      </c>
      <c r="K873" s="66" t="str">
        <f>IF(OR(L873="",Z873="",AA873="",AB873=""),"",IF(B873&lt;AA873,L873,IF(B873&gt;AB873,Z873,L873+(Z873-L873)*MIN(MAX((B873-AA873+1)/MAX(AB873-AA873+1,1),0),1))))</f>
      </c>
      <c r="L873" s="67" t="str">
        <f>IFERROR(INDEX('Cost_Components'!$S$2:$S$27,MATCH(E873,'Cost_Components'!$A$2:$A$27,0)),"")</f>
      </c>
      <c r="M873" s="68" t="str">
        <f>IFERROR(INDEX('Cost_Components'!$L$2:$L$27,MATCH(E873,'Cost_Components'!$A$2:$A$27,0)),"")</f>
      </c>
      <c r="N873" s="69" t="str">
        <f>IFERROR(INDEX('Cost_Components'!$P$2:$P$27,MATCH(E873,'Cost_Components'!$A$2:$A$27,0)),"")</f>
      </c>
      <c r="O873" s="70" t="str">
        <f>AF873*J873</f>
      </c>
      <c r="P873" s="71" t="str">
        <f>AG873*J873</f>
      </c>
      <c r="Q873" s="72" t="str">
        <f>P873*L873*M873*N873</f>
      </c>
      <c r="R873" s="73" t="str">
        <f>O873*K873*M873*N873</f>
      </c>
      <c r="S873" s="74" t="str">
        <f>R873-Q873</f>
      </c>
      <c r="T873" s="20" t="str">
        <f>IFERROR(INDEX('Cost_Components'!$R$2:$R$27,MATCH(E873,'Cost_Components'!$A$2:$A$27,0)),"")</f>
      </c>
      <c r="U873" s="75" t="str">
        <f>IFERROR(INDEX('Cost_Components'!$Q$2:$Q$27,MATCH(E873,'Cost_Components'!$A$2:$A$27,0)),"")</f>
      </c>
      <c r="V873" s="76" t="str">
        <f>1/(1+'Calculation_Assumptions'!$B$5)^(B873-'Calculation_Assumptions'!$B$2)</f>
      </c>
      <c r="W873" s="77" t="str">
        <f>Q873*V873</f>
      </c>
      <c r="X873" s="78" t="str">
        <f>R873*V873</f>
      </c>
      <c r="Y873" s="79" t="str">
        <f>S873*V873</f>
      </c>
      <c r="Z873" s="80" t="str">
        <f>IFERROR(INDEX('Cost_Components'!$T$2:$T$27,MATCH(E873,'Cost_Components'!$A$2:$A$27,0)),"")</f>
      </c>
      <c r="AA873" s="81" t="str">
        <f>IFERROR(INDEX('Cost_Components'!$U$2:$U$27,MATCH(E873,'Cost_Components'!$A$2:$A$27,0)),"")</f>
      </c>
      <c r="AB873" s="82" t="str">
        <f>IFERROR(INDEX('Cost_Components'!$V$2:$V$27,MATCH(E873,'Cost_Components'!$A$2:$A$27,0)),"")</f>
      </c>
      <c r="AC873" s="83" t="str">
        <f>IFERROR(INDEX('Cost_Components'!$M$2:$M$27,MATCH(E873,'Cost_Components'!$A$2:$A$27,0)),"")</f>
      </c>
      <c r="AD873" s="84" t="str">
        <f>IFERROR(INDEX('Cost_Components'!$N$2:$N$27,MATCH(E873,'Cost_Components'!$A$2:$A$27,0)),"")</f>
      </c>
      <c r="AE873" s="20" t="str">
        <f>IFERROR(INDEX('Cost_Components'!$O$2:$O$27,MATCH(E873,'Cost_Components'!$A$2:$A$27,0)),"")</f>
      </c>
      <c r="AF873" s="85" t="n">
        <v>105180.908462499</v>
      </c>
      <c r="AG873" s="86" t="n">
        <v>98998.0143549304</v>
      </c>
      <c r="AH873" s="87" t="str">
        <f>IF(H873="shared-count-once",COUNTIFS($A$2:$A$1353,A873,$B$2:$B$1353,B873,$E$2:$E$1353,E873),1)</f>
      </c>
    </row>
    <row r="874">
      <c r="A874" t="s">
        <v>75</v>
      </c>
      <c r="B874" s="59" t="n">
        <v>2039</v>
      </c>
      <c r="C874" t="s">
        <v>200</v>
      </c>
      <c r="D874" t="s">
        <v>190</v>
      </c>
      <c r="E874" s="60" t="s">
        <v>278</v>
      </c>
      <c r="F874" s="61" t="s">
        <v>279</v>
      </c>
      <c r="G874" s="62" t="s">
        <v>201</v>
      </c>
      <c r="H874" s="63" t="s">
        <v>195</v>
      </c>
      <c r="I874" s="64" t="s">
        <v>267</v>
      </c>
      <c r="J874" s="65" t="str">
        <f>IFERROR(INDEX('Cost_Components'!$K$2:$K$27,MATCH(E874,'Cost_Components'!$A$2:$A$27,0)),"")</f>
      </c>
      <c r="K874" s="66" t="str">
        <f>IF(OR(L874="",Z874="",AA874="",AB874=""),"",IF(B874&lt;AA874,L874,IF(B874&gt;AB874,Z874,L874+(Z874-L874)*MIN(MAX((B874-AA874+1)/MAX(AB874-AA874+1,1),0),1))))</f>
      </c>
      <c r="L874" s="67" t="str">
        <f>IFERROR(INDEX('Cost_Components'!$S$2:$S$27,MATCH(E874,'Cost_Components'!$A$2:$A$27,0)),"")</f>
      </c>
      <c r="M874" s="68" t="str">
        <f>IFERROR(INDEX('Cost_Components'!$L$2:$L$27,MATCH(E874,'Cost_Components'!$A$2:$A$27,0)),"")</f>
      </c>
      <c r="N874" s="69" t="str">
        <f>IFERROR(INDEX('Cost_Components'!$P$2:$P$27,MATCH(E874,'Cost_Components'!$A$2:$A$27,0)),"")</f>
      </c>
      <c r="O874" s="70" t="str">
        <f>AF874*J874</f>
      </c>
      <c r="P874" s="71" t="str">
        <f>AG874*J874</f>
      </c>
      <c r="Q874" s="72" t="str">
        <f>P874*L874*M874*N874</f>
      </c>
      <c r="R874" s="73" t="str">
        <f>O874*K874*M874*N874</f>
      </c>
      <c r="S874" s="74" t="str">
        <f>R874-Q874</f>
      </c>
      <c r="T874" s="20" t="str">
        <f>IFERROR(INDEX('Cost_Components'!$R$2:$R$27,MATCH(E874,'Cost_Components'!$A$2:$A$27,0)),"")</f>
      </c>
      <c r="U874" s="75" t="str">
        <f>IFERROR(INDEX('Cost_Components'!$Q$2:$Q$27,MATCH(E874,'Cost_Components'!$A$2:$A$27,0)),"")</f>
      </c>
      <c r="V874" s="76" t="str">
        <f>1/(1+'Calculation_Assumptions'!$B$5)^(B874-'Calculation_Assumptions'!$B$2)</f>
      </c>
      <c r="W874" s="77" t="str">
        <f>Q874*V874</f>
      </c>
      <c r="X874" s="78" t="str">
        <f>R874*V874</f>
      </c>
      <c r="Y874" s="79" t="str">
        <f>S874*V874</f>
      </c>
      <c r="Z874" s="80" t="str">
        <f>IFERROR(INDEX('Cost_Components'!$T$2:$T$27,MATCH(E874,'Cost_Components'!$A$2:$A$27,0)),"")</f>
      </c>
      <c r="AA874" s="81" t="str">
        <f>IFERROR(INDEX('Cost_Components'!$U$2:$U$27,MATCH(E874,'Cost_Components'!$A$2:$A$27,0)),"")</f>
      </c>
      <c r="AB874" s="82" t="str">
        <f>IFERROR(INDEX('Cost_Components'!$V$2:$V$27,MATCH(E874,'Cost_Components'!$A$2:$A$27,0)),"")</f>
      </c>
      <c r="AC874" s="83" t="str">
        <f>IFERROR(INDEX('Cost_Components'!$M$2:$M$27,MATCH(E874,'Cost_Components'!$A$2:$A$27,0)),"")</f>
      </c>
      <c r="AD874" s="84" t="str">
        <f>IFERROR(INDEX('Cost_Components'!$N$2:$N$27,MATCH(E874,'Cost_Components'!$A$2:$A$27,0)),"")</f>
      </c>
      <c r="AE874" s="20" t="str">
        <f>IFERROR(INDEX('Cost_Components'!$O$2:$O$27,MATCH(E874,'Cost_Components'!$A$2:$A$27,0)),"")</f>
      </c>
      <c r="AF874" s="85" t="n">
        <v>107905.458355807</v>
      </c>
      <c r="AG874" s="86" t="n">
        <v>100926.209893404</v>
      </c>
      <c r="AH874" s="87" t="str">
        <f>IF(H874="shared-count-once",COUNTIFS($A$2:$A$1353,A874,$B$2:$B$1353,B874,$E$2:$E$1353,E874),1)</f>
      </c>
    </row>
    <row r="875">
      <c r="A875" t="s">
        <v>75</v>
      </c>
      <c r="B875" s="59" t="n">
        <v>2040</v>
      </c>
      <c r="C875" t="s">
        <v>200</v>
      </c>
      <c r="D875" t="s">
        <v>190</v>
      </c>
      <c r="E875" s="60" t="s">
        <v>278</v>
      </c>
      <c r="F875" s="61" t="s">
        <v>279</v>
      </c>
      <c r="G875" s="62" t="s">
        <v>201</v>
      </c>
      <c r="H875" s="63" t="s">
        <v>195</v>
      </c>
      <c r="I875" s="64" t="s">
        <v>267</v>
      </c>
      <c r="J875" s="65" t="str">
        <f>IFERROR(INDEX('Cost_Components'!$K$2:$K$27,MATCH(E875,'Cost_Components'!$A$2:$A$27,0)),"")</f>
      </c>
      <c r="K875" s="66" t="str">
        <f>IF(OR(L875="",Z875="",AA875="",AB875=""),"",IF(B875&lt;AA875,L875,IF(B875&gt;AB875,Z875,L875+(Z875-L875)*MIN(MAX((B875-AA875+1)/MAX(AB875-AA875+1,1),0),1))))</f>
      </c>
      <c r="L875" s="67" t="str">
        <f>IFERROR(INDEX('Cost_Components'!$S$2:$S$27,MATCH(E875,'Cost_Components'!$A$2:$A$27,0)),"")</f>
      </c>
      <c r="M875" s="68" t="str">
        <f>IFERROR(INDEX('Cost_Components'!$L$2:$L$27,MATCH(E875,'Cost_Components'!$A$2:$A$27,0)),"")</f>
      </c>
      <c r="N875" s="69" t="str">
        <f>IFERROR(INDEX('Cost_Components'!$P$2:$P$27,MATCH(E875,'Cost_Components'!$A$2:$A$27,0)),"")</f>
      </c>
      <c r="O875" s="70" t="str">
        <f>AF875*J875</f>
      </c>
      <c r="P875" s="71" t="str">
        <f>AG875*J875</f>
      </c>
      <c r="Q875" s="72" t="str">
        <f>P875*L875*M875*N875</f>
      </c>
      <c r="R875" s="73" t="str">
        <f>O875*K875*M875*N875</f>
      </c>
      <c r="S875" s="74" t="str">
        <f>R875-Q875</f>
      </c>
      <c r="T875" s="20" t="str">
        <f>IFERROR(INDEX('Cost_Components'!$R$2:$R$27,MATCH(E875,'Cost_Components'!$A$2:$A$27,0)),"")</f>
      </c>
      <c r="U875" s="75" t="str">
        <f>IFERROR(INDEX('Cost_Components'!$Q$2:$Q$27,MATCH(E875,'Cost_Components'!$A$2:$A$27,0)),"")</f>
      </c>
      <c r="V875" s="76" t="str">
        <f>1/(1+'Calculation_Assumptions'!$B$5)^(B875-'Calculation_Assumptions'!$B$2)</f>
      </c>
      <c r="W875" s="77" t="str">
        <f>Q875*V875</f>
      </c>
      <c r="X875" s="78" t="str">
        <f>R875*V875</f>
      </c>
      <c r="Y875" s="79" t="str">
        <f>S875*V875</f>
      </c>
      <c r="Z875" s="80" t="str">
        <f>IFERROR(INDEX('Cost_Components'!$T$2:$T$27,MATCH(E875,'Cost_Components'!$A$2:$A$27,0)),"")</f>
      </c>
      <c r="AA875" s="81" t="str">
        <f>IFERROR(INDEX('Cost_Components'!$U$2:$U$27,MATCH(E875,'Cost_Components'!$A$2:$A$27,0)),"")</f>
      </c>
      <c r="AB875" s="82" t="str">
        <f>IFERROR(INDEX('Cost_Components'!$V$2:$V$27,MATCH(E875,'Cost_Components'!$A$2:$A$27,0)),"")</f>
      </c>
      <c r="AC875" s="83" t="str">
        <f>IFERROR(INDEX('Cost_Components'!$M$2:$M$27,MATCH(E875,'Cost_Components'!$A$2:$A$27,0)),"")</f>
      </c>
      <c r="AD875" s="84" t="str">
        <f>IFERROR(INDEX('Cost_Components'!$N$2:$N$27,MATCH(E875,'Cost_Components'!$A$2:$A$27,0)),"")</f>
      </c>
      <c r="AE875" s="20" t="str">
        <f>IFERROR(INDEX('Cost_Components'!$O$2:$O$27,MATCH(E875,'Cost_Components'!$A$2:$A$27,0)),"")</f>
      </c>
      <c r="AF875" s="85" t="n">
        <v>110756.244646658</v>
      </c>
      <c r="AG875" s="86" t="n">
        <v>102933.12938022</v>
      </c>
      <c r="AH875" s="87" t="str">
        <f>IF(H875="shared-count-once",COUNTIFS($A$2:$A$1353,A875,$B$2:$B$1353,B875,$E$2:$E$1353,E875),1)</f>
      </c>
    </row>
    <row r="876">
      <c r="A876" t="s">
        <v>75</v>
      </c>
      <c r="B876" s="59" t="n">
        <v>2041</v>
      </c>
      <c r="C876" t="s">
        <v>200</v>
      </c>
      <c r="D876" t="s">
        <v>190</v>
      </c>
      <c r="E876" s="60" t="s">
        <v>278</v>
      </c>
      <c r="F876" s="61" t="s">
        <v>279</v>
      </c>
      <c r="G876" s="62" t="s">
        <v>201</v>
      </c>
      <c r="H876" s="63" t="s">
        <v>195</v>
      </c>
      <c r="I876" s="64" t="s">
        <v>267</v>
      </c>
      <c r="J876" s="65" t="str">
        <f>IFERROR(INDEX('Cost_Components'!$K$2:$K$27,MATCH(E876,'Cost_Components'!$A$2:$A$27,0)),"")</f>
      </c>
      <c r="K876" s="66" t="str">
        <f>IF(OR(L876="",Z876="",AA876="",AB876=""),"",IF(B876&lt;AA876,L876,IF(B876&gt;AB876,Z876,L876+(Z876-L876)*MIN(MAX((B876-AA876+1)/MAX(AB876-AA876+1,1),0),1))))</f>
      </c>
      <c r="L876" s="67" t="str">
        <f>IFERROR(INDEX('Cost_Components'!$S$2:$S$27,MATCH(E876,'Cost_Components'!$A$2:$A$27,0)),"")</f>
      </c>
      <c r="M876" s="68" t="str">
        <f>IFERROR(INDEX('Cost_Components'!$L$2:$L$27,MATCH(E876,'Cost_Components'!$A$2:$A$27,0)),"")</f>
      </c>
      <c r="N876" s="69" t="str">
        <f>IFERROR(INDEX('Cost_Components'!$P$2:$P$27,MATCH(E876,'Cost_Components'!$A$2:$A$27,0)),"")</f>
      </c>
      <c r="O876" s="70" t="str">
        <f>AF876*J876</f>
      </c>
      <c r="P876" s="71" t="str">
        <f>AG876*J876</f>
      </c>
      <c r="Q876" s="72" t="str">
        <f>P876*L876*M876*N876</f>
      </c>
      <c r="R876" s="73" t="str">
        <f>O876*K876*M876*N876</f>
      </c>
      <c r="S876" s="74" t="str">
        <f>R876-Q876</f>
      </c>
      <c r="T876" s="20" t="str">
        <f>IFERROR(INDEX('Cost_Components'!$R$2:$R$27,MATCH(E876,'Cost_Components'!$A$2:$A$27,0)),"")</f>
      </c>
      <c r="U876" s="75" t="str">
        <f>IFERROR(INDEX('Cost_Components'!$Q$2:$Q$27,MATCH(E876,'Cost_Components'!$A$2:$A$27,0)),"")</f>
      </c>
      <c r="V876" s="76" t="str">
        <f>1/(1+'Calculation_Assumptions'!$B$5)^(B876-'Calculation_Assumptions'!$B$2)</f>
      </c>
      <c r="W876" s="77" t="str">
        <f>Q876*V876</f>
      </c>
      <c r="X876" s="78" t="str">
        <f>R876*V876</f>
      </c>
      <c r="Y876" s="79" t="str">
        <f>S876*V876</f>
      </c>
      <c r="Z876" s="80" t="str">
        <f>IFERROR(INDEX('Cost_Components'!$T$2:$T$27,MATCH(E876,'Cost_Components'!$A$2:$A$27,0)),"")</f>
      </c>
      <c r="AA876" s="81" t="str">
        <f>IFERROR(INDEX('Cost_Components'!$U$2:$U$27,MATCH(E876,'Cost_Components'!$A$2:$A$27,0)),"")</f>
      </c>
      <c r="AB876" s="82" t="str">
        <f>IFERROR(INDEX('Cost_Components'!$V$2:$V$27,MATCH(E876,'Cost_Components'!$A$2:$A$27,0)),"")</f>
      </c>
      <c r="AC876" s="83" t="str">
        <f>IFERROR(INDEX('Cost_Components'!$M$2:$M$27,MATCH(E876,'Cost_Components'!$A$2:$A$27,0)),"")</f>
      </c>
      <c r="AD876" s="84" t="str">
        <f>IFERROR(INDEX('Cost_Components'!$N$2:$N$27,MATCH(E876,'Cost_Components'!$A$2:$A$27,0)),"")</f>
      </c>
      <c r="AE876" s="20" t="str">
        <f>IFERROR(INDEX('Cost_Components'!$O$2:$O$27,MATCH(E876,'Cost_Components'!$A$2:$A$27,0)),"")</f>
      </c>
      <c r="AF876" s="85" t="n">
        <v>113734.34938265</v>
      </c>
      <c r="AG876" s="86" t="n">
        <v>105017.945173141</v>
      </c>
      <c r="AH876" s="87" t="str">
        <f>IF(H876="shared-count-once",COUNTIFS($A$2:$A$1353,A876,$B$2:$B$1353,B876,$E$2:$E$1353,E876),1)</f>
      </c>
    </row>
    <row r="877">
      <c r="A877" t="s">
        <v>75</v>
      </c>
      <c r="B877" s="59" t="n">
        <v>2042</v>
      </c>
      <c r="C877" t="s">
        <v>200</v>
      </c>
      <c r="D877" t="s">
        <v>190</v>
      </c>
      <c r="E877" s="60" t="s">
        <v>278</v>
      </c>
      <c r="F877" s="61" t="s">
        <v>279</v>
      </c>
      <c r="G877" s="62" t="s">
        <v>201</v>
      </c>
      <c r="H877" s="63" t="s">
        <v>195</v>
      </c>
      <c r="I877" s="64" t="s">
        <v>267</v>
      </c>
      <c r="J877" s="65" t="str">
        <f>IFERROR(INDEX('Cost_Components'!$K$2:$K$27,MATCH(E877,'Cost_Components'!$A$2:$A$27,0)),"")</f>
      </c>
      <c r="K877" s="66" t="str">
        <f>IF(OR(L877="",Z877="",AA877="",AB877=""),"",IF(B877&lt;AA877,L877,IF(B877&gt;AB877,Z877,L877+(Z877-L877)*MIN(MAX((B877-AA877+1)/MAX(AB877-AA877+1,1),0),1))))</f>
      </c>
      <c r="L877" s="67" t="str">
        <f>IFERROR(INDEX('Cost_Components'!$S$2:$S$27,MATCH(E877,'Cost_Components'!$A$2:$A$27,0)),"")</f>
      </c>
      <c r="M877" s="68" t="str">
        <f>IFERROR(INDEX('Cost_Components'!$L$2:$L$27,MATCH(E877,'Cost_Components'!$A$2:$A$27,0)),"")</f>
      </c>
      <c r="N877" s="69" t="str">
        <f>IFERROR(INDEX('Cost_Components'!$P$2:$P$27,MATCH(E877,'Cost_Components'!$A$2:$A$27,0)),"")</f>
      </c>
      <c r="O877" s="70" t="str">
        <f>AF877*J877</f>
      </c>
      <c r="P877" s="71" t="str">
        <f>AG877*J877</f>
      </c>
      <c r="Q877" s="72" t="str">
        <f>P877*L877*M877*N877</f>
      </c>
      <c r="R877" s="73" t="str">
        <f>O877*K877*M877*N877</f>
      </c>
      <c r="S877" s="74" t="str">
        <f>R877-Q877</f>
      </c>
      <c r="T877" s="20" t="str">
        <f>IFERROR(INDEX('Cost_Components'!$R$2:$R$27,MATCH(E877,'Cost_Components'!$A$2:$A$27,0)),"")</f>
      </c>
      <c r="U877" s="75" t="str">
        <f>IFERROR(INDEX('Cost_Components'!$Q$2:$Q$27,MATCH(E877,'Cost_Components'!$A$2:$A$27,0)),"")</f>
      </c>
      <c r="V877" s="76" t="str">
        <f>1/(1+'Calculation_Assumptions'!$B$5)^(B877-'Calculation_Assumptions'!$B$2)</f>
      </c>
      <c r="W877" s="77" t="str">
        <f>Q877*V877</f>
      </c>
      <c r="X877" s="78" t="str">
        <f>R877*V877</f>
      </c>
      <c r="Y877" s="79" t="str">
        <f>S877*V877</f>
      </c>
      <c r="Z877" s="80" t="str">
        <f>IFERROR(INDEX('Cost_Components'!$T$2:$T$27,MATCH(E877,'Cost_Components'!$A$2:$A$27,0)),"")</f>
      </c>
      <c r="AA877" s="81" t="str">
        <f>IFERROR(INDEX('Cost_Components'!$U$2:$U$27,MATCH(E877,'Cost_Components'!$A$2:$A$27,0)),"")</f>
      </c>
      <c r="AB877" s="82" t="str">
        <f>IFERROR(INDEX('Cost_Components'!$V$2:$V$27,MATCH(E877,'Cost_Components'!$A$2:$A$27,0)),"")</f>
      </c>
      <c r="AC877" s="83" t="str">
        <f>IFERROR(INDEX('Cost_Components'!$M$2:$M$27,MATCH(E877,'Cost_Components'!$A$2:$A$27,0)),"")</f>
      </c>
      <c r="AD877" s="84" t="str">
        <f>IFERROR(INDEX('Cost_Components'!$N$2:$N$27,MATCH(E877,'Cost_Components'!$A$2:$A$27,0)),"")</f>
      </c>
      <c r="AE877" s="20" t="str">
        <f>IFERROR(INDEX('Cost_Components'!$O$2:$O$27,MATCH(E877,'Cost_Components'!$A$2:$A$27,0)),"")</f>
      </c>
      <c r="AF877" s="85" t="n">
        <v>116837.065186677</v>
      </c>
      <c r="AG877" s="86" t="n">
        <v>107176.827813899</v>
      </c>
      <c r="AH877" s="87" t="str">
        <f>IF(H877="shared-count-once",COUNTIFS($A$2:$A$1353,A877,$B$2:$B$1353,B877,$E$2:$E$1353,E877),1)</f>
      </c>
    </row>
    <row r="878">
      <c r="A878" t="s">
        <v>75</v>
      </c>
      <c r="B878" s="59" t="n">
        <v>2043</v>
      </c>
      <c r="C878" t="s">
        <v>200</v>
      </c>
      <c r="D878" t="s">
        <v>190</v>
      </c>
      <c r="E878" s="60" t="s">
        <v>278</v>
      </c>
      <c r="F878" s="61" t="s">
        <v>279</v>
      </c>
      <c r="G878" s="62" t="s">
        <v>201</v>
      </c>
      <c r="H878" s="63" t="s">
        <v>195</v>
      </c>
      <c r="I878" s="64" t="s">
        <v>267</v>
      </c>
      <c r="J878" s="65" t="str">
        <f>IFERROR(INDEX('Cost_Components'!$K$2:$K$27,MATCH(E878,'Cost_Components'!$A$2:$A$27,0)),"")</f>
      </c>
      <c r="K878" s="66" t="str">
        <f>IF(OR(L878="",Z878="",AA878="",AB878=""),"",IF(B878&lt;AA878,L878,IF(B878&gt;AB878,Z878,L878+(Z878-L878)*MIN(MAX((B878-AA878+1)/MAX(AB878-AA878+1,1),0),1))))</f>
      </c>
      <c r="L878" s="67" t="str">
        <f>IFERROR(INDEX('Cost_Components'!$S$2:$S$27,MATCH(E878,'Cost_Components'!$A$2:$A$27,0)),"")</f>
      </c>
      <c r="M878" s="68" t="str">
        <f>IFERROR(INDEX('Cost_Components'!$L$2:$L$27,MATCH(E878,'Cost_Components'!$A$2:$A$27,0)),"")</f>
      </c>
      <c r="N878" s="69" t="str">
        <f>IFERROR(INDEX('Cost_Components'!$P$2:$P$27,MATCH(E878,'Cost_Components'!$A$2:$A$27,0)),"")</f>
      </c>
      <c r="O878" s="70" t="str">
        <f>AF878*J878</f>
      </c>
      <c r="P878" s="71" t="str">
        <f>AG878*J878</f>
      </c>
      <c r="Q878" s="72" t="str">
        <f>P878*L878*M878*N878</f>
      </c>
      <c r="R878" s="73" t="str">
        <f>O878*K878*M878*N878</f>
      </c>
      <c r="S878" s="74" t="str">
        <f>R878-Q878</f>
      </c>
      <c r="T878" s="20" t="str">
        <f>IFERROR(INDEX('Cost_Components'!$R$2:$R$27,MATCH(E878,'Cost_Components'!$A$2:$A$27,0)),"")</f>
      </c>
      <c r="U878" s="75" t="str">
        <f>IFERROR(INDEX('Cost_Components'!$Q$2:$Q$27,MATCH(E878,'Cost_Components'!$A$2:$A$27,0)),"")</f>
      </c>
      <c r="V878" s="76" t="str">
        <f>1/(1+'Calculation_Assumptions'!$B$5)^(B878-'Calculation_Assumptions'!$B$2)</f>
      </c>
      <c r="W878" s="77" t="str">
        <f>Q878*V878</f>
      </c>
      <c r="X878" s="78" t="str">
        <f>R878*V878</f>
      </c>
      <c r="Y878" s="79" t="str">
        <f>S878*V878</f>
      </c>
      <c r="Z878" s="80" t="str">
        <f>IFERROR(INDEX('Cost_Components'!$T$2:$T$27,MATCH(E878,'Cost_Components'!$A$2:$A$27,0)),"")</f>
      </c>
      <c r="AA878" s="81" t="str">
        <f>IFERROR(INDEX('Cost_Components'!$U$2:$U$27,MATCH(E878,'Cost_Components'!$A$2:$A$27,0)),"")</f>
      </c>
      <c r="AB878" s="82" t="str">
        <f>IFERROR(INDEX('Cost_Components'!$V$2:$V$27,MATCH(E878,'Cost_Components'!$A$2:$A$27,0)),"")</f>
      </c>
      <c r="AC878" s="83" t="str">
        <f>IFERROR(INDEX('Cost_Components'!$M$2:$M$27,MATCH(E878,'Cost_Components'!$A$2:$A$27,0)),"")</f>
      </c>
      <c r="AD878" s="84" t="str">
        <f>IFERROR(INDEX('Cost_Components'!$N$2:$N$27,MATCH(E878,'Cost_Components'!$A$2:$A$27,0)),"")</f>
      </c>
      <c r="AE878" s="20" t="str">
        <f>IFERROR(INDEX('Cost_Components'!$O$2:$O$27,MATCH(E878,'Cost_Components'!$A$2:$A$27,0)),"")</f>
      </c>
      <c r="AF878" s="85" t="n">
        <v>120067.956480177</v>
      </c>
      <c r="AG878" s="86" t="n">
        <v>109412.075927052</v>
      </c>
      <c r="AH878" s="87" t="str">
        <f>IF(H878="shared-count-once",COUNTIFS($A$2:$A$1353,A878,$B$2:$B$1353,B878,$E$2:$E$1353,E878),1)</f>
      </c>
    </row>
    <row r="879">
      <c r="A879" t="s">
        <v>75</v>
      </c>
      <c r="B879" s="59" t="n">
        <v>2044</v>
      </c>
      <c r="C879" t="s">
        <v>200</v>
      </c>
      <c r="D879" t="s">
        <v>190</v>
      </c>
      <c r="E879" s="60" t="s">
        <v>278</v>
      </c>
      <c r="F879" s="61" t="s">
        <v>279</v>
      </c>
      <c r="G879" s="62" t="s">
        <v>201</v>
      </c>
      <c r="H879" s="63" t="s">
        <v>195</v>
      </c>
      <c r="I879" s="64" t="s">
        <v>267</v>
      </c>
      <c r="J879" s="65" t="str">
        <f>IFERROR(INDEX('Cost_Components'!$K$2:$K$27,MATCH(E879,'Cost_Components'!$A$2:$A$27,0)),"")</f>
      </c>
      <c r="K879" s="66" t="str">
        <f>IF(OR(L879="",Z879="",AA879="",AB879=""),"",IF(B879&lt;AA879,L879,IF(B879&gt;AB879,Z879,L879+(Z879-L879)*MIN(MAX((B879-AA879+1)/MAX(AB879-AA879+1,1),0),1))))</f>
      </c>
      <c r="L879" s="67" t="str">
        <f>IFERROR(INDEX('Cost_Components'!$S$2:$S$27,MATCH(E879,'Cost_Components'!$A$2:$A$27,0)),"")</f>
      </c>
      <c r="M879" s="68" t="str">
        <f>IFERROR(INDEX('Cost_Components'!$L$2:$L$27,MATCH(E879,'Cost_Components'!$A$2:$A$27,0)),"")</f>
      </c>
      <c r="N879" s="69" t="str">
        <f>IFERROR(INDEX('Cost_Components'!$P$2:$P$27,MATCH(E879,'Cost_Components'!$A$2:$A$27,0)),"")</f>
      </c>
      <c r="O879" s="70" t="str">
        <f>AF879*J879</f>
      </c>
      <c r="P879" s="71" t="str">
        <f>AG879*J879</f>
      </c>
      <c r="Q879" s="72" t="str">
        <f>P879*L879*M879*N879</f>
      </c>
      <c r="R879" s="73" t="str">
        <f>O879*K879*M879*N879</f>
      </c>
      <c r="S879" s="74" t="str">
        <f>R879-Q879</f>
      </c>
      <c r="T879" s="20" t="str">
        <f>IFERROR(INDEX('Cost_Components'!$R$2:$R$27,MATCH(E879,'Cost_Components'!$A$2:$A$27,0)),"")</f>
      </c>
      <c r="U879" s="75" t="str">
        <f>IFERROR(INDEX('Cost_Components'!$Q$2:$Q$27,MATCH(E879,'Cost_Components'!$A$2:$A$27,0)),"")</f>
      </c>
      <c r="V879" s="76" t="str">
        <f>1/(1+'Calculation_Assumptions'!$B$5)^(B879-'Calculation_Assumptions'!$B$2)</f>
      </c>
      <c r="W879" s="77" t="str">
        <f>Q879*V879</f>
      </c>
      <c r="X879" s="78" t="str">
        <f>R879*V879</f>
      </c>
      <c r="Y879" s="79" t="str">
        <f>S879*V879</f>
      </c>
      <c r="Z879" s="80" t="str">
        <f>IFERROR(INDEX('Cost_Components'!$T$2:$T$27,MATCH(E879,'Cost_Components'!$A$2:$A$27,0)),"")</f>
      </c>
      <c r="AA879" s="81" t="str">
        <f>IFERROR(INDEX('Cost_Components'!$U$2:$U$27,MATCH(E879,'Cost_Components'!$A$2:$A$27,0)),"")</f>
      </c>
      <c r="AB879" s="82" t="str">
        <f>IFERROR(INDEX('Cost_Components'!$V$2:$V$27,MATCH(E879,'Cost_Components'!$A$2:$A$27,0)),"")</f>
      </c>
      <c r="AC879" s="83" t="str">
        <f>IFERROR(INDEX('Cost_Components'!$M$2:$M$27,MATCH(E879,'Cost_Components'!$A$2:$A$27,0)),"")</f>
      </c>
      <c r="AD879" s="84" t="str">
        <f>IFERROR(INDEX('Cost_Components'!$N$2:$N$27,MATCH(E879,'Cost_Components'!$A$2:$A$27,0)),"")</f>
      </c>
      <c r="AE879" s="20" t="str">
        <f>IFERROR(INDEX('Cost_Components'!$O$2:$O$27,MATCH(E879,'Cost_Components'!$A$2:$A$27,0)),"")</f>
      </c>
      <c r="AF879" s="85" t="n">
        <v>123421.351595587</v>
      </c>
      <c r="AG879" s="86" t="n">
        <v>111717.49359171</v>
      </c>
      <c r="AH879" s="87" t="str">
        <f>IF(H879="shared-count-once",COUNTIFS($A$2:$A$1353,A879,$B$2:$B$1353,B879,$E$2:$E$1353,E879),1)</f>
      </c>
    </row>
    <row r="880">
      <c r="A880" t="s">
        <v>75</v>
      </c>
      <c r="B880" s="59" t="n">
        <v>2045</v>
      </c>
      <c r="C880" t="s">
        <v>200</v>
      </c>
      <c r="D880" t="s">
        <v>190</v>
      </c>
      <c r="E880" s="60" t="s">
        <v>278</v>
      </c>
      <c r="F880" s="61" t="s">
        <v>279</v>
      </c>
      <c r="G880" s="62" t="s">
        <v>201</v>
      </c>
      <c r="H880" s="63" t="s">
        <v>195</v>
      </c>
      <c r="I880" s="64" t="s">
        <v>267</v>
      </c>
      <c r="J880" s="65" t="str">
        <f>IFERROR(INDEX('Cost_Components'!$K$2:$K$27,MATCH(E880,'Cost_Components'!$A$2:$A$27,0)),"")</f>
      </c>
      <c r="K880" s="66" t="str">
        <f>IF(OR(L880="",Z880="",AA880="",AB880=""),"",IF(B880&lt;AA880,L880,IF(B880&gt;AB880,Z880,L880+(Z880-L880)*MIN(MAX((B880-AA880+1)/MAX(AB880-AA880+1,1),0),1))))</f>
      </c>
      <c r="L880" s="67" t="str">
        <f>IFERROR(INDEX('Cost_Components'!$S$2:$S$27,MATCH(E880,'Cost_Components'!$A$2:$A$27,0)),"")</f>
      </c>
      <c r="M880" s="68" t="str">
        <f>IFERROR(INDEX('Cost_Components'!$L$2:$L$27,MATCH(E880,'Cost_Components'!$A$2:$A$27,0)),"")</f>
      </c>
      <c r="N880" s="69" t="str">
        <f>IFERROR(INDEX('Cost_Components'!$P$2:$P$27,MATCH(E880,'Cost_Components'!$A$2:$A$27,0)),"")</f>
      </c>
      <c r="O880" s="70" t="str">
        <f>AF880*J880</f>
      </c>
      <c r="P880" s="71" t="str">
        <f>AG880*J880</f>
      </c>
      <c r="Q880" s="72" t="str">
        <f>P880*L880*M880*N880</f>
      </c>
      <c r="R880" s="73" t="str">
        <f>O880*K880*M880*N880</f>
      </c>
      <c r="S880" s="74" t="str">
        <f>R880-Q880</f>
      </c>
      <c r="T880" s="20" t="str">
        <f>IFERROR(INDEX('Cost_Components'!$R$2:$R$27,MATCH(E880,'Cost_Components'!$A$2:$A$27,0)),"")</f>
      </c>
      <c r="U880" s="75" t="str">
        <f>IFERROR(INDEX('Cost_Components'!$Q$2:$Q$27,MATCH(E880,'Cost_Components'!$A$2:$A$27,0)),"")</f>
      </c>
      <c r="V880" s="76" t="str">
        <f>1/(1+'Calculation_Assumptions'!$B$5)^(B880-'Calculation_Assumptions'!$B$2)</f>
      </c>
      <c r="W880" s="77" t="str">
        <f>Q880*V880</f>
      </c>
      <c r="X880" s="78" t="str">
        <f>R880*V880</f>
      </c>
      <c r="Y880" s="79" t="str">
        <f>S880*V880</f>
      </c>
      <c r="Z880" s="80" t="str">
        <f>IFERROR(INDEX('Cost_Components'!$T$2:$T$27,MATCH(E880,'Cost_Components'!$A$2:$A$27,0)),"")</f>
      </c>
      <c r="AA880" s="81" t="str">
        <f>IFERROR(INDEX('Cost_Components'!$U$2:$U$27,MATCH(E880,'Cost_Components'!$A$2:$A$27,0)),"")</f>
      </c>
      <c r="AB880" s="82" t="str">
        <f>IFERROR(INDEX('Cost_Components'!$V$2:$V$27,MATCH(E880,'Cost_Components'!$A$2:$A$27,0)),"")</f>
      </c>
      <c r="AC880" s="83" t="str">
        <f>IFERROR(INDEX('Cost_Components'!$M$2:$M$27,MATCH(E880,'Cost_Components'!$A$2:$A$27,0)),"")</f>
      </c>
      <c r="AD880" s="84" t="str">
        <f>IFERROR(INDEX('Cost_Components'!$N$2:$N$27,MATCH(E880,'Cost_Components'!$A$2:$A$27,0)),"")</f>
      </c>
      <c r="AE880" s="20" t="str">
        <f>IFERROR(INDEX('Cost_Components'!$O$2:$O$27,MATCH(E880,'Cost_Components'!$A$2:$A$27,0)),"")</f>
      </c>
      <c r="AF880" s="85" t="n">
        <v>126898.670263431</v>
      </c>
      <c r="AG880" s="86" t="n">
        <v>114095.274012368</v>
      </c>
      <c r="AH880" s="87" t="str">
        <f>IF(H880="shared-count-once",COUNTIFS($A$2:$A$1353,A880,$B$2:$B$1353,B880,$E$2:$E$1353,E880),1)</f>
      </c>
    </row>
    <row r="881">
      <c r="A881" t="s">
        <v>75</v>
      </c>
      <c r="B881" s="59" t="n">
        <v>2046</v>
      </c>
      <c r="C881" t="s">
        <v>200</v>
      </c>
      <c r="D881" t="s">
        <v>190</v>
      </c>
      <c r="E881" s="60" t="s">
        <v>278</v>
      </c>
      <c r="F881" s="61" t="s">
        <v>279</v>
      </c>
      <c r="G881" s="62" t="s">
        <v>201</v>
      </c>
      <c r="H881" s="63" t="s">
        <v>195</v>
      </c>
      <c r="I881" s="64" t="s">
        <v>267</v>
      </c>
      <c r="J881" s="65" t="str">
        <f>IFERROR(INDEX('Cost_Components'!$K$2:$K$27,MATCH(E881,'Cost_Components'!$A$2:$A$27,0)),"")</f>
      </c>
      <c r="K881" s="66" t="str">
        <f>IF(OR(L881="",Z881="",AA881="",AB881=""),"",IF(B881&lt;AA881,L881,IF(B881&gt;AB881,Z881,L881+(Z881-L881)*MIN(MAX((B881-AA881+1)/MAX(AB881-AA881+1,1),0),1))))</f>
      </c>
      <c r="L881" s="67" t="str">
        <f>IFERROR(INDEX('Cost_Components'!$S$2:$S$27,MATCH(E881,'Cost_Components'!$A$2:$A$27,0)),"")</f>
      </c>
      <c r="M881" s="68" t="str">
        <f>IFERROR(INDEX('Cost_Components'!$L$2:$L$27,MATCH(E881,'Cost_Components'!$A$2:$A$27,0)),"")</f>
      </c>
      <c r="N881" s="69" t="str">
        <f>IFERROR(INDEX('Cost_Components'!$P$2:$P$27,MATCH(E881,'Cost_Components'!$A$2:$A$27,0)),"")</f>
      </c>
      <c r="O881" s="70" t="str">
        <f>AF881*J881</f>
      </c>
      <c r="P881" s="71" t="str">
        <f>AG881*J881</f>
      </c>
      <c r="Q881" s="72" t="str">
        <f>P881*L881*M881*N881</f>
      </c>
      <c r="R881" s="73" t="str">
        <f>O881*K881*M881*N881</f>
      </c>
      <c r="S881" s="74" t="str">
        <f>R881-Q881</f>
      </c>
      <c r="T881" s="20" t="str">
        <f>IFERROR(INDEX('Cost_Components'!$R$2:$R$27,MATCH(E881,'Cost_Components'!$A$2:$A$27,0)),"")</f>
      </c>
      <c r="U881" s="75" t="str">
        <f>IFERROR(INDEX('Cost_Components'!$Q$2:$Q$27,MATCH(E881,'Cost_Components'!$A$2:$A$27,0)),"")</f>
      </c>
      <c r="V881" s="76" t="str">
        <f>1/(1+'Calculation_Assumptions'!$B$5)^(B881-'Calculation_Assumptions'!$B$2)</f>
      </c>
      <c r="W881" s="77" t="str">
        <f>Q881*V881</f>
      </c>
      <c r="X881" s="78" t="str">
        <f>R881*V881</f>
      </c>
      <c r="Y881" s="79" t="str">
        <f>S881*V881</f>
      </c>
      <c r="Z881" s="80" t="str">
        <f>IFERROR(INDEX('Cost_Components'!$T$2:$T$27,MATCH(E881,'Cost_Components'!$A$2:$A$27,0)),"")</f>
      </c>
      <c r="AA881" s="81" t="str">
        <f>IFERROR(INDEX('Cost_Components'!$U$2:$U$27,MATCH(E881,'Cost_Components'!$A$2:$A$27,0)),"")</f>
      </c>
      <c r="AB881" s="82" t="str">
        <f>IFERROR(INDEX('Cost_Components'!$V$2:$V$27,MATCH(E881,'Cost_Components'!$A$2:$A$27,0)),"")</f>
      </c>
      <c r="AC881" s="83" t="str">
        <f>IFERROR(INDEX('Cost_Components'!$M$2:$M$27,MATCH(E881,'Cost_Components'!$A$2:$A$27,0)),"")</f>
      </c>
      <c r="AD881" s="84" t="str">
        <f>IFERROR(INDEX('Cost_Components'!$N$2:$N$27,MATCH(E881,'Cost_Components'!$A$2:$A$27,0)),"")</f>
      </c>
      <c r="AE881" s="20" t="str">
        <f>IFERROR(INDEX('Cost_Components'!$O$2:$O$27,MATCH(E881,'Cost_Components'!$A$2:$A$27,0)),"")</f>
      </c>
      <c r="AF881" s="85" t="n">
        <v>130482.125746266</v>
      </c>
      <c r="AG881" s="86" t="n">
        <v>116526.846002341</v>
      </c>
      <c r="AH881" s="87" t="str">
        <f>IF(H881="shared-count-once",COUNTIFS($A$2:$A$1353,A881,$B$2:$B$1353,B881,$E$2:$E$1353,E881),1)</f>
      </c>
    </row>
    <row r="882">
      <c r="A882" t="s">
        <v>75</v>
      </c>
      <c r="B882" s="59" t="n">
        <v>2047</v>
      </c>
      <c r="C882" t="s">
        <v>200</v>
      </c>
      <c r="D882" t="s">
        <v>190</v>
      </c>
      <c r="E882" s="60" t="s">
        <v>278</v>
      </c>
      <c r="F882" s="61" t="s">
        <v>279</v>
      </c>
      <c r="G882" s="62" t="s">
        <v>201</v>
      </c>
      <c r="H882" s="63" t="s">
        <v>195</v>
      </c>
      <c r="I882" s="64" t="s">
        <v>267</v>
      </c>
      <c r="J882" s="65" t="str">
        <f>IFERROR(INDEX('Cost_Components'!$K$2:$K$27,MATCH(E882,'Cost_Components'!$A$2:$A$27,0)),"")</f>
      </c>
      <c r="K882" s="66" t="str">
        <f>IF(OR(L882="",Z882="",AA882="",AB882=""),"",IF(B882&lt;AA882,L882,IF(B882&gt;AB882,Z882,L882+(Z882-L882)*MIN(MAX((B882-AA882+1)/MAX(AB882-AA882+1,1),0),1))))</f>
      </c>
      <c r="L882" s="67" t="str">
        <f>IFERROR(INDEX('Cost_Components'!$S$2:$S$27,MATCH(E882,'Cost_Components'!$A$2:$A$27,0)),"")</f>
      </c>
      <c r="M882" s="68" t="str">
        <f>IFERROR(INDEX('Cost_Components'!$L$2:$L$27,MATCH(E882,'Cost_Components'!$A$2:$A$27,0)),"")</f>
      </c>
      <c r="N882" s="69" t="str">
        <f>IFERROR(INDEX('Cost_Components'!$P$2:$P$27,MATCH(E882,'Cost_Components'!$A$2:$A$27,0)),"")</f>
      </c>
      <c r="O882" s="70" t="str">
        <f>AF882*J882</f>
      </c>
      <c r="P882" s="71" t="str">
        <f>AG882*J882</f>
      </c>
      <c r="Q882" s="72" t="str">
        <f>P882*L882*M882*N882</f>
      </c>
      <c r="R882" s="73" t="str">
        <f>O882*K882*M882*N882</f>
      </c>
      <c r="S882" s="74" t="str">
        <f>R882-Q882</f>
      </c>
      <c r="T882" s="20" t="str">
        <f>IFERROR(INDEX('Cost_Components'!$R$2:$R$27,MATCH(E882,'Cost_Components'!$A$2:$A$27,0)),"")</f>
      </c>
      <c r="U882" s="75" t="str">
        <f>IFERROR(INDEX('Cost_Components'!$Q$2:$Q$27,MATCH(E882,'Cost_Components'!$A$2:$A$27,0)),"")</f>
      </c>
      <c r="V882" s="76" t="str">
        <f>1/(1+'Calculation_Assumptions'!$B$5)^(B882-'Calculation_Assumptions'!$B$2)</f>
      </c>
      <c r="W882" s="77" t="str">
        <f>Q882*V882</f>
      </c>
      <c r="X882" s="78" t="str">
        <f>R882*V882</f>
      </c>
      <c r="Y882" s="79" t="str">
        <f>S882*V882</f>
      </c>
      <c r="Z882" s="80" t="str">
        <f>IFERROR(INDEX('Cost_Components'!$T$2:$T$27,MATCH(E882,'Cost_Components'!$A$2:$A$27,0)),"")</f>
      </c>
      <c r="AA882" s="81" t="str">
        <f>IFERROR(INDEX('Cost_Components'!$U$2:$U$27,MATCH(E882,'Cost_Components'!$A$2:$A$27,0)),"")</f>
      </c>
      <c r="AB882" s="82" t="str">
        <f>IFERROR(INDEX('Cost_Components'!$V$2:$V$27,MATCH(E882,'Cost_Components'!$A$2:$A$27,0)),"")</f>
      </c>
      <c r="AC882" s="83" t="str">
        <f>IFERROR(INDEX('Cost_Components'!$M$2:$M$27,MATCH(E882,'Cost_Components'!$A$2:$A$27,0)),"")</f>
      </c>
      <c r="AD882" s="84" t="str">
        <f>IFERROR(INDEX('Cost_Components'!$N$2:$N$27,MATCH(E882,'Cost_Components'!$A$2:$A$27,0)),"")</f>
      </c>
      <c r="AE882" s="20" t="str">
        <f>IFERROR(INDEX('Cost_Components'!$O$2:$O$27,MATCH(E882,'Cost_Components'!$A$2:$A$27,0)),"")</f>
      </c>
      <c r="AF882" s="85" t="n">
        <v>134154.275115244</v>
      </c>
      <c r="AG882" s="86" t="n">
        <v>118996.23941396</v>
      </c>
      <c r="AH882" s="87" t="str">
        <f>IF(H882="shared-count-once",COUNTIFS($A$2:$A$1353,A882,$B$2:$B$1353,B882,$E$2:$E$1353,E882),1)</f>
      </c>
    </row>
    <row r="883">
      <c r="A883" t="s">
        <v>75</v>
      </c>
      <c r="B883" s="59" t="n">
        <v>2048</v>
      </c>
      <c r="C883" t="s">
        <v>200</v>
      </c>
      <c r="D883" t="s">
        <v>190</v>
      </c>
      <c r="E883" s="60" t="s">
        <v>278</v>
      </c>
      <c r="F883" s="61" t="s">
        <v>279</v>
      </c>
      <c r="G883" s="62" t="s">
        <v>201</v>
      </c>
      <c r="H883" s="63" t="s">
        <v>195</v>
      </c>
      <c r="I883" s="64" t="s">
        <v>267</v>
      </c>
      <c r="J883" s="65" t="str">
        <f>IFERROR(INDEX('Cost_Components'!$K$2:$K$27,MATCH(E883,'Cost_Components'!$A$2:$A$27,0)),"")</f>
      </c>
      <c r="K883" s="66" t="str">
        <f>IF(OR(L883="",Z883="",AA883="",AB883=""),"",IF(B883&lt;AA883,L883,IF(B883&gt;AB883,Z883,L883+(Z883-L883)*MIN(MAX((B883-AA883+1)/MAX(AB883-AA883+1,1),0),1))))</f>
      </c>
      <c r="L883" s="67" t="str">
        <f>IFERROR(INDEX('Cost_Components'!$S$2:$S$27,MATCH(E883,'Cost_Components'!$A$2:$A$27,0)),"")</f>
      </c>
      <c r="M883" s="68" t="str">
        <f>IFERROR(INDEX('Cost_Components'!$L$2:$L$27,MATCH(E883,'Cost_Components'!$A$2:$A$27,0)),"")</f>
      </c>
      <c r="N883" s="69" t="str">
        <f>IFERROR(INDEX('Cost_Components'!$P$2:$P$27,MATCH(E883,'Cost_Components'!$A$2:$A$27,0)),"")</f>
      </c>
      <c r="O883" s="70" t="str">
        <f>AF883*J883</f>
      </c>
      <c r="P883" s="71" t="str">
        <f>AG883*J883</f>
      </c>
      <c r="Q883" s="72" t="str">
        <f>P883*L883*M883*N883</f>
      </c>
      <c r="R883" s="73" t="str">
        <f>O883*K883*M883*N883</f>
      </c>
      <c r="S883" s="74" t="str">
        <f>R883-Q883</f>
      </c>
      <c r="T883" s="20" t="str">
        <f>IFERROR(INDEX('Cost_Components'!$R$2:$R$27,MATCH(E883,'Cost_Components'!$A$2:$A$27,0)),"")</f>
      </c>
      <c r="U883" s="75" t="str">
        <f>IFERROR(INDEX('Cost_Components'!$Q$2:$Q$27,MATCH(E883,'Cost_Components'!$A$2:$A$27,0)),"")</f>
      </c>
      <c r="V883" s="76" t="str">
        <f>1/(1+'Calculation_Assumptions'!$B$5)^(B883-'Calculation_Assumptions'!$B$2)</f>
      </c>
      <c r="W883" s="77" t="str">
        <f>Q883*V883</f>
      </c>
      <c r="X883" s="78" t="str">
        <f>R883*V883</f>
      </c>
      <c r="Y883" s="79" t="str">
        <f>S883*V883</f>
      </c>
      <c r="Z883" s="80" t="str">
        <f>IFERROR(INDEX('Cost_Components'!$T$2:$T$27,MATCH(E883,'Cost_Components'!$A$2:$A$27,0)),"")</f>
      </c>
      <c r="AA883" s="81" t="str">
        <f>IFERROR(INDEX('Cost_Components'!$U$2:$U$27,MATCH(E883,'Cost_Components'!$A$2:$A$27,0)),"")</f>
      </c>
      <c r="AB883" s="82" t="str">
        <f>IFERROR(INDEX('Cost_Components'!$V$2:$V$27,MATCH(E883,'Cost_Components'!$A$2:$A$27,0)),"")</f>
      </c>
      <c r="AC883" s="83" t="str">
        <f>IFERROR(INDEX('Cost_Components'!$M$2:$M$27,MATCH(E883,'Cost_Components'!$A$2:$A$27,0)),"")</f>
      </c>
      <c r="AD883" s="84" t="str">
        <f>IFERROR(INDEX('Cost_Components'!$N$2:$N$27,MATCH(E883,'Cost_Components'!$A$2:$A$27,0)),"")</f>
      </c>
      <c r="AE883" s="20" t="str">
        <f>IFERROR(INDEX('Cost_Components'!$O$2:$O$27,MATCH(E883,'Cost_Components'!$A$2:$A$27,0)),"")</f>
      </c>
      <c r="AF883" s="85" t="n">
        <v>137892.438781598</v>
      </c>
      <c r="AG883" s="86" t="n">
        <v>121484.742904679</v>
      </c>
      <c r="AH883" s="87" t="str">
        <f>IF(H883="shared-count-once",COUNTIFS($A$2:$A$1353,A883,$B$2:$B$1353,B883,$E$2:$E$1353,E883),1)</f>
      </c>
    </row>
    <row r="884">
      <c r="A884" t="s">
        <v>75</v>
      </c>
      <c r="B884" s="59" t="n">
        <v>2049</v>
      </c>
      <c r="C884" t="s">
        <v>200</v>
      </c>
      <c r="D884" t="s">
        <v>190</v>
      </c>
      <c r="E884" s="60" t="s">
        <v>278</v>
      </c>
      <c r="F884" s="61" t="s">
        <v>279</v>
      </c>
      <c r="G884" s="62" t="s">
        <v>201</v>
      </c>
      <c r="H884" s="63" t="s">
        <v>195</v>
      </c>
      <c r="I884" s="64" t="s">
        <v>267</v>
      </c>
      <c r="J884" s="65" t="str">
        <f>IFERROR(INDEX('Cost_Components'!$K$2:$K$27,MATCH(E884,'Cost_Components'!$A$2:$A$27,0)),"")</f>
      </c>
      <c r="K884" s="66" t="str">
        <f>IF(OR(L884="",Z884="",AA884="",AB884=""),"",IF(B884&lt;AA884,L884,IF(B884&gt;AB884,Z884,L884+(Z884-L884)*MIN(MAX((B884-AA884+1)/MAX(AB884-AA884+1,1),0),1))))</f>
      </c>
      <c r="L884" s="67" t="str">
        <f>IFERROR(INDEX('Cost_Components'!$S$2:$S$27,MATCH(E884,'Cost_Components'!$A$2:$A$27,0)),"")</f>
      </c>
      <c r="M884" s="68" t="str">
        <f>IFERROR(INDEX('Cost_Components'!$L$2:$L$27,MATCH(E884,'Cost_Components'!$A$2:$A$27,0)),"")</f>
      </c>
      <c r="N884" s="69" t="str">
        <f>IFERROR(INDEX('Cost_Components'!$P$2:$P$27,MATCH(E884,'Cost_Components'!$A$2:$A$27,0)),"")</f>
      </c>
      <c r="O884" s="70" t="str">
        <f>AF884*J884</f>
      </c>
      <c r="P884" s="71" t="str">
        <f>AG884*J884</f>
      </c>
      <c r="Q884" s="72" t="str">
        <f>P884*L884*M884*N884</f>
      </c>
      <c r="R884" s="73" t="str">
        <f>O884*K884*M884*N884</f>
      </c>
      <c r="S884" s="74" t="str">
        <f>R884-Q884</f>
      </c>
      <c r="T884" s="20" t="str">
        <f>IFERROR(INDEX('Cost_Components'!$R$2:$R$27,MATCH(E884,'Cost_Components'!$A$2:$A$27,0)),"")</f>
      </c>
      <c r="U884" s="75" t="str">
        <f>IFERROR(INDEX('Cost_Components'!$Q$2:$Q$27,MATCH(E884,'Cost_Components'!$A$2:$A$27,0)),"")</f>
      </c>
      <c r="V884" s="76" t="str">
        <f>1/(1+'Calculation_Assumptions'!$B$5)^(B884-'Calculation_Assumptions'!$B$2)</f>
      </c>
      <c r="W884" s="77" t="str">
        <f>Q884*V884</f>
      </c>
      <c r="X884" s="78" t="str">
        <f>R884*V884</f>
      </c>
      <c r="Y884" s="79" t="str">
        <f>S884*V884</f>
      </c>
      <c r="Z884" s="80" t="str">
        <f>IFERROR(INDEX('Cost_Components'!$T$2:$T$27,MATCH(E884,'Cost_Components'!$A$2:$A$27,0)),"")</f>
      </c>
      <c r="AA884" s="81" t="str">
        <f>IFERROR(INDEX('Cost_Components'!$U$2:$U$27,MATCH(E884,'Cost_Components'!$A$2:$A$27,0)),"")</f>
      </c>
      <c r="AB884" s="82" t="str">
        <f>IFERROR(INDEX('Cost_Components'!$V$2:$V$27,MATCH(E884,'Cost_Components'!$A$2:$A$27,0)),"")</f>
      </c>
      <c r="AC884" s="83" t="str">
        <f>IFERROR(INDEX('Cost_Components'!$M$2:$M$27,MATCH(E884,'Cost_Components'!$A$2:$A$27,0)),"")</f>
      </c>
      <c r="AD884" s="84" t="str">
        <f>IFERROR(INDEX('Cost_Components'!$N$2:$N$27,MATCH(E884,'Cost_Components'!$A$2:$A$27,0)),"")</f>
      </c>
      <c r="AE884" s="20" t="str">
        <f>IFERROR(INDEX('Cost_Components'!$O$2:$O$27,MATCH(E884,'Cost_Components'!$A$2:$A$27,0)),"")</f>
      </c>
      <c r="AF884" s="85" t="n">
        <v>141677.178445436</v>
      </c>
      <c r="AG884" s="86" t="n">
        <v>123973.319152679</v>
      </c>
      <c r="AH884" s="87" t="str">
        <f>IF(H884="shared-count-once",COUNTIFS($A$2:$A$1353,A884,$B$2:$B$1353,B884,$E$2:$E$1353,E884),1)</f>
      </c>
    </row>
    <row r="885">
      <c r="A885" t="s">
        <v>75</v>
      </c>
      <c r="B885" s="59" t="n">
        <v>2050</v>
      </c>
      <c r="C885" t="s">
        <v>200</v>
      </c>
      <c r="D885" t="s">
        <v>190</v>
      </c>
      <c r="E885" s="60" t="s">
        <v>278</v>
      </c>
      <c r="F885" s="61" t="s">
        <v>279</v>
      </c>
      <c r="G885" s="62" t="s">
        <v>201</v>
      </c>
      <c r="H885" s="63" t="s">
        <v>195</v>
      </c>
      <c r="I885" s="64" t="s">
        <v>267</v>
      </c>
      <c r="J885" s="65" t="str">
        <f>IFERROR(INDEX('Cost_Components'!$K$2:$K$27,MATCH(E885,'Cost_Components'!$A$2:$A$27,0)),"")</f>
      </c>
      <c r="K885" s="66" t="str">
        <f>IF(OR(L885="",Z885="",AA885="",AB885=""),"",IF(B885&lt;AA885,L885,IF(B885&gt;AB885,Z885,L885+(Z885-L885)*MIN(MAX((B885-AA885+1)/MAX(AB885-AA885+1,1),0),1))))</f>
      </c>
      <c r="L885" s="67" t="str">
        <f>IFERROR(INDEX('Cost_Components'!$S$2:$S$27,MATCH(E885,'Cost_Components'!$A$2:$A$27,0)),"")</f>
      </c>
      <c r="M885" s="68" t="str">
        <f>IFERROR(INDEX('Cost_Components'!$L$2:$L$27,MATCH(E885,'Cost_Components'!$A$2:$A$27,0)),"")</f>
      </c>
      <c r="N885" s="69" t="str">
        <f>IFERROR(INDEX('Cost_Components'!$P$2:$P$27,MATCH(E885,'Cost_Components'!$A$2:$A$27,0)),"")</f>
      </c>
      <c r="O885" s="70" t="str">
        <f>AF885*J885</f>
      </c>
      <c r="P885" s="71" t="str">
        <f>AG885*J885</f>
      </c>
      <c r="Q885" s="72" t="str">
        <f>P885*L885*M885*N885</f>
      </c>
      <c r="R885" s="73" t="str">
        <f>O885*K885*M885*N885</f>
      </c>
      <c r="S885" s="74" t="str">
        <f>R885-Q885</f>
      </c>
      <c r="T885" s="20" t="str">
        <f>IFERROR(INDEX('Cost_Components'!$R$2:$R$27,MATCH(E885,'Cost_Components'!$A$2:$A$27,0)),"")</f>
      </c>
      <c r="U885" s="75" t="str">
        <f>IFERROR(INDEX('Cost_Components'!$Q$2:$Q$27,MATCH(E885,'Cost_Components'!$A$2:$A$27,0)),"")</f>
      </c>
      <c r="V885" s="76" t="str">
        <f>1/(1+'Calculation_Assumptions'!$B$5)^(B885-'Calculation_Assumptions'!$B$2)</f>
      </c>
      <c r="W885" s="77" t="str">
        <f>Q885*V885</f>
      </c>
      <c r="X885" s="78" t="str">
        <f>R885*V885</f>
      </c>
      <c r="Y885" s="79" t="str">
        <f>S885*V885</f>
      </c>
      <c r="Z885" s="80" t="str">
        <f>IFERROR(INDEX('Cost_Components'!$T$2:$T$27,MATCH(E885,'Cost_Components'!$A$2:$A$27,0)),"")</f>
      </c>
      <c r="AA885" s="81" t="str">
        <f>IFERROR(INDEX('Cost_Components'!$U$2:$U$27,MATCH(E885,'Cost_Components'!$A$2:$A$27,0)),"")</f>
      </c>
      <c r="AB885" s="82" t="str">
        <f>IFERROR(INDEX('Cost_Components'!$V$2:$V$27,MATCH(E885,'Cost_Components'!$A$2:$A$27,0)),"")</f>
      </c>
      <c r="AC885" s="83" t="str">
        <f>IFERROR(INDEX('Cost_Components'!$M$2:$M$27,MATCH(E885,'Cost_Components'!$A$2:$A$27,0)),"")</f>
      </c>
      <c r="AD885" s="84" t="str">
        <f>IFERROR(INDEX('Cost_Components'!$N$2:$N$27,MATCH(E885,'Cost_Components'!$A$2:$A$27,0)),"")</f>
      </c>
      <c r="AE885" s="20" t="str">
        <f>IFERROR(INDEX('Cost_Components'!$O$2:$O$27,MATCH(E885,'Cost_Components'!$A$2:$A$27,0)),"")</f>
      </c>
      <c r="AF885" s="85" t="n">
        <v>145505.106237114</v>
      </c>
      <c r="AG885" s="86" t="n">
        <v>126459.62395605</v>
      </c>
      <c r="AH885" s="87" t="str">
        <f>IF(H885="shared-count-once",COUNTIFS($A$2:$A$1353,A885,$B$2:$B$1353,B885,$E$2:$E$1353,E885),1)</f>
      </c>
    </row>
    <row r="886">
      <c r="A886" t="s">
        <v>75</v>
      </c>
      <c r="B886" s="59" t="n">
        <v>2025</v>
      </c>
      <c r="C886" t="s">
        <v>200</v>
      </c>
      <c r="D886" t="s">
        <v>166</v>
      </c>
      <c r="E886" s="60" t="s">
        <v>281</v>
      </c>
      <c r="F886" s="61" t="s">
        <v>282</v>
      </c>
      <c r="G886" s="62" t="s">
        <v>203</v>
      </c>
      <c r="H886" s="63" t="s">
        <v>195</v>
      </c>
      <c r="I886" s="64" t="s">
        <v>267</v>
      </c>
      <c r="J886" s="65" t="str">
        <f>IFERROR(INDEX('Cost_Components'!$K$2:$K$27,MATCH(E886,'Cost_Components'!$A$2:$A$27,0)),"")</f>
      </c>
      <c r="K886" s="66" t="str">
        <f>IF(OR(L886="",Z886="",AA886="",AB886=""),"",IF(B886&lt;AA886,L886,IF(B886&gt;AB886,Z886,L886+(Z886-L886)*MIN(MAX((B886-AA886+1)/MAX(AB886-AA886+1,1),0),1))))</f>
      </c>
      <c r="L886" s="67" t="str">
        <f>IFERROR(INDEX('Cost_Components'!$S$2:$S$27,MATCH(E886,'Cost_Components'!$A$2:$A$27,0)),"")</f>
      </c>
      <c r="M886" s="68" t="str">
        <f>IFERROR(INDEX('Cost_Components'!$L$2:$L$27,MATCH(E886,'Cost_Components'!$A$2:$A$27,0)),"")</f>
      </c>
      <c r="N886" s="69" t="str">
        <f>IFERROR(INDEX('Cost_Components'!$P$2:$P$27,MATCH(E886,'Cost_Components'!$A$2:$A$27,0)),"")</f>
      </c>
      <c r="O886" s="70" t="str">
        <f>AF886*J886</f>
      </c>
      <c r="P886" s="71" t="str">
        <f>AG886*J886</f>
      </c>
      <c r="Q886" s="72" t="str">
        <f>P886*L886*M886*N886</f>
      </c>
      <c r="R886" s="73" t="str">
        <f>O886*K886*M886*N886</f>
      </c>
      <c r="S886" s="74" t="str">
        <f>R886-Q886</f>
      </c>
      <c r="T886" s="20" t="str">
        <f>IFERROR(INDEX('Cost_Components'!$R$2:$R$27,MATCH(E886,'Cost_Components'!$A$2:$A$27,0)),"")</f>
      </c>
      <c r="U886" s="75" t="str">
        <f>IFERROR(INDEX('Cost_Components'!$Q$2:$Q$27,MATCH(E886,'Cost_Components'!$A$2:$A$27,0)),"")</f>
      </c>
      <c r="V886" s="76" t="str">
        <f>1/(1+'Calculation_Assumptions'!$B$5)^(B886-'Calculation_Assumptions'!$B$2)</f>
      </c>
      <c r="W886" s="77" t="str">
        <f>Q886*V886</f>
      </c>
      <c r="X886" s="78" t="str">
        <f>R886*V886</f>
      </c>
      <c r="Y886" s="79" t="str">
        <f>S886*V886</f>
      </c>
      <c r="Z886" s="80" t="str">
        <f>IFERROR(INDEX('Cost_Components'!$T$2:$T$27,MATCH(E886,'Cost_Components'!$A$2:$A$27,0)),"")</f>
      </c>
      <c r="AA886" s="81" t="str">
        <f>IFERROR(INDEX('Cost_Components'!$U$2:$U$27,MATCH(E886,'Cost_Components'!$A$2:$A$27,0)),"")</f>
      </c>
      <c r="AB886" s="82" t="str">
        <f>IFERROR(INDEX('Cost_Components'!$V$2:$V$27,MATCH(E886,'Cost_Components'!$A$2:$A$27,0)),"")</f>
      </c>
      <c r="AC886" s="83" t="str">
        <f>IFERROR(INDEX('Cost_Components'!$M$2:$M$27,MATCH(E886,'Cost_Components'!$A$2:$A$27,0)),"")</f>
      </c>
      <c r="AD886" s="84" t="str">
        <f>IFERROR(INDEX('Cost_Components'!$N$2:$N$27,MATCH(E886,'Cost_Components'!$A$2:$A$27,0)),"")</f>
      </c>
      <c r="AE886" s="20" t="str">
        <f>IFERROR(INDEX('Cost_Components'!$O$2:$O$27,MATCH(E886,'Cost_Components'!$A$2:$A$27,0)),"")</f>
      </c>
      <c r="AF886" s="85" t="n">
        <v>448015.597009838</v>
      </c>
      <c r="AG886" s="86" t="n">
        <v>448478.89837514</v>
      </c>
      <c r="AH886" s="87" t="str">
        <f>IF(H886="shared-count-once",COUNTIFS($A$2:$A$1353,A886,$B$2:$B$1353,B886,$E$2:$E$1353,E886),1)</f>
      </c>
    </row>
    <row r="887">
      <c r="A887" t="s">
        <v>75</v>
      </c>
      <c r="B887" s="59" t="n">
        <v>2026</v>
      </c>
      <c r="C887" t="s">
        <v>200</v>
      </c>
      <c r="D887" t="s">
        <v>166</v>
      </c>
      <c r="E887" s="60" t="s">
        <v>281</v>
      </c>
      <c r="F887" s="61" t="s">
        <v>282</v>
      </c>
      <c r="G887" s="62" t="s">
        <v>203</v>
      </c>
      <c r="H887" s="63" t="s">
        <v>195</v>
      </c>
      <c r="I887" s="64" t="s">
        <v>267</v>
      </c>
      <c r="J887" s="65" t="str">
        <f>IFERROR(INDEX('Cost_Components'!$K$2:$K$27,MATCH(E887,'Cost_Components'!$A$2:$A$27,0)),"")</f>
      </c>
      <c r="K887" s="66" t="str">
        <f>IF(OR(L887="",Z887="",AA887="",AB887=""),"",IF(B887&lt;AA887,L887,IF(B887&gt;AB887,Z887,L887+(Z887-L887)*MIN(MAX((B887-AA887+1)/MAX(AB887-AA887+1,1),0),1))))</f>
      </c>
      <c r="L887" s="67" t="str">
        <f>IFERROR(INDEX('Cost_Components'!$S$2:$S$27,MATCH(E887,'Cost_Components'!$A$2:$A$27,0)),"")</f>
      </c>
      <c r="M887" s="68" t="str">
        <f>IFERROR(INDEX('Cost_Components'!$L$2:$L$27,MATCH(E887,'Cost_Components'!$A$2:$A$27,0)),"")</f>
      </c>
      <c r="N887" s="69" t="str">
        <f>IFERROR(INDEX('Cost_Components'!$P$2:$P$27,MATCH(E887,'Cost_Components'!$A$2:$A$27,0)),"")</f>
      </c>
      <c r="O887" s="70" t="str">
        <f>AF887*J887</f>
      </c>
      <c r="P887" s="71" t="str">
        <f>AG887*J887</f>
      </c>
      <c r="Q887" s="72" t="str">
        <f>P887*L887*M887*N887</f>
      </c>
      <c r="R887" s="73" t="str">
        <f>O887*K887*M887*N887</f>
      </c>
      <c r="S887" s="74" t="str">
        <f>R887-Q887</f>
      </c>
      <c r="T887" s="20" t="str">
        <f>IFERROR(INDEX('Cost_Components'!$R$2:$R$27,MATCH(E887,'Cost_Components'!$A$2:$A$27,0)),"")</f>
      </c>
      <c r="U887" s="75" t="str">
        <f>IFERROR(INDEX('Cost_Components'!$Q$2:$Q$27,MATCH(E887,'Cost_Components'!$A$2:$A$27,0)),"")</f>
      </c>
      <c r="V887" s="76" t="str">
        <f>1/(1+'Calculation_Assumptions'!$B$5)^(B887-'Calculation_Assumptions'!$B$2)</f>
      </c>
      <c r="W887" s="77" t="str">
        <f>Q887*V887</f>
      </c>
      <c r="X887" s="78" t="str">
        <f>R887*V887</f>
      </c>
      <c r="Y887" s="79" t="str">
        <f>S887*V887</f>
      </c>
      <c r="Z887" s="80" t="str">
        <f>IFERROR(INDEX('Cost_Components'!$T$2:$T$27,MATCH(E887,'Cost_Components'!$A$2:$A$27,0)),"")</f>
      </c>
      <c r="AA887" s="81" t="str">
        <f>IFERROR(INDEX('Cost_Components'!$U$2:$U$27,MATCH(E887,'Cost_Components'!$A$2:$A$27,0)),"")</f>
      </c>
      <c r="AB887" s="82" t="str">
        <f>IFERROR(INDEX('Cost_Components'!$V$2:$V$27,MATCH(E887,'Cost_Components'!$A$2:$A$27,0)),"")</f>
      </c>
      <c r="AC887" s="83" t="str">
        <f>IFERROR(INDEX('Cost_Components'!$M$2:$M$27,MATCH(E887,'Cost_Components'!$A$2:$A$27,0)),"")</f>
      </c>
      <c r="AD887" s="84" t="str">
        <f>IFERROR(INDEX('Cost_Components'!$N$2:$N$27,MATCH(E887,'Cost_Components'!$A$2:$A$27,0)),"")</f>
      </c>
      <c r="AE887" s="20" t="str">
        <f>IFERROR(INDEX('Cost_Components'!$O$2:$O$27,MATCH(E887,'Cost_Components'!$A$2:$A$27,0)),"")</f>
      </c>
      <c r="AF887" s="85" t="n">
        <v>465467.059148994</v>
      </c>
      <c r="AG887" s="86" t="n">
        <v>466784.814466804</v>
      </c>
      <c r="AH887" s="87" t="str">
        <f>IF(H887="shared-count-once",COUNTIFS($A$2:$A$1353,A887,$B$2:$B$1353,B887,$E$2:$E$1353,E887),1)</f>
      </c>
    </row>
    <row r="888">
      <c r="A888" t="s">
        <v>75</v>
      </c>
      <c r="B888" s="59" t="n">
        <v>2027</v>
      </c>
      <c r="C888" t="s">
        <v>200</v>
      </c>
      <c r="D888" t="s">
        <v>166</v>
      </c>
      <c r="E888" s="60" t="s">
        <v>281</v>
      </c>
      <c r="F888" s="61" t="s">
        <v>282</v>
      </c>
      <c r="G888" s="62" t="s">
        <v>203</v>
      </c>
      <c r="H888" s="63" t="s">
        <v>195</v>
      </c>
      <c r="I888" s="64" t="s">
        <v>267</v>
      </c>
      <c r="J888" s="65" t="str">
        <f>IFERROR(INDEX('Cost_Components'!$K$2:$K$27,MATCH(E888,'Cost_Components'!$A$2:$A$27,0)),"")</f>
      </c>
      <c r="K888" s="66" t="str">
        <f>IF(OR(L888="",Z888="",AA888="",AB888=""),"",IF(B888&lt;AA888,L888,IF(B888&gt;AB888,Z888,L888+(Z888-L888)*MIN(MAX((B888-AA888+1)/MAX(AB888-AA888+1,1),0),1))))</f>
      </c>
      <c r="L888" s="67" t="str">
        <f>IFERROR(INDEX('Cost_Components'!$S$2:$S$27,MATCH(E888,'Cost_Components'!$A$2:$A$27,0)),"")</f>
      </c>
      <c r="M888" s="68" t="str">
        <f>IFERROR(INDEX('Cost_Components'!$L$2:$L$27,MATCH(E888,'Cost_Components'!$A$2:$A$27,0)),"")</f>
      </c>
      <c r="N888" s="69" t="str">
        <f>IFERROR(INDEX('Cost_Components'!$P$2:$P$27,MATCH(E888,'Cost_Components'!$A$2:$A$27,0)),"")</f>
      </c>
      <c r="O888" s="70" t="str">
        <f>AF888*J888</f>
      </c>
      <c r="P888" s="71" t="str">
        <f>AG888*J888</f>
      </c>
      <c r="Q888" s="72" t="str">
        <f>P888*L888*M888*N888</f>
      </c>
      <c r="R888" s="73" t="str">
        <f>O888*K888*M888*N888</f>
      </c>
      <c r="S888" s="74" t="str">
        <f>R888-Q888</f>
      </c>
      <c r="T888" s="20" t="str">
        <f>IFERROR(INDEX('Cost_Components'!$R$2:$R$27,MATCH(E888,'Cost_Components'!$A$2:$A$27,0)),"")</f>
      </c>
      <c r="U888" s="75" t="str">
        <f>IFERROR(INDEX('Cost_Components'!$Q$2:$Q$27,MATCH(E888,'Cost_Components'!$A$2:$A$27,0)),"")</f>
      </c>
      <c r="V888" s="76" t="str">
        <f>1/(1+'Calculation_Assumptions'!$B$5)^(B888-'Calculation_Assumptions'!$B$2)</f>
      </c>
      <c r="W888" s="77" t="str">
        <f>Q888*V888</f>
      </c>
      <c r="X888" s="78" t="str">
        <f>R888*V888</f>
      </c>
      <c r="Y888" s="79" t="str">
        <f>S888*V888</f>
      </c>
      <c r="Z888" s="80" t="str">
        <f>IFERROR(INDEX('Cost_Components'!$T$2:$T$27,MATCH(E888,'Cost_Components'!$A$2:$A$27,0)),"")</f>
      </c>
      <c r="AA888" s="81" t="str">
        <f>IFERROR(INDEX('Cost_Components'!$U$2:$U$27,MATCH(E888,'Cost_Components'!$A$2:$A$27,0)),"")</f>
      </c>
      <c r="AB888" s="82" t="str">
        <f>IFERROR(INDEX('Cost_Components'!$V$2:$V$27,MATCH(E888,'Cost_Components'!$A$2:$A$27,0)),"")</f>
      </c>
      <c r="AC888" s="83" t="str">
        <f>IFERROR(INDEX('Cost_Components'!$M$2:$M$27,MATCH(E888,'Cost_Components'!$A$2:$A$27,0)),"")</f>
      </c>
      <c r="AD888" s="84" t="str">
        <f>IFERROR(INDEX('Cost_Components'!$N$2:$N$27,MATCH(E888,'Cost_Components'!$A$2:$A$27,0)),"")</f>
      </c>
      <c r="AE888" s="20" t="str">
        <f>IFERROR(INDEX('Cost_Components'!$O$2:$O$27,MATCH(E888,'Cost_Components'!$A$2:$A$27,0)),"")</f>
      </c>
      <c r="AF888" s="85" t="n">
        <v>479118.851441291</v>
      </c>
      <c r="AG888" s="86" t="n">
        <v>481614.310299758</v>
      </c>
      <c r="AH888" s="87" t="str">
        <f>IF(H888="shared-count-once",COUNTIFS($A$2:$A$1353,A888,$B$2:$B$1353,B888,$E$2:$E$1353,E888),1)</f>
      </c>
    </row>
    <row r="889">
      <c r="A889" t="s">
        <v>75</v>
      </c>
      <c r="B889" s="59" t="n">
        <v>2028</v>
      </c>
      <c r="C889" t="s">
        <v>200</v>
      </c>
      <c r="D889" t="s">
        <v>166</v>
      </c>
      <c r="E889" s="60" t="s">
        <v>281</v>
      </c>
      <c r="F889" s="61" t="s">
        <v>282</v>
      </c>
      <c r="G889" s="62" t="s">
        <v>203</v>
      </c>
      <c r="H889" s="63" t="s">
        <v>195</v>
      </c>
      <c r="I889" s="64" t="s">
        <v>267</v>
      </c>
      <c r="J889" s="65" t="str">
        <f>IFERROR(INDEX('Cost_Components'!$K$2:$K$27,MATCH(E889,'Cost_Components'!$A$2:$A$27,0)),"")</f>
      </c>
      <c r="K889" s="66" t="str">
        <f>IF(OR(L889="",Z889="",AA889="",AB889=""),"",IF(B889&lt;AA889,L889,IF(B889&gt;AB889,Z889,L889+(Z889-L889)*MIN(MAX((B889-AA889+1)/MAX(AB889-AA889+1,1),0),1))))</f>
      </c>
      <c r="L889" s="67" t="str">
        <f>IFERROR(INDEX('Cost_Components'!$S$2:$S$27,MATCH(E889,'Cost_Components'!$A$2:$A$27,0)),"")</f>
      </c>
      <c r="M889" s="68" t="str">
        <f>IFERROR(INDEX('Cost_Components'!$L$2:$L$27,MATCH(E889,'Cost_Components'!$A$2:$A$27,0)),"")</f>
      </c>
      <c r="N889" s="69" t="str">
        <f>IFERROR(INDEX('Cost_Components'!$P$2:$P$27,MATCH(E889,'Cost_Components'!$A$2:$A$27,0)),"")</f>
      </c>
      <c r="O889" s="70" t="str">
        <f>AF889*J889</f>
      </c>
      <c r="P889" s="71" t="str">
        <f>AG889*J889</f>
      </c>
      <c r="Q889" s="72" t="str">
        <f>P889*L889*M889*N889</f>
      </c>
      <c r="R889" s="73" t="str">
        <f>O889*K889*M889*N889</f>
      </c>
      <c r="S889" s="74" t="str">
        <f>R889-Q889</f>
      </c>
      <c r="T889" s="20" t="str">
        <f>IFERROR(INDEX('Cost_Components'!$R$2:$R$27,MATCH(E889,'Cost_Components'!$A$2:$A$27,0)),"")</f>
      </c>
      <c r="U889" s="75" t="str">
        <f>IFERROR(INDEX('Cost_Components'!$Q$2:$Q$27,MATCH(E889,'Cost_Components'!$A$2:$A$27,0)),"")</f>
      </c>
      <c r="V889" s="76" t="str">
        <f>1/(1+'Calculation_Assumptions'!$B$5)^(B889-'Calculation_Assumptions'!$B$2)</f>
      </c>
      <c r="W889" s="77" t="str">
        <f>Q889*V889</f>
      </c>
      <c r="X889" s="78" t="str">
        <f>R889*V889</f>
      </c>
      <c r="Y889" s="79" t="str">
        <f>S889*V889</f>
      </c>
      <c r="Z889" s="80" t="str">
        <f>IFERROR(INDEX('Cost_Components'!$T$2:$T$27,MATCH(E889,'Cost_Components'!$A$2:$A$27,0)),"")</f>
      </c>
      <c r="AA889" s="81" t="str">
        <f>IFERROR(INDEX('Cost_Components'!$U$2:$U$27,MATCH(E889,'Cost_Components'!$A$2:$A$27,0)),"")</f>
      </c>
      <c r="AB889" s="82" t="str">
        <f>IFERROR(INDEX('Cost_Components'!$V$2:$V$27,MATCH(E889,'Cost_Components'!$A$2:$A$27,0)),"")</f>
      </c>
      <c r="AC889" s="83" t="str">
        <f>IFERROR(INDEX('Cost_Components'!$M$2:$M$27,MATCH(E889,'Cost_Components'!$A$2:$A$27,0)),"")</f>
      </c>
      <c r="AD889" s="84" t="str">
        <f>IFERROR(INDEX('Cost_Components'!$N$2:$N$27,MATCH(E889,'Cost_Components'!$A$2:$A$27,0)),"")</f>
      </c>
      <c r="AE889" s="20" t="str">
        <f>IFERROR(INDEX('Cost_Components'!$O$2:$O$27,MATCH(E889,'Cost_Components'!$A$2:$A$27,0)),"")</f>
      </c>
      <c r="AF889" s="85" t="n">
        <v>490390.573274338</v>
      </c>
      <c r="AG889" s="86" t="n">
        <v>494345.788363417</v>
      </c>
      <c r="AH889" s="87" t="str">
        <f>IF(H889="shared-count-once",COUNTIFS($A$2:$A$1353,A889,$B$2:$B$1353,B889,$E$2:$E$1353,E889),1)</f>
      </c>
    </row>
    <row r="890">
      <c r="A890" t="s">
        <v>75</v>
      </c>
      <c r="B890" s="59" t="n">
        <v>2029</v>
      </c>
      <c r="C890" t="s">
        <v>200</v>
      </c>
      <c r="D890" t="s">
        <v>166</v>
      </c>
      <c r="E890" s="60" t="s">
        <v>281</v>
      </c>
      <c r="F890" s="61" t="s">
        <v>282</v>
      </c>
      <c r="G890" s="62" t="s">
        <v>203</v>
      </c>
      <c r="H890" s="63" t="s">
        <v>195</v>
      </c>
      <c r="I890" s="64" t="s">
        <v>267</v>
      </c>
      <c r="J890" s="65" t="str">
        <f>IFERROR(INDEX('Cost_Components'!$K$2:$K$27,MATCH(E890,'Cost_Components'!$A$2:$A$27,0)),"")</f>
      </c>
      <c r="K890" s="66" t="str">
        <f>IF(OR(L890="",Z890="",AA890="",AB890=""),"",IF(B890&lt;AA890,L890,IF(B890&gt;AB890,Z890,L890+(Z890-L890)*MIN(MAX((B890-AA890+1)/MAX(AB890-AA890+1,1),0),1))))</f>
      </c>
      <c r="L890" s="67" t="str">
        <f>IFERROR(INDEX('Cost_Components'!$S$2:$S$27,MATCH(E890,'Cost_Components'!$A$2:$A$27,0)),"")</f>
      </c>
      <c r="M890" s="68" t="str">
        <f>IFERROR(INDEX('Cost_Components'!$L$2:$L$27,MATCH(E890,'Cost_Components'!$A$2:$A$27,0)),"")</f>
      </c>
      <c r="N890" s="69" t="str">
        <f>IFERROR(INDEX('Cost_Components'!$P$2:$P$27,MATCH(E890,'Cost_Components'!$A$2:$A$27,0)),"")</f>
      </c>
      <c r="O890" s="70" t="str">
        <f>AF890*J890</f>
      </c>
      <c r="P890" s="71" t="str">
        <f>AG890*J890</f>
      </c>
      <c r="Q890" s="72" t="str">
        <f>P890*L890*M890*N890</f>
      </c>
      <c r="R890" s="73" t="str">
        <f>O890*K890*M890*N890</f>
      </c>
      <c r="S890" s="74" t="str">
        <f>R890-Q890</f>
      </c>
      <c r="T890" s="20" t="str">
        <f>IFERROR(INDEX('Cost_Components'!$R$2:$R$27,MATCH(E890,'Cost_Components'!$A$2:$A$27,0)),"")</f>
      </c>
      <c r="U890" s="75" t="str">
        <f>IFERROR(INDEX('Cost_Components'!$Q$2:$Q$27,MATCH(E890,'Cost_Components'!$A$2:$A$27,0)),"")</f>
      </c>
      <c r="V890" s="76" t="str">
        <f>1/(1+'Calculation_Assumptions'!$B$5)^(B890-'Calculation_Assumptions'!$B$2)</f>
      </c>
      <c r="W890" s="77" t="str">
        <f>Q890*V890</f>
      </c>
      <c r="X890" s="78" t="str">
        <f>R890*V890</f>
      </c>
      <c r="Y890" s="79" t="str">
        <f>S890*V890</f>
      </c>
      <c r="Z890" s="80" t="str">
        <f>IFERROR(INDEX('Cost_Components'!$T$2:$T$27,MATCH(E890,'Cost_Components'!$A$2:$A$27,0)),"")</f>
      </c>
      <c r="AA890" s="81" t="str">
        <f>IFERROR(INDEX('Cost_Components'!$U$2:$U$27,MATCH(E890,'Cost_Components'!$A$2:$A$27,0)),"")</f>
      </c>
      <c r="AB890" s="82" t="str">
        <f>IFERROR(INDEX('Cost_Components'!$V$2:$V$27,MATCH(E890,'Cost_Components'!$A$2:$A$27,0)),"")</f>
      </c>
      <c r="AC890" s="83" t="str">
        <f>IFERROR(INDEX('Cost_Components'!$M$2:$M$27,MATCH(E890,'Cost_Components'!$A$2:$A$27,0)),"")</f>
      </c>
      <c r="AD890" s="84" t="str">
        <f>IFERROR(INDEX('Cost_Components'!$N$2:$N$27,MATCH(E890,'Cost_Components'!$A$2:$A$27,0)),"")</f>
      </c>
      <c r="AE890" s="20" t="str">
        <f>IFERROR(INDEX('Cost_Components'!$O$2:$O$27,MATCH(E890,'Cost_Components'!$A$2:$A$27,0)),"")</f>
      </c>
      <c r="AF890" s="85" t="n">
        <v>499554.05415889</v>
      </c>
      <c r="AG890" s="86" t="n">
        <v>505191.380474151</v>
      </c>
      <c r="AH890" s="87" t="str">
        <f>IF(H890="shared-count-once",COUNTIFS($A$2:$A$1353,A890,$B$2:$B$1353,B890,$E$2:$E$1353,E890),1)</f>
      </c>
    </row>
    <row r="891">
      <c r="A891" t="s">
        <v>75</v>
      </c>
      <c r="B891" s="59" t="n">
        <v>2030</v>
      </c>
      <c r="C891" t="s">
        <v>200</v>
      </c>
      <c r="D891" t="s">
        <v>166</v>
      </c>
      <c r="E891" s="60" t="s">
        <v>281</v>
      </c>
      <c r="F891" s="61" t="s">
        <v>282</v>
      </c>
      <c r="G891" s="62" t="s">
        <v>203</v>
      </c>
      <c r="H891" s="63" t="s">
        <v>195</v>
      </c>
      <c r="I891" s="64" t="s">
        <v>267</v>
      </c>
      <c r="J891" s="65" t="str">
        <f>IFERROR(INDEX('Cost_Components'!$K$2:$K$27,MATCH(E891,'Cost_Components'!$A$2:$A$27,0)),"")</f>
      </c>
      <c r="K891" s="66" t="str">
        <f>IF(OR(L891="",Z891="",AA891="",AB891=""),"",IF(B891&lt;AA891,L891,IF(B891&gt;AB891,Z891,L891+(Z891-L891)*MIN(MAX((B891-AA891+1)/MAX(AB891-AA891+1,1),0),1))))</f>
      </c>
      <c r="L891" s="67" t="str">
        <f>IFERROR(INDEX('Cost_Components'!$S$2:$S$27,MATCH(E891,'Cost_Components'!$A$2:$A$27,0)),"")</f>
      </c>
      <c r="M891" s="68" t="str">
        <f>IFERROR(INDEX('Cost_Components'!$L$2:$L$27,MATCH(E891,'Cost_Components'!$A$2:$A$27,0)),"")</f>
      </c>
      <c r="N891" s="69" t="str">
        <f>IFERROR(INDEX('Cost_Components'!$P$2:$P$27,MATCH(E891,'Cost_Components'!$A$2:$A$27,0)),"")</f>
      </c>
      <c r="O891" s="70" t="str">
        <f>AF891*J891</f>
      </c>
      <c r="P891" s="71" t="str">
        <f>AG891*J891</f>
      </c>
      <c r="Q891" s="72" t="str">
        <f>P891*L891*M891*N891</f>
      </c>
      <c r="R891" s="73" t="str">
        <f>O891*K891*M891*N891</f>
      </c>
      <c r="S891" s="74" t="str">
        <f>R891-Q891</f>
      </c>
      <c r="T891" s="20" t="str">
        <f>IFERROR(INDEX('Cost_Components'!$R$2:$R$27,MATCH(E891,'Cost_Components'!$A$2:$A$27,0)),"")</f>
      </c>
      <c r="U891" s="75" t="str">
        <f>IFERROR(INDEX('Cost_Components'!$Q$2:$Q$27,MATCH(E891,'Cost_Components'!$A$2:$A$27,0)),"")</f>
      </c>
      <c r="V891" s="76" t="str">
        <f>1/(1+'Calculation_Assumptions'!$B$5)^(B891-'Calculation_Assumptions'!$B$2)</f>
      </c>
      <c r="W891" s="77" t="str">
        <f>Q891*V891</f>
      </c>
      <c r="X891" s="78" t="str">
        <f>R891*V891</f>
      </c>
      <c r="Y891" s="79" t="str">
        <f>S891*V891</f>
      </c>
      <c r="Z891" s="80" t="str">
        <f>IFERROR(INDEX('Cost_Components'!$T$2:$T$27,MATCH(E891,'Cost_Components'!$A$2:$A$27,0)),"")</f>
      </c>
      <c r="AA891" s="81" t="str">
        <f>IFERROR(INDEX('Cost_Components'!$U$2:$U$27,MATCH(E891,'Cost_Components'!$A$2:$A$27,0)),"")</f>
      </c>
      <c r="AB891" s="82" t="str">
        <f>IFERROR(INDEX('Cost_Components'!$V$2:$V$27,MATCH(E891,'Cost_Components'!$A$2:$A$27,0)),"")</f>
      </c>
      <c r="AC891" s="83" t="str">
        <f>IFERROR(INDEX('Cost_Components'!$M$2:$M$27,MATCH(E891,'Cost_Components'!$A$2:$A$27,0)),"")</f>
      </c>
      <c r="AD891" s="84" t="str">
        <f>IFERROR(INDEX('Cost_Components'!$N$2:$N$27,MATCH(E891,'Cost_Components'!$A$2:$A$27,0)),"")</f>
      </c>
      <c r="AE891" s="20" t="str">
        <f>IFERROR(INDEX('Cost_Components'!$O$2:$O$27,MATCH(E891,'Cost_Components'!$A$2:$A$27,0)),"")</f>
      </c>
      <c r="AF891" s="85" t="n">
        <v>508494.179481498</v>
      </c>
      <c r="AG891" s="86" t="n">
        <v>516054.92713886</v>
      </c>
      <c r="AH891" s="87" t="str">
        <f>IF(H891="shared-count-once",COUNTIFS($A$2:$A$1353,A891,$B$2:$B$1353,B891,$E$2:$E$1353,E891),1)</f>
      </c>
    </row>
    <row r="892">
      <c r="A892" t="s">
        <v>75</v>
      </c>
      <c r="B892" s="59" t="n">
        <v>2031</v>
      </c>
      <c r="C892" t="s">
        <v>200</v>
      </c>
      <c r="D892" t="s">
        <v>166</v>
      </c>
      <c r="E892" s="60" t="s">
        <v>281</v>
      </c>
      <c r="F892" s="61" t="s">
        <v>282</v>
      </c>
      <c r="G892" s="62" t="s">
        <v>203</v>
      </c>
      <c r="H892" s="63" t="s">
        <v>195</v>
      </c>
      <c r="I892" s="64" t="s">
        <v>267</v>
      </c>
      <c r="J892" s="65" t="str">
        <f>IFERROR(INDEX('Cost_Components'!$K$2:$K$27,MATCH(E892,'Cost_Components'!$A$2:$A$27,0)),"")</f>
      </c>
      <c r="K892" s="66" t="str">
        <f>IF(OR(L892="",Z892="",AA892="",AB892=""),"",IF(B892&lt;AA892,L892,IF(B892&gt;AB892,Z892,L892+(Z892-L892)*MIN(MAX((B892-AA892+1)/MAX(AB892-AA892+1,1),0),1))))</f>
      </c>
      <c r="L892" s="67" t="str">
        <f>IFERROR(INDEX('Cost_Components'!$S$2:$S$27,MATCH(E892,'Cost_Components'!$A$2:$A$27,0)),"")</f>
      </c>
      <c r="M892" s="68" t="str">
        <f>IFERROR(INDEX('Cost_Components'!$L$2:$L$27,MATCH(E892,'Cost_Components'!$A$2:$A$27,0)),"")</f>
      </c>
      <c r="N892" s="69" t="str">
        <f>IFERROR(INDEX('Cost_Components'!$P$2:$P$27,MATCH(E892,'Cost_Components'!$A$2:$A$27,0)),"")</f>
      </c>
      <c r="O892" s="70" t="str">
        <f>AF892*J892</f>
      </c>
      <c r="P892" s="71" t="str">
        <f>AG892*J892</f>
      </c>
      <c r="Q892" s="72" t="str">
        <f>P892*L892*M892*N892</f>
      </c>
      <c r="R892" s="73" t="str">
        <f>O892*K892*M892*N892</f>
      </c>
      <c r="S892" s="74" t="str">
        <f>R892-Q892</f>
      </c>
      <c r="T892" s="20" t="str">
        <f>IFERROR(INDEX('Cost_Components'!$R$2:$R$27,MATCH(E892,'Cost_Components'!$A$2:$A$27,0)),"")</f>
      </c>
      <c r="U892" s="75" t="str">
        <f>IFERROR(INDEX('Cost_Components'!$Q$2:$Q$27,MATCH(E892,'Cost_Components'!$A$2:$A$27,0)),"")</f>
      </c>
      <c r="V892" s="76" t="str">
        <f>1/(1+'Calculation_Assumptions'!$B$5)^(B892-'Calculation_Assumptions'!$B$2)</f>
      </c>
      <c r="W892" s="77" t="str">
        <f>Q892*V892</f>
      </c>
      <c r="X892" s="78" t="str">
        <f>R892*V892</f>
      </c>
      <c r="Y892" s="79" t="str">
        <f>S892*V892</f>
      </c>
      <c r="Z892" s="80" t="str">
        <f>IFERROR(INDEX('Cost_Components'!$T$2:$T$27,MATCH(E892,'Cost_Components'!$A$2:$A$27,0)),"")</f>
      </c>
      <c r="AA892" s="81" t="str">
        <f>IFERROR(INDEX('Cost_Components'!$U$2:$U$27,MATCH(E892,'Cost_Components'!$A$2:$A$27,0)),"")</f>
      </c>
      <c r="AB892" s="82" t="str">
        <f>IFERROR(INDEX('Cost_Components'!$V$2:$V$27,MATCH(E892,'Cost_Components'!$A$2:$A$27,0)),"")</f>
      </c>
      <c r="AC892" s="83" t="str">
        <f>IFERROR(INDEX('Cost_Components'!$M$2:$M$27,MATCH(E892,'Cost_Components'!$A$2:$A$27,0)),"")</f>
      </c>
      <c r="AD892" s="84" t="str">
        <f>IFERROR(INDEX('Cost_Components'!$N$2:$N$27,MATCH(E892,'Cost_Components'!$A$2:$A$27,0)),"")</f>
      </c>
      <c r="AE892" s="20" t="str">
        <f>IFERROR(INDEX('Cost_Components'!$O$2:$O$27,MATCH(E892,'Cost_Components'!$A$2:$A$27,0)),"")</f>
      </c>
      <c r="AF892" s="85" t="n">
        <v>517534.613598546</v>
      </c>
      <c r="AG892" s="86" t="n">
        <v>527258.82041239</v>
      </c>
      <c r="AH892" s="87" t="str">
        <f>IF(H892="shared-count-once",COUNTIFS($A$2:$A$1353,A892,$B$2:$B$1353,B892,$E$2:$E$1353,E892),1)</f>
      </c>
    </row>
    <row r="893">
      <c r="A893" t="s">
        <v>75</v>
      </c>
      <c r="B893" s="59" t="n">
        <v>2032</v>
      </c>
      <c r="C893" t="s">
        <v>200</v>
      </c>
      <c r="D893" t="s">
        <v>166</v>
      </c>
      <c r="E893" s="60" t="s">
        <v>281</v>
      </c>
      <c r="F893" s="61" t="s">
        <v>282</v>
      </c>
      <c r="G893" s="62" t="s">
        <v>203</v>
      </c>
      <c r="H893" s="63" t="s">
        <v>195</v>
      </c>
      <c r="I893" s="64" t="s">
        <v>267</v>
      </c>
      <c r="J893" s="65" t="str">
        <f>IFERROR(INDEX('Cost_Components'!$K$2:$K$27,MATCH(E893,'Cost_Components'!$A$2:$A$27,0)),"")</f>
      </c>
      <c r="K893" s="66" t="str">
        <f>IF(OR(L893="",Z893="",AA893="",AB893=""),"",IF(B893&lt;AA893,L893,IF(B893&gt;AB893,Z893,L893+(Z893-L893)*MIN(MAX((B893-AA893+1)/MAX(AB893-AA893+1,1),0),1))))</f>
      </c>
      <c r="L893" s="67" t="str">
        <f>IFERROR(INDEX('Cost_Components'!$S$2:$S$27,MATCH(E893,'Cost_Components'!$A$2:$A$27,0)),"")</f>
      </c>
      <c r="M893" s="68" t="str">
        <f>IFERROR(INDEX('Cost_Components'!$L$2:$L$27,MATCH(E893,'Cost_Components'!$A$2:$A$27,0)),"")</f>
      </c>
      <c r="N893" s="69" t="str">
        <f>IFERROR(INDEX('Cost_Components'!$P$2:$P$27,MATCH(E893,'Cost_Components'!$A$2:$A$27,0)),"")</f>
      </c>
      <c r="O893" s="70" t="str">
        <f>AF893*J893</f>
      </c>
      <c r="P893" s="71" t="str">
        <f>AG893*J893</f>
      </c>
      <c r="Q893" s="72" t="str">
        <f>P893*L893*M893*N893</f>
      </c>
      <c r="R893" s="73" t="str">
        <f>O893*K893*M893*N893</f>
      </c>
      <c r="S893" s="74" t="str">
        <f>R893-Q893</f>
      </c>
      <c r="T893" s="20" t="str">
        <f>IFERROR(INDEX('Cost_Components'!$R$2:$R$27,MATCH(E893,'Cost_Components'!$A$2:$A$27,0)),"")</f>
      </c>
      <c r="U893" s="75" t="str">
        <f>IFERROR(INDEX('Cost_Components'!$Q$2:$Q$27,MATCH(E893,'Cost_Components'!$A$2:$A$27,0)),"")</f>
      </c>
      <c r="V893" s="76" t="str">
        <f>1/(1+'Calculation_Assumptions'!$B$5)^(B893-'Calculation_Assumptions'!$B$2)</f>
      </c>
      <c r="W893" s="77" t="str">
        <f>Q893*V893</f>
      </c>
      <c r="X893" s="78" t="str">
        <f>R893*V893</f>
      </c>
      <c r="Y893" s="79" t="str">
        <f>S893*V893</f>
      </c>
      <c r="Z893" s="80" t="str">
        <f>IFERROR(INDEX('Cost_Components'!$T$2:$T$27,MATCH(E893,'Cost_Components'!$A$2:$A$27,0)),"")</f>
      </c>
      <c r="AA893" s="81" t="str">
        <f>IFERROR(INDEX('Cost_Components'!$U$2:$U$27,MATCH(E893,'Cost_Components'!$A$2:$A$27,0)),"")</f>
      </c>
      <c r="AB893" s="82" t="str">
        <f>IFERROR(INDEX('Cost_Components'!$V$2:$V$27,MATCH(E893,'Cost_Components'!$A$2:$A$27,0)),"")</f>
      </c>
      <c r="AC893" s="83" t="str">
        <f>IFERROR(INDEX('Cost_Components'!$M$2:$M$27,MATCH(E893,'Cost_Components'!$A$2:$A$27,0)),"")</f>
      </c>
      <c r="AD893" s="84" t="str">
        <f>IFERROR(INDEX('Cost_Components'!$N$2:$N$27,MATCH(E893,'Cost_Components'!$A$2:$A$27,0)),"")</f>
      </c>
      <c r="AE893" s="20" t="str">
        <f>IFERROR(INDEX('Cost_Components'!$O$2:$O$27,MATCH(E893,'Cost_Components'!$A$2:$A$27,0)),"")</f>
      </c>
      <c r="AF893" s="85" t="n">
        <v>526726.652506227</v>
      </c>
      <c r="AG893" s="86" t="n">
        <v>538838.193996299</v>
      </c>
      <c r="AH893" s="87" t="str">
        <f>IF(H893="shared-count-once",COUNTIFS($A$2:$A$1353,A893,$B$2:$B$1353,B893,$E$2:$E$1353,E893),1)</f>
      </c>
    </row>
    <row r="894">
      <c r="A894" t="s">
        <v>75</v>
      </c>
      <c r="B894" s="59" t="n">
        <v>2033</v>
      </c>
      <c r="C894" t="s">
        <v>200</v>
      </c>
      <c r="D894" t="s">
        <v>166</v>
      </c>
      <c r="E894" s="60" t="s">
        <v>281</v>
      </c>
      <c r="F894" s="61" t="s">
        <v>282</v>
      </c>
      <c r="G894" s="62" t="s">
        <v>203</v>
      </c>
      <c r="H894" s="63" t="s">
        <v>195</v>
      </c>
      <c r="I894" s="64" t="s">
        <v>267</v>
      </c>
      <c r="J894" s="65" t="str">
        <f>IFERROR(INDEX('Cost_Components'!$K$2:$K$27,MATCH(E894,'Cost_Components'!$A$2:$A$27,0)),"")</f>
      </c>
      <c r="K894" s="66" t="str">
        <f>IF(OR(L894="",Z894="",AA894="",AB894=""),"",IF(B894&lt;AA894,L894,IF(B894&gt;AB894,Z894,L894+(Z894-L894)*MIN(MAX((B894-AA894+1)/MAX(AB894-AA894+1,1),0),1))))</f>
      </c>
      <c r="L894" s="67" t="str">
        <f>IFERROR(INDEX('Cost_Components'!$S$2:$S$27,MATCH(E894,'Cost_Components'!$A$2:$A$27,0)),"")</f>
      </c>
      <c r="M894" s="68" t="str">
        <f>IFERROR(INDEX('Cost_Components'!$L$2:$L$27,MATCH(E894,'Cost_Components'!$A$2:$A$27,0)),"")</f>
      </c>
      <c r="N894" s="69" t="str">
        <f>IFERROR(INDEX('Cost_Components'!$P$2:$P$27,MATCH(E894,'Cost_Components'!$A$2:$A$27,0)),"")</f>
      </c>
      <c r="O894" s="70" t="str">
        <f>AF894*J894</f>
      </c>
      <c r="P894" s="71" t="str">
        <f>AG894*J894</f>
      </c>
      <c r="Q894" s="72" t="str">
        <f>P894*L894*M894*N894</f>
      </c>
      <c r="R894" s="73" t="str">
        <f>O894*K894*M894*N894</f>
      </c>
      <c r="S894" s="74" t="str">
        <f>R894-Q894</f>
      </c>
      <c r="T894" s="20" t="str">
        <f>IFERROR(INDEX('Cost_Components'!$R$2:$R$27,MATCH(E894,'Cost_Components'!$A$2:$A$27,0)),"")</f>
      </c>
      <c r="U894" s="75" t="str">
        <f>IFERROR(INDEX('Cost_Components'!$Q$2:$Q$27,MATCH(E894,'Cost_Components'!$A$2:$A$27,0)),"")</f>
      </c>
      <c r="V894" s="76" t="str">
        <f>1/(1+'Calculation_Assumptions'!$B$5)^(B894-'Calculation_Assumptions'!$B$2)</f>
      </c>
      <c r="W894" s="77" t="str">
        <f>Q894*V894</f>
      </c>
      <c r="X894" s="78" t="str">
        <f>R894*V894</f>
      </c>
      <c r="Y894" s="79" t="str">
        <f>S894*V894</f>
      </c>
      <c r="Z894" s="80" t="str">
        <f>IFERROR(INDEX('Cost_Components'!$T$2:$T$27,MATCH(E894,'Cost_Components'!$A$2:$A$27,0)),"")</f>
      </c>
      <c r="AA894" s="81" t="str">
        <f>IFERROR(INDEX('Cost_Components'!$U$2:$U$27,MATCH(E894,'Cost_Components'!$A$2:$A$27,0)),"")</f>
      </c>
      <c r="AB894" s="82" t="str">
        <f>IFERROR(INDEX('Cost_Components'!$V$2:$V$27,MATCH(E894,'Cost_Components'!$A$2:$A$27,0)),"")</f>
      </c>
      <c r="AC894" s="83" t="str">
        <f>IFERROR(INDEX('Cost_Components'!$M$2:$M$27,MATCH(E894,'Cost_Components'!$A$2:$A$27,0)),"")</f>
      </c>
      <c r="AD894" s="84" t="str">
        <f>IFERROR(INDEX('Cost_Components'!$N$2:$N$27,MATCH(E894,'Cost_Components'!$A$2:$A$27,0)),"")</f>
      </c>
      <c r="AE894" s="20" t="str">
        <f>IFERROR(INDEX('Cost_Components'!$O$2:$O$27,MATCH(E894,'Cost_Components'!$A$2:$A$27,0)),"")</f>
      </c>
      <c r="AF894" s="85" t="n">
        <v>536198.555888251</v>
      </c>
      <c r="AG894" s="86" t="n">
        <v>550915.137227313</v>
      </c>
      <c r="AH894" s="87" t="str">
        <f>IF(H894="shared-count-once",COUNTIFS($A$2:$A$1353,A894,$B$2:$B$1353,B894,$E$2:$E$1353,E894),1)</f>
      </c>
    </row>
    <row r="895">
      <c r="A895" t="s">
        <v>75</v>
      </c>
      <c r="B895" s="59" t="n">
        <v>2034</v>
      </c>
      <c r="C895" t="s">
        <v>200</v>
      </c>
      <c r="D895" t="s">
        <v>166</v>
      </c>
      <c r="E895" s="60" t="s">
        <v>281</v>
      </c>
      <c r="F895" s="61" t="s">
        <v>282</v>
      </c>
      <c r="G895" s="62" t="s">
        <v>203</v>
      </c>
      <c r="H895" s="63" t="s">
        <v>195</v>
      </c>
      <c r="I895" s="64" t="s">
        <v>267</v>
      </c>
      <c r="J895" s="65" t="str">
        <f>IFERROR(INDEX('Cost_Components'!$K$2:$K$27,MATCH(E895,'Cost_Components'!$A$2:$A$27,0)),"")</f>
      </c>
      <c r="K895" s="66" t="str">
        <f>IF(OR(L895="",Z895="",AA895="",AB895=""),"",IF(B895&lt;AA895,L895,IF(B895&gt;AB895,Z895,L895+(Z895-L895)*MIN(MAX((B895-AA895+1)/MAX(AB895-AA895+1,1),0),1))))</f>
      </c>
      <c r="L895" s="67" t="str">
        <f>IFERROR(INDEX('Cost_Components'!$S$2:$S$27,MATCH(E895,'Cost_Components'!$A$2:$A$27,0)),"")</f>
      </c>
      <c r="M895" s="68" t="str">
        <f>IFERROR(INDEX('Cost_Components'!$L$2:$L$27,MATCH(E895,'Cost_Components'!$A$2:$A$27,0)),"")</f>
      </c>
      <c r="N895" s="69" t="str">
        <f>IFERROR(INDEX('Cost_Components'!$P$2:$P$27,MATCH(E895,'Cost_Components'!$A$2:$A$27,0)),"")</f>
      </c>
      <c r="O895" s="70" t="str">
        <f>AF895*J895</f>
      </c>
      <c r="P895" s="71" t="str">
        <f>AG895*J895</f>
      </c>
      <c r="Q895" s="72" t="str">
        <f>P895*L895*M895*N895</f>
      </c>
      <c r="R895" s="73" t="str">
        <f>O895*K895*M895*N895</f>
      </c>
      <c r="S895" s="74" t="str">
        <f>R895-Q895</f>
      </c>
      <c r="T895" s="20" t="str">
        <f>IFERROR(INDEX('Cost_Components'!$R$2:$R$27,MATCH(E895,'Cost_Components'!$A$2:$A$27,0)),"")</f>
      </c>
      <c r="U895" s="75" t="str">
        <f>IFERROR(INDEX('Cost_Components'!$Q$2:$Q$27,MATCH(E895,'Cost_Components'!$A$2:$A$27,0)),"")</f>
      </c>
      <c r="V895" s="76" t="str">
        <f>1/(1+'Calculation_Assumptions'!$B$5)^(B895-'Calculation_Assumptions'!$B$2)</f>
      </c>
      <c r="W895" s="77" t="str">
        <f>Q895*V895</f>
      </c>
      <c r="X895" s="78" t="str">
        <f>R895*V895</f>
      </c>
      <c r="Y895" s="79" t="str">
        <f>S895*V895</f>
      </c>
      <c r="Z895" s="80" t="str">
        <f>IFERROR(INDEX('Cost_Components'!$T$2:$T$27,MATCH(E895,'Cost_Components'!$A$2:$A$27,0)),"")</f>
      </c>
      <c r="AA895" s="81" t="str">
        <f>IFERROR(INDEX('Cost_Components'!$U$2:$U$27,MATCH(E895,'Cost_Components'!$A$2:$A$27,0)),"")</f>
      </c>
      <c r="AB895" s="82" t="str">
        <f>IFERROR(INDEX('Cost_Components'!$V$2:$V$27,MATCH(E895,'Cost_Components'!$A$2:$A$27,0)),"")</f>
      </c>
      <c r="AC895" s="83" t="str">
        <f>IFERROR(INDEX('Cost_Components'!$M$2:$M$27,MATCH(E895,'Cost_Components'!$A$2:$A$27,0)),"")</f>
      </c>
      <c r="AD895" s="84" t="str">
        <f>IFERROR(INDEX('Cost_Components'!$N$2:$N$27,MATCH(E895,'Cost_Components'!$A$2:$A$27,0)),"")</f>
      </c>
      <c r="AE895" s="20" t="str">
        <f>IFERROR(INDEX('Cost_Components'!$O$2:$O$27,MATCH(E895,'Cost_Components'!$A$2:$A$27,0)),"")</f>
      </c>
      <c r="AF895" s="85" t="n">
        <v>545472.359127631</v>
      </c>
      <c r="AG895" s="86" t="n">
        <v>562945.263154292</v>
      </c>
      <c r="AH895" s="87" t="str">
        <f>IF(H895="shared-count-once",COUNTIFS($A$2:$A$1353,A895,$B$2:$B$1353,B895,$E$2:$E$1353,E895),1)</f>
      </c>
    </row>
    <row r="896">
      <c r="A896" t="s">
        <v>75</v>
      </c>
      <c r="B896" s="59" t="n">
        <v>2035</v>
      </c>
      <c r="C896" t="s">
        <v>200</v>
      </c>
      <c r="D896" t="s">
        <v>166</v>
      </c>
      <c r="E896" s="60" t="s">
        <v>281</v>
      </c>
      <c r="F896" s="61" t="s">
        <v>282</v>
      </c>
      <c r="G896" s="62" t="s">
        <v>203</v>
      </c>
      <c r="H896" s="63" t="s">
        <v>195</v>
      </c>
      <c r="I896" s="64" t="s">
        <v>267</v>
      </c>
      <c r="J896" s="65" t="str">
        <f>IFERROR(INDEX('Cost_Components'!$K$2:$K$27,MATCH(E896,'Cost_Components'!$A$2:$A$27,0)),"")</f>
      </c>
      <c r="K896" s="66" t="str">
        <f>IF(OR(L896="",Z896="",AA896="",AB896=""),"",IF(B896&lt;AA896,L896,IF(B896&gt;AB896,Z896,L896+(Z896-L896)*MIN(MAX((B896-AA896+1)/MAX(AB896-AA896+1,1),0),1))))</f>
      </c>
      <c r="L896" s="67" t="str">
        <f>IFERROR(INDEX('Cost_Components'!$S$2:$S$27,MATCH(E896,'Cost_Components'!$A$2:$A$27,0)),"")</f>
      </c>
      <c r="M896" s="68" t="str">
        <f>IFERROR(INDEX('Cost_Components'!$L$2:$L$27,MATCH(E896,'Cost_Components'!$A$2:$A$27,0)),"")</f>
      </c>
      <c r="N896" s="69" t="str">
        <f>IFERROR(INDEX('Cost_Components'!$P$2:$P$27,MATCH(E896,'Cost_Components'!$A$2:$A$27,0)),"")</f>
      </c>
      <c r="O896" s="70" t="str">
        <f>AF896*J896</f>
      </c>
      <c r="P896" s="71" t="str">
        <f>AG896*J896</f>
      </c>
      <c r="Q896" s="72" t="str">
        <f>P896*L896*M896*N896</f>
      </c>
      <c r="R896" s="73" t="str">
        <f>O896*K896*M896*N896</f>
      </c>
      <c r="S896" s="74" t="str">
        <f>R896-Q896</f>
      </c>
      <c r="T896" s="20" t="str">
        <f>IFERROR(INDEX('Cost_Components'!$R$2:$R$27,MATCH(E896,'Cost_Components'!$A$2:$A$27,0)),"")</f>
      </c>
      <c r="U896" s="75" t="str">
        <f>IFERROR(INDEX('Cost_Components'!$Q$2:$Q$27,MATCH(E896,'Cost_Components'!$A$2:$A$27,0)),"")</f>
      </c>
      <c r="V896" s="76" t="str">
        <f>1/(1+'Calculation_Assumptions'!$B$5)^(B896-'Calculation_Assumptions'!$B$2)</f>
      </c>
      <c r="W896" s="77" t="str">
        <f>Q896*V896</f>
      </c>
      <c r="X896" s="78" t="str">
        <f>R896*V896</f>
      </c>
      <c r="Y896" s="79" t="str">
        <f>S896*V896</f>
      </c>
      <c r="Z896" s="80" t="str">
        <f>IFERROR(INDEX('Cost_Components'!$T$2:$T$27,MATCH(E896,'Cost_Components'!$A$2:$A$27,0)),"")</f>
      </c>
      <c r="AA896" s="81" t="str">
        <f>IFERROR(INDEX('Cost_Components'!$U$2:$U$27,MATCH(E896,'Cost_Components'!$A$2:$A$27,0)),"")</f>
      </c>
      <c r="AB896" s="82" t="str">
        <f>IFERROR(INDEX('Cost_Components'!$V$2:$V$27,MATCH(E896,'Cost_Components'!$A$2:$A$27,0)),"")</f>
      </c>
      <c r="AC896" s="83" t="str">
        <f>IFERROR(INDEX('Cost_Components'!$M$2:$M$27,MATCH(E896,'Cost_Components'!$A$2:$A$27,0)),"")</f>
      </c>
      <c r="AD896" s="84" t="str">
        <f>IFERROR(INDEX('Cost_Components'!$N$2:$N$27,MATCH(E896,'Cost_Components'!$A$2:$A$27,0)),"")</f>
      </c>
      <c r="AE896" s="20" t="str">
        <f>IFERROR(INDEX('Cost_Components'!$O$2:$O$27,MATCH(E896,'Cost_Components'!$A$2:$A$27,0)),"")</f>
      </c>
      <c r="AF896" s="85" t="n">
        <v>555249.966946352</v>
      </c>
      <c r="AG896" s="86" t="n">
        <v>575676.013132482</v>
      </c>
      <c r="AH896" s="87" t="str">
        <f>IF(H896="shared-count-once",COUNTIFS($A$2:$A$1353,A896,$B$2:$B$1353,B896,$E$2:$E$1353,E896),1)</f>
      </c>
    </row>
    <row r="897">
      <c r="A897" t="s">
        <v>75</v>
      </c>
      <c r="B897" s="59" t="n">
        <v>2036</v>
      </c>
      <c r="C897" t="s">
        <v>200</v>
      </c>
      <c r="D897" t="s">
        <v>166</v>
      </c>
      <c r="E897" s="60" t="s">
        <v>281</v>
      </c>
      <c r="F897" s="61" t="s">
        <v>282</v>
      </c>
      <c r="G897" s="62" t="s">
        <v>203</v>
      </c>
      <c r="H897" s="63" t="s">
        <v>195</v>
      </c>
      <c r="I897" s="64" t="s">
        <v>267</v>
      </c>
      <c r="J897" s="65" t="str">
        <f>IFERROR(INDEX('Cost_Components'!$K$2:$K$27,MATCH(E897,'Cost_Components'!$A$2:$A$27,0)),"")</f>
      </c>
      <c r="K897" s="66" t="str">
        <f>IF(OR(L897="",Z897="",AA897="",AB897=""),"",IF(B897&lt;AA897,L897,IF(B897&gt;AB897,Z897,L897+(Z897-L897)*MIN(MAX((B897-AA897+1)/MAX(AB897-AA897+1,1),0),1))))</f>
      </c>
      <c r="L897" s="67" t="str">
        <f>IFERROR(INDEX('Cost_Components'!$S$2:$S$27,MATCH(E897,'Cost_Components'!$A$2:$A$27,0)),"")</f>
      </c>
      <c r="M897" s="68" t="str">
        <f>IFERROR(INDEX('Cost_Components'!$L$2:$L$27,MATCH(E897,'Cost_Components'!$A$2:$A$27,0)),"")</f>
      </c>
      <c r="N897" s="69" t="str">
        <f>IFERROR(INDEX('Cost_Components'!$P$2:$P$27,MATCH(E897,'Cost_Components'!$A$2:$A$27,0)),"")</f>
      </c>
      <c r="O897" s="70" t="str">
        <f>AF897*J897</f>
      </c>
      <c r="P897" s="71" t="str">
        <f>AG897*J897</f>
      </c>
      <c r="Q897" s="72" t="str">
        <f>P897*L897*M897*N897</f>
      </c>
      <c r="R897" s="73" t="str">
        <f>O897*K897*M897*N897</f>
      </c>
      <c r="S897" s="74" t="str">
        <f>R897-Q897</f>
      </c>
      <c r="T897" s="20" t="str">
        <f>IFERROR(INDEX('Cost_Components'!$R$2:$R$27,MATCH(E897,'Cost_Components'!$A$2:$A$27,0)),"")</f>
      </c>
      <c r="U897" s="75" t="str">
        <f>IFERROR(INDEX('Cost_Components'!$Q$2:$Q$27,MATCH(E897,'Cost_Components'!$A$2:$A$27,0)),"")</f>
      </c>
      <c r="V897" s="76" t="str">
        <f>1/(1+'Calculation_Assumptions'!$B$5)^(B897-'Calculation_Assumptions'!$B$2)</f>
      </c>
      <c r="W897" s="77" t="str">
        <f>Q897*V897</f>
      </c>
      <c r="X897" s="78" t="str">
        <f>R897*V897</f>
      </c>
      <c r="Y897" s="79" t="str">
        <f>S897*V897</f>
      </c>
      <c r="Z897" s="80" t="str">
        <f>IFERROR(INDEX('Cost_Components'!$T$2:$T$27,MATCH(E897,'Cost_Components'!$A$2:$A$27,0)),"")</f>
      </c>
      <c r="AA897" s="81" t="str">
        <f>IFERROR(INDEX('Cost_Components'!$U$2:$U$27,MATCH(E897,'Cost_Components'!$A$2:$A$27,0)),"")</f>
      </c>
      <c r="AB897" s="82" t="str">
        <f>IFERROR(INDEX('Cost_Components'!$V$2:$V$27,MATCH(E897,'Cost_Components'!$A$2:$A$27,0)),"")</f>
      </c>
      <c r="AC897" s="83" t="str">
        <f>IFERROR(INDEX('Cost_Components'!$M$2:$M$27,MATCH(E897,'Cost_Components'!$A$2:$A$27,0)),"")</f>
      </c>
      <c r="AD897" s="84" t="str">
        <f>IFERROR(INDEX('Cost_Components'!$N$2:$N$27,MATCH(E897,'Cost_Components'!$A$2:$A$27,0)),"")</f>
      </c>
      <c r="AE897" s="20" t="str">
        <f>IFERROR(INDEX('Cost_Components'!$O$2:$O$27,MATCH(E897,'Cost_Components'!$A$2:$A$27,0)),"")</f>
      </c>
      <c r="AF897" s="85" t="n">
        <v>565458.339212539</v>
      </c>
      <c r="AG897" s="86" t="n">
        <v>589036.334662854</v>
      </c>
      <c r="AH897" s="87" t="str">
        <f>IF(H897="shared-count-once",COUNTIFS($A$2:$A$1353,A897,$B$2:$B$1353,B897,$E$2:$E$1353,E897),1)</f>
      </c>
    </row>
    <row r="898">
      <c r="A898" t="s">
        <v>75</v>
      </c>
      <c r="B898" s="59" t="n">
        <v>2037</v>
      </c>
      <c r="C898" t="s">
        <v>200</v>
      </c>
      <c r="D898" t="s">
        <v>166</v>
      </c>
      <c r="E898" s="60" t="s">
        <v>281</v>
      </c>
      <c r="F898" s="61" t="s">
        <v>282</v>
      </c>
      <c r="G898" s="62" t="s">
        <v>203</v>
      </c>
      <c r="H898" s="63" t="s">
        <v>195</v>
      </c>
      <c r="I898" s="64" t="s">
        <v>267</v>
      </c>
      <c r="J898" s="65" t="str">
        <f>IFERROR(INDEX('Cost_Components'!$K$2:$K$27,MATCH(E898,'Cost_Components'!$A$2:$A$27,0)),"")</f>
      </c>
      <c r="K898" s="66" t="str">
        <f>IF(OR(L898="",Z898="",AA898="",AB898=""),"",IF(B898&lt;AA898,L898,IF(B898&gt;AB898,Z898,L898+(Z898-L898)*MIN(MAX((B898-AA898+1)/MAX(AB898-AA898+1,1),0),1))))</f>
      </c>
      <c r="L898" s="67" t="str">
        <f>IFERROR(INDEX('Cost_Components'!$S$2:$S$27,MATCH(E898,'Cost_Components'!$A$2:$A$27,0)),"")</f>
      </c>
      <c r="M898" s="68" t="str">
        <f>IFERROR(INDEX('Cost_Components'!$L$2:$L$27,MATCH(E898,'Cost_Components'!$A$2:$A$27,0)),"")</f>
      </c>
      <c r="N898" s="69" t="str">
        <f>IFERROR(INDEX('Cost_Components'!$P$2:$P$27,MATCH(E898,'Cost_Components'!$A$2:$A$27,0)),"")</f>
      </c>
      <c r="O898" s="70" t="str">
        <f>AF898*J898</f>
      </c>
      <c r="P898" s="71" t="str">
        <f>AG898*J898</f>
      </c>
      <c r="Q898" s="72" t="str">
        <f>P898*L898*M898*N898</f>
      </c>
      <c r="R898" s="73" t="str">
        <f>O898*K898*M898*N898</f>
      </c>
      <c r="S898" s="74" t="str">
        <f>R898-Q898</f>
      </c>
      <c r="T898" s="20" t="str">
        <f>IFERROR(INDEX('Cost_Components'!$R$2:$R$27,MATCH(E898,'Cost_Components'!$A$2:$A$27,0)),"")</f>
      </c>
      <c r="U898" s="75" t="str">
        <f>IFERROR(INDEX('Cost_Components'!$Q$2:$Q$27,MATCH(E898,'Cost_Components'!$A$2:$A$27,0)),"")</f>
      </c>
      <c r="V898" s="76" t="str">
        <f>1/(1+'Calculation_Assumptions'!$B$5)^(B898-'Calculation_Assumptions'!$B$2)</f>
      </c>
      <c r="W898" s="77" t="str">
        <f>Q898*V898</f>
      </c>
      <c r="X898" s="78" t="str">
        <f>R898*V898</f>
      </c>
      <c r="Y898" s="79" t="str">
        <f>S898*V898</f>
      </c>
      <c r="Z898" s="80" t="str">
        <f>IFERROR(INDEX('Cost_Components'!$T$2:$T$27,MATCH(E898,'Cost_Components'!$A$2:$A$27,0)),"")</f>
      </c>
      <c r="AA898" s="81" t="str">
        <f>IFERROR(INDEX('Cost_Components'!$U$2:$U$27,MATCH(E898,'Cost_Components'!$A$2:$A$27,0)),"")</f>
      </c>
      <c r="AB898" s="82" t="str">
        <f>IFERROR(INDEX('Cost_Components'!$V$2:$V$27,MATCH(E898,'Cost_Components'!$A$2:$A$27,0)),"")</f>
      </c>
      <c r="AC898" s="83" t="str">
        <f>IFERROR(INDEX('Cost_Components'!$M$2:$M$27,MATCH(E898,'Cost_Components'!$A$2:$A$27,0)),"")</f>
      </c>
      <c r="AD898" s="84" t="str">
        <f>IFERROR(INDEX('Cost_Components'!$N$2:$N$27,MATCH(E898,'Cost_Components'!$A$2:$A$27,0)),"")</f>
      </c>
      <c r="AE898" s="20" t="str">
        <f>IFERROR(INDEX('Cost_Components'!$O$2:$O$27,MATCH(E898,'Cost_Components'!$A$2:$A$27,0)),"")</f>
      </c>
      <c r="AF898" s="85" t="n">
        <v>575975.941447405</v>
      </c>
      <c r="AG898" s="86" t="n">
        <v>602896.994272446</v>
      </c>
      <c r="AH898" s="87" t="str">
        <f>IF(H898="shared-count-once",COUNTIFS($A$2:$A$1353,A898,$B$2:$B$1353,B898,$E$2:$E$1353,E898),1)</f>
      </c>
    </row>
    <row r="899">
      <c r="A899" t="s">
        <v>75</v>
      </c>
      <c r="B899" s="59" t="n">
        <v>2038</v>
      </c>
      <c r="C899" t="s">
        <v>200</v>
      </c>
      <c r="D899" t="s">
        <v>166</v>
      </c>
      <c r="E899" s="60" t="s">
        <v>281</v>
      </c>
      <c r="F899" s="61" t="s">
        <v>282</v>
      </c>
      <c r="G899" s="62" t="s">
        <v>203</v>
      </c>
      <c r="H899" s="63" t="s">
        <v>195</v>
      </c>
      <c r="I899" s="64" t="s">
        <v>267</v>
      </c>
      <c r="J899" s="65" t="str">
        <f>IFERROR(INDEX('Cost_Components'!$K$2:$K$27,MATCH(E899,'Cost_Components'!$A$2:$A$27,0)),"")</f>
      </c>
      <c r="K899" s="66" t="str">
        <f>IF(OR(L899="",Z899="",AA899="",AB899=""),"",IF(B899&lt;AA899,L899,IF(B899&gt;AB899,Z899,L899+(Z899-L899)*MIN(MAX((B899-AA899+1)/MAX(AB899-AA899+1,1),0),1))))</f>
      </c>
      <c r="L899" s="67" t="str">
        <f>IFERROR(INDEX('Cost_Components'!$S$2:$S$27,MATCH(E899,'Cost_Components'!$A$2:$A$27,0)),"")</f>
      </c>
      <c r="M899" s="68" t="str">
        <f>IFERROR(INDEX('Cost_Components'!$L$2:$L$27,MATCH(E899,'Cost_Components'!$A$2:$A$27,0)),"")</f>
      </c>
      <c r="N899" s="69" t="str">
        <f>IFERROR(INDEX('Cost_Components'!$P$2:$P$27,MATCH(E899,'Cost_Components'!$A$2:$A$27,0)),"")</f>
      </c>
      <c r="O899" s="70" t="str">
        <f>AF899*J899</f>
      </c>
      <c r="P899" s="71" t="str">
        <f>AG899*J899</f>
      </c>
      <c r="Q899" s="72" t="str">
        <f>P899*L899*M899*N899</f>
      </c>
      <c r="R899" s="73" t="str">
        <f>O899*K899*M899*N899</f>
      </c>
      <c r="S899" s="74" t="str">
        <f>R899-Q899</f>
      </c>
      <c r="T899" s="20" t="str">
        <f>IFERROR(INDEX('Cost_Components'!$R$2:$R$27,MATCH(E899,'Cost_Components'!$A$2:$A$27,0)),"")</f>
      </c>
      <c r="U899" s="75" t="str">
        <f>IFERROR(INDEX('Cost_Components'!$Q$2:$Q$27,MATCH(E899,'Cost_Components'!$A$2:$A$27,0)),"")</f>
      </c>
      <c r="V899" s="76" t="str">
        <f>1/(1+'Calculation_Assumptions'!$B$5)^(B899-'Calculation_Assumptions'!$B$2)</f>
      </c>
      <c r="W899" s="77" t="str">
        <f>Q899*V899</f>
      </c>
      <c r="X899" s="78" t="str">
        <f>R899*V899</f>
      </c>
      <c r="Y899" s="79" t="str">
        <f>S899*V899</f>
      </c>
      <c r="Z899" s="80" t="str">
        <f>IFERROR(INDEX('Cost_Components'!$T$2:$T$27,MATCH(E899,'Cost_Components'!$A$2:$A$27,0)),"")</f>
      </c>
      <c r="AA899" s="81" t="str">
        <f>IFERROR(INDEX('Cost_Components'!$U$2:$U$27,MATCH(E899,'Cost_Components'!$A$2:$A$27,0)),"")</f>
      </c>
      <c r="AB899" s="82" t="str">
        <f>IFERROR(INDEX('Cost_Components'!$V$2:$V$27,MATCH(E899,'Cost_Components'!$A$2:$A$27,0)),"")</f>
      </c>
      <c r="AC899" s="83" t="str">
        <f>IFERROR(INDEX('Cost_Components'!$M$2:$M$27,MATCH(E899,'Cost_Components'!$A$2:$A$27,0)),"")</f>
      </c>
      <c r="AD899" s="84" t="str">
        <f>IFERROR(INDEX('Cost_Components'!$N$2:$N$27,MATCH(E899,'Cost_Components'!$A$2:$A$27,0)),"")</f>
      </c>
      <c r="AE899" s="20" t="str">
        <f>IFERROR(INDEX('Cost_Components'!$O$2:$O$27,MATCH(E899,'Cost_Components'!$A$2:$A$27,0)),"")</f>
      </c>
      <c r="AF899" s="85" t="n">
        <v>586841.243727366</v>
      </c>
      <c r="AG899" s="86" t="n">
        <v>617309.427161682</v>
      </c>
      <c r="AH899" s="87" t="str">
        <f>IF(H899="shared-count-once",COUNTIFS($A$2:$A$1353,A899,$B$2:$B$1353,B899,$E$2:$E$1353,E899),1)</f>
      </c>
    </row>
    <row r="900">
      <c r="A900" t="s">
        <v>75</v>
      </c>
      <c r="B900" s="59" t="n">
        <v>2039</v>
      </c>
      <c r="C900" t="s">
        <v>200</v>
      </c>
      <c r="D900" t="s">
        <v>166</v>
      </c>
      <c r="E900" s="60" t="s">
        <v>281</v>
      </c>
      <c r="F900" s="61" t="s">
        <v>282</v>
      </c>
      <c r="G900" s="62" t="s">
        <v>203</v>
      </c>
      <c r="H900" s="63" t="s">
        <v>195</v>
      </c>
      <c r="I900" s="64" t="s">
        <v>267</v>
      </c>
      <c r="J900" s="65" t="str">
        <f>IFERROR(INDEX('Cost_Components'!$K$2:$K$27,MATCH(E900,'Cost_Components'!$A$2:$A$27,0)),"")</f>
      </c>
      <c r="K900" s="66" t="str">
        <f>IF(OR(L900="",Z900="",AA900="",AB900=""),"",IF(B900&lt;AA900,L900,IF(B900&gt;AB900,Z900,L900+(Z900-L900)*MIN(MAX((B900-AA900+1)/MAX(AB900-AA900+1,1),0),1))))</f>
      </c>
      <c r="L900" s="67" t="str">
        <f>IFERROR(INDEX('Cost_Components'!$S$2:$S$27,MATCH(E900,'Cost_Components'!$A$2:$A$27,0)),"")</f>
      </c>
      <c r="M900" s="68" t="str">
        <f>IFERROR(INDEX('Cost_Components'!$L$2:$L$27,MATCH(E900,'Cost_Components'!$A$2:$A$27,0)),"")</f>
      </c>
      <c r="N900" s="69" t="str">
        <f>IFERROR(INDEX('Cost_Components'!$P$2:$P$27,MATCH(E900,'Cost_Components'!$A$2:$A$27,0)),"")</f>
      </c>
      <c r="O900" s="70" t="str">
        <f>AF900*J900</f>
      </c>
      <c r="P900" s="71" t="str">
        <f>AG900*J900</f>
      </c>
      <c r="Q900" s="72" t="str">
        <f>P900*L900*M900*N900</f>
      </c>
      <c r="R900" s="73" t="str">
        <f>O900*K900*M900*N900</f>
      </c>
      <c r="S900" s="74" t="str">
        <f>R900-Q900</f>
      </c>
      <c r="T900" s="20" t="str">
        <f>IFERROR(INDEX('Cost_Components'!$R$2:$R$27,MATCH(E900,'Cost_Components'!$A$2:$A$27,0)),"")</f>
      </c>
      <c r="U900" s="75" t="str">
        <f>IFERROR(INDEX('Cost_Components'!$Q$2:$Q$27,MATCH(E900,'Cost_Components'!$A$2:$A$27,0)),"")</f>
      </c>
      <c r="V900" s="76" t="str">
        <f>1/(1+'Calculation_Assumptions'!$B$5)^(B900-'Calculation_Assumptions'!$B$2)</f>
      </c>
      <c r="W900" s="77" t="str">
        <f>Q900*V900</f>
      </c>
      <c r="X900" s="78" t="str">
        <f>R900*V900</f>
      </c>
      <c r="Y900" s="79" t="str">
        <f>S900*V900</f>
      </c>
      <c r="Z900" s="80" t="str">
        <f>IFERROR(INDEX('Cost_Components'!$T$2:$T$27,MATCH(E900,'Cost_Components'!$A$2:$A$27,0)),"")</f>
      </c>
      <c r="AA900" s="81" t="str">
        <f>IFERROR(INDEX('Cost_Components'!$U$2:$U$27,MATCH(E900,'Cost_Components'!$A$2:$A$27,0)),"")</f>
      </c>
      <c r="AB900" s="82" t="str">
        <f>IFERROR(INDEX('Cost_Components'!$V$2:$V$27,MATCH(E900,'Cost_Components'!$A$2:$A$27,0)),"")</f>
      </c>
      <c r="AC900" s="83" t="str">
        <f>IFERROR(INDEX('Cost_Components'!$M$2:$M$27,MATCH(E900,'Cost_Components'!$A$2:$A$27,0)),"")</f>
      </c>
      <c r="AD900" s="84" t="str">
        <f>IFERROR(INDEX('Cost_Components'!$N$2:$N$27,MATCH(E900,'Cost_Components'!$A$2:$A$27,0)),"")</f>
      </c>
      <c r="AE900" s="20" t="str">
        <f>IFERROR(INDEX('Cost_Components'!$O$2:$O$27,MATCH(E900,'Cost_Components'!$A$2:$A$27,0)),"")</f>
      </c>
      <c r="AF900" s="85" t="n">
        <v>597376.152634632</v>
      </c>
      <c r="AG900" s="86" t="n">
        <v>631494.66209286</v>
      </c>
      <c r="AH900" s="87" t="str">
        <f>IF(H900="shared-count-once",COUNTIFS($A$2:$A$1353,A900,$B$2:$B$1353,B900,$E$2:$E$1353,E900),1)</f>
      </c>
    </row>
    <row r="901">
      <c r="A901" t="s">
        <v>75</v>
      </c>
      <c r="B901" s="59" t="n">
        <v>2040</v>
      </c>
      <c r="C901" t="s">
        <v>200</v>
      </c>
      <c r="D901" t="s">
        <v>166</v>
      </c>
      <c r="E901" s="60" t="s">
        <v>281</v>
      </c>
      <c r="F901" s="61" t="s">
        <v>282</v>
      </c>
      <c r="G901" s="62" t="s">
        <v>203</v>
      </c>
      <c r="H901" s="63" t="s">
        <v>195</v>
      </c>
      <c r="I901" s="64" t="s">
        <v>267</v>
      </c>
      <c r="J901" s="65" t="str">
        <f>IFERROR(INDEX('Cost_Components'!$K$2:$K$27,MATCH(E901,'Cost_Components'!$A$2:$A$27,0)),"")</f>
      </c>
      <c r="K901" s="66" t="str">
        <f>IF(OR(L901="",Z901="",AA901="",AB901=""),"",IF(B901&lt;AA901,L901,IF(B901&gt;AB901,Z901,L901+(Z901-L901)*MIN(MAX((B901-AA901+1)/MAX(AB901-AA901+1,1),0),1))))</f>
      </c>
      <c r="L901" s="67" t="str">
        <f>IFERROR(INDEX('Cost_Components'!$S$2:$S$27,MATCH(E901,'Cost_Components'!$A$2:$A$27,0)),"")</f>
      </c>
      <c r="M901" s="68" t="str">
        <f>IFERROR(INDEX('Cost_Components'!$L$2:$L$27,MATCH(E901,'Cost_Components'!$A$2:$A$27,0)),"")</f>
      </c>
      <c r="N901" s="69" t="str">
        <f>IFERROR(INDEX('Cost_Components'!$P$2:$P$27,MATCH(E901,'Cost_Components'!$A$2:$A$27,0)),"")</f>
      </c>
      <c r="O901" s="70" t="str">
        <f>AF901*J901</f>
      </c>
      <c r="P901" s="71" t="str">
        <f>AG901*J901</f>
      </c>
      <c r="Q901" s="72" t="str">
        <f>P901*L901*M901*N901</f>
      </c>
      <c r="R901" s="73" t="str">
        <f>O901*K901*M901*N901</f>
      </c>
      <c r="S901" s="74" t="str">
        <f>R901-Q901</f>
      </c>
      <c r="T901" s="20" t="str">
        <f>IFERROR(INDEX('Cost_Components'!$R$2:$R$27,MATCH(E901,'Cost_Components'!$A$2:$A$27,0)),"")</f>
      </c>
      <c r="U901" s="75" t="str">
        <f>IFERROR(INDEX('Cost_Components'!$Q$2:$Q$27,MATCH(E901,'Cost_Components'!$A$2:$A$27,0)),"")</f>
      </c>
      <c r="V901" s="76" t="str">
        <f>1/(1+'Calculation_Assumptions'!$B$5)^(B901-'Calculation_Assumptions'!$B$2)</f>
      </c>
      <c r="W901" s="77" t="str">
        <f>Q901*V901</f>
      </c>
      <c r="X901" s="78" t="str">
        <f>R901*V901</f>
      </c>
      <c r="Y901" s="79" t="str">
        <f>S901*V901</f>
      </c>
      <c r="Z901" s="80" t="str">
        <f>IFERROR(INDEX('Cost_Components'!$T$2:$T$27,MATCH(E901,'Cost_Components'!$A$2:$A$27,0)),"")</f>
      </c>
      <c r="AA901" s="81" t="str">
        <f>IFERROR(INDEX('Cost_Components'!$U$2:$U$27,MATCH(E901,'Cost_Components'!$A$2:$A$27,0)),"")</f>
      </c>
      <c r="AB901" s="82" t="str">
        <f>IFERROR(INDEX('Cost_Components'!$V$2:$V$27,MATCH(E901,'Cost_Components'!$A$2:$A$27,0)),"")</f>
      </c>
      <c r="AC901" s="83" t="str">
        <f>IFERROR(INDEX('Cost_Components'!$M$2:$M$27,MATCH(E901,'Cost_Components'!$A$2:$A$27,0)),"")</f>
      </c>
      <c r="AD901" s="84" t="str">
        <f>IFERROR(INDEX('Cost_Components'!$N$2:$N$27,MATCH(E901,'Cost_Components'!$A$2:$A$27,0)),"")</f>
      </c>
      <c r="AE901" s="20" t="str">
        <f>IFERROR(INDEX('Cost_Components'!$O$2:$O$27,MATCH(E901,'Cost_Components'!$A$2:$A$27,0)),"")</f>
      </c>
      <c r="AF901" s="85" t="n">
        <v>608154.181211171</v>
      </c>
      <c r="AG901" s="86" t="n">
        <v>646103.245721349</v>
      </c>
      <c r="AH901" s="87" t="str">
        <f>IF(H901="shared-count-once",COUNTIFS($A$2:$A$1353,A901,$B$2:$B$1353,B901,$E$2:$E$1353,E901),1)</f>
      </c>
    </row>
    <row r="902">
      <c r="A902" t="s">
        <v>75</v>
      </c>
      <c r="B902" s="59" t="n">
        <v>2041</v>
      </c>
      <c r="C902" t="s">
        <v>200</v>
      </c>
      <c r="D902" t="s">
        <v>166</v>
      </c>
      <c r="E902" s="60" t="s">
        <v>281</v>
      </c>
      <c r="F902" s="61" t="s">
        <v>282</v>
      </c>
      <c r="G902" s="62" t="s">
        <v>203</v>
      </c>
      <c r="H902" s="63" t="s">
        <v>195</v>
      </c>
      <c r="I902" s="64" t="s">
        <v>267</v>
      </c>
      <c r="J902" s="65" t="str">
        <f>IFERROR(INDEX('Cost_Components'!$K$2:$K$27,MATCH(E902,'Cost_Components'!$A$2:$A$27,0)),"")</f>
      </c>
      <c r="K902" s="66" t="str">
        <f>IF(OR(L902="",Z902="",AA902="",AB902=""),"",IF(B902&lt;AA902,L902,IF(B902&gt;AB902,Z902,L902+(Z902-L902)*MIN(MAX((B902-AA902+1)/MAX(AB902-AA902+1,1),0),1))))</f>
      </c>
      <c r="L902" s="67" t="str">
        <f>IFERROR(INDEX('Cost_Components'!$S$2:$S$27,MATCH(E902,'Cost_Components'!$A$2:$A$27,0)),"")</f>
      </c>
      <c r="M902" s="68" t="str">
        <f>IFERROR(INDEX('Cost_Components'!$L$2:$L$27,MATCH(E902,'Cost_Components'!$A$2:$A$27,0)),"")</f>
      </c>
      <c r="N902" s="69" t="str">
        <f>IFERROR(INDEX('Cost_Components'!$P$2:$P$27,MATCH(E902,'Cost_Components'!$A$2:$A$27,0)),"")</f>
      </c>
      <c r="O902" s="70" t="str">
        <f>AF902*J902</f>
      </c>
      <c r="P902" s="71" t="str">
        <f>AG902*J902</f>
      </c>
      <c r="Q902" s="72" t="str">
        <f>P902*L902*M902*N902</f>
      </c>
      <c r="R902" s="73" t="str">
        <f>O902*K902*M902*N902</f>
      </c>
      <c r="S902" s="74" t="str">
        <f>R902-Q902</f>
      </c>
      <c r="T902" s="20" t="str">
        <f>IFERROR(INDEX('Cost_Components'!$R$2:$R$27,MATCH(E902,'Cost_Components'!$A$2:$A$27,0)),"")</f>
      </c>
      <c r="U902" s="75" t="str">
        <f>IFERROR(INDEX('Cost_Components'!$Q$2:$Q$27,MATCH(E902,'Cost_Components'!$A$2:$A$27,0)),"")</f>
      </c>
      <c r="V902" s="76" t="str">
        <f>1/(1+'Calculation_Assumptions'!$B$5)^(B902-'Calculation_Assumptions'!$B$2)</f>
      </c>
      <c r="W902" s="77" t="str">
        <f>Q902*V902</f>
      </c>
      <c r="X902" s="78" t="str">
        <f>R902*V902</f>
      </c>
      <c r="Y902" s="79" t="str">
        <f>S902*V902</f>
      </c>
      <c r="Z902" s="80" t="str">
        <f>IFERROR(INDEX('Cost_Components'!$T$2:$T$27,MATCH(E902,'Cost_Components'!$A$2:$A$27,0)),"")</f>
      </c>
      <c r="AA902" s="81" t="str">
        <f>IFERROR(INDEX('Cost_Components'!$U$2:$U$27,MATCH(E902,'Cost_Components'!$A$2:$A$27,0)),"")</f>
      </c>
      <c r="AB902" s="82" t="str">
        <f>IFERROR(INDEX('Cost_Components'!$V$2:$V$27,MATCH(E902,'Cost_Components'!$A$2:$A$27,0)),"")</f>
      </c>
      <c r="AC902" s="83" t="str">
        <f>IFERROR(INDEX('Cost_Components'!$M$2:$M$27,MATCH(E902,'Cost_Components'!$A$2:$A$27,0)),"")</f>
      </c>
      <c r="AD902" s="84" t="str">
        <f>IFERROR(INDEX('Cost_Components'!$N$2:$N$27,MATCH(E902,'Cost_Components'!$A$2:$A$27,0)),"")</f>
      </c>
      <c r="AE902" s="20" t="str">
        <f>IFERROR(INDEX('Cost_Components'!$O$2:$O$27,MATCH(E902,'Cost_Components'!$A$2:$A$27,0)),"")</f>
      </c>
      <c r="AF902" s="85" t="n">
        <v>619119.550440245</v>
      </c>
      <c r="AG902" s="86" t="n">
        <v>661097.35077381</v>
      </c>
      <c r="AH902" s="87" t="str">
        <f>IF(H902="shared-count-once",COUNTIFS($A$2:$A$1353,A902,$B$2:$B$1353,B902,$E$2:$E$1353,E902),1)</f>
      </c>
    </row>
    <row r="903">
      <c r="A903" t="s">
        <v>75</v>
      </c>
      <c r="B903" s="59" t="n">
        <v>2042</v>
      </c>
      <c r="C903" t="s">
        <v>200</v>
      </c>
      <c r="D903" t="s">
        <v>166</v>
      </c>
      <c r="E903" s="60" t="s">
        <v>281</v>
      </c>
      <c r="F903" s="61" t="s">
        <v>282</v>
      </c>
      <c r="G903" s="62" t="s">
        <v>203</v>
      </c>
      <c r="H903" s="63" t="s">
        <v>195</v>
      </c>
      <c r="I903" s="64" t="s">
        <v>267</v>
      </c>
      <c r="J903" s="65" t="str">
        <f>IFERROR(INDEX('Cost_Components'!$K$2:$K$27,MATCH(E903,'Cost_Components'!$A$2:$A$27,0)),"")</f>
      </c>
      <c r="K903" s="66" t="str">
        <f>IF(OR(L903="",Z903="",AA903="",AB903=""),"",IF(B903&lt;AA903,L903,IF(B903&gt;AB903,Z903,L903+(Z903-L903)*MIN(MAX((B903-AA903+1)/MAX(AB903-AA903+1,1),0),1))))</f>
      </c>
      <c r="L903" s="67" t="str">
        <f>IFERROR(INDEX('Cost_Components'!$S$2:$S$27,MATCH(E903,'Cost_Components'!$A$2:$A$27,0)),"")</f>
      </c>
      <c r="M903" s="68" t="str">
        <f>IFERROR(INDEX('Cost_Components'!$L$2:$L$27,MATCH(E903,'Cost_Components'!$A$2:$A$27,0)),"")</f>
      </c>
      <c r="N903" s="69" t="str">
        <f>IFERROR(INDEX('Cost_Components'!$P$2:$P$27,MATCH(E903,'Cost_Components'!$A$2:$A$27,0)),"")</f>
      </c>
      <c r="O903" s="70" t="str">
        <f>AF903*J903</f>
      </c>
      <c r="P903" s="71" t="str">
        <f>AG903*J903</f>
      </c>
      <c r="Q903" s="72" t="str">
        <f>P903*L903*M903*N903</f>
      </c>
      <c r="R903" s="73" t="str">
        <f>O903*K903*M903*N903</f>
      </c>
      <c r="S903" s="74" t="str">
        <f>R903-Q903</f>
      </c>
      <c r="T903" s="20" t="str">
        <f>IFERROR(INDEX('Cost_Components'!$R$2:$R$27,MATCH(E903,'Cost_Components'!$A$2:$A$27,0)),"")</f>
      </c>
      <c r="U903" s="75" t="str">
        <f>IFERROR(INDEX('Cost_Components'!$Q$2:$Q$27,MATCH(E903,'Cost_Components'!$A$2:$A$27,0)),"")</f>
      </c>
      <c r="V903" s="76" t="str">
        <f>1/(1+'Calculation_Assumptions'!$B$5)^(B903-'Calculation_Assumptions'!$B$2)</f>
      </c>
      <c r="W903" s="77" t="str">
        <f>Q903*V903</f>
      </c>
      <c r="X903" s="78" t="str">
        <f>R903*V903</f>
      </c>
      <c r="Y903" s="79" t="str">
        <f>S903*V903</f>
      </c>
      <c r="Z903" s="80" t="str">
        <f>IFERROR(INDEX('Cost_Components'!$T$2:$T$27,MATCH(E903,'Cost_Components'!$A$2:$A$27,0)),"")</f>
      </c>
      <c r="AA903" s="81" t="str">
        <f>IFERROR(INDEX('Cost_Components'!$U$2:$U$27,MATCH(E903,'Cost_Components'!$A$2:$A$27,0)),"")</f>
      </c>
      <c r="AB903" s="82" t="str">
        <f>IFERROR(INDEX('Cost_Components'!$V$2:$V$27,MATCH(E903,'Cost_Components'!$A$2:$A$27,0)),"")</f>
      </c>
      <c r="AC903" s="83" t="str">
        <f>IFERROR(INDEX('Cost_Components'!$M$2:$M$27,MATCH(E903,'Cost_Components'!$A$2:$A$27,0)),"")</f>
      </c>
      <c r="AD903" s="84" t="str">
        <f>IFERROR(INDEX('Cost_Components'!$N$2:$N$27,MATCH(E903,'Cost_Components'!$A$2:$A$27,0)),"")</f>
      </c>
      <c r="AE903" s="20" t="str">
        <f>IFERROR(INDEX('Cost_Components'!$O$2:$O$27,MATCH(E903,'Cost_Components'!$A$2:$A$27,0)),"")</f>
      </c>
      <c r="AF903" s="85" t="n">
        <v>630176.231691491</v>
      </c>
      <c r="AG903" s="86" t="n">
        <v>676373.405782993</v>
      </c>
      <c r="AH903" s="87" t="str">
        <f>IF(H903="shared-count-once",COUNTIFS($A$2:$A$1353,A903,$B$2:$B$1353,B903,$E$2:$E$1353,E903),1)</f>
      </c>
    </row>
    <row r="904">
      <c r="A904" t="s">
        <v>75</v>
      </c>
      <c r="B904" s="59" t="n">
        <v>2043</v>
      </c>
      <c r="C904" t="s">
        <v>200</v>
      </c>
      <c r="D904" t="s">
        <v>166</v>
      </c>
      <c r="E904" s="60" t="s">
        <v>281</v>
      </c>
      <c r="F904" s="61" t="s">
        <v>282</v>
      </c>
      <c r="G904" s="62" t="s">
        <v>203</v>
      </c>
      <c r="H904" s="63" t="s">
        <v>195</v>
      </c>
      <c r="I904" s="64" t="s">
        <v>267</v>
      </c>
      <c r="J904" s="65" t="str">
        <f>IFERROR(INDEX('Cost_Components'!$K$2:$K$27,MATCH(E904,'Cost_Components'!$A$2:$A$27,0)),"")</f>
      </c>
      <c r="K904" s="66" t="str">
        <f>IF(OR(L904="",Z904="",AA904="",AB904=""),"",IF(B904&lt;AA904,L904,IF(B904&gt;AB904,Z904,L904+(Z904-L904)*MIN(MAX((B904-AA904+1)/MAX(AB904-AA904+1,1),0),1))))</f>
      </c>
      <c r="L904" s="67" t="str">
        <f>IFERROR(INDEX('Cost_Components'!$S$2:$S$27,MATCH(E904,'Cost_Components'!$A$2:$A$27,0)),"")</f>
      </c>
      <c r="M904" s="68" t="str">
        <f>IFERROR(INDEX('Cost_Components'!$L$2:$L$27,MATCH(E904,'Cost_Components'!$A$2:$A$27,0)),"")</f>
      </c>
      <c r="N904" s="69" t="str">
        <f>IFERROR(INDEX('Cost_Components'!$P$2:$P$27,MATCH(E904,'Cost_Components'!$A$2:$A$27,0)),"")</f>
      </c>
      <c r="O904" s="70" t="str">
        <f>AF904*J904</f>
      </c>
      <c r="P904" s="71" t="str">
        <f>AG904*J904</f>
      </c>
      <c r="Q904" s="72" t="str">
        <f>P904*L904*M904*N904</f>
      </c>
      <c r="R904" s="73" t="str">
        <f>O904*K904*M904*N904</f>
      </c>
      <c r="S904" s="74" t="str">
        <f>R904-Q904</f>
      </c>
      <c r="T904" s="20" t="str">
        <f>IFERROR(INDEX('Cost_Components'!$R$2:$R$27,MATCH(E904,'Cost_Components'!$A$2:$A$27,0)),"")</f>
      </c>
      <c r="U904" s="75" t="str">
        <f>IFERROR(INDEX('Cost_Components'!$Q$2:$Q$27,MATCH(E904,'Cost_Components'!$A$2:$A$27,0)),"")</f>
      </c>
      <c r="V904" s="76" t="str">
        <f>1/(1+'Calculation_Assumptions'!$B$5)^(B904-'Calculation_Assumptions'!$B$2)</f>
      </c>
      <c r="W904" s="77" t="str">
        <f>Q904*V904</f>
      </c>
      <c r="X904" s="78" t="str">
        <f>R904*V904</f>
      </c>
      <c r="Y904" s="79" t="str">
        <f>S904*V904</f>
      </c>
      <c r="Z904" s="80" t="str">
        <f>IFERROR(INDEX('Cost_Components'!$T$2:$T$27,MATCH(E904,'Cost_Components'!$A$2:$A$27,0)),"")</f>
      </c>
      <c r="AA904" s="81" t="str">
        <f>IFERROR(INDEX('Cost_Components'!$U$2:$U$27,MATCH(E904,'Cost_Components'!$A$2:$A$27,0)),"")</f>
      </c>
      <c r="AB904" s="82" t="str">
        <f>IFERROR(INDEX('Cost_Components'!$V$2:$V$27,MATCH(E904,'Cost_Components'!$A$2:$A$27,0)),"")</f>
      </c>
      <c r="AC904" s="83" t="str">
        <f>IFERROR(INDEX('Cost_Components'!$M$2:$M$27,MATCH(E904,'Cost_Components'!$A$2:$A$27,0)),"")</f>
      </c>
      <c r="AD904" s="84" t="str">
        <f>IFERROR(INDEX('Cost_Components'!$N$2:$N$27,MATCH(E904,'Cost_Components'!$A$2:$A$27,0)),"")</f>
      </c>
      <c r="AE904" s="20" t="str">
        <f>IFERROR(INDEX('Cost_Components'!$O$2:$O$27,MATCH(E904,'Cost_Components'!$A$2:$A$27,0)),"")</f>
      </c>
      <c r="AF904" s="85" t="n">
        <v>641383.196682793</v>
      </c>
      <c r="AG904" s="86" t="n">
        <v>692011.846145533</v>
      </c>
      <c r="AH904" s="87" t="str">
        <f>IF(H904="shared-count-once",COUNTIFS($A$2:$A$1353,A904,$B$2:$B$1353,B904,$E$2:$E$1353,E904),1)</f>
      </c>
    </row>
    <row r="905">
      <c r="A905" t="s">
        <v>75</v>
      </c>
      <c r="B905" s="59" t="n">
        <v>2044</v>
      </c>
      <c r="C905" t="s">
        <v>200</v>
      </c>
      <c r="D905" t="s">
        <v>166</v>
      </c>
      <c r="E905" s="60" t="s">
        <v>281</v>
      </c>
      <c r="F905" s="61" t="s">
        <v>282</v>
      </c>
      <c r="G905" s="62" t="s">
        <v>203</v>
      </c>
      <c r="H905" s="63" t="s">
        <v>195</v>
      </c>
      <c r="I905" s="64" t="s">
        <v>267</v>
      </c>
      <c r="J905" s="65" t="str">
        <f>IFERROR(INDEX('Cost_Components'!$K$2:$K$27,MATCH(E905,'Cost_Components'!$A$2:$A$27,0)),"")</f>
      </c>
      <c r="K905" s="66" t="str">
        <f>IF(OR(L905="",Z905="",AA905="",AB905=""),"",IF(B905&lt;AA905,L905,IF(B905&gt;AB905,Z905,L905+(Z905-L905)*MIN(MAX((B905-AA905+1)/MAX(AB905-AA905+1,1),0),1))))</f>
      </c>
      <c r="L905" s="67" t="str">
        <f>IFERROR(INDEX('Cost_Components'!$S$2:$S$27,MATCH(E905,'Cost_Components'!$A$2:$A$27,0)),"")</f>
      </c>
      <c r="M905" s="68" t="str">
        <f>IFERROR(INDEX('Cost_Components'!$L$2:$L$27,MATCH(E905,'Cost_Components'!$A$2:$A$27,0)),"")</f>
      </c>
      <c r="N905" s="69" t="str">
        <f>IFERROR(INDEX('Cost_Components'!$P$2:$P$27,MATCH(E905,'Cost_Components'!$A$2:$A$27,0)),"")</f>
      </c>
      <c r="O905" s="70" t="str">
        <f>AF905*J905</f>
      </c>
      <c r="P905" s="71" t="str">
        <f>AG905*J905</f>
      </c>
      <c r="Q905" s="72" t="str">
        <f>P905*L905*M905*N905</f>
      </c>
      <c r="R905" s="73" t="str">
        <f>O905*K905*M905*N905</f>
      </c>
      <c r="S905" s="74" t="str">
        <f>R905-Q905</f>
      </c>
      <c r="T905" s="20" t="str">
        <f>IFERROR(INDEX('Cost_Components'!$R$2:$R$27,MATCH(E905,'Cost_Components'!$A$2:$A$27,0)),"")</f>
      </c>
      <c r="U905" s="75" t="str">
        <f>IFERROR(INDEX('Cost_Components'!$Q$2:$Q$27,MATCH(E905,'Cost_Components'!$A$2:$A$27,0)),"")</f>
      </c>
      <c r="V905" s="76" t="str">
        <f>1/(1+'Calculation_Assumptions'!$B$5)^(B905-'Calculation_Assumptions'!$B$2)</f>
      </c>
      <c r="W905" s="77" t="str">
        <f>Q905*V905</f>
      </c>
      <c r="X905" s="78" t="str">
        <f>R905*V905</f>
      </c>
      <c r="Y905" s="79" t="str">
        <f>S905*V905</f>
      </c>
      <c r="Z905" s="80" t="str">
        <f>IFERROR(INDEX('Cost_Components'!$T$2:$T$27,MATCH(E905,'Cost_Components'!$A$2:$A$27,0)),"")</f>
      </c>
      <c r="AA905" s="81" t="str">
        <f>IFERROR(INDEX('Cost_Components'!$U$2:$U$27,MATCH(E905,'Cost_Components'!$A$2:$A$27,0)),"")</f>
      </c>
      <c r="AB905" s="82" t="str">
        <f>IFERROR(INDEX('Cost_Components'!$V$2:$V$27,MATCH(E905,'Cost_Components'!$A$2:$A$27,0)),"")</f>
      </c>
      <c r="AC905" s="83" t="str">
        <f>IFERROR(INDEX('Cost_Components'!$M$2:$M$27,MATCH(E905,'Cost_Components'!$A$2:$A$27,0)),"")</f>
      </c>
      <c r="AD905" s="84" t="str">
        <f>IFERROR(INDEX('Cost_Components'!$N$2:$N$27,MATCH(E905,'Cost_Components'!$A$2:$A$27,0)),"")</f>
      </c>
      <c r="AE905" s="20" t="str">
        <f>IFERROR(INDEX('Cost_Components'!$O$2:$O$27,MATCH(E905,'Cost_Components'!$A$2:$A$27,0)),"")</f>
      </c>
      <c r="AF905" s="85" t="n">
        <v>652086.447415715</v>
      </c>
      <c r="AG905" s="86" t="n">
        <v>707234.188054573</v>
      </c>
      <c r="AH905" s="87" t="str">
        <f>IF(H905="shared-count-once",COUNTIFS($A$2:$A$1353,A905,$B$2:$B$1353,B905,$E$2:$E$1353,E905),1)</f>
      </c>
    </row>
    <row r="906">
      <c r="A906" t="s">
        <v>75</v>
      </c>
      <c r="B906" s="59" t="n">
        <v>2045</v>
      </c>
      <c r="C906" t="s">
        <v>200</v>
      </c>
      <c r="D906" t="s">
        <v>166</v>
      </c>
      <c r="E906" s="60" t="s">
        <v>281</v>
      </c>
      <c r="F906" s="61" t="s">
        <v>282</v>
      </c>
      <c r="G906" s="62" t="s">
        <v>203</v>
      </c>
      <c r="H906" s="63" t="s">
        <v>195</v>
      </c>
      <c r="I906" s="64" t="s">
        <v>267</v>
      </c>
      <c r="J906" s="65" t="str">
        <f>IFERROR(INDEX('Cost_Components'!$K$2:$K$27,MATCH(E906,'Cost_Components'!$A$2:$A$27,0)),"")</f>
      </c>
      <c r="K906" s="66" t="str">
        <f>IF(OR(L906="",Z906="",AA906="",AB906=""),"",IF(B906&lt;AA906,L906,IF(B906&gt;AB906,Z906,L906+(Z906-L906)*MIN(MAX((B906-AA906+1)/MAX(AB906-AA906+1,1),0),1))))</f>
      </c>
      <c r="L906" s="67" t="str">
        <f>IFERROR(INDEX('Cost_Components'!$S$2:$S$27,MATCH(E906,'Cost_Components'!$A$2:$A$27,0)),"")</f>
      </c>
      <c r="M906" s="68" t="str">
        <f>IFERROR(INDEX('Cost_Components'!$L$2:$L$27,MATCH(E906,'Cost_Components'!$A$2:$A$27,0)),"")</f>
      </c>
      <c r="N906" s="69" t="str">
        <f>IFERROR(INDEX('Cost_Components'!$P$2:$P$27,MATCH(E906,'Cost_Components'!$A$2:$A$27,0)),"")</f>
      </c>
      <c r="O906" s="70" t="str">
        <f>AF906*J906</f>
      </c>
      <c r="P906" s="71" t="str">
        <f>AG906*J906</f>
      </c>
      <c r="Q906" s="72" t="str">
        <f>P906*L906*M906*N906</f>
      </c>
      <c r="R906" s="73" t="str">
        <f>O906*K906*M906*N906</f>
      </c>
      <c r="S906" s="74" t="str">
        <f>R906-Q906</f>
      </c>
      <c r="T906" s="20" t="str">
        <f>IFERROR(INDEX('Cost_Components'!$R$2:$R$27,MATCH(E906,'Cost_Components'!$A$2:$A$27,0)),"")</f>
      </c>
      <c r="U906" s="75" t="str">
        <f>IFERROR(INDEX('Cost_Components'!$Q$2:$Q$27,MATCH(E906,'Cost_Components'!$A$2:$A$27,0)),"")</f>
      </c>
      <c r="V906" s="76" t="str">
        <f>1/(1+'Calculation_Assumptions'!$B$5)^(B906-'Calculation_Assumptions'!$B$2)</f>
      </c>
      <c r="W906" s="77" t="str">
        <f>Q906*V906</f>
      </c>
      <c r="X906" s="78" t="str">
        <f>R906*V906</f>
      </c>
      <c r="Y906" s="79" t="str">
        <f>S906*V906</f>
      </c>
      <c r="Z906" s="80" t="str">
        <f>IFERROR(INDEX('Cost_Components'!$T$2:$T$27,MATCH(E906,'Cost_Components'!$A$2:$A$27,0)),"")</f>
      </c>
      <c r="AA906" s="81" t="str">
        <f>IFERROR(INDEX('Cost_Components'!$U$2:$U$27,MATCH(E906,'Cost_Components'!$A$2:$A$27,0)),"")</f>
      </c>
      <c r="AB906" s="82" t="str">
        <f>IFERROR(INDEX('Cost_Components'!$V$2:$V$27,MATCH(E906,'Cost_Components'!$A$2:$A$27,0)),"")</f>
      </c>
      <c r="AC906" s="83" t="str">
        <f>IFERROR(INDEX('Cost_Components'!$M$2:$M$27,MATCH(E906,'Cost_Components'!$A$2:$A$27,0)),"")</f>
      </c>
      <c r="AD906" s="84" t="str">
        <f>IFERROR(INDEX('Cost_Components'!$N$2:$N$27,MATCH(E906,'Cost_Components'!$A$2:$A$27,0)),"")</f>
      </c>
      <c r="AE906" s="20" t="str">
        <f>IFERROR(INDEX('Cost_Components'!$O$2:$O$27,MATCH(E906,'Cost_Components'!$A$2:$A$27,0)),"")</f>
      </c>
      <c r="AF906" s="85" t="n">
        <v>662726.960666262</v>
      </c>
      <c r="AG906" s="86" t="n">
        <v>722555.372182865</v>
      </c>
      <c r="AH906" s="87" t="str">
        <f>IF(H906="shared-count-once",COUNTIFS($A$2:$A$1353,A906,$B$2:$B$1353,B906,$E$2:$E$1353,E906),1)</f>
      </c>
    </row>
    <row r="907">
      <c r="A907" t="s">
        <v>75</v>
      </c>
      <c r="B907" s="59" t="n">
        <v>2046</v>
      </c>
      <c r="C907" t="s">
        <v>200</v>
      </c>
      <c r="D907" t="s">
        <v>166</v>
      </c>
      <c r="E907" s="60" t="s">
        <v>281</v>
      </c>
      <c r="F907" s="61" t="s">
        <v>282</v>
      </c>
      <c r="G907" s="62" t="s">
        <v>203</v>
      </c>
      <c r="H907" s="63" t="s">
        <v>195</v>
      </c>
      <c r="I907" s="64" t="s">
        <v>267</v>
      </c>
      <c r="J907" s="65" t="str">
        <f>IFERROR(INDEX('Cost_Components'!$K$2:$K$27,MATCH(E907,'Cost_Components'!$A$2:$A$27,0)),"")</f>
      </c>
      <c r="K907" s="66" t="str">
        <f>IF(OR(L907="",Z907="",AA907="",AB907=""),"",IF(B907&lt;AA907,L907,IF(B907&gt;AB907,Z907,L907+(Z907-L907)*MIN(MAX((B907-AA907+1)/MAX(AB907-AA907+1,1),0),1))))</f>
      </c>
      <c r="L907" s="67" t="str">
        <f>IFERROR(INDEX('Cost_Components'!$S$2:$S$27,MATCH(E907,'Cost_Components'!$A$2:$A$27,0)),"")</f>
      </c>
      <c r="M907" s="68" t="str">
        <f>IFERROR(INDEX('Cost_Components'!$L$2:$L$27,MATCH(E907,'Cost_Components'!$A$2:$A$27,0)),"")</f>
      </c>
      <c r="N907" s="69" t="str">
        <f>IFERROR(INDEX('Cost_Components'!$P$2:$P$27,MATCH(E907,'Cost_Components'!$A$2:$A$27,0)),"")</f>
      </c>
      <c r="O907" s="70" t="str">
        <f>AF907*J907</f>
      </c>
      <c r="P907" s="71" t="str">
        <f>AG907*J907</f>
      </c>
      <c r="Q907" s="72" t="str">
        <f>P907*L907*M907*N907</f>
      </c>
      <c r="R907" s="73" t="str">
        <f>O907*K907*M907*N907</f>
      </c>
      <c r="S907" s="74" t="str">
        <f>R907-Q907</f>
      </c>
      <c r="T907" s="20" t="str">
        <f>IFERROR(INDEX('Cost_Components'!$R$2:$R$27,MATCH(E907,'Cost_Components'!$A$2:$A$27,0)),"")</f>
      </c>
      <c r="U907" s="75" t="str">
        <f>IFERROR(INDEX('Cost_Components'!$Q$2:$Q$27,MATCH(E907,'Cost_Components'!$A$2:$A$27,0)),"")</f>
      </c>
      <c r="V907" s="76" t="str">
        <f>1/(1+'Calculation_Assumptions'!$B$5)^(B907-'Calculation_Assumptions'!$B$2)</f>
      </c>
      <c r="W907" s="77" t="str">
        <f>Q907*V907</f>
      </c>
      <c r="X907" s="78" t="str">
        <f>R907*V907</f>
      </c>
      <c r="Y907" s="79" t="str">
        <f>S907*V907</f>
      </c>
      <c r="Z907" s="80" t="str">
        <f>IFERROR(INDEX('Cost_Components'!$T$2:$T$27,MATCH(E907,'Cost_Components'!$A$2:$A$27,0)),"")</f>
      </c>
      <c r="AA907" s="81" t="str">
        <f>IFERROR(INDEX('Cost_Components'!$U$2:$U$27,MATCH(E907,'Cost_Components'!$A$2:$A$27,0)),"")</f>
      </c>
      <c r="AB907" s="82" t="str">
        <f>IFERROR(INDEX('Cost_Components'!$V$2:$V$27,MATCH(E907,'Cost_Components'!$A$2:$A$27,0)),"")</f>
      </c>
      <c r="AC907" s="83" t="str">
        <f>IFERROR(INDEX('Cost_Components'!$M$2:$M$27,MATCH(E907,'Cost_Components'!$A$2:$A$27,0)),"")</f>
      </c>
      <c r="AD907" s="84" t="str">
        <f>IFERROR(INDEX('Cost_Components'!$N$2:$N$27,MATCH(E907,'Cost_Components'!$A$2:$A$27,0)),"")</f>
      </c>
      <c r="AE907" s="20" t="str">
        <f>IFERROR(INDEX('Cost_Components'!$O$2:$O$27,MATCH(E907,'Cost_Components'!$A$2:$A$27,0)),"")</f>
      </c>
      <c r="AF907" s="85" t="n">
        <v>673204.60667431</v>
      </c>
      <c r="AG907" s="86" t="n">
        <v>737879.853931334</v>
      </c>
      <c r="AH907" s="87" t="str">
        <f>IF(H907="shared-count-once",COUNTIFS($A$2:$A$1353,A907,$B$2:$B$1353,B907,$E$2:$E$1353,E907),1)</f>
      </c>
    </row>
    <row r="908">
      <c r="A908" t="s">
        <v>75</v>
      </c>
      <c r="B908" s="59" t="n">
        <v>2047</v>
      </c>
      <c r="C908" t="s">
        <v>200</v>
      </c>
      <c r="D908" t="s">
        <v>166</v>
      </c>
      <c r="E908" s="60" t="s">
        <v>281</v>
      </c>
      <c r="F908" s="61" t="s">
        <v>282</v>
      </c>
      <c r="G908" s="62" t="s">
        <v>203</v>
      </c>
      <c r="H908" s="63" t="s">
        <v>195</v>
      </c>
      <c r="I908" s="64" t="s">
        <v>267</v>
      </c>
      <c r="J908" s="65" t="str">
        <f>IFERROR(INDEX('Cost_Components'!$K$2:$K$27,MATCH(E908,'Cost_Components'!$A$2:$A$27,0)),"")</f>
      </c>
      <c r="K908" s="66" t="str">
        <f>IF(OR(L908="",Z908="",AA908="",AB908=""),"",IF(B908&lt;AA908,L908,IF(B908&gt;AB908,Z908,L908+(Z908-L908)*MIN(MAX((B908-AA908+1)/MAX(AB908-AA908+1,1),0),1))))</f>
      </c>
      <c r="L908" s="67" t="str">
        <f>IFERROR(INDEX('Cost_Components'!$S$2:$S$27,MATCH(E908,'Cost_Components'!$A$2:$A$27,0)),"")</f>
      </c>
      <c r="M908" s="68" t="str">
        <f>IFERROR(INDEX('Cost_Components'!$L$2:$L$27,MATCH(E908,'Cost_Components'!$A$2:$A$27,0)),"")</f>
      </c>
      <c r="N908" s="69" t="str">
        <f>IFERROR(INDEX('Cost_Components'!$P$2:$P$27,MATCH(E908,'Cost_Components'!$A$2:$A$27,0)),"")</f>
      </c>
      <c r="O908" s="70" t="str">
        <f>AF908*J908</f>
      </c>
      <c r="P908" s="71" t="str">
        <f>AG908*J908</f>
      </c>
      <c r="Q908" s="72" t="str">
        <f>P908*L908*M908*N908</f>
      </c>
      <c r="R908" s="73" t="str">
        <f>O908*K908*M908*N908</f>
      </c>
      <c r="S908" s="74" t="str">
        <f>R908-Q908</f>
      </c>
      <c r="T908" s="20" t="str">
        <f>IFERROR(INDEX('Cost_Components'!$R$2:$R$27,MATCH(E908,'Cost_Components'!$A$2:$A$27,0)),"")</f>
      </c>
      <c r="U908" s="75" t="str">
        <f>IFERROR(INDEX('Cost_Components'!$Q$2:$Q$27,MATCH(E908,'Cost_Components'!$A$2:$A$27,0)),"")</f>
      </c>
      <c r="V908" s="76" t="str">
        <f>1/(1+'Calculation_Assumptions'!$B$5)^(B908-'Calculation_Assumptions'!$B$2)</f>
      </c>
      <c r="W908" s="77" t="str">
        <f>Q908*V908</f>
      </c>
      <c r="X908" s="78" t="str">
        <f>R908*V908</f>
      </c>
      <c r="Y908" s="79" t="str">
        <f>S908*V908</f>
      </c>
      <c r="Z908" s="80" t="str">
        <f>IFERROR(INDEX('Cost_Components'!$T$2:$T$27,MATCH(E908,'Cost_Components'!$A$2:$A$27,0)),"")</f>
      </c>
      <c r="AA908" s="81" t="str">
        <f>IFERROR(INDEX('Cost_Components'!$U$2:$U$27,MATCH(E908,'Cost_Components'!$A$2:$A$27,0)),"")</f>
      </c>
      <c r="AB908" s="82" t="str">
        <f>IFERROR(INDEX('Cost_Components'!$V$2:$V$27,MATCH(E908,'Cost_Components'!$A$2:$A$27,0)),"")</f>
      </c>
      <c r="AC908" s="83" t="str">
        <f>IFERROR(INDEX('Cost_Components'!$M$2:$M$27,MATCH(E908,'Cost_Components'!$A$2:$A$27,0)),"")</f>
      </c>
      <c r="AD908" s="84" t="str">
        <f>IFERROR(INDEX('Cost_Components'!$N$2:$N$27,MATCH(E908,'Cost_Components'!$A$2:$A$27,0)),"")</f>
      </c>
      <c r="AE908" s="20" t="str">
        <f>IFERROR(INDEX('Cost_Components'!$O$2:$O$27,MATCH(E908,'Cost_Components'!$A$2:$A$27,0)),"")</f>
      </c>
      <c r="AF908" s="85" t="n">
        <v>683525.804221673</v>
      </c>
      <c r="AG908" s="86" t="n">
        <v>753233.18651991</v>
      </c>
      <c r="AH908" s="87" t="str">
        <f>IF(H908="shared-count-once",COUNTIFS($A$2:$A$1353,A908,$B$2:$B$1353,B908,$E$2:$E$1353,E908),1)</f>
      </c>
    </row>
    <row r="909">
      <c r="A909" t="s">
        <v>75</v>
      </c>
      <c r="B909" s="59" t="n">
        <v>2048</v>
      </c>
      <c r="C909" t="s">
        <v>200</v>
      </c>
      <c r="D909" t="s">
        <v>166</v>
      </c>
      <c r="E909" s="60" t="s">
        <v>281</v>
      </c>
      <c r="F909" s="61" t="s">
        <v>282</v>
      </c>
      <c r="G909" s="62" t="s">
        <v>203</v>
      </c>
      <c r="H909" s="63" t="s">
        <v>195</v>
      </c>
      <c r="I909" s="64" t="s">
        <v>267</v>
      </c>
      <c r="J909" s="65" t="str">
        <f>IFERROR(INDEX('Cost_Components'!$K$2:$K$27,MATCH(E909,'Cost_Components'!$A$2:$A$27,0)),"")</f>
      </c>
      <c r="K909" s="66" t="str">
        <f>IF(OR(L909="",Z909="",AA909="",AB909=""),"",IF(B909&lt;AA909,L909,IF(B909&gt;AB909,Z909,L909+(Z909-L909)*MIN(MAX((B909-AA909+1)/MAX(AB909-AA909+1,1),0),1))))</f>
      </c>
      <c r="L909" s="67" t="str">
        <f>IFERROR(INDEX('Cost_Components'!$S$2:$S$27,MATCH(E909,'Cost_Components'!$A$2:$A$27,0)),"")</f>
      </c>
      <c r="M909" s="68" t="str">
        <f>IFERROR(INDEX('Cost_Components'!$L$2:$L$27,MATCH(E909,'Cost_Components'!$A$2:$A$27,0)),"")</f>
      </c>
      <c r="N909" s="69" t="str">
        <f>IFERROR(INDEX('Cost_Components'!$P$2:$P$27,MATCH(E909,'Cost_Components'!$A$2:$A$27,0)),"")</f>
      </c>
      <c r="O909" s="70" t="str">
        <f>AF909*J909</f>
      </c>
      <c r="P909" s="71" t="str">
        <f>AG909*J909</f>
      </c>
      <c r="Q909" s="72" t="str">
        <f>P909*L909*M909*N909</f>
      </c>
      <c r="R909" s="73" t="str">
        <f>O909*K909*M909*N909</f>
      </c>
      <c r="S909" s="74" t="str">
        <f>R909-Q909</f>
      </c>
      <c r="T909" s="20" t="str">
        <f>IFERROR(INDEX('Cost_Components'!$R$2:$R$27,MATCH(E909,'Cost_Components'!$A$2:$A$27,0)),"")</f>
      </c>
      <c r="U909" s="75" t="str">
        <f>IFERROR(INDEX('Cost_Components'!$Q$2:$Q$27,MATCH(E909,'Cost_Components'!$A$2:$A$27,0)),"")</f>
      </c>
      <c r="V909" s="76" t="str">
        <f>1/(1+'Calculation_Assumptions'!$B$5)^(B909-'Calculation_Assumptions'!$B$2)</f>
      </c>
      <c r="W909" s="77" t="str">
        <f>Q909*V909</f>
      </c>
      <c r="X909" s="78" t="str">
        <f>R909*V909</f>
      </c>
      <c r="Y909" s="79" t="str">
        <f>S909*V909</f>
      </c>
      <c r="Z909" s="80" t="str">
        <f>IFERROR(INDEX('Cost_Components'!$T$2:$T$27,MATCH(E909,'Cost_Components'!$A$2:$A$27,0)),"")</f>
      </c>
      <c r="AA909" s="81" t="str">
        <f>IFERROR(INDEX('Cost_Components'!$U$2:$U$27,MATCH(E909,'Cost_Components'!$A$2:$A$27,0)),"")</f>
      </c>
      <c r="AB909" s="82" t="str">
        <f>IFERROR(INDEX('Cost_Components'!$V$2:$V$27,MATCH(E909,'Cost_Components'!$A$2:$A$27,0)),"")</f>
      </c>
      <c r="AC909" s="83" t="str">
        <f>IFERROR(INDEX('Cost_Components'!$M$2:$M$27,MATCH(E909,'Cost_Components'!$A$2:$A$27,0)),"")</f>
      </c>
      <c r="AD909" s="84" t="str">
        <f>IFERROR(INDEX('Cost_Components'!$N$2:$N$27,MATCH(E909,'Cost_Components'!$A$2:$A$27,0)),"")</f>
      </c>
      <c r="AE909" s="20" t="str">
        <f>IFERROR(INDEX('Cost_Components'!$O$2:$O$27,MATCH(E909,'Cost_Components'!$A$2:$A$27,0)),"")</f>
      </c>
      <c r="AF909" s="85" t="n">
        <v>693824.500175046</v>
      </c>
      <c r="AG909" s="86" t="n">
        <v>768783.336092168</v>
      </c>
      <c r="AH909" s="87" t="str">
        <f>IF(H909="shared-count-once",COUNTIFS($A$2:$A$1353,A909,$B$2:$B$1353,B909,$E$2:$E$1353,E909),1)</f>
      </c>
    </row>
    <row r="910">
      <c r="A910" t="s">
        <v>75</v>
      </c>
      <c r="B910" s="59" t="n">
        <v>2049</v>
      </c>
      <c r="C910" t="s">
        <v>200</v>
      </c>
      <c r="D910" t="s">
        <v>166</v>
      </c>
      <c r="E910" s="60" t="s">
        <v>281</v>
      </c>
      <c r="F910" s="61" t="s">
        <v>282</v>
      </c>
      <c r="G910" s="62" t="s">
        <v>203</v>
      </c>
      <c r="H910" s="63" t="s">
        <v>195</v>
      </c>
      <c r="I910" s="64" t="s">
        <v>267</v>
      </c>
      <c r="J910" s="65" t="str">
        <f>IFERROR(INDEX('Cost_Components'!$K$2:$K$27,MATCH(E910,'Cost_Components'!$A$2:$A$27,0)),"")</f>
      </c>
      <c r="K910" s="66" t="str">
        <f>IF(OR(L910="",Z910="",AA910="",AB910=""),"",IF(B910&lt;AA910,L910,IF(B910&gt;AB910,Z910,L910+(Z910-L910)*MIN(MAX((B910-AA910+1)/MAX(AB910-AA910+1,1),0),1))))</f>
      </c>
      <c r="L910" s="67" t="str">
        <f>IFERROR(INDEX('Cost_Components'!$S$2:$S$27,MATCH(E910,'Cost_Components'!$A$2:$A$27,0)),"")</f>
      </c>
      <c r="M910" s="68" t="str">
        <f>IFERROR(INDEX('Cost_Components'!$L$2:$L$27,MATCH(E910,'Cost_Components'!$A$2:$A$27,0)),"")</f>
      </c>
      <c r="N910" s="69" t="str">
        <f>IFERROR(INDEX('Cost_Components'!$P$2:$P$27,MATCH(E910,'Cost_Components'!$A$2:$A$27,0)),"")</f>
      </c>
      <c r="O910" s="70" t="str">
        <f>AF910*J910</f>
      </c>
      <c r="P910" s="71" t="str">
        <f>AG910*J910</f>
      </c>
      <c r="Q910" s="72" t="str">
        <f>P910*L910*M910*N910</f>
      </c>
      <c r="R910" s="73" t="str">
        <f>O910*K910*M910*N910</f>
      </c>
      <c r="S910" s="74" t="str">
        <f>R910-Q910</f>
      </c>
      <c r="T910" s="20" t="str">
        <f>IFERROR(INDEX('Cost_Components'!$R$2:$R$27,MATCH(E910,'Cost_Components'!$A$2:$A$27,0)),"")</f>
      </c>
      <c r="U910" s="75" t="str">
        <f>IFERROR(INDEX('Cost_Components'!$Q$2:$Q$27,MATCH(E910,'Cost_Components'!$A$2:$A$27,0)),"")</f>
      </c>
      <c r="V910" s="76" t="str">
        <f>1/(1+'Calculation_Assumptions'!$B$5)^(B910-'Calculation_Assumptions'!$B$2)</f>
      </c>
      <c r="W910" s="77" t="str">
        <f>Q910*V910</f>
      </c>
      <c r="X910" s="78" t="str">
        <f>R910*V910</f>
      </c>
      <c r="Y910" s="79" t="str">
        <f>S910*V910</f>
      </c>
      <c r="Z910" s="80" t="str">
        <f>IFERROR(INDEX('Cost_Components'!$T$2:$T$27,MATCH(E910,'Cost_Components'!$A$2:$A$27,0)),"")</f>
      </c>
      <c r="AA910" s="81" t="str">
        <f>IFERROR(INDEX('Cost_Components'!$U$2:$U$27,MATCH(E910,'Cost_Components'!$A$2:$A$27,0)),"")</f>
      </c>
      <c r="AB910" s="82" t="str">
        <f>IFERROR(INDEX('Cost_Components'!$V$2:$V$27,MATCH(E910,'Cost_Components'!$A$2:$A$27,0)),"")</f>
      </c>
      <c r="AC910" s="83" t="str">
        <f>IFERROR(INDEX('Cost_Components'!$M$2:$M$27,MATCH(E910,'Cost_Components'!$A$2:$A$27,0)),"")</f>
      </c>
      <c r="AD910" s="84" t="str">
        <f>IFERROR(INDEX('Cost_Components'!$N$2:$N$27,MATCH(E910,'Cost_Components'!$A$2:$A$27,0)),"")</f>
      </c>
      <c r="AE910" s="20" t="str">
        <f>IFERROR(INDEX('Cost_Components'!$O$2:$O$27,MATCH(E910,'Cost_Components'!$A$2:$A$27,0)),"")</f>
      </c>
      <c r="AF910" s="85" t="n">
        <v>703501.839098999</v>
      </c>
      <c r="AG910" s="86" t="n">
        <v>783775.538450204</v>
      </c>
      <c r="AH910" s="87" t="str">
        <f>IF(H910="shared-count-once",COUNTIFS($A$2:$A$1353,A910,$B$2:$B$1353,B910,$E$2:$E$1353,E910),1)</f>
      </c>
    </row>
    <row r="911">
      <c r="A911" t="s">
        <v>75</v>
      </c>
      <c r="B911" s="59" t="n">
        <v>2050</v>
      </c>
      <c r="C911" t="s">
        <v>200</v>
      </c>
      <c r="D911" t="s">
        <v>166</v>
      </c>
      <c r="E911" s="60" t="s">
        <v>281</v>
      </c>
      <c r="F911" s="61" t="s">
        <v>282</v>
      </c>
      <c r="G911" s="62" t="s">
        <v>203</v>
      </c>
      <c r="H911" s="63" t="s">
        <v>195</v>
      </c>
      <c r="I911" s="64" t="s">
        <v>267</v>
      </c>
      <c r="J911" s="65" t="str">
        <f>IFERROR(INDEX('Cost_Components'!$K$2:$K$27,MATCH(E911,'Cost_Components'!$A$2:$A$27,0)),"")</f>
      </c>
      <c r="K911" s="66" t="str">
        <f>IF(OR(L911="",Z911="",AA911="",AB911=""),"",IF(B911&lt;AA911,L911,IF(B911&gt;AB911,Z911,L911+(Z911-L911)*MIN(MAX((B911-AA911+1)/MAX(AB911-AA911+1,1),0),1))))</f>
      </c>
      <c r="L911" s="67" t="str">
        <f>IFERROR(INDEX('Cost_Components'!$S$2:$S$27,MATCH(E911,'Cost_Components'!$A$2:$A$27,0)),"")</f>
      </c>
      <c r="M911" s="68" t="str">
        <f>IFERROR(INDEX('Cost_Components'!$L$2:$L$27,MATCH(E911,'Cost_Components'!$A$2:$A$27,0)),"")</f>
      </c>
      <c r="N911" s="69" t="str">
        <f>IFERROR(INDEX('Cost_Components'!$P$2:$P$27,MATCH(E911,'Cost_Components'!$A$2:$A$27,0)),"")</f>
      </c>
      <c r="O911" s="70" t="str">
        <f>AF911*J911</f>
      </c>
      <c r="P911" s="71" t="str">
        <f>AG911*J911</f>
      </c>
      <c r="Q911" s="72" t="str">
        <f>P911*L911*M911*N911</f>
      </c>
      <c r="R911" s="73" t="str">
        <f>O911*K911*M911*N911</f>
      </c>
      <c r="S911" s="74" t="str">
        <f>R911-Q911</f>
      </c>
      <c r="T911" s="20" t="str">
        <f>IFERROR(INDEX('Cost_Components'!$R$2:$R$27,MATCH(E911,'Cost_Components'!$A$2:$A$27,0)),"")</f>
      </c>
      <c r="U911" s="75" t="str">
        <f>IFERROR(INDEX('Cost_Components'!$Q$2:$Q$27,MATCH(E911,'Cost_Components'!$A$2:$A$27,0)),"")</f>
      </c>
      <c r="V911" s="76" t="str">
        <f>1/(1+'Calculation_Assumptions'!$B$5)^(B911-'Calculation_Assumptions'!$B$2)</f>
      </c>
      <c r="W911" s="77" t="str">
        <f>Q911*V911</f>
      </c>
      <c r="X911" s="78" t="str">
        <f>R911*V911</f>
      </c>
      <c r="Y911" s="79" t="str">
        <f>S911*V911</f>
      </c>
      <c r="Z911" s="80" t="str">
        <f>IFERROR(INDEX('Cost_Components'!$T$2:$T$27,MATCH(E911,'Cost_Components'!$A$2:$A$27,0)),"")</f>
      </c>
      <c r="AA911" s="81" t="str">
        <f>IFERROR(INDEX('Cost_Components'!$U$2:$U$27,MATCH(E911,'Cost_Components'!$A$2:$A$27,0)),"")</f>
      </c>
      <c r="AB911" s="82" t="str">
        <f>IFERROR(INDEX('Cost_Components'!$V$2:$V$27,MATCH(E911,'Cost_Components'!$A$2:$A$27,0)),"")</f>
      </c>
      <c r="AC911" s="83" t="str">
        <f>IFERROR(INDEX('Cost_Components'!$M$2:$M$27,MATCH(E911,'Cost_Components'!$A$2:$A$27,0)),"")</f>
      </c>
      <c r="AD911" s="84" t="str">
        <f>IFERROR(INDEX('Cost_Components'!$N$2:$N$27,MATCH(E911,'Cost_Components'!$A$2:$A$27,0)),"")</f>
      </c>
      <c r="AE911" s="20" t="str">
        <f>IFERROR(INDEX('Cost_Components'!$O$2:$O$27,MATCH(E911,'Cost_Components'!$A$2:$A$27,0)),"")</f>
      </c>
      <c r="AF911" s="85" t="n">
        <v>712794.230667774</v>
      </c>
      <c r="AG911" s="86" t="n">
        <v>798478.813288951</v>
      </c>
      <c r="AH911" s="87" t="str">
        <f>IF(H911="shared-count-once",COUNTIFS($A$2:$A$1353,A911,$B$2:$B$1353,B911,$E$2:$E$1353,E911),1)</f>
      </c>
    </row>
    <row r="912">
      <c r="A912" t="s">
        <v>75</v>
      </c>
      <c r="B912" s="59" t="n">
        <v>2025</v>
      </c>
      <c r="C912" t="s">
        <v>200</v>
      </c>
      <c r="D912" t="s">
        <v>166</v>
      </c>
      <c r="E912" s="60" t="s">
        <v>283</v>
      </c>
      <c r="F912" s="61" t="s">
        <v>284</v>
      </c>
      <c r="G912" s="62" t="s">
        <v>203</v>
      </c>
      <c r="H912" s="63" t="s">
        <v>195</v>
      </c>
      <c r="I912" s="64" t="s">
        <v>267</v>
      </c>
      <c r="J912" s="65" t="str">
        <f>IFERROR(INDEX('Cost_Components'!$K$2:$K$27,MATCH(E912,'Cost_Components'!$A$2:$A$27,0)),"")</f>
      </c>
      <c r="K912" s="66" t="str">
        <f>IF(OR(L912="",Z912="",AA912="",AB912=""),"",IF(B912&lt;AA912,L912,IF(B912&gt;AB912,Z912,L912+(Z912-L912)*MIN(MAX((B912-AA912+1)/MAX(AB912-AA912+1,1),0),1))))</f>
      </c>
      <c r="L912" s="67" t="str">
        <f>IFERROR(INDEX('Cost_Components'!$S$2:$S$27,MATCH(E912,'Cost_Components'!$A$2:$A$27,0)),"")</f>
      </c>
      <c r="M912" s="68" t="str">
        <f>IFERROR(INDEX('Cost_Components'!$L$2:$L$27,MATCH(E912,'Cost_Components'!$A$2:$A$27,0)),"")</f>
      </c>
      <c r="N912" s="69" t="str">
        <f>IFERROR(INDEX('Cost_Components'!$P$2:$P$27,MATCH(E912,'Cost_Components'!$A$2:$A$27,0)),"")</f>
      </c>
      <c r="O912" s="70" t="str">
        <f>AF912*J912</f>
      </c>
      <c r="P912" s="71" t="str">
        <f>AG912*J912</f>
      </c>
      <c r="Q912" s="72" t="str">
        <f>P912*L912*M912*N912</f>
      </c>
      <c r="R912" s="73" t="str">
        <f>O912*K912*M912*N912</f>
      </c>
      <c r="S912" s="74" t="str">
        <f>R912-Q912</f>
      </c>
      <c r="T912" s="20" t="str">
        <f>IFERROR(INDEX('Cost_Components'!$R$2:$R$27,MATCH(E912,'Cost_Components'!$A$2:$A$27,0)),"")</f>
      </c>
      <c r="U912" s="75" t="str">
        <f>IFERROR(INDEX('Cost_Components'!$Q$2:$Q$27,MATCH(E912,'Cost_Components'!$A$2:$A$27,0)),"")</f>
      </c>
      <c r="V912" s="76" t="str">
        <f>1/(1+'Calculation_Assumptions'!$B$5)^(B912-'Calculation_Assumptions'!$B$2)</f>
      </c>
      <c r="W912" s="77" t="str">
        <f>Q912*V912</f>
      </c>
      <c r="X912" s="78" t="str">
        <f>R912*V912</f>
      </c>
      <c r="Y912" s="79" t="str">
        <f>S912*V912</f>
      </c>
      <c r="Z912" s="80" t="str">
        <f>IFERROR(INDEX('Cost_Components'!$T$2:$T$27,MATCH(E912,'Cost_Components'!$A$2:$A$27,0)),"")</f>
      </c>
      <c r="AA912" s="81" t="str">
        <f>IFERROR(INDEX('Cost_Components'!$U$2:$U$27,MATCH(E912,'Cost_Components'!$A$2:$A$27,0)),"")</f>
      </c>
      <c r="AB912" s="82" t="str">
        <f>IFERROR(INDEX('Cost_Components'!$V$2:$V$27,MATCH(E912,'Cost_Components'!$A$2:$A$27,0)),"")</f>
      </c>
      <c r="AC912" s="83" t="str">
        <f>IFERROR(INDEX('Cost_Components'!$M$2:$M$27,MATCH(E912,'Cost_Components'!$A$2:$A$27,0)),"")</f>
      </c>
      <c r="AD912" s="84" t="str">
        <f>IFERROR(INDEX('Cost_Components'!$N$2:$N$27,MATCH(E912,'Cost_Components'!$A$2:$A$27,0)),"")</f>
      </c>
      <c r="AE912" s="20" t="str">
        <f>IFERROR(INDEX('Cost_Components'!$O$2:$O$27,MATCH(E912,'Cost_Components'!$A$2:$A$27,0)),"")</f>
      </c>
      <c r="AF912" s="85" t="n">
        <v>448015.597009838</v>
      </c>
      <c r="AG912" s="86" t="n">
        <v>448478.89837514</v>
      </c>
      <c r="AH912" s="87" t="str">
        <f>IF(H912="shared-count-once",COUNTIFS($A$2:$A$1353,A912,$B$2:$B$1353,B912,$E$2:$E$1353,E912),1)</f>
      </c>
    </row>
    <row r="913">
      <c r="A913" t="s">
        <v>75</v>
      </c>
      <c r="B913" s="59" t="n">
        <v>2026</v>
      </c>
      <c r="C913" t="s">
        <v>200</v>
      </c>
      <c r="D913" t="s">
        <v>166</v>
      </c>
      <c r="E913" s="60" t="s">
        <v>283</v>
      </c>
      <c r="F913" s="61" t="s">
        <v>284</v>
      </c>
      <c r="G913" s="62" t="s">
        <v>203</v>
      </c>
      <c r="H913" s="63" t="s">
        <v>195</v>
      </c>
      <c r="I913" s="64" t="s">
        <v>267</v>
      </c>
      <c r="J913" s="65" t="str">
        <f>IFERROR(INDEX('Cost_Components'!$K$2:$K$27,MATCH(E913,'Cost_Components'!$A$2:$A$27,0)),"")</f>
      </c>
      <c r="K913" s="66" t="str">
        <f>IF(OR(L913="",Z913="",AA913="",AB913=""),"",IF(B913&lt;AA913,L913,IF(B913&gt;AB913,Z913,L913+(Z913-L913)*MIN(MAX((B913-AA913+1)/MAX(AB913-AA913+1,1),0),1))))</f>
      </c>
      <c r="L913" s="67" t="str">
        <f>IFERROR(INDEX('Cost_Components'!$S$2:$S$27,MATCH(E913,'Cost_Components'!$A$2:$A$27,0)),"")</f>
      </c>
      <c r="M913" s="68" t="str">
        <f>IFERROR(INDEX('Cost_Components'!$L$2:$L$27,MATCH(E913,'Cost_Components'!$A$2:$A$27,0)),"")</f>
      </c>
      <c r="N913" s="69" t="str">
        <f>IFERROR(INDEX('Cost_Components'!$P$2:$P$27,MATCH(E913,'Cost_Components'!$A$2:$A$27,0)),"")</f>
      </c>
      <c r="O913" s="70" t="str">
        <f>AF913*J913</f>
      </c>
      <c r="P913" s="71" t="str">
        <f>AG913*J913</f>
      </c>
      <c r="Q913" s="72" t="str">
        <f>P913*L913*M913*N913</f>
      </c>
      <c r="R913" s="73" t="str">
        <f>O913*K913*M913*N913</f>
      </c>
      <c r="S913" s="74" t="str">
        <f>R913-Q913</f>
      </c>
      <c r="T913" s="20" t="str">
        <f>IFERROR(INDEX('Cost_Components'!$R$2:$R$27,MATCH(E913,'Cost_Components'!$A$2:$A$27,0)),"")</f>
      </c>
      <c r="U913" s="75" t="str">
        <f>IFERROR(INDEX('Cost_Components'!$Q$2:$Q$27,MATCH(E913,'Cost_Components'!$A$2:$A$27,0)),"")</f>
      </c>
      <c r="V913" s="76" t="str">
        <f>1/(1+'Calculation_Assumptions'!$B$5)^(B913-'Calculation_Assumptions'!$B$2)</f>
      </c>
      <c r="W913" s="77" t="str">
        <f>Q913*V913</f>
      </c>
      <c r="X913" s="78" t="str">
        <f>R913*V913</f>
      </c>
      <c r="Y913" s="79" t="str">
        <f>S913*V913</f>
      </c>
      <c r="Z913" s="80" t="str">
        <f>IFERROR(INDEX('Cost_Components'!$T$2:$T$27,MATCH(E913,'Cost_Components'!$A$2:$A$27,0)),"")</f>
      </c>
      <c r="AA913" s="81" t="str">
        <f>IFERROR(INDEX('Cost_Components'!$U$2:$U$27,MATCH(E913,'Cost_Components'!$A$2:$A$27,0)),"")</f>
      </c>
      <c r="AB913" s="82" t="str">
        <f>IFERROR(INDEX('Cost_Components'!$V$2:$V$27,MATCH(E913,'Cost_Components'!$A$2:$A$27,0)),"")</f>
      </c>
      <c r="AC913" s="83" t="str">
        <f>IFERROR(INDEX('Cost_Components'!$M$2:$M$27,MATCH(E913,'Cost_Components'!$A$2:$A$27,0)),"")</f>
      </c>
      <c r="AD913" s="84" t="str">
        <f>IFERROR(INDEX('Cost_Components'!$N$2:$N$27,MATCH(E913,'Cost_Components'!$A$2:$A$27,0)),"")</f>
      </c>
      <c r="AE913" s="20" t="str">
        <f>IFERROR(INDEX('Cost_Components'!$O$2:$O$27,MATCH(E913,'Cost_Components'!$A$2:$A$27,0)),"")</f>
      </c>
      <c r="AF913" s="85" t="n">
        <v>465467.059148994</v>
      </c>
      <c r="AG913" s="86" t="n">
        <v>466784.814466804</v>
      </c>
      <c r="AH913" s="87" t="str">
        <f>IF(H913="shared-count-once",COUNTIFS($A$2:$A$1353,A913,$B$2:$B$1353,B913,$E$2:$E$1353,E913),1)</f>
      </c>
    </row>
    <row r="914">
      <c r="A914" t="s">
        <v>75</v>
      </c>
      <c r="B914" s="59" t="n">
        <v>2027</v>
      </c>
      <c r="C914" t="s">
        <v>200</v>
      </c>
      <c r="D914" t="s">
        <v>166</v>
      </c>
      <c r="E914" s="60" t="s">
        <v>283</v>
      </c>
      <c r="F914" s="61" t="s">
        <v>284</v>
      </c>
      <c r="G914" s="62" t="s">
        <v>203</v>
      </c>
      <c r="H914" s="63" t="s">
        <v>195</v>
      </c>
      <c r="I914" s="64" t="s">
        <v>267</v>
      </c>
      <c r="J914" s="65" t="str">
        <f>IFERROR(INDEX('Cost_Components'!$K$2:$K$27,MATCH(E914,'Cost_Components'!$A$2:$A$27,0)),"")</f>
      </c>
      <c r="K914" s="66" t="str">
        <f>IF(OR(L914="",Z914="",AA914="",AB914=""),"",IF(B914&lt;AA914,L914,IF(B914&gt;AB914,Z914,L914+(Z914-L914)*MIN(MAX((B914-AA914+1)/MAX(AB914-AA914+1,1),0),1))))</f>
      </c>
      <c r="L914" s="67" t="str">
        <f>IFERROR(INDEX('Cost_Components'!$S$2:$S$27,MATCH(E914,'Cost_Components'!$A$2:$A$27,0)),"")</f>
      </c>
      <c r="M914" s="68" t="str">
        <f>IFERROR(INDEX('Cost_Components'!$L$2:$L$27,MATCH(E914,'Cost_Components'!$A$2:$A$27,0)),"")</f>
      </c>
      <c r="N914" s="69" t="str">
        <f>IFERROR(INDEX('Cost_Components'!$P$2:$P$27,MATCH(E914,'Cost_Components'!$A$2:$A$27,0)),"")</f>
      </c>
      <c r="O914" s="70" t="str">
        <f>AF914*J914</f>
      </c>
      <c r="P914" s="71" t="str">
        <f>AG914*J914</f>
      </c>
      <c r="Q914" s="72" t="str">
        <f>P914*L914*M914*N914</f>
      </c>
      <c r="R914" s="73" t="str">
        <f>O914*K914*M914*N914</f>
      </c>
      <c r="S914" s="74" t="str">
        <f>R914-Q914</f>
      </c>
      <c r="T914" s="20" t="str">
        <f>IFERROR(INDEX('Cost_Components'!$R$2:$R$27,MATCH(E914,'Cost_Components'!$A$2:$A$27,0)),"")</f>
      </c>
      <c r="U914" s="75" t="str">
        <f>IFERROR(INDEX('Cost_Components'!$Q$2:$Q$27,MATCH(E914,'Cost_Components'!$A$2:$A$27,0)),"")</f>
      </c>
      <c r="V914" s="76" t="str">
        <f>1/(1+'Calculation_Assumptions'!$B$5)^(B914-'Calculation_Assumptions'!$B$2)</f>
      </c>
      <c r="W914" s="77" t="str">
        <f>Q914*V914</f>
      </c>
      <c r="X914" s="78" t="str">
        <f>R914*V914</f>
      </c>
      <c r="Y914" s="79" t="str">
        <f>S914*V914</f>
      </c>
      <c r="Z914" s="80" t="str">
        <f>IFERROR(INDEX('Cost_Components'!$T$2:$T$27,MATCH(E914,'Cost_Components'!$A$2:$A$27,0)),"")</f>
      </c>
      <c r="AA914" s="81" t="str">
        <f>IFERROR(INDEX('Cost_Components'!$U$2:$U$27,MATCH(E914,'Cost_Components'!$A$2:$A$27,0)),"")</f>
      </c>
      <c r="AB914" s="82" t="str">
        <f>IFERROR(INDEX('Cost_Components'!$V$2:$V$27,MATCH(E914,'Cost_Components'!$A$2:$A$27,0)),"")</f>
      </c>
      <c r="AC914" s="83" t="str">
        <f>IFERROR(INDEX('Cost_Components'!$M$2:$M$27,MATCH(E914,'Cost_Components'!$A$2:$A$27,0)),"")</f>
      </c>
      <c r="AD914" s="84" t="str">
        <f>IFERROR(INDEX('Cost_Components'!$N$2:$N$27,MATCH(E914,'Cost_Components'!$A$2:$A$27,0)),"")</f>
      </c>
      <c r="AE914" s="20" t="str">
        <f>IFERROR(INDEX('Cost_Components'!$O$2:$O$27,MATCH(E914,'Cost_Components'!$A$2:$A$27,0)),"")</f>
      </c>
      <c r="AF914" s="85" t="n">
        <v>479118.851441291</v>
      </c>
      <c r="AG914" s="86" t="n">
        <v>481614.310299758</v>
      </c>
      <c r="AH914" s="87" t="str">
        <f>IF(H914="shared-count-once",COUNTIFS($A$2:$A$1353,A914,$B$2:$B$1353,B914,$E$2:$E$1353,E914),1)</f>
      </c>
    </row>
    <row r="915">
      <c r="A915" t="s">
        <v>75</v>
      </c>
      <c r="B915" s="59" t="n">
        <v>2028</v>
      </c>
      <c r="C915" t="s">
        <v>200</v>
      </c>
      <c r="D915" t="s">
        <v>166</v>
      </c>
      <c r="E915" s="60" t="s">
        <v>283</v>
      </c>
      <c r="F915" s="61" t="s">
        <v>284</v>
      </c>
      <c r="G915" s="62" t="s">
        <v>203</v>
      </c>
      <c r="H915" s="63" t="s">
        <v>195</v>
      </c>
      <c r="I915" s="64" t="s">
        <v>267</v>
      </c>
      <c r="J915" s="65" t="str">
        <f>IFERROR(INDEX('Cost_Components'!$K$2:$K$27,MATCH(E915,'Cost_Components'!$A$2:$A$27,0)),"")</f>
      </c>
      <c r="K915" s="66" t="str">
        <f>IF(OR(L915="",Z915="",AA915="",AB915=""),"",IF(B915&lt;AA915,L915,IF(B915&gt;AB915,Z915,L915+(Z915-L915)*MIN(MAX((B915-AA915+1)/MAX(AB915-AA915+1,1),0),1))))</f>
      </c>
      <c r="L915" s="67" t="str">
        <f>IFERROR(INDEX('Cost_Components'!$S$2:$S$27,MATCH(E915,'Cost_Components'!$A$2:$A$27,0)),"")</f>
      </c>
      <c r="M915" s="68" t="str">
        <f>IFERROR(INDEX('Cost_Components'!$L$2:$L$27,MATCH(E915,'Cost_Components'!$A$2:$A$27,0)),"")</f>
      </c>
      <c r="N915" s="69" t="str">
        <f>IFERROR(INDEX('Cost_Components'!$P$2:$P$27,MATCH(E915,'Cost_Components'!$A$2:$A$27,0)),"")</f>
      </c>
      <c r="O915" s="70" t="str">
        <f>AF915*J915</f>
      </c>
      <c r="P915" s="71" t="str">
        <f>AG915*J915</f>
      </c>
      <c r="Q915" s="72" t="str">
        <f>P915*L915*M915*N915</f>
      </c>
      <c r="R915" s="73" t="str">
        <f>O915*K915*M915*N915</f>
      </c>
      <c r="S915" s="74" t="str">
        <f>R915-Q915</f>
      </c>
      <c r="T915" s="20" t="str">
        <f>IFERROR(INDEX('Cost_Components'!$R$2:$R$27,MATCH(E915,'Cost_Components'!$A$2:$A$27,0)),"")</f>
      </c>
      <c r="U915" s="75" t="str">
        <f>IFERROR(INDEX('Cost_Components'!$Q$2:$Q$27,MATCH(E915,'Cost_Components'!$A$2:$A$27,0)),"")</f>
      </c>
      <c r="V915" s="76" t="str">
        <f>1/(1+'Calculation_Assumptions'!$B$5)^(B915-'Calculation_Assumptions'!$B$2)</f>
      </c>
      <c r="W915" s="77" t="str">
        <f>Q915*V915</f>
      </c>
      <c r="X915" s="78" t="str">
        <f>R915*V915</f>
      </c>
      <c r="Y915" s="79" t="str">
        <f>S915*V915</f>
      </c>
      <c r="Z915" s="80" t="str">
        <f>IFERROR(INDEX('Cost_Components'!$T$2:$T$27,MATCH(E915,'Cost_Components'!$A$2:$A$27,0)),"")</f>
      </c>
      <c r="AA915" s="81" t="str">
        <f>IFERROR(INDEX('Cost_Components'!$U$2:$U$27,MATCH(E915,'Cost_Components'!$A$2:$A$27,0)),"")</f>
      </c>
      <c r="AB915" s="82" t="str">
        <f>IFERROR(INDEX('Cost_Components'!$V$2:$V$27,MATCH(E915,'Cost_Components'!$A$2:$A$27,0)),"")</f>
      </c>
      <c r="AC915" s="83" t="str">
        <f>IFERROR(INDEX('Cost_Components'!$M$2:$M$27,MATCH(E915,'Cost_Components'!$A$2:$A$27,0)),"")</f>
      </c>
      <c r="AD915" s="84" t="str">
        <f>IFERROR(INDEX('Cost_Components'!$N$2:$N$27,MATCH(E915,'Cost_Components'!$A$2:$A$27,0)),"")</f>
      </c>
      <c r="AE915" s="20" t="str">
        <f>IFERROR(INDEX('Cost_Components'!$O$2:$O$27,MATCH(E915,'Cost_Components'!$A$2:$A$27,0)),"")</f>
      </c>
      <c r="AF915" s="85" t="n">
        <v>490390.573274338</v>
      </c>
      <c r="AG915" s="86" t="n">
        <v>494345.788363417</v>
      </c>
      <c r="AH915" s="87" t="str">
        <f>IF(H915="shared-count-once",COUNTIFS($A$2:$A$1353,A915,$B$2:$B$1353,B915,$E$2:$E$1353,E915),1)</f>
      </c>
    </row>
    <row r="916">
      <c r="A916" t="s">
        <v>75</v>
      </c>
      <c r="B916" s="59" t="n">
        <v>2029</v>
      </c>
      <c r="C916" t="s">
        <v>200</v>
      </c>
      <c r="D916" t="s">
        <v>166</v>
      </c>
      <c r="E916" s="60" t="s">
        <v>283</v>
      </c>
      <c r="F916" s="61" t="s">
        <v>284</v>
      </c>
      <c r="G916" s="62" t="s">
        <v>203</v>
      </c>
      <c r="H916" s="63" t="s">
        <v>195</v>
      </c>
      <c r="I916" s="64" t="s">
        <v>267</v>
      </c>
      <c r="J916" s="65" t="str">
        <f>IFERROR(INDEX('Cost_Components'!$K$2:$K$27,MATCH(E916,'Cost_Components'!$A$2:$A$27,0)),"")</f>
      </c>
      <c r="K916" s="66" t="str">
        <f>IF(OR(L916="",Z916="",AA916="",AB916=""),"",IF(B916&lt;AA916,L916,IF(B916&gt;AB916,Z916,L916+(Z916-L916)*MIN(MAX((B916-AA916+1)/MAX(AB916-AA916+1,1),0),1))))</f>
      </c>
      <c r="L916" s="67" t="str">
        <f>IFERROR(INDEX('Cost_Components'!$S$2:$S$27,MATCH(E916,'Cost_Components'!$A$2:$A$27,0)),"")</f>
      </c>
      <c r="M916" s="68" t="str">
        <f>IFERROR(INDEX('Cost_Components'!$L$2:$L$27,MATCH(E916,'Cost_Components'!$A$2:$A$27,0)),"")</f>
      </c>
      <c r="N916" s="69" t="str">
        <f>IFERROR(INDEX('Cost_Components'!$P$2:$P$27,MATCH(E916,'Cost_Components'!$A$2:$A$27,0)),"")</f>
      </c>
      <c r="O916" s="70" t="str">
        <f>AF916*J916</f>
      </c>
      <c r="P916" s="71" t="str">
        <f>AG916*J916</f>
      </c>
      <c r="Q916" s="72" t="str">
        <f>P916*L916*M916*N916</f>
      </c>
      <c r="R916" s="73" t="str">
        <f>O916*K916*M916*N916</f>
      </c>
      <c r="S916" s="74" t="str">
        <f>R916-Q916</f>
      </c>
      <c r="T916" s="20" t="str">
        <f>IFERROR(INDEX('Cost_Components'!$R$2:$R$27,MATCH(E916,'Cost_Components'!$A$2:$A$27,0)),"")</f>
      </c>
      <c r="U916" s="75" t="str">
        <f>IFERROR(INDEX('Cost_Components'!$Q$2:$Q$27,MATCH(E916,'Cost_Components'!$A$2:$A$27,0)),"")</f>
      </c>
      <c r="V916" s="76" t="str">
        <f>1/(1+'Calculation_Assumptions'!$B$5)^(B916-'Calculation_Assumptions'!$B$2)</f>
      </c>
      <c r="W916" s="77" t="str">
        <f>Q916*V916</f>
      </c>
      <c r="X916" s="78" t="str">
        <f>R916*V916</f>
      </c>
      <c r="Y916" s="79" t="str">
        <f>S916*V916</f>
      </c>
      <c r="Z916" s="80" t="str">
        <f>IFERROR(INDEX('Cost_Components'!$T$2:$T$27,MATCH(E916,'Cost_Components'!$A$2:$A$27,0)),"")</f>
      </c>
      <c r="AA916" s="81" t="str">
        <f>IFERROR(INDEX('Cost_Components'!$U$2:$U$27,MATCH(E916,'Cost_Components'!$A$2:$A$27,0)),"")</f>
      </c>
      <c r="AB916" s="82" t="str">
        <f>IFERROR(INDEX('Cost_Components'!$V$2:$V$27,MATCH(E916,'Cost_Components'!$A$2:$A$27,0)),"")</f>
      </c>
      <c r="AC916" s="83" t="str">
        <f>IFERROR(INDEX('Cost_Components'!$M$2:$M$27,MATCH(E916,'Cost_Components'!$A$2:$A$27,0)),"")</f>
      </c>
      <c r="AD916" s="84" t="str">
        <f>IFERROR(INDEX('Cost_Components'!$N$2:$N$27,MATCH(E916,'Cost_Components'!$A$2:$A$27,0)),"")</f>
      </c>
      <c r="AE916" s="20" t="str">
        <f>IFERROR(INDEX('Cost_Components'!$O$2:$O$27,MATCH(E916,'Cost_Components'!$A$2:$A$27,0)),"")</f>
      </c>
      <c r="AF916" s="85" t="n">
        <v>499554.05415889</v>
      </c>
      <c r="AG916" s="86" t="n">
        <v>505191.380474151</v>
      </c>
      <c r="AH916" s="87" t="str">
        <f>IF(H916="shared-count-once",COUNTIFS($A$2:$A$1353,A916,$B$2:$B$1353,B916,$E$2:$E$1353,E916),1)</f>
      </c>
    </row>
    <row r="917">
      <c r="A917" t="s">
        <v>75</v>
      </c>
      <c r="B917" s="59" t="n">
        <v>2030</v>
      </c>
      <c r="C917" t="s">
        <v>200</v>
      </c>
      <c r="D917" t="s">
        <v>166</v>
      </c>
      <c r="E917" s="60" t="s">
        <v>283</v>
      </c>
      <c r="F917" s="61" t="s">
        <v>284</v>
      </c>
      <c r="G917" s="62" t="s">
        <v>203</v>
      </c>
      <c r="H917" s="63" t="s">
        <v>195</v>
      </c>
      <c r="I917" s="64" t="s">
        <v>267</v>
      </c>
      <c r="J917" s="65" t="str">
        <f>IFERROR(INDEX('Cost_Components'!$K$2:$K$27,MATCH(E917,'Cost_Components'!$A$2:$A$27,0)),"")</f>
      </c>
      <c r="K917" s="66" t="str">
        <f>IF(OR(L917="",Z917="",AA917="",AB917=""),"",IF(B917&lt;AA917,L917,IF(B917&gt;AB917,Z917,L917+(Z917-L917)*MIN(MAX((B917-AA917+1)/MAX(AB917-AA917+1,1),0),1))))</f>
      </c>
      <c r="L917" s="67" t="str">
        <f>IFERROR(INDEX('Cost_Components'!$S$2:$S$27,MATCH(E917,'Cost_Components'!$A$2:$A$27,0)),"")</f>
      </c>
      <c r="M917" s="68" t="str">
        <f>IFERROR(INDEX('Cost_Components'!$L$2:$L$27,MATCH(E917,'Cost_Components'!$A$2:$A$27,0)),"")</f>
      </c>
      <c r="N917" s="69" t="str">
        <f>IFERROR(INDEX('Cost_Components'!$P$2:$P$27,MATCH(E917,'Cost_Components'!$A$2:$A$27,0)),"")</f>
      </c>
      <c r="O917" s="70" t="str">
        <f>AF917*J917</f>
      </c>
      <c r="P917" s="71" t="str">
        <f>AG917*J917</f>
      </c>
      <c r="Q917" s="72" t="str">
        <f>P917*L917*M917*N917</f>
      </c>
      <c r="R917" s="73" t="str">
        <f>O917*K917*M917*N917</f>
      </c>
      <c r="S917" s="74" t="str">
        <f>R917-Q917</f>
      </c>
      <c r="T917" s="20" t="str">
        <f>IFERROR(INDEX('Cost_Components'!$R$2:$R$27,MATCH(E917,'Cost_Components'!$A$2:$A$27,0)),"")</f>
      </c>
      <c r="U917" s="75" t="str">
        <f>IFERROR(INDEX('Cost_Components'!$Q$2:$Q$27,MATCH(E917,'Cost_Components'!$A$2:$A$27,0)),"")</f>
      </c>
      <c r="V917" s="76" t="str">
        <f>1/(1+'Calculation_Assumptions'!$B$5)^(B917-'Calculation_Assumptions'!$B$2)</f>
      </c>
      <c r="W917" s="77" t="str">
        <f>Q917*V917</f>
      </c>
      <c r="X917" s="78" t="str">
        <f>R917*V917</f>
      </c>
      <c r="Y917" s="79" t="str">
        <f>S917*V917</f>
      </c>
      <c r="Z917" s="80" t="str">
        <f>IFERROR(INDEX('Cost_Components'!$T$2:$T$27,MATCH(E917,'Cost_Components'!$A$2:$A$27,0)),"")</f>
      </c>
      <c r="AA917" s="81" t="str">
        <f>IFERROR(INDEX('Cost_Components'!$U$2:$U$27,MATCH(E917,'Cost_Components'!$A$2:$A$27,0)),"")</f>
      </c>
      <c r="AB917" s="82" t="str">
        <f>IFERROR(INDEX('Cost_Components'!$V$2:$V$27,MATCH(E917,'Cost_Components'!$A$2:$A$27,0)),"")</f>
      </c>
      <c r="AC917" s="83" t="str">
        <f>IFERROR(INDEX('Cost_Components'!$M$2:$M$27,MATCH(E917,'Cost_Components'!$A$2:$A$27,0)),"")</f>
      </c>
      <c r="AD917" s="84" t="str">
        <f>IFERROR(INDEX('Cost_Components'!$N$2:$N$27,MATCH(E917,'Cost_Components'!$A$2:$A$27,0)),"")</f>
      </c>
      <c r="AE917" s="20" t="str">
        <f>IFERROR(INDEX('Cost_Components'!$O$2:$O$27,MATCH(E917,'Cost_Components'!$A$2:$A$27,0)),"")</f>
      </c>
      <c r="AF917" s="85" t="n">
        <v>508494.179481498</v>
      </c>
      <c r="AG917" s="86" t="n">
        <v>516054.92713886</v>
      </c>
      <c r="AH917" s="87" t="str">
        <f>IF(H917="shared-count-once",COUNTIFS($A$2:$A$1353,A917,$B$2:$B$1353,B917,$E$2:$E$1353,E917),1)</f>
      </c>
    </row>
    <row r="918">
      <c r="A918" t="s">
        <v>75</v>
      </c>
      <c r="B918" s="59" t="n">
        <v>2031</v>
      </c>
      <c r="C918" t="s">
        <v>200</v>
      </c>
      <c r="D918" t="s">
        <v>166</v>
      </c>
      <c r="E918" s="60" t="s">
        <v>283</v>
      </c>
      <c r="F918" s="61" t="s">
        <v>284</v>
      </c>
      <c r="G918" s="62" t="s">
        <v>203</v>
      </c>
      <c r="H918" s="63" t="s">
        <v>195</v>
      </c>
      <c r="I918" s="64" t="s">
        <v>267</v>
      </c>
      <c r="J918" s="65" t="str">
        <f>IFERROR(INDEX('Cost_Components'!$K$2:$K$27,MATCH(E918,'Cost_Components'!$A$2:$A$27,0)),"")</f>
      </c>
      <c r="K918" s="66" t="str">
        <f>IF(OR(L918="",Z918="",AA918="",AB918=""),"",IF(B918&lt;AA918,L918,IF(B918&gt;AB918,Z918,L918+(Z918-L918)*MIN(MAX((B918-AA918+1)/MAX(AB918-AA918+1,1),0),1))))</f>
      </c>
      <c r="L918" s="67" t="str">
        <f>IFERROR(INDEX('Cost_Components'!$S$2:$S$27,MATCH(E918,'Cost_Components'!$A$2:$A$27,0)),"")</f>
      </c>
      <c r="M918" s="68" t="str">
        <f>IFERROR(INDEX('Cost_Components'!$L$2:$L$27,MATCH(E918,'Cost_Components'!$A$2:$A$27,0)),"")</f>
      </c>
      <c r="N918" s="69" t="str">
        <f>IFERROR(INDEX('Cost_Components'!$P$2:$P$27,MATCH(E918,'Cost_Components'!$A$2:$A$27,0)),"")</f>
      </c>
      <c r="O918" s="70" t="str">
        <f>AF918*J918</f>
      </c>
      <c r="P918" s="71" t="str">
        <f>AG918*J918</f>
      </c>
      <c r="Q918" s="72" t="str">
        <f>P918*L918*M918*N918</f>
      </c>
      <c r="R918" s="73" t="str">
        <f>O918*K918*M918*N918</f>
      </c>
      <c r="S918" s="74" t="str">
        <f>R918-Q918</f>
      </c>
      <c r="T918" s="20" t="str">
        <f>IFERROR(INDEX('Cost_Components'!$R$2:$R$27,MATCH(E918,'Cost_Components'!$A$2:$A$27,0)),"")</f>
      </c>
      <c r="U918" s="75" t="str">
        <f>IFERROR(INDEX('Cost_Components'!$Q$2:$Q$27,MATCH(E918,'Cost_Components'!$A$2:$A$27,0)),"")</f>
      </c>
      <c r="V918" s="76" t="str">
        <f>1/(1+'Calculation_Assumptions'!$B$5)^(B918-'Calculation_Assumptions'!$B$2)</f>
      </c>
      <c r="W918" s="77" t="str">
        <f>Q918*V918</f>
      </c>
      <c r="X918" s="78" t="str">
        <f>R918*V918</f>
      </c>
      <c r="Y918" s="79" t="str">
        <f>S918*V918</f>
      </c>
      <c r="Z918" s="80" t="str">
        <f>IFERROR(INDEX('Cost_Components'!$T$2:$T$27,MATCH(E918,'Cost_Components'!$A$2:$A$27,0)),"")</f>
      </c>
      <c r="AA918" s="81" t="str">
        <f>IFERROR(INDEX('Cost_Components'!$U$2:$U$27,MATCH(E918,'Cost_Components'!$A$2:$A$27,0)),"")</f>
      </c>
      <c r="AB918" s="82" t="str">
        <f>IFERROR(INDEX('Cost_Components'!$V$2:$V$27,MATCH(E918,'Cost_Components'!$A$2:$A$27,0)),"")</f>
      </c>
      <c r="AC918" s="83" t="str">
        <f>IFERROR(INDEX('Cost_Components'!$M$2:$M$27,MATCH(E918,'Cost_Components'!$A$2:$A$27,0)),"")</f>
      </c>
      <c r="AD918" s="84" t="str">
        <f>IFERROR(INDEX('Cost_Components'!$N$2:$N$27,MATCH(E918,'Cost_Components'!$A$2:$A$27,0)),"")</f>
      </c>
      <c r="AE918" s="20" t="str">
        <f>IFERROR(INDEX('Cost_Components'!$O$2:$O$27,MATCH(E918,'Cost_Components'!$A$2:$A$27,0)),"")</f>
      </c>
      <c r="AF918" s="85" t="n">
        <v>517534.613598546</v>
      </c>
      <c r="AG918" s="86" t="n">
        <v>527258.82041239</v>
      </c>
      <c r="AH918" s="87" t="str">
        <f>IF(H918="shared-count-once",COUNTIFS($A$2:$A$1353,A918,$B$2:$B$1353,B918,$E$2:$E$1353,E918),1)</f>
      </c>
    </row>
    <row r="919">
      <c r="A919" t="s">
        <v>75</v>
      </c>
      <c r="B919" s="59" t="n">
        <v>2032</v>
      </c>
      <c r="C919" t="s">
        <v>200</v>
      </c>
      <c r="D919" t="s">
        <v>166</v>
      </c>
      <c r="E919" s="60" t="s">
        <v>283</v>
      </c>
      <c r="F919" s="61" t="s">
        <v>284</v>
      </c>
      <c r="G919" s="62" t="s">
        <v>203</v>
      </c>
      <c r="H919" s="63" t="s">
        <v>195</v>
      </c>
      <c r="I919" s="64" t="s">
        <v>267</v>
      </c>
      <c r="J919" s="65" t="str">
        <f>IFERROR(INDEX('Cost_Components'!$K$2:$K$27,MATCH(E919,'Cost_Components'!$A$2:$A$27,0)),"")</f>
      </c>
      <c r="K919" s="66" t="str">
        <f>IF(OR(L919="",Z919="",AA919="",AB919=""),"",IF(B919&lt;AA919,L919,IF(B919&gt;AB919,Z919,L919+(Z919-L919)*MIN(MAX((B919-AA919+1)/MAX(AB919-AA919+1,1),0),1))))</f>
      </c>
      <c r="L919" s="67" t="str">
        <f>IFERROR(INDEX('Cost_Components'!$S$2:$S$27,MATCH(E919,'Cost_Components'!$A$2:$A$27,0)),"")</f>
      </c>
      <c r="M919" s="68" t="str">
        <f>IFERROR(INDEX('Cost_Components'!$L$2:$L$27,MATCH(E919,'Cost_Components'!$A$2:$A$27,0)),"")</f>
      </c>
      <c r="N919" s="69" t="str">
        <f>IFERROR(INDEX('Cost_Components'!$P$2:$P$27,MATCH(E919,'Cost_Components'!$A$2:$A$27,0)),"")</f>
      </c>
      <c r="O919" s="70" t="str">
        <f>AF919*J919</f>
      </c>
      <c r="P919" s="71" t="str">
        <f>AG919*J919</f>
      </c>
      <c r="Q919" s="72" t="str">
        <f>P919*L919*M919*N919</f>
      </c>
      <c r="R919" s="73" t="str">
        <f>O919*K919*M919*N919</f>
      </c>
      <c r="S919" s="74" t="str">
        <f>R919-Q919</f>
      </c>
      <c r="T919" s="20" t="str">
        <f>IFERROR(INDEX('Cost_Components'!$R$2:$R$27,MATCH(E919,'Cost_Components'!$A$2:$A$27,0)),"")</f>
      </c>
      <c r="U919" s="75" t="str">
        <f>IFERROR(INDEX('Cost_Components'!$Q$2:$Q$27,MATCH(E919,'Cost_Components'!$A$2:$A$27,0)),"")</f>
      </c>
      <c r="V919" s="76" t="str">
        <f>1/(1+'Calculation_Assumptions'!$B$5)^(B919-'Calculation_Assumptions'!$B$2)</f>
      </c>
      <c r="W919" s="77" t="str">
        <f>Q919*V919</f>
      </c>
      <c r="X919" s="78" t="str">
        <f>R919*V919</f>
      </c>
      <c r="Y919" s="79" t="str">
        <f>S919*V919</f>
      </c>
      <c r="Z919" s="80" t="str">
        <f>IFERROR(INDEX('Cost_Components'!$T$2:$T$27,MATCH(E919,'Cost_Components'!$A$2:$A$27,0)),"")</f>
      </c>
      <c r="AA919" s="81" t="str">
        <f>IFERROR(INDEX('Cost_Components'!$U$2:$U$27,MATCH(E919,'Cost_Components'!$A$2:$A$27,0)),"")</f>
      </c>
      <c r="AB919" s="82" t="str">
        <f>IFERROR(INDEX('Cost_Components'!$V$2:$V$27,MATCH(E919,'Cost_Components'!$A$2:$A$27,0)),"")</f>
      </c>
      <c r="AC919" s="83" t="str">
        <f>IFERROR(INDEX('Cost_Components'!$M$2:$M$27,MATCH(E919,'Cost_Components'!$A$2:$A$27,0)),"")</f>
      </c>
      <c r="AD919" s="84" t="str">
        <f>IFERROR(INDEX('Cost_Components'!$N$2:$N$27,MATCH(E919,'Cost_Components'!$A$2:$A$27,0)),"")</f>
      </c>
      <c r="AE919" s="20" t="str">
        <f>IFERROR(INDEX('Cost_Components'!$O$2:$O$27,MATCH(E919,'Cost_Components'!$A$2:$A$27,0)),"")</f>
      </c>
      <c r="AF919" s="85" t="n">
        <v>526726.652506227</v>
      </c>
      <c r="AG919" s="86" t="n">
        <v>538838.193996299</v>
      </c>
      <c r="AH919" s="87" t="str">
        <f>IF(H919="shared-count-once",COUNTIFS($A$2:$A$1353,A919,$B$2:$B$1353,B919,$E$2:$E$1353,E919),1)</f>
      </c>
    </row>
    <row r="920">
      <c r="A920" t="s">
        <v>75</v>
      </c>
      <c r="B920" s="59" t="n">
        <v>2033</v>
      </c>
      <c r="C920" t="s">
        <v>200</v>
      </c>
      <c r="D920" t="s">
        <v>166</v>
      </c>
      <c r="E920" s="60" t="s">
        <v>283</v>
      </c>
      <c r="F920" s="61" t="s">
        <v>284</v>
      </c>
      <c r="G920" s="62" t="s">
        <v>203</v>
      </c>
      <c r="H920" s="63" t="s">
        <v>195</v>
      </c>
      <c r="I920" s="64" t="s">
        <v>267</v>
      </c>
      <c r="J920" s="65" t="str">
        <f>IFERROR(INDEX('Cost_Components'!$K$2:$K$27,MATCH(E920,'Cost_Components'!$A$2:$A$27,0)),"")</f>
      </c>
      <c r="K920" s="66" t="str">
        <f>IF(OR(L920="",Z920="",AA920="",AB920=""),"",IF(B920&lt;AA920,L920,IF(B920&gt;AB920,Z920,L920+(Z920-L920)*MIN(MAX((B920-AA920+1)/MAX(AB920-AA920+1,1),0),1))))</f>
      </c>
      <c r="L920" s="67" t="str">
        <f>IFERROR(INDEX('Cost_Components'!$S$2:$S$27,MATCH(E920,'Cost_Components'!$A$2:$A$27,0)),"")</f>
      </c>
      <c r="M920" s="68" t="str">
        <f>IFERROR(INDEX('Cost_Components'!$L$2:$L$27,MATCH(E920,'Cost_Components'!$A$2:$A$27,0)),"")</f>
      </c>
      <c r="N920" s="69" t="str">
        <f>IFERROR(INDEX('Cost_Components'!$P$2:$P$27,MATCH(E920,'Cost_Components'!$A$2:$A$27,0)),"")</f>
      </c>
      <c r="O920" s="70" t="str">
        <f>AF920*J920</f>
      </c>
      <c r="P920" s="71" t="str">
        <f>AG920*J920</f>
      </c>
      <c r="Q920" s="72" t="str">
        <f>P920*L920*M920*N920</f>
      </c>
      <c r="R920" s="73" t="str">
        <f>O920*K920*M920*N920</f>
      </c>
      <c r="S920" s="74" t="str">
        <f>R920-Q920</f>
      </c>
      <c r="T920" s="20" t="str">
        <f>IFERROR(INDEX('Cost_Components'!$R$2:$R$27,MATCH(E920,'Cost_Components'!$A$2:$A$27,0)),"")</f>
      </c>
      <c r="U920" s="75" t="str">
        <f>IFERROR(INDEX('Cost_Components'!$Q$2:$Q$27,MATCH(E920,'Cost_Components'!$A$2:$A$27,0)),"")</f>
      </c>
      <c r="V920" s="76" t="str">
        <f>1/(1+'Calculation_Assumptions'!$B$5)^(B920-'Calculation_Assumptions'!$B$2)</f>
      </c>
      <c r="W920" s="77" t="str">
        <f>Q920*V920</f>
      </c>
      <c r="X920" s="78" t="str">
        <f>R920*V920</f>
      </c>
      <c r="Y920" s="79" t="str">
        <f>S920*V920</f>
      </c>
      <c r="Z920" s="80" t="str">
        <f>IFERROR(INDEX('Cost_Components'!$T$2:$T$27,MATCH(E920,'Cost_Components'!$A$2:$A$27,0)),"")</f>
      </c>
      <c r="AA920" s="81" t="str">
        <f>IFERROR(INDEX('Cost_Components'!$U$2:$U$27,MATCH(E920,'Cost_Components'!$A$2:$A$27,0)),"")</f>
      </c>
      <c r="AB920" s="82" t="str">
        <f>IFERROR(INDEX('Cost_Components'!$V$2:$V$27,MATCH(E920,'Cost_Components'!$A$2:$A$27,0)),"")</f>
      </c>
      <c r="AC920" s="83" t="str">
        <f>IFERROR(INDEX('Cost_Components'!$M$2:$M$27,MATCH(E920,'Cost_Components'!$A$2:$A$27,0)),"")</f>
      </c>
      <c r="AD920" s="84" t="str">
        <f>IFERROR(INDEX('Cost_Components'!$N$2:$N$27,MATCH(E920,'Cost_Components'!$A$2:$A$27,0)),"")</f>
      </c>
      <c r="AE920" s="20" t="str">
        <f>IFERROR(INDEX('Cost_Components'!$O$2:$O$27,MATCH(E920,'Cost_Components'!$A$2:$A$27,0)),"")</f>
      </c>
      <c r="AF920" s="85" t="n">
        <v>536198.555888251</v>
      </c>
      <c r="AG920" s="86" t="n">
        <v>550915.137227313</v>
      </c>
      <c r="AH920" s="87" t="str">
        <f>IF(H920="shared-count-once",COUNTIFS($A$2:$A$1353,A920,$B$2:$B$1353,B920,$E$2:$E$1353,E920),1)</f>
      </c>
    </row>
    <row r="921">
      <c r="A921" t="s">
        <v>75</v>
      </c>
      <c r="B921" s="59" t="n">
        <v>2034</v>
      </c>
      <c r="C921" t="s">
        <v>200</v>
      </c>
      <c r="D921" t="s">
        <v>166</v>
      </c>
      <c r="E921" s="60" t="s">
        <v>283</v>
      </c>
      <c r="F921" s="61" t="s">
        <v>284</v>
      </c>
      <c r="G921" s="62" t="s">
        <v>203</v>
      </c>
      <c r="H921" s="63" t="s">
        <v>195</v>
      </c>
      <c r="I921" s="64" t="s">
        <v>267</v>
      </c>
      <c r="J921" s="65" t="str">
        <f>IFERROR(INDEX('Cost_Components'!$K$2:$K$27,MATCH(E921,'Cost_Components'!$A$2:$A$27,0)),"")</f>
      </c>
      <c r="K921" s="66" t="str">
        <f>IF(OR(L921="",Z921="",AA921="",AB921=""),"",IF(B921&lt;AA921,L921,IF(B921&gt;AB921,Z921,L921+(Z921-L921)*MIN(MAX((B921-AA921+1)/MAX(AB921-AA921+1,1),0),1))))</f>
      </c>
      <c r="L921" s="67" t="str">
        <f>IFERROR(INDEX('Cost_Components'!$S$2:$S$27,MATCH(E921,'Cost_Components'!$A$2:$A$27,0)),"")</f>
      </c>
      <c r="M921" s="68" t="str">
        <f>IFERROR(INDEX('Cost_Components'!$L$2:$L$27,MATCH(E921,'Cost_Components'!$A$2:$A$27,0)),"")</f>
      </c>
      <c r="N921" s="69" t="str">
        <f>IFERROR(INDEX('Cost_Components'!$P$2:$P$27,MATCH(E921,'Cost_Components'!$A$2:$A$27,0)),"")</f>
      </c>
      <c r="O921" s="70" t="str">
        <f>AF921*J921</f>
      </c>
      <c r="P921" s="71" t="str">
        <f>AG921*J921</f>
      </c>
      <c r="Q921" s="72" t="str">
        <f>P921*L921*M921*N921</f>
      </c>
      <c r="R921" s="73" t="str">
        <f>O921*K921*M921*N921</f>
      </c>
      <c r="S921" s="74" t="str">
        <f>R921-Q921</f>
      </c>
      <c r="T921" s="20" t="str">
        <f>IFERROR(INDEX('Cost_Components'!$R$2:$R$27,MATCH(E921,'Cost_Components'!$A$2:$A$27,0)),"")</f>
      </c>
      <c r="U921" s="75" t="str">
        <f>IFERROR(INDEX('Cost_Components'!$Q$2:$Q$27,MATCH(E921,'Cost_Components'!$A$2:$A$27,0)),"")</f>
      </c>
      <c r="V921" s="76" t="str">
        <f>1/(1+'Calculation_Assumptions'!$B$5)^(B921-'Calculation_Assumptions'!$B$2)</f>
      </c>
      <c r="W921" s="77" t="str">
        <f>Q921*V921</f>
      </c>
      <c r="X921" s="78" t="str">
        <f>R921*V921</f>
      </c>
      <c r="Y921" s="79" t="str">
        <f>S921*V921</f>
      </c>
      <c r="Z921" s="80" t="str">
        <f>IFERROR(INDEX('Cost_Components'!$T$2:$T$27,MATCH(E921,'Cost_Components'!$A$2:$A$27,0)),"")</f>
      </c>
      <c r="AA921" s="81" t="str">
        <f>IFERROR(INDEX('Cost_Components'!$U$2:$U$27,MATCH(E921,'Cost_Components'!$A$2:$A$27,0)),"")</f>
      </c>
      <c r="AB921" s="82" t="str">
        <f>IFERROR(INDEX('Cost_Components'!$V$2:$V$27,MATCH(E921,'Cost_Components'!$A$2:$A$27,0)),"")</f>
      </c>
      <c r="AC921" s="83" t="str">
        <f>IFERROR(INDEX('Cost_Components'!$M$2:$M$27,MATCH(E921,'Cost_Components'!$A$2:$A$27,0)),"")</f>
      </c>
      <c r="AD921" s="84" t="str">
        <f>IFERROR(INDEX('Cost_Components'!$N$2:$N$27,MATCH(E921,'Cost_Components'!$A$2:$A$27,0)),"")</f>
      </c>
      <c r="AE921" s="20" t="str">
        <f>IFERROR(INDEX('Cost_Components'!$O$2:$O$27,MATCH(E921,'Cost_Components'!$A$2:$A$27,0)),"")</f>
      </c>
      <c r="AF921" s="85" t="n">
        <v>545472.359127631</v>
      </c>
      <c r="AG921" s="86" t="n">
        <v>562945.263154292</v>
      </c>
      <c r="AH921" s="87" t="str">
        <f>IF(H921="shared-count-once",COUNTIFS($A$2:$A$1353,A921,$B$2:$B$1353,B921,$E$2:$E$1353,E921),1)</f>
      </c>
    </row>
    <row r="922">
      <c r="A922" t="s">
        <v>75</v>
      </c>
      <c r="B922" s="59" t="n">
        <v>2035</v>
      </c>
      <c r="C922" t="s">
        <v>200</v>
      </c>
      <c r="D922" t="s">
        <v>166</v>
      </c>
      <c r="E922" s="60" t="s">
        <v>283</v>
      </c>
      <c r="F922" s="61" t="s">
        <v>284</v>
      </c>
      <c r="G922" s="62" t="s">
        <v>203</v>
      </c>
      <c r="H922" s="63" t="s">
        <v>195</v>
      </c>
      <c r="I922" s="64" t="s">
        <v>267</v>
      </c>
      <c r="J922" s="65" t="str">
        <f>IFERROR(INDEX('Cost_Components'!$K$2:$K$27,MATCH(E922,'Cost_Components'!$A$2:$A$27,0)),"")</f>
      </c>
      <c r="K922" s="66" t="str">
        <f>IF(OR(L922="",Z922="",AA922="",AB922=""),"",IF(B922&lt;AA922,L922,IF(B922&gt;AB922,Z922,L922+(Z922-L922)*MIN(MAX((B922-AA922+1)/MAX(AB922-AA922+1,1),0),1))))</f>
      </c>
      <c r="L922" s="67" t="str">
        <f>IFERROR(INDEX('Cost_Components'!$S$2:$S$27,MATCH(E922,'Cost_Components'!$A$2:$A$27,0)),"")</f>
      </c>
      <c r="M922" s="68" t="str">
        <f>IFERROR(INDEX('Cost_Components'!$L$2:$L$27,MATCH(E922,'Cost_Components'!$A$2:$A$27,0)),"")</f>
      </c>
      <c r="N922" s="69" t="str">
        <f>IFERROR(INDEX('Cost_Components'!$P$2:$P$27,MATCH(E922,'Cost_Components'!$A$2:$A$27,0)),"")</f>
      </c>
      <c r="O922" s="70" t="str">
        <f>AF922*J922</f>
      </c>
      <c r="P922" s="71" t="str">
        <f>AG922*J922</f>
      </c>
      <c r="Q922" s="72" t="str">
        <f>P922*L922*M922*N922</f>
      </c>
      <c r="R922" s="73" t="str">
        <f>O922*K922*M922*N922</f>
      </c>
      <c r="S922" s="74" t="str">
        <f>R922-Q922</f>
      </c>
      <c r="T922" s="20" t="str">
        <f>IFERROR(INDEX('Cost_Components'!$R$2:$R$27,MATCH(E922,'Cost_Components'!$A$2:$A$27,0)),"")</f>
      </c>
      <c r="U922" s="75" t="str">
        <f>IFERROR(INDEX('Cost_Components'!$Q$2:$Q$27,MATCH(E922,'Cost_Components'!$A$2:$A$27,0)),"")</f>
      </c>
      <c r="V922" s="76" t="str">
        <f>1/(1+'Calculation_Assumptions'!$B$5)^(B922-'Calculation_Assumptions'!$B$2)</f>
      </c>
      <c r="W922" s="77" t="str">
        <f>Q922*V922</f>
      </c>
      <c r="X922" s="78" t="str">
        <f>R922*V922</f>
      </c>
      <c r="Y922" s="79" t="str">
        <f>S922*V922</f>
      </c>
      <c r="Z922" s="80" t="str">
        <f>IFERROR(INDEX('Cost_Components'!$T$2:$T$27,MATCH(E922,'Cost_Components'!$A$2:$A$27,0)),"")</f>
      </c>
      <c r="AA922" s="81" t="str">
        <f>IFERROR(INDEX('Cost_Components'!$U$2:$U$27,MATCH(E922,'Cost_Components'!$A$2:$A$27,0)),"")</f>
      </c>
      <c r="AB922" s="82" t="str">
        <f>IFERROR(INDEX('Cost_Components'!$V$2:$V$27,MATCH(E922,'Cost_Components'!$A$2:$A$27,0)),"")</f>
      </c>
      <c r="AC922" s="83" t="str">
        <f>IFERROR(INDEX('Cost_Components'!$M$2:$M$27,MATCH(E922,'Cost_Components'!$A$2:$A$27,0)),"")</f>
      </c>
      <c r="AD922" s="84" t="str">
        <f>IFERROR(INDEX('Cost_Components'!$N$2:$N$27,MATCH(E922,'Cost_Components'!$A$2:$A$27,0)),"")</f>
      </c>
      <c r="AE922" s="20" t="str">
        <f>IFERROR(INDEX('Cost_Components'!$O$2:$O$27,MATCH(E922,'Cost_Components'!$A$2:$A$27,0)),"")</f>
      </c>
      <c r="AF922" s="85" t="n">
        <v>555249.966946352</v>
      </c>
      <c r="AG922" s="86" t="n">
        <v>575676.013132482</v>
      </c>
      <c r="AH922" s="87" t="str">
        <f>IF(H922="shared-count-once",COUNTIFS($A$2:$A$1353,A922,$B$2:$B$1353,B922,$E$2:$E$1353,E922),1)</f>
      </c>
    </row>
    <row r="923">
      <c r="A923" t="s">
        <v>75</v>
      </c>
      <c r="B923" s="59" t="n">
        <v>2036</v>
      </c>
      <c r="C923" t="s">
        <v>200</v>
      </c>
      <c r="D923" t="s">
        <v>166</v>
      </c>
      <c r="E923" s="60" t="s">
        <v>283</v>
      </c>
      <c r="F923" s="61" t="s">
        <v>284</v>
      </c>
      <c r="G923" s="62" t="s">
        <v>203</v>
      </c>
      <c r="H923" s="63" t="s">
        <v>195</v>
      </c>
      <c r="I923" s="64" t="s">
        <v>267</v>
      </c>
      <c r="J923" s="65" t="str">
        <f>IFERROR(INDEX('Cost_Components'!$K$2:$K$27,MATCH(E923,'Cost_Components'!$A$2:$A$27,0)),"")</f>
      </c>
      <c r="K923" s="66" t="str">
        <f>IF(OR(L923="",Z923="",AA923="",AB923=""),"",IF(B923&lt;AA923,L923,IF(B923&gt;AB923,Z923,L923+(Z923-L923)*MIN(MAX((B923-AA923+1)/MAX(AB923-AA923+1,1),0),1))))</f>
      </c>
      <c r="L923" s="67" t="str">
        <f>IFERROR(INDEX('Cost_Components'!$S$2:$S$27,MATCH(E923,'Cost_Components'!$A$2:$A$27,0)),"")</f>
      </c>
      <c r="M923" s="68" t="str">
        <f>IFERROR(INDEX('Cost_Components'!$L$2:$L$27,MATCH(E923,'Cost_Components'!$A$2:$A$27,0)),"")</f>
      </c>
      <c r="N923" s="69" t="str">
        <f>IFERROR(INDEX('Cost_Components'!$P$2:$P$27,MATCH(E923,'Cost_Components'!$A$2:$A$27,0)),"")</f>
      </c>
      <c r="O923" s="70" t="str">
        <f>AF923*J923</f>
      </c>
      <c r="P923" s="71" t="str">
        <f>AG923*J923</f>
      </c>
      <c r="Q923" s="72" t="str">
        <f>P923*L923*M923*N923</f>
      </c>
      <c r="R923" s="73" t="str">
        <f>O923*K923*M923*N923</f>
      </c>
      <c r="S923" s="74" t="str">
        <f>R923-Q923</f>
      </c>
      <c r="T923" s="20" t="str">
        <f>IFERROR(INDEX('Cost_Components'!$R$2:$R$27,MATCH(E923,'Cost_Components'!$A$2:$A$27,0)),"")</f>
      </c>
      <c r="U923" s="75" t="str">
        <f>IFERROR(INDEX('Cost_Components'!$Q$2:$Q$27,MATCH(E923,'Cost_Components'!$A$2:$A$27,0)),"")</f>
      </c>
      <c r="V923" s="76" t="str">
        <f>1/(1+'Calculation_Assumptions'!$B$5)^(B923-'Calculation_Assumptions'!$B$2)</f>
      </c>
      <c r="W923" s="77" t="str">
        <f>Q923*V923</f>
      </c>
      <c r="X923" s="78" t="str">
        <f>R923*V923</f>
      </c>
      <c r="Y923" s="79" t="str">
        <f>S923*V923</f>
      </c>
      <c r="Z923" s="80" t="str">
        <f>IFERROR(INDEX('Cost_Components'!$T$2:$T$27,MATCH(E923,'Cost_Components'!$A$2:$A$27,0)),"")</f>
      </c>
      <c r="AA923" s="81" t="str">
        <f>IFERROR(INDEX('Cost_Components'!$U$2:$U$27,MATCH(E923,'Cost_Components'!$A$2:$A$27,0)),"")</f>
      </c>
      <c r="AB923" s="82" t="str">
        <f>IFERROR(INDEX('Cost_Components'!$V$2:$V$27,MATCH(E923,'Cost_Components'!$A$2:$A$27,0)),"")</f>
      </c>
      <c r="AC923" s="83" t="str">
        <f>IFERROR(INDEX('Cost_Components'!$M$2:$M$27,MATCH(E923,'Cost_Components'!$A$2:$A$27,0)),"")</f>
      </c>
      <c r="AD923" s="84" t="str">
        <f>IFERROR(INDEX('Cost_Components'!$N$2:$N$27,MATCH(E923,'Cost_Components'!$A$2:$A$27,0)),"")</f>
      </c>
      <c r="AE923" s="20" t="str">
        <f>IFERROR(INDEX('Cost_Components'!$O$2:$O$27,MATCH(E923,'Cost_Components'!$A$2:$A$27,0)),"")</f>
      </c>
      <c r="AF923" s="85" t="n">
        <v>565458.339212539</v>
      </c>
      <c r="AG923" s="86" t="n">
        <v>589036.334662854</v>
      </c>
      <c r="AH923" s="87" t="str">
        <f>IF(H923="shared-count-once",COUNTIFS($A$2:$A$1353,A923,$B$2:$B$1353,B923,$E$2:$E$1353,E923),1)</f>
      </c>
    </row>
    <row r="924">
      <c r="A924" t="s">
        <v>75</v>
      </c>
      <c r="B924" s="59" t="n">
        <v>2037</v>
      </c>
      <c r="C924" t="s">
        <v>200</v>
      </c>
      <c r="D924" t="s">
        <v>166</v>
      </c>
      <c r="E924" s="60" t="s">
        <v>283</v>
      </c>
      <c r="F924" s="61" t="s">
        <v>284</v>
      </c>
      <c r="G924" s="62" t="s">
        <v>203</v>
      </c>
      <c r="H924" s="63" t="s">
        <v>195</v>
      </c>
      <c r="I924" s="64" t="s">
        <v>267</v>
      </c>
      <c r="J924" s="65" t="str">
        <f>IFERROR(INDEX('Cost_Components'!$K$2:$K$27,MATCH(E924,'Cost_Components'!$A$2:$A$27,0)),"")</f>
      </c>
      <c r="K924" s="66" t="str">
        <f>IF(OR(L924="",Z924="",AA924="",AB924=""),"",IF(B924&lt;AA924,L924,IF(B924&gt;AB924,Z924,L924+(Z924-L924)*MIN(MAX((B924-AA924+1)/MAX(AB924-AA924+1,1),0),1))))</f>
      </c>
      <c r="L924" s="67" t="str">
        <f>IFERROR(INDEX('Cost_Components'!$S$2:$S$27,MATCH(E924,'Cost_Components'!$A$2:$A$27,0)),"")</f>
      </c>
      <c r="M924" s="68" t="str">
        <f>IFERROR(INDEX('Cost_Components'!$L$2:$L$27,MATCH(E924,'Cost_Components'!$A$2:$A$27,0)),"")</f>
      </c>
      <c r="N924" s="69" t="str">
        <f>IFERROR(INDEX('Cost_Components'!$P$2:$P$27,MATCH(E924,'Cost_Components'!$A$2:$A$27,0)),"")</f>
      </c>
      <c r="O924" s="70" t="str">
        <f>AF924*J924</f>
      </c>
      <c r="P924" s="71" t="str">
        <f>AG924*J924</f>
      </c>
      <c r="Q924" s="72" t="str">
        <f>P924*L924*M924*N924</f>
      </c>
      <c r="R924" s="73" t="str">
        <f>O924*K924*M924*N924</f>
      </c>
      <c r="S924" s="74" t="str">
        <f>R924-Q924</f>
      </c>
      <c r="T924" s="20" t="str">
        <f>IFERROR(INDEX('Cost_Components'!$R$2:$R$27,MATCH(E924,'Cost_Components'!$A$2:$A$27,0)),"")</f>
      </c>
      <c r="U924" s="75" t="str">
        <f>IFERROR(INDEX('Cost_Components'!$Q$2:$Q$27,MATCH(E924,'Cost_Components'!$A$2:$A$27,0)),"")</f>
      </c>
      <c r="V924" s="76" t="str">
        <f>1/(1+'Calculation_Assumptions'!$B$5)^(B924-'Calculation_Assumptions'!$B$2)</f>
      </c>
      <c r="W924" s="77" t="str">
        <f>Q924*V924</f>
      </c>
      <c r="X924" s="78" t="str">
        <f>R924*V924</f>
      </c>
      <c r="Y924" s="79" t="str">
        <f>S924*V924</f>
      </c>
      <c r="Z924" s="80" t="str">
        <f>IFERROR(INDEX('Cost_Components'!$T$2:$T$27,MATCH(E924,'Cost_Components'!$A$2:$A$27,0)),"")</f>
      </c>
      <c r="AA924" s="81" t="str">
        <f>IFERROR(INDEX('Cost_Components'!$U$2:$U$27,MATCH(E924,'Cost_Components'!$A$2:$A$27,0)),"")</f>
      </c>
      <c r="AB924" s="82" t="str">
        <f>IFERROR(INDEX('Cost_Components'!$V$2:$V$27,MATCH(E924,'Cost_Components'!$A$2:$A$27,0)),"")</f>
      </c>
      <c r="AC924" s="83" t="str">
        <f>IFERROR(INDEX('Cost_Components'!$M$2:$M$27,MATCH(E924,'Cost_Components'!$A$2:$A$27,0)),"")</f>
      </c>
      <c r="AD924" s="84" t="str">
        <f>IFERROR(INDEX('Cost_Components'!$N$2:$N$27,MATCH(E924,'Cost_Components'!$A$2:$A$27,0)),"")</f>
      </c>
      <c r="AE924" s="20" t="str">
        <f>IFERROR(INDEX('Cost_Components'!$O$2:$O$27,MATCH(E924,'Cost_Components'!$A$2:$A$27,0)),"")</f>
      </c>
      <c r="AF924" s="85" t="n">
        <v>575975.941447405</v>
      </c>
      <c r="AG924" s="86" t="n">
        <v>602896.994272446</v>
      </c>
      <c r="AH924" s="87" t="str">
        <f>IF(H924="shared-count-once",COUNTIFS($A$2:$A$1353,A924,$B$2:$B$1353,B924,$E$2:$E$1353,E924),1)</f>
      </c>
    </row>
    <row r="925">
      <c r="A925" t="s">
        <v>75</v>
      </c>
      <c r="B925" s="59" t="n">
        <v>2038</v>
      </c>
      <c r="C925" t="s">
        <v>200</v>
      </c>
      <c r="D925" t="s">
        <v>166</v>
      </c>
      <c r="E925" s="60" t="s">
        <v>283</v>
      </c>
      <c r="F925" s="61" t="s">
        <v>284</v>
      </c>
      <c r="G925" s="62" t="s">
        <v>203</v>
      </c>
      <c r="H925" s="63" t="s">
        <v>195</v>
      </c>
      <c r="I925" s="64" t="s">
        <v>267</v>
      </c>
      <c r="J925" s="65" t="str">
        <f>IFERROR(INDEX('Cost_Components'!$K$2:$K$27,MATCH(E925,'Cost_Components'!$A$2:$A$27,0)),"")</f>
      </c>
      <c r="K925" s="66" t="str">
        <f>IF(OR(L925="",Z925="",AA925="",AB925=""),"",IF(B925&lt;AA925,L925,IF(B925&gt;AB925,Z925,L925+(Z925-L925)*MIN(MAX((B925-AA925+1)/MAX(AB925-AA925+1,1),0),1))))</f>
      </c>
      <c r="L925" s="67" t="str">
        <f>IFERROR(INDEX('Cost_Components'!$S$2:$S$27,MATCH(E925,'Cost_Components'!$A$2:$A$27,0)),"")</f>
      </c>
      <c r="M925" s="68" t="str">
        <f>IFERROR(INDEX('Cost_Components'!$L$2:$L$27,MATCH(E925,'Cost_Components'!$A$2:$A$27,0)),"")</f>
      </c>
      <c r="N925" s="69" t="str">
        <f>IFERROR(INDEX('Cost_Components'!$P$2:$P$27,MATCH(E925,'Cost_Components'!$A$2:$A$27,0)),"")</f>
      </c>
      <c r="O925" s="70" t="str">
        <f>AF925*J925</f>
      </c>
      <c r="P925" s="71" t="str">
        <f>AG925*J925</f>
      </c>
      <c r="Q925" s="72" t="str">
        <f>P925*L925*M925*N925</f>
      </c>
      <c r="R925" s="73" t="str">
        <f>O925*K925*M925*N925</f>
      </c>
      <c r="S925" s="74" t="str">
        <f>R925-Q925</f>
      </c>
      <c r="T925" s="20" t="str">
        <f>IFERROR(INDEX('Cost_Components'!$R$2:$R$27,MATCH(E925,'Cost_Components'!$A$2:$A$27,0)),"")</f>
      </c>
      <c r="U925" s="75" t="str">
        <f>IFERROR(INDEX('Cost_Components'!$Q$2:$Q$27,MATCH(E925,'Cost_Components'!$A$2:$A$27,0)),"")</f>
      </c>
      <c r="V925" s="76" t="str">
        <f>1/(1+'Calculation_Assumptions'!$B$5)^(B925-'Calculation_Assumptions'!$B$2)</f>
      </c>
      <c r="W925" s="77" t="str">
        <f>Q925*V925</f>
      </c>
      <c r="X925" s="78" t="str">
        <f>R925*V925</f>
      </c>
      <c r="Y925" s="79" t="str">
        <f>S925*V925</f>
      </c>
      <c r="Z925" s="80" t="str">
        <f>IFERROR(INDEX('Cost_Components'!$T$2:$T$27,MATCH(E925,'Cost_Components'!$A$2:$A$27,0)),"")</f>
      </c>
      <c r="AA925" s="81" t="str">
        <f>IFERROR(INDEX('Cost_Components'!$U$2:$U$27,MATCH(E925,'Cost_Components'!$A$2:$A$27,0)),"")</f>
      </c>
      <c r="AB925" s="82" t="str">
        <f>IFERROR(INDEX('Cost_Components'!$V$2:$V$27,MATCH(E925,'Cost_Components'!$A$2:$A$27,0)),"")</f>
      </c>
      <c r="AC925" s="83" t="str">
        <f>IFERROR(INDEX('Cost_Components'!$M$2:$M$27,MATCH(E925,'Cost_Components'!$A$2:$A$27,0)),"")</f>
      </c>
      <c r="AD925" s="84" t="str">
        <f>IFERROR(INDEX('Cost_Components'!$N$2:$N$27,MATCH(E925,'Cost_Components'!$A$2:$A$27,0)),"")</f>
      </c>
      <c r="AE925" s="20" t="str">
        <f>IFERROR(INDEX('Cost_Components'!$O$2:$O$27,MATCH(E925,'Cost_Components'!$A$2:$A$27,0)),"")</f>
      </c>
      <c r="AF925" s="85" t="n">
        <v>586841.243727366</v>
      </c>
      <c r="AG925" s="86" t="n">
        <v>617309.427161682</v>
      </c>
      <c r="AH925" s="87" t="str">
        <f>IF(H925="shared-count-once",COUNTIFS($A$2:$A$1353,A925,$B$2:$B$1353,B925,$E$2:$E$1353,E925),1)</f>
      </c>
    </row>
    <row r="926">
      <c r="A926" t="s">
        <v>75</v>
      </c>
      <c r="B926" s="59" t="n">
        <v>2039</v>
      </c>
      <c r="C926" t="s">
        <v>200</v>
      </c>
      <c r="D926" t="s">
        <v>166</v>
      </c>
      <c r="E926" s="60" t="s">
        <v>283</v>
      </c>
      <c r="F926" s="61" t="s">
        <v>284</v>
      </c>
      <c r="G926" s="62" t="s">
        <v>203</v>
      </c>
      <c r="H926" s="63" t="s">
        <v>195</v>
      </c>
      <c r="I926" s="64" t="s">
        <v>267</v>
      </c>
      <c r="J926" s="65" t="str">
        <f>IFERROR(INDEX('Cost_Components'!$K$2:$K$27,MATCH(E926,'Cost_Components'!$A$2:$A$27,0)),"")</f>
      </c>
      <c r="K926" s="66" t="str">
        <f>IF(OR(L926="",Z926="",AA926="",AB926=""),"",IF(B926&lt;AA926,L926,IF(B926&gt;AB926,Z926,L926+(Z926-L926)*MIN(MAX((B926-AA926+1)/MAX(AB926-AA926+1,1),0),1))))</f>
      </c>
      <c r="L926" s="67" t="str">
        <f>IFERROR(INDEX('Cost_Components'!$S$2:$S$27,MATCH(E926,'Cost_Components'!$A$2:$A$27,0)),"")</f>
      </c>
      <c r="M926" s="68" t="str">
        <f>IFERROR(INDEX('Cost_Components'!$L$2:$L$27,MATCH(E926,'Cost_Components'!$A$2:$A$27,0)),"")</f>
      </c>
      <c r="N926" s="69" t="str">
        <f>IFERROR(INDEX('Cost_Components'!$P$2:$P$27,MATCH(E926,'Cost_Components'!$A$2:$A$27,0)),"")</f>
      </c>
      <c r="O926" s="70" t="str">
        <f>AF926*J926</f>
      </c>
      <c r="P926" s="71" t="str">
        <f>AG926*J926</f>
      </c>
      <c r="Q926" s="72" t="str">
        <f>P926*L926*M926*N926</f>
      </c>
      <c r="R926" s="73" t="str">
        <f>O926*K926*M926*N926</f>
      </c>
      <c r="S926" s="74" t="str">
        <f>R926-Q926</f>
      </c>
      <c r="T926" s="20" t="str">
        <f>IFERROR(INDEX('Cost_Components'!$R$2:$R$27,MATCH(E926,'Cost_Components'!$A$2:$A$27,0)),"")</f>
      </c>
      <c r="U926" s="75" t="str">
        <f>IFERROR(INDEX('Cost_Components'!$Q$2:$Q$27,MATCH(E926,'Cost_Components'!$A$2:$A$27,0)),"")</f>
      </c>
      <c r="V926" s="76" t="str">
        <f>1/(1+'Calculation_Assumptions'!$B$5)^(B926-'Calculation_Assumptions'!$B$2)</f>
      </c>
      <c r="W926" s="77" t="str">
        <f>Q926*V926</f>
      </c>
      <c r="X926" s="78" t="str">
        <f>R926*V926</f>
      </c>
      <c r="Y926" s="79" t="str">
        <f>S926*V926</f>
      </c>
      <c r="Z926" s="80" t="str">
        <f>IFERROR(INDEX('Cost_Components'!$T$2:$T$27,MATCH(E926,'Cost_Components'!$A$2:$A$27,0)),"")</f>
      </c>
      <c r="AA926" s="81" t="str">
        <f>IFERROR(INDEX('Cost_Components'!$U$2:$U$27,MATCH(E926,'Cost_Components'!$A$2:$A$27,0)),"")</f>
      </c>
      <c r="AB926" s="82" t="str">
        <f>IFERROR(INDEX('Cost_Components'!$V$2:$V$27,MATCH(E926,'Cost_Components'!$A$2:$A$27,0)),"")</f>
      </c>
      <c r="AC926" s="83" t="str">
        <f>IFERROR(INDEX('Cost_Components'!$M$2:$M$27,MATCH(E926,'Cost_Components'!$A$2:$A$27,0)),"")</f>
      </c>
      <c r="AD926" s="84" t="str">
        <f>IFERROR(INDEX('Cost_Components'!$N$2:$N$27,MATCH(E926,'Cost_Components'!$A$2:$A$27,0)),"")</f>
      </c>
      <c r="AE926" s="20" t="str">
        <f>IFERROR(INDEX('Cost_Components'!$O$2:$O$27,MATCH(E926,'Cost_Components'!$A$2:$A$27,0)),"")</f>
      </c>
      <c r="AF926" s="85" t="n">
        <v>597376.152634632</v>
      </c>
      <c r="AG926" s="86" t="n">
        <v>631494.66209286</v>
      </c>
      <c r="AH926" s="87" t="str">
        <f>IF(H926="shared-count-once",COUNTIFS($A$2:$A$1353,A926,$B$2:$B$1353,B926,$E$2:$E$1353,E926),1)</f>
      </c>
    </row>
    <row r="927">
      <c r="A927" t="s">
        <v>75</v>
      </c>
      <c r="B927" s="59" t="n">
        <v>2040</v>
      </c>
      <c r="C927" t="s">
        <v>200</v>
      </c>
      <c r="D927" t="s">
        <v>166</v>
      </c>
      <c r="E927" s="60" t="s">
        <v>283</v>
      </c>
      <c r="F927" s="61" t="s">
        <v>284</v>
      </c>
      <c r="G927" s="62" t="s">
        <v>203</v>
      </c>
      <c r="H927" s="63" t="s">
        <v>195</v>
      </c>
      <c r="I927" s="64" t="s">
        <v>267</v>
      </c>
      <c r="J927" s="65" t="str">
        <f>IFERROR(INDEX('Cost_Components'!$K$2:$K$27,MATCH(E927,'Cost_Components'!$A$2:$A$27,0)),"")</f>
      </c>
      <c r="K927" s="66" t="str">
        <f>IF(OR(L927="",Z927="",AA927="",AB927=""),"",IF(B927&lt;AA927,L927,IF(B927&gt;AB927,Z927,L927+(Z927-L927)*MIN(MAX((B927-AA927+1)/MAX(AB927-AA927+1,1),0),1))))</f>
      </c>
      <c r="L927" s="67" t="str">
        <f>IFERROR(INDEX('Cost_Components'!$S$2:$S$27,MATCH(E927,'Cost_Components'!$A$2:$A$27,0)),"")</f>
      </c>
      <c r="M927" s="68" t="str">
        <f>IFERROR(INDEX('Cost_Components'!$L$2:$L$27,MATCH(E927,'Cost_Components'!$A$2:$A$27,0)),"")</f>
      </c>
      <c r="N927" s="69" t="str">
        <f>IFERROR(INDEX('Cost_Components'!$P$2:$P$27,MATCH(E927,'Cost_Components'!$A$2:$A$27,0)),"")</f>
      </c>
      <c r="O927" s="70" t="str">
        <f>AF927*J927</f>
      </c>
      <c r="P927" s="71" t="str">
        <f>AG927*J927</f>
      </c>
      <c r="Q927" s="72" t="str">
        <f>P927*L927*M927*N927</f>
      </c>
      <c r="R927" s="73" t="str">
        <f>O927*K927*M927*N927</f>
      </c>
      <c r="S927" s="74" t="str">
        <f>R927-Q927</f>
      </c>
      <c r="T927" s="20" t="str">
        <f>IFERROR(INDEX('Cost_Components'!$R$2:$R$27,MATCH(E927,'Cost_Components'!$A$2:$A$27,0)),"")</f>
      </c>
      <c r="U927" s="75" t="str">
        <f>IFERROR(INDEX('Cost_Components'!$Q$2:$Q$27,MATCH(E927,'Cost_Components'!$A$2:$A$27,0)),"")</f>
      </c>
      <c r="V927" s="76" t="str">
        <f>1/(1+'Calculation_Assumptions'!$B$5)^(B927-'Calculation_Assumptions'!$B$2)</f>
      </c>
      <c r="W927" s="77" t="str">
        <f>Q927*V927</f>
      </c>
      <c r="X927" s="78" t="str">
        <f>R927*V927</f>
      </c>
      <c r="Y927" s="79" t="str">
        <f>S927*V927</f>
      </c>
      <c r="Z927" s="80" t="str">
        <f>IFERROR(INDEX('Cost_Components'!$T$2:$T$27,MATCH(E927,'Cost_Components'!$A$2:$A$27,0)),"")</f>
      </c>
      <c r="AA927" s="81" t="str">
        <f>IFERROR(INDEX('Cost_Components'!$U$2:$U$27,MATCH(E927,'Cost_Components'!$A$2:$A$27,0)),"")</f>
      </c>
      <c r="AB927" s="82" t="str">
        <f>IFERROR(INDEX('Cost_Components'!$V$2:$V$27,MATCH(E927,'Cost_Components'!$A$2:$A$27,0)),"")</f>
      </c>
      <c r="AC927" s="83" t="str">
        <f>IFERROR(INDEX('Cost_Components'!$M$2:$M$27,MATCH(E927,'Cost_Components'!$A$2:$A$27,0)),"")</f>
      </c>
      <c r="AD927" s="84" t="str">
        <f>IFERROR(INDEX('Cost_Components'!$N$2:$N$27,MATCH(E927,'Cost_Components'!$A$2:$A$27,0)),"")</f>
      </c>
      <c r="AE927" s="20" t="str">
        <f>IFERROR(INDEX('Cost_Components'!$O$2:$O$27,MATCH(E927,'Cost_Components'!$A$2:$A$27,0)),"")</f>
      </c>
      <c r="AF927" s="85" t="n">
        <v>608154.181211171</v>
      </c>
      <c r="AG927" s="86" t="n">
        <v>646103.245721349</v>
      </c>
      <c r="AH927" s="87" t="str">
        <f>IF(H927="shared-count-once",COUNTIFS($A$2:$A$1353,A927,$B$2:$B$1353,B927,$E$2:$E$1353,E927),1)</f>
      </c>
    </row>
    <row r="928">
      <c r="A928" t="s">
        <v>75</v>
      </c>
      <c r="B928" s="59" t="n">
        <v>2041</v>
      </c>
      <c r="C928" t="s">
        <v>200</v>
      </c>
      <c r="D928" t="s">
        <v>166</v>
      </c>
      <c r="E928" s="60" t="s">
        <v>283</v>
      </c>
      <c r="F928" s="61" t="s">
        <v>284</v>
      </c>
      <c r="G928" s="62" t="s">
        <v>203</v>
      </c>
      <c r="H928" s="63" t="s">
        <v>195</v>
      </c>
      <c r="I928" s="64" t="s">
        <v>267</v>
      </c>
      <c r="J928" s="65" t="str">
        <f>IFERROR(INDEX('Cost_Components'!$K$2:$K$27,MATCH(E928,'Cost_Components'!$A$2:$A$27,0)),"")</f>
      </c>
      <c r="K928" s="66" t="str">
        <f>IF(OR(L928="",Z928="",AA928="",AB928=""),"",IF(B928&lt;AA928,L928,IF(B928&gt;AB928,Z928,L928+(Z928-L928)*MIN(MAX((B928-AA928+1)/MAX(AB928-AA928+1,1),0),1))))</f>
      </c>
      <c r="L928" s="67" t="str">
        <f>IFERROR(INDEX('Cost_Components'!$S$2:$S$27,MATCH(E928,'Cost_Components'!$A$2:$A$27,0)),"")</f>
      </c>
      <c r="M928" s="68" t="str">
        <f>IFERROR(INDEX('Cost_Components'!$L$2:$L$27,MATCH(E928,'Cost_Components'!$A$2:$A$27,0)),"")</f>
      </c>
      <c r="N928" s="69" t="str">
        <f>IFERROR(INDEX('Cost_Components'!$P$2:$P$27,MATCH(E928,'Cost_Components'!$A$2:$A$27,0)),"")</f>
      </c>
      <c r="O928" s="70" t="str">
        <f>AF928*J928</f>
      </c>
      <c r="P928" s="71" t="str">
        <f>AG928*J928</f>
      </c>
      <c r="Q928" s="72" t="str">
        <f>P928*L928*M928*N928</f>
      </c>
      <c r="R928" s="73" t="str">
        <f>O928*K928*M928*N928</f>
      </c>
      <c r="S928" s="74" t="str">
        <f>R928-Q928</f>
      </c>
      <c r="T928" s="20" t="str">
        <f>IFERROR(INDEX('Cost_Components'!$R$2:$R$27,MATCH(E928,'Cost_Components'!$A$2:$A$27,0)),"")</f>
      </c>
      <c r="U928" s="75" t="str">
        <f>IFERROR(INDEX('Cost_Components'!$Q$2:$Q$27,MATCH(E928,'Cost_Components'!$A$2:$A$27,0)),"")</f>
      </c>
      <c r="V928" s="76" t="str">
        <f>1/(1+'Calculation_Assumptions'!$B$5)^(B928-'Calculation_Assumptions'!$B$2)</f>
      </c>
      <c r="W928" s="77" t="str">
        <f>Q928*V928</f>
      </c>
      <c r="X928" s="78" t="str">
        <f>R928*V928</f>
      </c>
      <c r="Y928" s="79" t="str">
        <f>S928*V928</f>
      </c>
      <c r="Z928" s="80" t="str">
        <f>IFERROR(INDEX('Cost_Components'!$T$2:$T$27,MATCH(E928,'Cost_Components'!$A$2:$A$27,0)),"")</f>
      </c>
      <c r="AA928" s="81" t="str">
        <f>IFERROR(INDEX('Cost_Components'!$U$2:$U$27,MATCH(E928,'Cost_Components'!$A$2:$A$27,0)),"")</f>
      </c>
      <c r="AB928" s="82" t="str">
        <f>IFERROR(INDEX('Cost_Components'!$V$2:$V$27,MATCH(E928,'Cost_Components'!$A$2:$A$27,0)),"")</f>
      </c>
      <c r="AC928" s="83" t="str">
        <f>IFERROR(INDEX('Cost_Components'!$M$2:$M$27,MATCH(E928,'Cost_Components'!$A$2:$A$27,0)),"")</f>
      </c>
      <c r="AD928" s="84" t="str">
        <f>IFERROR(INDEX('Cost_Components'!$N$2:$N$27,MATCH(E928,'Cost_Components'!$A$2:$A$27,0)),"")</f>
      </c>
      <c r="AE928" s="20" t="str">
        <f>IFERROR(INDEX('Cost_Components'!$O$2:$O$27,MATCH(E928,'Cost_Components'!$A$2:$A$27,0)),"")</f>
      </c>
      <c r="AF928" s="85" t="n">
        <v>619119.550440245</v>
      </c>
      <c r="AG928" s="86" t="n">
        <v>661097.35077381</v>
      </c>
      <c r="AH928" s="87" t="str">
        <f>IF(H928="shared-count-once",COUNTIFS($A$2:$A$1353,A928,$B$2:$B$1353,B928,$E$2:$E$1353,E928),1)</f>
      </c>
    </row>
    <row r="929">
      <c r="A929" t="s">
        <v>75</v>
      </c>
      <c r="B929" s="59" t="n">
        <v>2042</v>
      </c>
      <c r="C929" t="s">
        <v>200</v>
      </c>
      <c r="D929" t="s">
        <v>166</v>
      </c>
      <c r="E929" s="60" t="s">
        <v>283</v>
      </c>
      <c r="F929" s="61" t="s">
        <v>284</v>
      </c>
      <c r="G929" s="62" t="s">
        <v>203</v>
      </c>
      <c r="H929" s="63" t="s">
        <v>195</v>
      </c>
      <c r="I929" s="64" t="s">
        <v>267</v>
      </c>
      <c r="J929" s="65" t="str">
        <f>IFERROR(INDEX('Cost_Components'!$K$2:$K$27,MATCH(E929,'Cost_Components'!$A$2:$A$27,0)),"")</f>
      </c>
      <c r="K929" s="66" t="str">
        <f>IF(OR(L929="",Z929="",AA929="",AB929=""),"",IF(B929&lt;AA929,L929,IF(B929&gt;AB929,Z929,L929+(Z929-L929)*MIN(MAX((B929-AA929+1)/MAX(AB929-AA929+1,1),0),1))))</f>
      </c>
      <c r="L929" s="67" t="str">
        <f>IFERROR(INDEX('Cost_Components'!$S$2:$S$27,MATCH(E929,'Cost_Components'!$A$2:$A$27,0)),"")</f>
      </c>
      <c r="M929" s="68" t="str">
        <f>IFERROR(INDEX('Cost_Components'!$L$2:$L$27,MATCH(E929,'Cost_Components'!$A$2:$A$27,0)),"")</f>
      </c>
      <c r="N929" s="69" t="str">
        <f>IFERROR(INDEX('Cost_Components'!$P$2:$P$27,MATCH(E929,'Cost_Components'!$A$2:$A$27,0)),"")</f>
      </c>
      <c r="O929" s="70" t="str">
        <f>AF929*J929</f>
      </c>
      <c r="P929" s="71" t="str">
        <f>AG929*J929</f>
      </c>
      <c r="Q929" s="72" t="str">
        <f>P929*L929*M929*N929</f>
      </c>
      <c r="R929" s="73" t="str">
        <f>O929*K929*M929*N929</f>
      </c>
      <c r="S929" s="74" t="str">
        <f>R929-Q929</f>
      </c>
      <c r="T929" s="20" t="str">
        <f>IFERROR(INDEX('Cost_Components'!$R$2:$R$27,MATCH(E929,'Cost_Components'!$A$2:$A$27,0)),"")</f>
      </c>
      <c r="U929" s="75" t="str">
        <f>IFERROR(INDEX('Cost_Components'!$Q$2:$Q$27,MATCH(E929,'Cost_Components'!$A$2:$A$27,0)),"")</f>
      </c>
      <c r="V929" s="76" t="str">
        <f>1/(1+'Calculation_Assumptions'!$B$5)^(B929-'Calculation_Assumptions'!$B$2)</f>
      </c>
      <c r="W929" s="77" t="str">
        <f>Q929*V929</f>
      </c>
      <c r="X929" s="78" t="str">
        <f>R929*V929</f>
      </c>
      <c r="Y929" s="79" t="str">
        <f>S929*V929</f>
      </c>
      <c r="Z929" s="80" t="str">
        <f>IFERROR(INDEX('Cost_Components'!$T$2:$T$27,MATCH(E929,'Cost_Components'!$A$2:$A$27,0)),"")</f>
      </c>
      <c r="AA929" s="81" t="str">
        <f>IFERROR(INDEX('Cost_Components'!$U$2:$U$27,MATCH(E929,'Cost_Components'!$A$2:$A$27,0)),"")</f>
      </c>
      <c r="AB929" s="82" t="str">
        <f>IFERROR(INDEX('Cost_Components'!$V$2:$V$27,MATCH(E929,'Cost_Components'!$A$2:$A$27,0)),"")</f>
      </c>
      <c r="AC929" s="83" t="str">
        <f>IFERROR(INDEX('Cost_Components'!$M$2:$M$27,MATCH(E929,'Cost_Components'!$A$2:$A$27,0)),"")</f>
      </c>
      <c r="AD929" s="84" t="str">
        <f>IFERROR(INDEX('Cost_Components'!$N$2:$N$27,MATCH(E929,'Cost_Components'!$A$2:$A$27,0)),"")</f>
      </c>
      <c r="AE929" s="20" t="str">
        <f>IFERROR(INDEX('Cost_Components'!$O$2:$O$27,MATCH(E929,'Cost_Components'!$A$2:$A$27,0)),"")</f>
      </c>
      <c r="AF929" s="85" t="n">
        <v>630176.231691491</v>
      </c>
      <c r="AG929" s="86" t="n">
        <v>676373.405782993</v>
      </c>
      <c r="AH929" s="87" t="str">
        <f>IF(H929="shared-count-once",COUNTIFS($A$2:$A$1353,A929,$B$2:$B$1353,B929,$E$2:$E$1353,E929),1)</f>
      </c>
    </row>
    <row r="930">
      <c r="A930" t="s">
        <v>75</v>
      </c>
      <c r="B930" s="59" t="n">
        <v>2043</v>
      </c>
      <c r="C930" t="s">
        <v>200</v>
      </c>
      <c r="D930" t="s">
        <v>166</v>
      </c>
      <c r="E930" s="60" t="s">
        <v>283</v>
      </c>
      <c r="F930" s="61" t="s">
        <v>284</v>
      </c>
      <c r="G930" s="62" t="s">
        <v>203</v>
      </c>
      <c r="H930" s="63" t="s">
        <v>195</v>
      </c>
      <c r="I930" s="64" t="s">
        <v>267</v>
      </c>
      <c r="J930" s="65" t="str">
        <f>IFERROR(INDEX('Cost_Components'!$K$2:$K$27,MATCH(E930,'Cost_Components'!$A$2:$A$27,0)),"")</f>
      </c>
      <c r="K930" s="66" t="str">
        <f>IF(OR(L930="",Z930="",AA930="",AB930=""),"",IF(B930&lt;AA930,L930,IF(B930&gt;AB930,Z930,L930+(Z930-L930)*MIN(MAX((B930-AA930+1)/MAX(AB930-AA930+1,1),0),1))))</f>
      </c>
      <c r="L930" s="67" t="str">
        <f>IFERROR(INDEX('Cost_Components'!$S$2:$S$27,MATCH(E930,'Cost_Components'!$A$2:$A$27,0)),"")</f>
      </c>
      <c r="M930" s="68" t="str">
        <f>IFERROR(INDEX('Cost_Components'!$L$2:$L$27,MATCH(E930,'Cost_Components'!$A$2:$A$27,0)),"")</f>
      </c>
      <c r="N930" s="69" t="str">
        <f>IFERROR(INDEX('Cost_Components'!$P$2:$P$27,MATCH(E930,'Cost_Components'!$A$2:$A$27,0)),"")</f>
      </c>
      <c r="O930" s="70" t="str">
        <f>AF930*J930</f>
      </c>
      <c r="P930" s="71" t="str">
        <f>AG930*J930</f>
      </c>
      <c r="Q930" s="72" t="str">
        <f>P930*L930*M930*N930</f>
      </c>
      <c r="R930" s="73" t="str">
        <f>O930*K930*M930*N930</f>
      </c>
      <c r="S930" s="74" t="str">
        <f>R930-Q930</f>
      </c>
      <c r="T930" s="20" t="str">
        <f>IFERROR(INDEX('Cost_Components'!$R$2:$R$27,MATCH(E930,'Cost_Components'!$A$2:$A$27,0)),"")</f>
      </c>
      <c r="U930" s="75" t="str">
        <f>IFERROR(INDEX('Cost_Components'!$Q$2:$Q$27,MATCH(E930,'Cost_Components'!$A$2:$A$27,0)),"")</f>
      </c>
      <c r="V930" s="76" t="str">
        <f>1/(1+'Calculation_Assumptions'!$B$5)^(B930-'Calculation_Assumptions'!$B$2)</f>
      </c>
      <c r="W930" s="77" t="str">
        <f>Q930*V930</f>
      </c>
      <c r="X930" s="78" t="str">
        <f>R930*V930</f>
      </c>
      <c r="Y930" s="79" t="str">
        <f>S930*V930</f>
      </c>
      <c r="Z930" s="80" t="str">
        <f>IFERROR(INDEX('Cost_Components'!$T$2:$T$27,MATCH(E930,'Cost_Components'!$A$2:$A$27,0)),"")</f>
      </c>
      <c r="AA930" s="81" t="str">
        <f>IFERROR(INDEX('Cost_Components'!$U$2:$U$27,MATCH(E930,'Cost_Components'!$A$2:$A$27,0)),"")</f>
      </c>
      <c r="AB930" s="82" t="str">
        <f>IFERROR(INDEX('Cost_Components'!$V$2:$V$27,MATCH(E930,'Cost_Components'!$A$2:$A$27,0)),"")</f>
      </c>
      <c r="AC930" s="83" t="str">
        <f>IFERROR(INDEX('Cost_Components'!$M$2:$M$27,MATCH(E930,'Cost_Components'!$A$2:$A$27,0)),"")</f>
      </c>
      <c r="AD930" s="84" t="str">
        <f>IFERROR(INDEX('Cost_Components'!$N$2:$N$27,MATCH(E930,'Cost_Components'!$A$2:$A$27,0)),"")</f>
      </c>
      <c r="AE930" s="20" t="str">
        <f>IFERROR(INDEX('Cost_Components'!$O$2:$O$27,MATCH(E930,'Cost_Components'!$A$2:$A$27,0)),"")</f>
      </c>
      <c r="AF930" s="85" t="n">
        <v>641383.196682793</v>
      </c>
      <c r="AG930" s="86" t="n">
        <v>692011.846145533</v>
      </c>
      <c r="AH930" s="87" t="str">
        <f>IF(H930="shared-count-once",COUNTIFS($A$2:$A$1353,A930,$B$2:$B$1353,B930,$E$2:$E$1353,E930),1)</f>
      </c>
    </row>
    <row r="931">
      <c r="A931" t="s">
        <v>75</v>
      </c>
      <c r="B931" s="59" t="n">
        <v>2044</v>
      </c>
      <c r="C931" t="s">
        <v>200</v>
      </c>
      <c r="D931" t="s">
        <v>166</v>
      </c>
      <c r="E931" s="60" t="s">
        <v>283</v>
      </c>
      <c r="F931" s="61" t="s">
        <v>284</v>
      </c>
      <c r="G931" s="62" t="s">
        <v>203</v>
      </c>
      <c r="H931" s="63" t="s">
        <v>195</v>
      </c>
      <c r="I931" s="64" t="s">
        <v>267</v>
      </c>
      <c r="J931" s="65" t="str">
        <f>IFERROR(INDEX('Cost_Components'!$K$2:$K$27,MATCH(E931,'Cost_Components'!$A$2:$A$27,0)),"")</f>
      </c>
      <c r="K931" s="66" t="str">
        <f>IF(OR(L931="",Z931="",AA931="",AB931=""),"",IF(B931&lt;AA931,L931,IF(B931&gt;AB931,Z931,L931+(Z931-L931)*MIN(MAX((B931-AA931+1)/MAX(AB931-AA931+1,1),0),1))))</f>
      </c>
      <c r="L931" s="67" t="str">
        <f>IFERROR(INDEX('Cost_Components'!$S$2:$S$27,MATCH(E931,'Cost_Components'!$A$2:$A$27,0)),"")</f>
      </c>
      <c r="M931" s="68" t="str">
        <f>IFERROR(INDEX('Cost_Components'!$L$2:$L$27,MATCH(E931,'Cost_Components'!$A$2:$A$27,0)),"")</f>
      </c>
      <c r="N931" s="69" t="str">
        <f>IFERROR(INDEX('Cost_Components'!$P$2:$P$27,MATCH(E931,'Cost_Components'!$A$2:$A$27,0)),"")</f>
      </c>
      <c r="O931" s="70" t="str">
        <f>AF931*J931</f>
      </c>
      <c r="P931" s="71" t="str">
        <f>AG931*J931</f>
      </c>
      <c r="Q931" s="72" t="str">
        <f>P931*L931*M931*N931</f>
      </c>
      <c r="R931" s="73" t="str">
        <f>O931*K931*M931*N931</f>
      </c>
      <c r="S931" s="74" t="str">
        <f>R931-Q931</f>
      </c>
      <c r="T931" s="20" t="str">
        <f>IFERROR(INDEX('Cost_Components'!$R$2:$R$27,MATCH(E931,'Cost_Components'!$A$2:$A$27,0)),"")</f>
      </c>
      <c r="U931" s="75" t="str">
        <f>IFERROR(INDEX('Cost_Components'!$Q$2:$Q$27,MATCH(E931,'Cost_Components'!$A$2:$A$27,0)),"")</f>
      </c>
      <c r="V931" s="76" t="str">
        <f>1/(1+'Calculation_Assumptions'!$B$5)^(B931-'Calculation_Assumptions'!$B$2)</f>
      </c>
      <c r="W931" s="77" t="str">
        <f>Q931*V931</f>
      </c>
      <c r="X931" s="78" t="str">
        <f>R931*V931</f>
      </c>
      <c r="Y931" s="79" t="str">
        <f>S931*V931</f>
      </c>
      <c r="Z931" s="80" t="str">
        <f>IFERROR(INDEX('Cost_Components'!$T$2:$T$27,MATCH(E931,'Cost_Components'!$A$2:$A$27,0)),"")</f>
      </c>
      <c r="AA931" s="81" t="str">
        <f>IFERROR(INDEX('Cost_Components'!$U$2:$U$27,MATCH(E931,'Cost_Components'!$A$2:$A$27,0)),"")</f>
      </c>
      <c r="AB931" s="82" t="str">
        <f>IFERROR(INDEX('Cost_Components'!$V$2:$V$27,MATCH(E931,'Cost_Components'!$A$2:$A$27,0)),"")</f>
      </c>
      <c r="AC931" s="83" t="str">
        <f>IFERROR(INDEX('Cost_Components'!$M$2:$M$27,MATCH(E931,'Cost_Components'!$A$2:$A$27,0)),"")</f>
      </c>
      <c r="AD931" s="84" t="str">
        <f>IFERROR(INDEX('Cost_Components'!$N$2:$N$27,MATCH(E931,'Cost_Components'!$A$2:$A$27,0)),"")</f>
      </c>
      <c r="AE931" s="20" t="str">
        <f>IFERROR(INDEX('Cost_Components'!$O$2:$O$27,MATCH(E931,'Cost_Components'!$A$2:$A$27,0)),"")</f>
      </c>
      <c r="AF931" s="85" t="n">
        <v>652086.447415715</v>
      </c>
      <c r="AG931" s="86" t="n">
        <v>707234.188054573</v>
      </c>
      <c r="AH931" s="87" t="str">
        <f>IF(H931="shared-count-once",COUNTIFS($A$2:$A$1353,A931,$B$2:$B$1353,B931,$E$2:$E$1353,E931),1)</f>
      </c>
    </row>
    <row r="932">
      <c r="A932" t="s">
        <v>75</v>
      </c>
      <c r="B932" s="59" t="n">
        <v>2045</v>
      </c>
      <c r="C932" t="s">
        <v>200</v>
      </c>
      <c r="D932" t="s">
        <v>166</v>
      </c>
      <c r="E932" s="60" t="s">
        <v>283</v>
      </c>
      <c r="F932" s="61" t="s">
        <v>284</v>
      </c>
      <c r="G932" s="62" t="s">
        <v>203</v>
      </c>
      <c r="H932" s="63" t="s">
        <v>195</v>
      </c>
      <c r="I932" s="64" t="s">
        <v>267</v>
      </c>
      <c r="J932" s="65" t="str">
        <f>IFERROR(INDEX('Cost_Components'!$K$2:$K$27,MATCH(E932,'Cost_Components'!$A$2:$A$27,0)),"")</f>
      </c>
      <c r="K932" s="66" t="str">
        <f>IF(OR(L932="",Z932="",AA932="",AB932=""),"",IF(B932&lt;AA932,L932,IF(B932&gt;AB932,Z932,L932+(Z932-L932)*MIN(MAX((B932-AA932+1)/MAX(AB932-AA932+1,1),0),1))))</f>
      </c>
      <c r="L932" s="67" t="str">
        <f>IFERROR(INDEX('Cost_Components'!$S$2:$S$27,MATCH(E932,'Cost_Components'!$A$2:$A$27,0)),"")</f>
      </c>
      <c r="M932" s="68" t="str">
        <f>IFERROR(INDEX('Cost_Components'!$L$2:$L$27,MATCH(E932,'Cost_Components'!$A$2:$A$27,0)),"")</f>
      </c>
      <c r="N932" s="69" t="str">
        <f>IFERROR(INDEX('Cost_Components'!$P$2:$P$27,MATCH(E932,'Cost_Components'!$A$2:$A$27,0)),"")</f>
      </c>
      <c r="O932" s="70" t="str">
        <f>AF932*J932</f>
      </c>
      <c r="P932" s="71" t="str">
        <f>AG932*J932</f>
      </c>
      <c r="Q932" s="72" t="str">
        <f>P932*L932*M932*N932</f>
      </c>
      <c r="R932" s="73" t="str">
        <f>O932*K932*M932*N932</f>
      </c>
      <c r="S932" s="74" t="str">
        <f>R932-Q932</f>
      </c>
      <c r="T932" s="20" t="str">
        <f>IFERROR(INDEX('Cost_Components'!$R$2:$R$27,MATCH(E932,'Cost_Components'!$A$2:$A$27,0)),"")</f>
      </c>
      <c r="U932" s="75" t="str">
        <f>IFERROR(INDEX('Cost_Components'!$Q$2:$Q$27,MATCH(E932,'Cost_Components'!$A$2:$A$27,0)),"")</f>
      </c>
      <c r="V932" s="76" t="str">
        <f>1/(1+'Calculation_Assumptions'!$B$5)^(B932-'Calculation_Assumptions'!$B$2)</f>
      </c>
      <c r="W932" s="77" t="str">
        <f>Q932*V932</f>
      </c>
      <c r="X932" s="78" t="str">
        <f>R932*V932</f>
      </c>
      <c r="Y932" s="79" t="str">
        <f>S932*V932</f>
      </c>
      <c r="Z932" s="80" t="str">
        <f>IFERROR(INDEX('Cost_Components'!$T$2:$T$27,MATCH(E932,'Cost_Components'!$A$2:$A$27,0)),"")</f>
      </c>
      <c r="AA932" s="81" t="str">
        <f>IFERROR(INDEX('Cost_Components'!$U$2:$U$27,MATCH(E932,'Cost_Components'!$A$2:$A$27,0)),"")</f>
      </c>
      <c r="AB932" s="82" t="str">
        <f>IFERROR(INDEX('Cost_Components'!$V$2:$V$27,MATCH(E932,'Cost_Components'!$A$2:$A$27,0)),"")</f>
      </c>
      <c r="AC932" s="83" t="str">
        <f>IFERROR(INDEX('Cost_Components'!$M$2:$M$27,MATCH(E932,'Cost_Components'!$A$2:$A$27,0)),"")</f>
      </c>
      <c r="AD932" s="84" t="str">
        <f>IFERROR(INDEX('Cost_Components'!$N$2:$N$27,MATCH(E932,'Cost_Components'!$A$2:$A$27,0)),"")</f>
      </c>
      <c r="AE932" s="20" t="str">
        <f>IFERROR(INDEX('Cost_Components'!$O$2:$O$27,MATCH(E932,'Cost_Components'!$A$2:$A$27,0)),"")</f>
      </c>
      <c r="AF932" s="85" t="n">
        <v>662726.960666262</v>
      </c>
      <c r="AG932" s="86" t="n">
        <v>722555.372182865</v>
      </c>
      <c r="AH932" s="87" t="str">
        <f>IF(H932="shared-count-once",COUNTIFS($A$2:$A$1353,A932,$B$2:$B$1353,B932,$E$2:$E$1353,E932),1)</f>
      </c>
    </row>
    <row r="933">
      <c r="A933" t="s">
        <v>75</v>
      </c>
      <c r="B933" s="59" t="n">
        <v>2046</v>
      </c>
      <c r="C933" t="s">
        <v>200</v>
      </c>
      <c r="D933" t="s">
        <v>166</v>
      </c>
      <c r="E933" s="60" t="s">
        <v>283</v>
      </c>
      <c r="F933" s="61" t="s">
        <v>284</v>
      </c>
      <c r="G933" s="62" t="s">
        <v>203</v>
      </c>
      <c r="H933" s="63" t="s">
        <v>195</v>
      </c>
      <c r="I933" s="64" t="s">
        <v>267</v>
      </c>
      <c r="J933" s="65" t="str">
        <f>IFERROR(INDEX('Cost_Components'!$K$2:$K$27,MATCH(E933,'Cost_Components'!$A$2:$A$27,0)),"")</f>
      </c>
      <c r="K933" s="66" t="str">
        <f>IF(OR(L933="",Z933="",AA933="",AB933=""),"",IF(B933&lt;AA933,L933,IF(B933&gt;AB933,Z933,L933+(Z933-L933)*MIN(MAX((B933-AA933+1)/MAX(AB933-AA933+1,1),0),1))))</f>
      </c>
      <c r="L933" s="67" t="str">
        <f>IFERROR(INDEX('Cost_Components'!$S$2:$S$27,MATCH(E933,'Cost_Components'!$A$2:$A$27,0)),"")</f>
      </c>
      <c r="M933" s="68" t="str">
        <f>IFERROR(INDEX('Cost_Components'!$L$2:$L$27,MATCH(E933,'Cost_Components'!$A$2:$A$27,0)),"")</f>
      </c>
      <c r="N933" s="69" t="str">
        <f>IFERROR(INDEX('Cost_Components'!$P$2:$P$27,MATCH(E933,'Cost_Components'!$A$2:$A$27,0)),"")</f>
      </c>
      <c r="O933" s="70" t="str">
        <f>AF933*J933</f>
      </c>
      <c r="P933" s="71" t="str">
        <f>AG933*J933</f>
      </c>
      <c r="Q933" s="72" t="str">
        <f>P933*L933*M933*N933</f>
      </c>
      <c r="R933" s="73" t="str">
        <f>O933*K933*M933*N933</f>
      </c>
      <c r="S933" s="74" t="str">
        <f>R933-Q933</f>
      </c>
      <c r="T933" s="20" t="str">
        <f>IFERROR(INDEX('Cost_Components'!$R$2:$R$27,MATCH(E933,'Cost_Components'!$A$2:$A$27,0)),"")</f>
      </c>
      <c r="U933" s="75" t="str">
        <f>IFERROR(INDEX('Cost_Components'!$Q$2:$Q$27,MATCH(E933,'Cost_Components'!$A$2:$A$27,0)),"")</f>
      </c>
      <c r="V933" s="76" t="str">
        <f>1/(1+'Calculation_Assumptions'!$B$5)^(B933-'Calculation_Assumptions'!$B$2)</f>
      </c>
      <c r="W933" s="77" t="str">
        <f>Q933*V933</f>
      </c>
      <c r="X933" s="78" t="str">
        <f>R933*V933</f>
      </c>
      <c r="Y933" s="79" t="str">
        <f>S933*V933</f>
      </c>
      <c r="Z933" s="80" t="str">
        <f>IFERROR(INDEX('Cost_Components'!$T$2:$T$27,MATCH(E933,'Cost_Components'!$A$2:$A$27,0)),"")</f>
      </c>
      <c r="AA933" s="81" t="str">
        <f>IFERROR(INDEX('Cost_Components'!$U$2:$U$27,MATCH(E933,'Cost_Components'!$A$2:$A$27,0)),"")</f>
      </c>
      <c r="AB933" s="82" t="str">
        <f>IFERROR(INDEX('Cost_Components'!$V$2:$V$27,MATCH(E933,'Cost_Components'!$A$2:$A$27,0)),"")</f>
      </c>
      <c r="AC933" s="83" t="str">
        <f>IFERROR(INDEX('Cost_Components'!$M$2:$M$27,MATCH(E933,'Cost_Components'!$A$2:$A$27,0)),"")</f>
      </c>
      <c r="AD933" s="84" t="str">
        <f>IFERROR(INDEX('Cost_Components'!$N$2:$N$27,MATCH(E933,'Cost_Components'!$A$2:$A$27,0)),"")</f>
      </c>
      <c r="AE933" s="20" t="str">
        <f>IFERROR(INDEX('Cost_Components'!$O$2:$O$27,MATCH(E933,'Cost_Components'!$A$2:$A$27,0)),"")</f>
      </c>
      <c r="AF933" s="85" t="n">
        <v>673204.60667431</v>
      </c>
      <c r="AG933" s="86" t="n">
        <v>737879.853931334</v>
      </c>
      <c r="AH933" s="87" t="str">
        <f>IF(H933="shared-count-once",COUNTIFS($A$2:$A$1353,A933,$B$2:$B$1353,B933,$E$2:$E$1353,E933),1)</f>
      </c>
    </row>
    <row r="934">
      <c r="A934" t="s">
        <v>75</v>
      </c>
      <c r="B934" s="59" t="n">
        <v>2047</v>
      </c>
      <c r="C934" t="s">
        <v>200</v>
      </c>
      <c r="D934" t="s">
        <v>166</v>
      </c>
      <c r="E934" s="60" t="s">
        <v>283</v>
      </c>
      <c r="F934" s="61" t="s">
        <v>284</v>
      </c>
      <c r="G934" s="62" t="s">
        <v>203</v>
      </c>
      <c r="H934" s="63" t="s">
        <v>195</v>
      </c>
      <c r="I934" s="64" t="s">
        <v>267</v>
      </c>
      <c r="J934" s="65" t="str">
        <f>IFERROR(INDEX('Cost_Components'!$K$2:$K$27,MATCH(E934,'Cost_Components'!$A$2:$A$27,0)),"")</f>
      </c>
      <c r="K934" s="66" t="str">
        <f>IF(OR(L934="",Z934="",AA934="",AB934=""),"",IF(B934&lt;AA934,L934,IF(B934&gt;AB934,Z934,L934+(Z934-L934)*MIN(MAX((B934-AA934+1)/MAX(AB934-AA934+1,1),0),1))))</f>
      </c>
      <c r="L934" s="67" t="str">
        <f>IFERROR(INDEX('Cost_Components'!$S$2:$S$27,MATCH(E934,'Cost_Components'!$A$2:$A$27,0)),"")</f>
      </c>
      <c r="M934" s="68" t="str">
        <f>IFERROR(INDEX('Cost_Components'!$L$2:$L$27,MATCH(E934,'Cost_Components'!$A$2:$A$27,0)),"")</f>
      </c>
      <c r="N934" s="69" t="str">
        <f>IFERROR(INDEX('Cost_Components'!$P$2:$P$27,MATCH(E934,'Cost_Components'!$A$2:$A$27,0)),"")</f>
      </c>
      <c r="O934" s="70" t="str">
        <f>AF934*J934</f>
      </c>
      <c r="P934" s="71" t="str">
        <f>AG934*J934</f>
      </c>
      <c r="Q934" s="72" t="str">
        <f>P934*L934*M934*N934</f>
      </c>
      <c r="R934" s="73" t="str">
        <f>O934*K934*M934*N934</f>
      </c>
      <c r="S934" s="74" t="str">
        <f>R934-Q934</f>
      </c>
      <c r="T934" s="20" t="str">
        <f>IFERROR(INDEX('Cost_Components'!$R$2:$R$27,MATCH(E934,'Cost_Components'!$A$2:$A$27,0)),"")</f>
      </c>
      <c r="U934" s="75" t="str">
        <f>IFERROR(INDEX('Cost_Components'!$Q$2:$Q$27,MATCH(E934,'Cost_Components'!$A$2:$A$27,0)),"")</f>
      </c>
      <c r="V934" s="76" t="str">
        <f>1/(1+'Calculation_Assumptions'!$B$5)^(B934-'Calculation_Assumptions'!$B$2)</f>
      </c>
      <c r="W934" s="77" t="str">
        <f>Q934*V934</f>
      </c>
      <c r="X934" s="78" t="str">
        <f>R934*V934</f>
      </c>
      <c r="Y934" s="79" t="str">
        <f>S934*V934</f>
      </c>
      <c r="Z934" s="80" t="str">
        <f>IFERROR(INDEX('Cost_Components'!$T$2:$T$27,MATCH(E934,'Cost_Components'!$A$2:$A$27,0)),"")</f>
      </c>
      <c r="AA934" s="81" t="str">
        <f>IFERROR(INDEX('Cost_Components'!$U$2:$U$27,MATCH(E934,'Cost_Components'!$A$2:$A$27,0)),"")</f>
      </c>
      <c r="AB934" s="82" t="str">
        <f>IFERROR(INDEX('Cost_Components'!$V$2:$V$27,MATCH(E934,'Cost_Components'!$A$2:$A$27,0)),"")</f>
      </c>
      <c r="AC934" s="83" t="str">
        <f>IFERROR(INDEX('Cost_Components'!$M$2:$M$27,MATCH(E934,'Cost_Components'!$A$2:$A$27,0)),"")</f>
      </c>
      <c r="AD934" s="84" t="str">
        <f>IFERROR(INDEX('Cost_Components'!$N$2:$N$27,MATCH(E934,'Cost_Components'!$A$2:$A$27,0)),"")</f>
      </c>
      <c r="AE934" s="20" t="str">
        <f>IFERROR(INDEX('Cost_Components'!$O$2:$O$27,MATCH(E934,'Cost_Components'!$A$2:$A$27,0)),"")</f>
      </c>
      <c r="AF934" s="85" t="n">
        <v>683525.804221673</v>
      </c>
      <c r="AG934" s="86" t="n">
        <v>753233.18651991</v>
      </c>
      <c r="AH934" s="87" t="str">
        <f>IF(H934="shared-count-once",COUNTIFS($A$2:$A$1353,A934,$B$2:$B$1353,B934,$E$2:$E$1353,E934),1)</f>
      </c>
    </row>
    <row r="935">
      <c r="A935" t="s">
        <v>75</v>
      </c>
      <c r="B935" s="59" t="n">
        <v>2048</v>
      </c>
      <c r="C935" t="s">
        <v>200</v>
      </c>
      <c r="D935" t="s">
        <v>166</v>
      </c>
      <c r="E935" s="60" t="s">
        <v>283</v>
      </c>
      <c r="F935" s="61" t="s">
        <v>284</v>
      </c>
      <c r="G935" s="62" t="s">
        <v>203</v>
      </c>
      <c r="H935" s="63" t="s">
        <v>195</v>
      </c>
      <c r="I935" s="64" t="s">
        <v>267</v>
      </c>
      <c r="J935" s="65" t="str">
        <f>IFERROR(INDEX('Cost_Components'!$K$2:$K$27,MATCH(E935,'Cost_Components'!$A$2:$A$27,0)),"")</f>
      </c>
      <c r="K935" s="66" t="str">
        <f>IF(OR(L935="",Z935="",AA935="",AB935=""),"",IF(B935&lt;AA935,L935,IF(B935&gt;AB935,Z935,L935+(Z935-L935)*MIN(MAX((B935-AA935+1)/MAX(AB935-AA935+1,1),0),1))))</f>
      </c>
      <c r="L935" s="67" t="str">
        <f>IFERROR(INDEX('Cost_Components'!$S$2:$S$27,MATCH(E935,'Cost_Components'!$A$2:$A$27,0)),"")</f>
      </c>
      <c r="M935" s="68" t="str">
        <f>IFERROR(INDEX('Cost_Components'!$L$2:$L$27,MATCH(E935,'Cost_Components'!$A$2:$A$27,0)),"")</f>
      </c>
      <c r="N935" s="69" t="str">
        <f>IFERROR(INDEX('Cost_Components'!$P$2:$P$27,MATCH(E935,'Cost_Components'!$A$2:$A$27,0)),"")</f>
      </c>
      <c r="O935" s="70" t="str">
        <f>AF935*J935</f>
      </c>
      <c r="P935" s="71" t="str">
        <f>AG935*J935</f>
      </c>
      <c r="Q935" s="72" t="str">
        <f>P935*L935*M935*N935</f>
      </c>
      <c r="R935" s="73" t="str">
        <f>O935*K935*M935*N935</f>
      </c>
      <c r="S935" s="74" t="str">
        <f>R935-Q935</f>
      </c>
      <c r="T935" s="20" t="str">
        <f>IFERROR(INDEX('Cost_Components'!$R$2:$R$27,MATCH(E935,'Cost_Components'!$A$2:$A$27,0)),"")</f>
      </c>
      <c r="U935" s="75" t="str">
        <f>IFERROR(INDEX('Cost_Components'!$Q$2:$Q$27,MATCH(E935,'Cost_Components'!$A$2:$A$27,0)),"")</f>
      </c>
      <c r="V935" s="76" t="str">
        <f>1/(1+'Calculation_Assumptions'!$B$5)^(B935-'Calculation_Assumptions'!$B$2)</f>
      </c>
      <c r="W935" s="77" t="str">
        <f>Q935*V935</f>
      </c>
      <c r="X935" s="78" t="str">
        <f>R935*V935</f>
      </c>
      <c r="Y935" s="79" t="str">
        <f>S935*V935</f>
      </c>
      <c r="Z935" s="80" t="str">
        <f>IFERROR(INDEX('Cost_Components'!$T$2:$T$27,MATCH(E935,'Cost_Components'!$A$2:$A$27,0)),"")</f>
      </c>
      <c r="AA935" s="81" t="str">
        <f>IFERROR(INDEX('Cost_Components'!$U$2:$U$27,MATCH(E935,'Cost_Components'!$A$2:$A$27,0)),"")</f>
      </c>
      <c r="AB935" s="82" t="str">
        <f>IFERROR(INDEX('Cost_Components'!$V$2:$V$27,MATCH(E935,'Cost_Components'!$A$2:$A$27,0)),"")</f>
      </c>
      <c r="AC935" s="83" t="str">
        <f>IFERROR(INDEX('Cost_Components'!$M$2:$M$27,MATCH(E935,'Cost_Components'!$A$2:$A$27,0)),"")</f>
      </c>
      <c r="AD935" s="84" t="str">
        <f>IFERROR(INDEX('Cost_Components'!$N$2:$N$27,MATCH(E935,'Cost_Components'!$A$2:$A$27,0)),"")</f>
      </c>
      <c r="AE935" s="20" t="str">
        <f>IFERROR(INDEX('Cost_Components'!$O$2:$O$27,MATCH(E935,'Cost_Components'!$A$2:$A$27,0)),"")</f>
      </c>
      <c r="AF935" s="85" t="n">
        <v>693824.500175046</v>
      </c>
      <c r="AG935" s="86" t="n">
        <v>768783.336092168</v>
      </c>
      <c r="AH935" s="87" t="str">
        <f>IF(H935="shared-count-once",COUNTIFS($A$2:$A$1353,A935,$B$2:$B$1353,B935,$E$2:$E$1353,E935),1)</f>
      </c>
    </row>
    <row r="936">
      <c r="A936" t="s">
        <v>75</v>
      </c>
      <c r="B936" s="59" t="n">
        <v>2049</v>
      </c>
      <c r="C936" t="s">
        <v>200</v>
      </c>
      <c r="D936" t="s">
        <v>166</v>
      </c>
      <c r="E936" s="60" t="s">
        <v>283</v>
      </c>
      <c r="F936" s="61" t="s">
        <v>284</v>
      </c>
      <c r="G936" s="62" t="s">
        <v>203</v>
      </c>
      <c r="H936" s="63" t="s">
        <v>195</v>
      </c>
      <c r="I936" s="64" t="s">
        <v>267</v>
      </c>
      <c r="J936" s="65" t="str">
        <f>IFERROR(INDEX('Cost_Components'!$K$2:$K$27,MATCH(E936,'Cost_Components'!$A$2:$A$27,0)),"")</f>
      </c>
      <c r="K936" s="66" t="str">
        <f>IF(OR(L936="",Z936="",AA936="",AB936=""),"",IF(B936&lt;AA936,L936,IF(B936&gt;AB936,Z936,L936+(Z936-L936)*MIN(MAX((B936-AA936+1)/MAX(AB936-AA936+1,1),0),1))))</f>
      </c>
      <c r="L936" s="67" t="str">
        <f>IFERROR(INDEX('Cost_Components'!$S$2:$S$27,MATCH(E936,'Cost_Components'!$A$2:$A$27,0)),"")</f>
      </c>
      <c r="M936" s="68" t="str">
        <f>IFERROR(INDEX('Cost_Components'!$L$2:$L$27,MATCH(E936,'Cost_Components'!$A$2:$A$27,0)),"")</f>
      </c>
      <c r="N936" s="69" t="str">
        <f>IFERROR(INDEX('Cost_Components'!$P$2:$P$27,MATCH(E936,'Cost_Components'!$A$2:$A$27,0)),"")</f>
      </c>
      <c r="O936" s="70" t="str">
        <f>AF936*J936</f>
      </c>
      <c r="P936" s="71" t="str">
        <f>AG936*J936</f>
      </c>
      <c r="Q936" s="72" t="str">
        <f>P936*L936*M936*N936</f>
      </c>
      <c r="R936" s="73" t="str">
        <f>O936*K936*M936*N936</f>
      </c>
      <c r="S936" s="74" t="str">
        <f>R936-Q936</f>
      </c>
      <c r="T936" s="20" t="str">
        <f>IFERROR(INDEX('Cost_Components'!$R$2:$R$27,MATCH(E936,'Cost_Components'!$A$2:$A$27,0)),"")</f>
      </c>
      <c r="U936" s="75" t="str">
        <f>IFERROR(INDEX('Cost_Components'!$Q$2:$Q$27,MATCH(E936,'Cost_Components'!$A$2:$A$27,0)),"")</f>
      </c>
      <c r="V936" s="76" t="str">
        <f>1/(1+'Calculation_Assumptions'!$B$5)^(B936-'Calculation_Assumptions'!$B$2)</f>
      </c>
      <c r="W936" s="77" t="str">
        <f>Q936*V936</f>
      </c>
      <c r="X936" s="78" t="str">
        <f>R936*V936</f>
      </c>
      <c r="Y936" s="79" t="str">
        <f>S936*V936</f>
      </c>
      <c r="Z936" s="80" t="str">
        <f>IFERROR(INDEX('Cost_Components'!$T$2:$T$27,MATCH(E936,'Cost_Components'!$A$2:$A$27,0)),"")</f>
      </c>
      <c r="AA936" s="81" t="str">
        <f>IFERROR(INDEX('Cost_Components'!$U$2:$U$27,MATCH(E936,'Cost_Components'!$A$2:$A$27,0)),"")</f>
      </c>
      <c r="AB936" s="82" t="str">
        <f>IFERROR(INDEX('Cost_Components'!$V$2:$V$27,MATCH(E936,'Cost_Components'!$A$2:$A$27,0)),"")</f>
      </c>
      <c r="AC936" s="83" t="str">
        <f>IFERROR(INDEX('Cost_Components'!$M$2:$M$27,MATCH(E936,'Cost_Components'!$A$2:$A$27,0)),"")</f>
      </c>
      <c r="AD936" s="84" t="str">
        <f>IFERROR(INDEX('Cost_Components'!$N$2:$N$27,MATCH(E936,'Cost_Components'!$A$2:$A$27,0)),"")</f>
      </c>
      <c r="AE936" s="20" t="str">
        <f>IFERROR(INDEX('Cost_Components'!$O$2:$O$27,MATCH(E936,'Cost_Components'!$A$2:$A$27,0)),"")</f>
      </c>
      <c r="AF936" s="85" t="n">
        <v>703501.839098999</v>
      </c>
      <c r="AG936" s="86" t="n">
        <v>783775.538450204</v>
      </c>
      <c r="AH936" s="87" t="str">
        <f>IF(H936="shared-count-once",COUNTIFS($A$2:$A$1353,A936,$B$2:$B$1353,B936,$E$2:$E$1353,E936),1)</f>
      </c>
    </row>
    <row r="937">
      <c r="A937" t="s">
        <v>75</v>
      </c>
      <c r="B937" s="59" t="n">
        <v>2050</v>
      </c>
      <c r="C937" t="s">
        <v>200</v>
      </c>
      <c r="D937" t="s">
        <v>166</v>
      </c>
      <c r="E937" s="60" t="s">
        <v>283</v>
      </c>
      <c r="F937" s="61" t="s">
        <v>284</v>
      </c>
      <c r="G937" s="62" t="s">
        <v>203</v>
      </c>
      <c r="H937" s="63" t="s">
        <v>195</v>
      </c>
      <c r="I937" s="64" t="s">
        <v>267</v>
      </c>
      <c r="J937" s="65" t="str">
        <f>IFERROR(INDEX('Cost_Components'!$K$2:$K$27,MATCH(E937,'Cost_Components'!$A$2:$A$27,0)),"")</f>
      </c>
      <c r="K937" s="66" t="str">
        <f>IF(OR(L937="",Z937="",AA937="",AB937=""),"",IF(B937&lt;AA937,L937,IF(B937&gt;AB937,Z937,L937+(Z937-L937)*MIN(MAX((B937-AA937+1)/MAX(AB937-AA937+1,1),0),1))))</f>
      </c>
      <c r="L937" s="67" t="str">
        <f>IFERROR(INDEX('Cost_Components'!$S$2:$S$27,MATCH(E937,'Cost_Components'!$A$2:$A$27,0)),"")</f>
      </c>
      <c r="M937" s="68" t="str">
        <f>IFERROR(INDEX('Cost_Components'!$L$2:$L$27,MATCH(E937,'Cost_Components'!$A$2:$A$27,0)),"")</f>
      </c>
      <c r="N937" s="69" t="str">
        <f>IFERROR(INDEX('Cost_Components'!$P$2:$P$27,MATCH(E937,'Cost_Components'!$A$2:$A$27,0)),"")</f>
      </c>
      <c r="O937" s="70" t="str">
        <f>AF937*J937</f>
      </c>
      <c r="P937" s="71" t="str">
        <f>AG937*J937</f>
      </c>
      <c r="Q937" s="72" t="str">
        <f>P937*L937*M937*N937</f>
      </c>
      <c r="R937" s="73" t="str">
        <f>O937*K937*M937*N937</f>
      </c>
      <c r="S937" s="74" t="str">
        <f>R937-Q937</f>
      </c>
      <c r="T937" s="20" t="str">
        <f>IFERROR(INDEX('Cost_Components'!$R$2:$R$27,MATCH(E937,'Cost_Components'!$A$2:$A$27,0)),"")</f>
      </c>
      <c r="U937" s="75" t="str">
        <f>IFERROR(INDEX('Cost_Components'!$Q$2:$Q$27,MATCH(E937,'Cost_Components'!$A$2:$A$27,0)),"")</f>
      </c>
      <c r="V937" s="76" t="str">
        <f>1/(1+'Calculation_Assumptions'!$B$5)^(B937-'Calculation_Assumptions'!$B$2)</f>
      </c>
      <c r="W937" s="77" t="str">
        <f>Q937*V937</f>
      </c>
      <c r="X937" s="78" t="str">
        <f>R937*V937</f>
      </c>
      <c r="Y937" s="79" t="str">
        <f>S937*V937</f>
      </c>
      <c r="Z937" s="80" t="str">
        <f>IFERROR(INDEX('Cost_Components'!$T$2:$T$27,MATCH(E937,'Cost_Components'!$A$2:$A$27,0)),"")</f>
      </c>
      <c r="AA937" s="81" t="str">
        <f>IFERROR(INDEX('Cost_Components'!$U$2:$U$27,MATCH(E937,'Cost_Components'!$A$2:$A$27,0)),"")</f>
      </c>
      <c r="AB937" s="82" t="str">
        <f>IFERROR(INDEX('Cost_Components'!$V$2:$V$27,MATCH(E937,'Cost_Components'!$A$2:$A$27,0)),"")</f>
      </c>
      <c r="AC937" s="83" t="str">
        <f>IFERROR(INDEX('Cost_Components'!$M$2:$M$27,MATCH(E937,'Cost_Components'!$A$2:$A$27,0)),"")</f>
      </c>
      <c r="AD937" s="84" t="str">
        <f>IFERROR(INDEX('Cost_Components'!$N$2:$N$27,MATCH(E937,'Cost_Components'!$A$2:$A$27,0)),"")</f>
      </c>
      <c r="AE937" s="20" t="str">
        <f>IFERROR(INDEX('Cost_Components'!$O$2:$O$27,MATCH(E937,'Cost_Components'!$A$2:$A$27,0)),"")</f>
      </c>
      <c r="AF937" s="85" t="n">
        <v>712794.230667774</v>
      </c>
      <c r="AG937" s="86" t="n">
        <v>798478.813288951</v>
      </c>
      <c r="AH937" s="87" t="str">
        <f>IF(H937="shared-count-once",COUNTIFS($A$2:$A$1353,A937,$B$2:$B$1353,B937,$E$2:$E$1353,E937),1)</f>
      </c>
    </row>
    <row r="938">
      <c r="A938" t="s">
        <v>75</v>
      </c>
      <c r="B938" s="59" t="n">
        <v>2025</v>
      </c>
      <c r="C938" t="s">
        <v>200</v>
      </c>
      <c r="D938" t="s">
        <v>166</v>
      </c>
      <c r="E938" s="60" t="s">
        <v>285</v>
      </c>
      <c r="F938" s="61" t="s">
        <v>286</v>
      </c>
      <c r="G938" s="62" t="s">
        <v>203</v>
      </c>
      <c r="H938" s="63" t="s">
        <v>195</v>
      </c>
      <c r="I938" s="64" t="s">
        <v>267</v>
      </c>
      <c r="J938" s="65" t="str">
        <f>IFERROR(INDEX('Cost_Components'!$K$2:$K$27,MATCH(E938,'Cost_Components'!$A$2:$A$27,0)),"")</f>
      </c>
      <c r="K938" s="66" t="str">
        <f>IF(OR(L938="",Z938="",AA938="",AB938=""),"",IF(B938&lt;AA938,L938,IF(B938&gt;AB938,Z938,L938+(Z938-L938)*MIN(MAX((B938-AA938+1)/MAX(AB938-AA938+1,1),0),1))))</f>
      </c>
      <c r="L938" s="67" t="str">
        <f>IFERROR(INDEX('Cost_Components'!$S$2:$S$27,MATCH(E938,'Cost_Components'!$A$2:$A$27,0)),"")</f>
      </c>
      <c r="M938" s="68" t="str">
        <f>IFERROR(INDEX('Cost_Components'!$L$2:$L$27,MATCH(E938,'Cost_Components'!$A$2:$A$27,0)),"")</f>
      </c>
      <c r="N938" s="69" t="str">
        <f>IFERROR(INDEX('Cost_Components'!$P$2:$P$27,MATCH(E938,'Cost_Components'!$A$2:$A$27,0)),"")</f>
      </c>
      <c r="O938" s="70" t="str">
        <f>AF938*J938</f>
      </c>
      <c r="P938" s="71" t="str">
        <f>AG938*J938</f>
      </c>
      <c r="Q938" s="72" t="str">
        <f>P938*L938*M938*N938</f>
      </c>
      <c r="R938" s="73" t="str">
        <f>O938*K938*M938*N938</f>
      </c>
      <c r="S938" s="74" t="str">
        <f>R938-Q938</f>
      </c>
      <c r="T938" s="20" t="str">
        <f>IFERROR(INDEX('Cost_Components'!$R$2:$R$27,MATCH(E938,'Cost_Components'!$A$2:$A$27,0)),"")</f>
      </c>
      <c r="U938" s="75" t="str">
        <f>IFERROR(INDEX('Cost_Components'!$Q$2:$Q$27,MATCH(E938,'Cost_Components'!$A$2:$A$27,0)),"")</f>
      </c>
      <c r="V938" s="76" t="str">
        <f>1/(1+'Calculation_Assumptions'!$B$5)^(B938-'Calculation_Assumptions'!$B$2)</f>
      </c>
      <c r="W938" s="77" t="str">
        <f>Q938*V938</f>
      </c>
      <c r="X938" s="78" t="str">
        <f>R938*V938</f>
      </c>
      <c r="Y938" s="79" t="str">
        <f>S938*V938</f>
      </c>
      <c r="Z938" s="80" t="str">
        <f>IFERROR(INDEX('Cost_Components'!$T$2:$T$27,MATCH(E938,'Cost_Components'!$A$2:$A$27,0)),"")</f>
      </c>
      <c r="AA938" s="81" t="str">
        <f>IFERROR(INDEX('Cost_Components'!$U$2:$U$27,MATCH(E938,'Cost_Components'!$A$2:$A$27,0)),"")</f>
      </c>
      <c r="AB938" s="82" t="str">
        <f>IFERROR(INDEX('Cost_Components'!$V$2:$V$27,MATCH(E938,'Cost_Components'!$A$2:$A$27,0)),"")</f>
      </c>
      <c r="AC938" s="83" t="str">
        <f>IFERROR(INDEX('Cost_Components'!$M$2:$M$27,MATCH(E938,'Cost_Components'!$A$2:$A$27,0)),"")</f>
      </c>
      <c r="AD938" s="84" t="str">
        <f>IFERROR(INDEX('Cost_Components'!$N$2:$N$27,MATCH(E938,'Cost_Components'!$A$2:$A$27,0)),"")</f>
      </c>
      <c r="AE938" s="20" t="str">
        <f>IFERROR(INDEX('Cost_Components'!$O$2:$O$27,MATCH(E938,'Cost_Components'!$A$2:$A$27,0)),"")</f>
      </c>
      <c r="AF938" s="85" t="n">
        <v>452757.749483798</v>
      </c>
      <c r="AG938" s="86" t="n">
        <v>453221.0508491</v>
      </c>
      <c r="AH938" s="87" t="str">
        <f>IF(H938="shared-count-once",COUNTIFS($A$2:$A$1353,A938,$B$2:$B$1353,B938,$E$2:$E$1353,E938),1)</f>
      </c>
    </row>
    <row r="939">
      <c r="A939" t="s">
        <v>75</v>
      </c>
      <c r="B939" s="59" t="n">
        <v>2026</v>
      </c>
      <c r="C939" t="s">
        <v>200</v>
      </c>
      <c r="D939" t="s">
        <v>166</v>
      </c>
      <c r="E939" s="60" t="s">
        <v>285</v>
      </c>
      <c r="F939" s="61" t="s">
        <v>286</v>
      </c>
      <c r="G939" s="62" t="s">
        <v>203</v>
      </c>
      <c r="H939" s="63" t="s">
        <v>195</v>
      </c>
      <c r="I939" s="64" t="s">
        <v>267</v>
      </c>
      <c r="J939" s="65" t="str">
        <f>IFERROR(INDEX('Cost_Components'!$K$2:$K$27,MATCH(E939,'Cost_Components'!$A$2:$A$27,0)),"")</f>
      </c>
      <c r="K939" s="66" t="str">
        <f>IF(OR(L939="",Z939="",AA939="",AB939=""),"",IF(B939&lt;AA939,L939,IF(B939&gt;AB939,Z939,L939+(Z939-L939)*MIN(MAX((B939-AA939+1)/MAX(AB939-AA939+1,1),0),1))))</f>
      </c>
      <c r="L939" s="67" t="str">
        <f>IFERROR(INDEX('Cost_Components'!$S$2:$S$27,MATCH(E939,'Cost_Components'!$A$2:$A$27,0)),"")</f>
      </c>
      <c r="M939" s="68" t="str">
        <f>IFERROR(INDEX('Cost_Components'!$L$2:$L$27,MATCH(E939,'Cost_Components'!$A$2:$A$27,0)),"")</f>
      </c>
      <c r="N939" s="69" t="str">
        <f>IFERROR(INDEX('Cost_Components'!$P$2:$P$27,MATCH(E939,'Cost_Components'!$A$2:$A$27,0)),"")</f>
      </c>
      <c r="O939" s="70" t="str">
        <f>AF939*J939</f>
      </c>
      <c r="P939" s="71" t="str">
        <f>AG939*J939</f>
      </c>
      <c r="Q939" s="72" t="str">
        <f>P939*L939*M939*N939</f>
      </c>
      <c r="R939" s="73" t="str">
        <f>O939*K939*M939*N939</f>
      </c>
      <c r="S939" s="74" t="str">
        <f>R939-Q939</f>
      </c>
      <c r="T939" s="20" t="str">
        <f>IFERROR(INDEX('Cost_Components'!$R$2:$R$27,MATCH(E939,'Cost_Components'!$A$2:$A$27,0)),"")</f>
      </c>
      <c r="U939" s="75" t="str">
        <f>IFERROR(INDEX('Cost_Components'!$Q$2:$Q$27,MATCH(E939,'Cost_Components'!$A$2:$A$27,0)),"")</f>
      </c>
      <c r="V939" s="76" t="str">
        <f>1/(1+'Calculation_Assumptions'!$B$5)^(B939-'Calculation_Assumptions'!$B$2)</f>
      </c>
      <c r="W939" s="77" t="str">
        <f>Q939*V939</f>
      </c>
      <c r="X939" s="78" t="str">
        <f>R939*V939</f>
      </c>
      <c r="Y939" s="79" t="str">
        <f>S939*V939</f>
      </c>
      <c r="Z939" s="80" t="str">
        <f>IFERROR(INDEX('Cost_Components'!$T$2:$T$27,MATCH(E939,'Cost_Components'!$A$2:$A$27,0)),"")</f>
      </c>
      <c r="AA939" s="81" t="str">
        <f>IFERROR(INDEX('Cost_Components'!$U$2:$U$27,MATCH(E939,'Cost_Components'!$A$2:$A$27,0)),"")</f>
      </c>
      <c r="AB939" s="82" t="str">
        <f>IFERROR(INDEX('Cost_Components'!$V$2:$V$27,MATCH(E939,'Cost_Components'!$A$2:$A$27,0)),"")</f>
      </c>
      <c r="AC939" s="83" t="str">
        <f>IFERROR(INDEX('Cost_Components'!$M$2:$M$27,MATCH(E939,'Cost_Components'!$A$2:$A$27,0)),"")</f>
      </c>
      <c r="AD939" s="84" t="str">
        <f>IFERROR(INDEX('Cost_Components'!$N$2:$N$27,MATCH(E939,'Cost_Components'!$A$2:$A$27,0)),"")</f>
      </c>
      <c r="AE939" s="20" t="str">
        <f>IFERROR(INDEX('Cost_Components'!$O$2:$O$27,MATCH(E939,'Cost_Components'!$A$2:$A$27,0)),"")</f>
      </c>
      <c r="AF939" s="85" t="n">
        <v>470042.079317784</v>
      </c>
      <c r="AG939" s="86" t="n">
        <v>471359.834461258</v>
      </c>
      <c r="AH939" s="87" t="str">
        <f>IF(H939="shared-count-once",COUNTIFS($A$2:$A$1353,A939,$B$2:$B$1353,B939,$E$2:$E$1353,E939),1)</f>
      </c>
    </row>
    <row r="940">
      <c r="A940" t="s">
        <v>75</v>
      </c>
      <c r="B940" s="59" t="n">
        <v>2027</v>
      </c>
      <c r="C940" t="s">
        <v>200</v>
      </c>
      <c r="D940" t="s">
        <v>166</v>
      </c>
      <c r="E940" s="60" t="s">
        <v>285</v>
      </c>
      <c r="F940" s="61" t="s">
        <v>286</v>
      </c>
      <c r="G940" s="62" t="s">
        <v>203</v>
      </c>
      <c r="H940" s="63" t="s">
        <v>195</v>
      </c>
      <c r="I940" s="64" t="s">
        <v>267</v>
      </c>
      <c r="J940" s="65" t="str">
        <f>IFERROR(INDEX('Cost_Components'!$K$2:$K$27,MATCH(E940,'Cost_Components'!$A$2:$A$27,0)),"")</f>
      </c>
      <c r="K940" s="66" t="str">
        <f>IF(OR(L940="",Z940="",AA940="",AB940=""),"",IF(B940&lt;AA940,L940,IF(B940&gt;AB940,Z940,L940+(Z940-L940)*MIN(MAX((B940-AA940+1)/MAX(AB940-AA940+1,1),0),1))))</f>
      </c>
      <c r="L940" s="67" t="str">
        <f>IFERROR(INDEX('Cost_Components'!$S$2:$S$27,MATCH(E940,'Cost_Components'!$A$2:$A$27,0)),"")</f>
      </c>
      <c r="M940" s="68" t="str">
        <f>IFERROR(INDEX('Cost_Components'!$L$2:$L$27,MATCH(E940,'Cost_Components'!$A$2:$A$27,0)),"")</f>
      </c>
      <c r="N940" s="69" t="str">
        <f>IFERROR(INDEX('Cost_Components'!$P$2:$P$27,MATCH(E940,'Cost_Components'!$A$2:$A$27,0)),"")</f>
      </c>
      <c r="O940" s="70" t="str">
        <f>AF940*J940</f>
      </c>
      <c r="P940" s="71" t="str">
        <f>AG940*J940</f>
      </c>
      <c r="Q940" s="72" t="str">
        <f>P940*L940*M940*N940</f>
      </c>
      <c r="R940" s="73" t="str">
        <f>O940*K940*M940*N940</f>
      </c>
      <c r="S940" s="74" t="str">
        <f>R940-Q940</f>
      </c>
      <c r="T940" s="20" t="str">
        <f>IFERROR(INDEX('Cost_Components'!$R$2:$R$27,MATCH(E940,'Cost_Components'!$A$2:$A$27,0)),"")</f>
      </c>
      <c r="U940" s="75" t="str">
        <f>IFERROR(INDEX('Cost_Components'!$Q$2:$Q$27,MATCH(E940,'Cost_Components'!$A$2:$A$27,0)),"")</f>
      </c>
      <c r="V940" s="76" t="str">
        <f>1/(1+'Calculation_Assumptions'!$B$5)^(B940-'Calculation_Assumptions'!$B$2)</f>
      </c>
      <c r="W940" s="77" t="str">
        <f>Q940*V940</f>
      </c>
      <c r="X940" s="78" t="str">
        <f>R940*V940</f>
      </c>
      <c r="Y940" s="79" t="str">
        <f>S940*V940</f>
      </c>
      <c r="Z940" s="80" t="str">
        <f>IFERROR(INDEX('Cost_Components'!$T$2:$T$27,MATCH(E940,'Cost_Components'!$A$2:$A$27,0)),"")</f>
      </c>
      <c r="AA940" s="81" t="str">
        <f>IFERROR(INDEX('Cost_Components'!$U$2:$U$27,MATCH(E940,'Cost_Components'!$A$2:$A$27,0)),"")</f>
      </c>
      <c r="AB940" s="82" t="str">
        <f>IFERROR(INDEX('Cost_Components'!$V$2:$V$27,MATCH(E940,'Cost_Components'!$A$2:$A$27,0)),"")</f>
      </c>
      <c r="AC940" s="83" t="str">
        <f>IFERROR(INDEX('Cost_Components'!$M$2:$M$27,MATCH(E940,'Cost_Components'!$A$2:$A$27,0)),"")</f>
      </c>
      <c r="AD940" s="84" t="str">
        <f>IFERROR(INDEX('Cost_Components'!$N$2:$N$27,MATCH(E940,'Cost_Components'!$A$2:$A$27,0)),"")</f>
      </c>
      <c r="AE940" s="20" t="str">
        <f>IFERROR(INDEX('Cost_Components'!$O$2:$O$27,MATCH(E940,'Cost_Components'!$A$2:$A$27,0)),"")</f>
      </c>
      <c r="AF940" s="85" t="n">
        <v>483581.904546467</v>
      </c>
      <c r="AG940" s="86" t="n">
        <v>486077.362780153</v>
      </c>
      <c r="AH940" s="87" t="str">
        <f>IF(H940="shared-count-once",COUNTIFS($A$2:$A$1353,A940,$B$2:$B$1353,B940,$E$2:$E$1353,E940),1)</f>
      </c>
    </row>
    <row r="941">
      <c r="A941" t="s">
        <v>75</v>
      </c>
      <c r="B941" s="59" t="n">
        <v>2028</v>
      </c>
      <c r="C941" t="s">
        <v>200</v>
      </c>
      <c r="D941" t="s">
        <v>166</v>
      </c>
      <c r="E941" s="60" t="s">
        <v>285</v>
      </c>
      <c r="F941" s="61" t="s">
        <v>286</v>
      </c>
      <c r="G941" s="62" t="s">
        <v>203</v>
      </c>
      <c r="H941" s="63" t="s">
        <v>195</v>
      </c>
      <c r="I941" s="64" t="s">
        <v>267</v>
      </c>
      <c r="J941" s="65" t="str">
        <f>IFERROR(INDEX('Cost_Components'!$K$2:$K$27,MATCH(E941,'Cost_Components'!$A$2:$A$27,0)),"")</f>
      </c>
      <c r="K941" s="66" t="str">
        <f>IF(OR(L941="",Z941="",AA941="",AB941=""),"",IF(B941&lt;AA941,L941,IF(B941&gt;AB941,Z941,L941+(Z941-L941)*MIN(MAX((B941-AA941+1)/MAX(AB941-AA941+1,1),0),1))))</f>
      </c>
      <c r="L941" s="67" t="str">
        <f>IFERROR(INDEX('Cost_Components'!$S$2:$S$27,MATCH(E941,'Cost_Components'!$A$2:$A$27,0)),"")</f>
      </c>
      <c r="M941" s="68" t="str">
        <f>IFERROR(INDEX('Cost_Components'!$L$2:$L$27,MATCH(E941,'Cost_Components'!$A$2:$A$27,0)),"")</f>
      </c>
      <c r="N941" s="69" t="str">
        <f>IFERROR(INDEX('Cost_Components'!$P$2:$P$27,MATCH(E941,'Cost_Components'!$A$2:$A$27,0)),"")</f>
      </c>
      <c r="O941" s="70" t="str">
        <f>AF941*J941</f>
      </c>
      <c r="P941" s="71" t="str">
        <f>AG941*J941</f>
      </c>
      <c r="Q941" s="72" t="str">
        <f>P941*L941*M941*N941</f>
      </c>
      <c r="R941" s="73" t="str">
        <f>O941*K941*M941*N941</f>
      </c>
      <c r="S941" s="74" t="str">
        <f>R941-Q941</f>
      </c>
      <c r="T941" s="20" t="str">
        <f>IFERROR(INDEX('Cost_Components'!$R$2:$R$27,MATCH(E941,'Cost_Components'!$A$2:$A$27,0)),"")</f>
      </c>
      <c r="U941" s="75" t="str">
        <f>IFERROR(INDEX('Cost_Components'!$Q$2:$Q$27,MATCH(E941,'Cost_Components'!$A$2:$A$27,0)),"")</f>
      </c>
      <c r="V941" s="76" t="str">
        <f>1/(1+'Calculation_Assumptions'!$B$5)^(B941-'Calculation_Assumptions'!$B$2)</f>
      </c>
      <c r="W941" s="77" t="str">
        <f>Q941*V941</f>
      </c>
      <c r="X941" s="78" t="str">
        <f>R941*V941</f>
      </c>
      <c r="Y941" s="79" t="str">
        <f>S941*V941</f>
      </c>
      <c r="Z941" s="80" t="str">
        <f>IFERROR(INDEX('Cost_Components'!$T$2:$T$27,MATCH(E941,'Cost_Components'!$A$2:$A$27,0)),"")</f>
      </c>
      <c r="AA941" s="81" t="str">
        <f>IFERROR(INDEX('Cost_Components'!$U$2:$U$27,MATCH(E941,'Cost_Components'!$A$2:$A$27,0)),"")</f>
      </c>
      <c r="AB941" s="82" t="str">
        <f>IFERROR(INDEX('Cost_Components'!$V$2:$V$27,MATCH(E941,'Cost_Components'!$A$2:$A$27,0)),"")</f>
      </c>
      <c r="AC941" s="83" t="str">
        <f>IFERROR(INDEX('Cost_Components'!$M$2:$M$27,MATCH(E941,'Cost_Components'!$A$2:$A$27,0)),"")</f>
      </c>
      <c r="AD941" s="84" t="str">
        <f>IFERROR(INDEX('Cost_Components'!$N$2:$N$27,MATCH(E941,'Cost_Components'!$A$2:$A$27,0)),"")</f>
      </c>
      <c r="AE941" s="20" t="str">
        <f>IFERROR(INDEX('Cost_Components'!$O$2:$O$27,MATCH(E941,'Cost_Components'!$A$2:$A$27,0)),"")</f>
      </c>
      <c r="AF941" s="85" t="n">
        <v>494789.737997456</v>
      </c>
      <c r="AG941" s="86" t="n">
        <v>498744.951731358</v>
      </c>
      <c r="AH941" s="87" t="str">
        <f>IF(H941="shared-count-once",COUNTIFS($A$2:$A$1353,A941,$B$2:$B$1353,B941,$E$2:$E$1353,E941),1)</f>
      </c>
    </row>
    <row r="942">
      <c r="A942" t="s">
        <v>75</v>
      </c>
      <c r="B942" s="59" t="n">
        <v>2029</v>
      </c>
      <c r="C942" t="s">
        <v>200</v>
      </c>
      <c r="D942" t="s">
        <v>166</v>
      </c>
      <c r="E942" s="60" t="s">
        <v>285</v>
      </c>
      <c r="F942" s="61" t="s">
        <v>286</v>
      </c>
      <c r="G942" s="62" t="s">
        <v>203</v>
      </c>
      <c r="H942" s="63" t="s">
        <v>195</v>
      </c>
      <c r="I942" s="64" t="s">
        <v>267</v>
      </c>
      <c r="J942" s="65" t="str">
        <f>IFERROR(INDEX('Cost_Components'!$K$2:$K$27,MATCH(E942,'Cost_Components'!$A$2:$A$27,0)),"")</f>
      </c>
      <c r="K942" s="66" t="str">
        <f>IF(OR(L942="",Z942="",AA942="",AB942=""),"",IF(B942&lt;AA942,L942,IF(B942&gt;AB942,Z942,L942+(Z942-L942)*MIN(MAX((B942-AA942+1)/MAX(AB942-AA942+1,1),0),1))))</f>
      </c>
      <c r="L942" s="67" t="str">
        <f>IFERROR(INDEX('Cost_Components'!$S$2:$S$27,MATCH(E942,'Cost_Components'!$A$2:$A$27,0)),"")</f>
      </c>
      <c r="M942" s="68" t="str">
        <f>IFERROR(INDEX('Cost_Components'!$L$2:$L$27,MATCH(E942,'Cost_Components'!$A$2:$A$27,0)),"")</f>
      </c>
      <c r="N942" s="69" t="str">
        <f>IFERROR(INDEX('Cost_Components'!$P$2:$P$27,MATCH(E942,'Cost_Components'!$A$2:$A$27,0)),"")</f>
      </c>
      <c r="O942" s="70" t="str">
        <f>AF942*J942</f>
      </c>
      <c r="P942" s="71" t="str">
        <f>AG942*J942</f>
      </c>
      <c r="Q942" s="72" t="str">
        <f>P942*L942*M942*N942</f>
      </c>
      <c r="R942" s="73" t="str">
        <f>O942*K942*M942*N942</f>
      </c>
      <c r="S942" s="74" t="str">
        <f>R942-Q942</f>
      </c>
      <c r="T942" s="20" t="str">
        <f>IFERROR(INDEX('Cost_Components'!$R$2:$R$27,MATCH(E942,'Cost_Components'!$A$2:$A$27,0)),"")</f>
      </c>
      <c r="U942" s="75" t="str">
        <f>IFERROR(INDEX('Cost_Components'!$Q$2:$Q$27,MATCH(E942,'Cost_Components'!$A$2:$A$27,0)),"")</f>
      </c>
      <c r="V942" s="76" t="str">
        <f>1/(1+'Calculation_Assumptions'!$B$5)^(B942-'Calculation_Assumptions'!$B$2)</f>
      </c>
      <c r="W942" s="77" t="str">
        <f>Q942*V942</f>
      </c>
      <c r="X942" s="78" t="str">
        <f>R942*V942</f>
      </c>
      <c r="Y942" s="79" t="str">
        <f>S942*V942</f>
      </c>
      <c r="Z942" s="80" t="str">
        <f>IFERROR(INDEX('Cost_Components'!$T$2:$T$27,MATCH(E942,'Cost_Components'!$A$2:$A$27,0)),"")</f>
      </c>
      <c r="AA942" s="81" t="str">
        <f>IFERROR(INDEX('Cost_Components'!$U$2:$U$27,MATCH(E942,'Cost_Components'!$A$2:$A$27,0)),"")</f>
      </c>
      <c r="AB942" s="82" t="str">
        <f>IFERROR(INDEX('Cost_Components'!$V$2:$V$27,MATCH(E942,'Cost_Components'!$A$2:$A$27,0)),"")</f>
      </c>
      <c r="AC942" s="83" t="str">
        <f>IFERROR(INDEX('Cost_Components'!$M$2:$M$27,MATCH(E942,'Cost_Components'!$A$2:$A$27,0)),"")</f>
      </c>
      <c r="AD942" s="84" t="str">
        <f>IFERROR(INDEX('Cost_Components'!$N$2:$N$27,MATCH(E942,'Cost_Components'!$A$2:$A$27,0)),"")</f>
      </c>
      <c r="AE942" s="20" t="str">
        <f>IFERROR(INDEX('Cost_Components'!$O$2:$O$27,MATCH(E942,'Cost_Components'!$A$2:$A$27,0)),"")</f>
      </c>
      <c r="AF942" s="85" t="n">
        <v>503841.149819051</v>
      </c>
      <c r="AG942" s="86" t="n">
        <v>509478.473373462</v>
      </c>
      <c r="AH942" s="87" t="str">
        <f>IF(H942="shared-count-once",COUNTIFS($A$2:$A$1353,A942,$B$2:$B$1353,B942,$E$2:$E$1353,E942),1)</f>
      </c>
    </row>
    <row r="943">
      <c r="A943" t="s">
        <v>75</v>
      </c>
      <c r="B943" s="59" t="n">
        <v>2030</v>
      </c>
      <c r="C943" t="s">
        <v>200</v>
      </c>
      <c r="D943" t="s">
        <v>166</v>
      </c>
      <c r="E943" s="60" t="s">
        <v>285</v>
      </c>
      <c r="F943" s="61" t="s">
        <v>286</v>
      </c>
      <c r="G943" s="62" t="s">
        <v>203</v>
      </c>
      <c r="H943" s="63" t="s">
        <v>195</v>
      </c>
      <c r="I943" s="64" t="s">
        <v>267</v>
      </c>
      <c r="J943" s="65" t="str">
        <f>IFERROR(INDEX('Cost_Components'!$K$2:$K$27,MATCH(E943,'Cost_Components'!$A$2:$A$27,0)),"")</f>
      </c>
      <c r="K943" s="66" t="str">
        <f>IF(OR(L943="",Z943="",AA943="",AB943=""),"",IF(B943&lt;AA943,L943,IF(B943&gt;AB943,Z943,L943+(Z943-L943)*MIN(MAX((B943-AA943+1)/MAX(AB943-AA943+1,1),0),1))))</f>
      </c>
      <c r="L943" s="67" t="str">
        <f>IFERROR(INDEX('Cost_Components'!$S$2:$S$27,MATCH(E943,'Cost_Components'!$A$2:$A$27,0)),"")</f>
      </c>
      <c r="M943" s="68" t="str">
        <f>IFERROR(INDEX('Cost_Components'!$L$2:$L$27,MATCH(E943,'Cost_Components'!$A$2:$A$27,0)),"")</f>
      </c>
      <c r="N943" s="69" t="str">
        <f>IFERROR(INDEX('Cost_Components'!$P$2:$P$27,MATCH(E943,'Cost_Components'!$A$2:$A$27,0)),"")</f>
      </c>
      <c r="O943" s="70" t="str">
        <f>AF943*J943</f>
      </c>
      <c r="P943" s="71" t="str">
        <f>AG943*J943</f>
      </c>
      <c r="Q943" s="72" t="str">
        <f>P943*L943*M943*N943</f>
      </c>
      <c r="R943" s="73" t="str">
        <f>O943*K943*M943*N943</f>
      </c>
      <c r="S943" s="74" t="str">
        <f>R943-Q943</f>
      </c>
      <c r="T943" s="20" t="str">
        <f>IFERROR(INDEX('Cost_Components'!$R$2:$R$27,MATCH(E943,'Cost_Components'!$A$2:$A$27,0)),"")</f>
      </c>
      <c r="U943" s="75" t="str">
        <f>IFERROR(INDEX('Cost_Components'!$Q$2:$Q$27,MATCH(E943,'Cost_Components'!$A$2:$A$27,0)),"")</f>
      </c>
      <c r="V943" s="76" t="str">
        <f>1/(1+'Calculation_Assumptions'!$B$5)^(B943-'Calculation_Assumptions'!$B$2)</f>
      </c>
      <c r="W943" s="77" t="str">
        <f>Q943*V943</f>
      </c>
      <c r="X943" s="78" t="str">
        <f>R943*V943</f>
      </c>
      <c r="Y943" s="79" t="str">
        <f>S943*V943</f>
      </c>
      <c r="Z943" s="80" t="str">
        <f>IFERROR(INDEX('Cost_Components'!$T$2:$T$27,MATCH(E943,'Cost_Components'!$A$2:$A$27,0)),"")</f>
      </c>
      <c r="AA943" s="81" t="str">
        <f>IFERROR(INDEX('Cost_Components'!$U$2:$U$27,MATCH(E943,'Cost_Components'!$A$2:$A$27,0)),"")</f>
      </c>
      <c r="AB943" s="82" t="str">
        <f>IFERROR(INDEX('Cost_Components'!$V$2:$V$27,MATCH(E943,'Cost_Components'!$A$2:$A$27,0)),"")</f>
      </c>
      <c r="AC943" s="83" t="str">
        <f>IFERROR(INDEX('Cost_Components'!$M$2:$M$27,MATCH(E943,'Cost_Components'!$A$2:$A$27,0)),"")</f>
      </c>
      <c r="AD943" s="84" t="str">
        <f>IFERROR(INDEX('Cost_Components'!$N$2:$N$27,MATCH(E943,'Cost_Components'!$A$2:$A$27,0)),"")</f>
      </c>
      <c r="AE943" s="20" t="str">
        <f>IFERROR(INDEX('Cost_Components'!$O$2:$O$27,MATCH(E943,'Cost_Components'!$A$2:$A$27,0)),"")</f>
      </c>
      <c r="AF943" s="85" t="n">
        <v>512736.989115682</v>
      </c>
      <c r="AG943" s="86" t="n">
        <v>520297.732196401</v>
      </c>
      <c r="AH943" s="87" t="str">
        <f>IF(H943="shared-count-once",COUNTIFS($A$2:$A$1353,A943,$B$2:$B$1353,B943,$E$2:$E$1353,E943),1)</f>
      </c>
    </row>
    <row r="944">
      <c r="A944" t="s">
        <v>75</v>
      </c>
      <c r="B944" s="59" t="n">
        <v>2031</v>
      </c>
      <c r="C944" t="s">
        <v>200</v>
      </c>
      <c r="D944" t="s">
        <v>166</v>
      </c>
      <c r="E944" s="60" t="s">
        <v>285</v>
      </c>
      <c r="F944" s="61" t="s">
        <v>286</v>
      </c>
      <c r="G944" s="62" t="s">
        <v>203</v>
      </c>
      <c r="H944" s="63" t="s">
        <v>195</v>
      </c>
      <c r="I944" s="64" t="s">
        <v>267</v>
      </c>
      <c r="J944" s="65" t="str">
        <f>IFERROR(INDEX('Cost_Components'!$K$2:$K$27,MATCH(E944,'Cost_Components'!$A$2:$A$27,0)),"")</f>
      </c>
      <c r="K944" s="66" t="str">
        <f>IF(OR(L944="",Z944="",AA944="",AB944=""),"",IF(B944&lt;AA944,L944,IF(B944&gt;AB944,Z944,L944+(Z944-L944)*MIN(MAX((B944-AA944+1)/MAX(AB944-AA944+1,1),0),1))))</f>
      </c>
      <c r="L944" s="67" t="str">
        <f>IFERROR(INDEX('Cost_Components'!$S$2:$S$27,MATCH(E944,'Cost_Components'!$A$2:$A$27,0)),"")</f>
      </c>
      <c r="M944" s="68" t="str">
        <f>IFERROR(INDEX('Cost_Components'!$L$2:$L$27,MATCH(E944,'Cost_Components'!$A$2:$A$27,0)),"")</f>
      </c>
      <c r="N944" s="69" t="str">
        <f>IFERROR(INDEX('Cost_Components'!$P$2:$P$27,MATCH(E944,'Cost_Components'!$A$2:$A$27,0)),"")</f>
      </c>
      <c r="O944" s="70" t="str">
        <f>AF944*J944</f>
      </c>
      <c r="P944" s="71" t="str">
        <f>AG944*J944</f>
      </c>
      <c r="Q944" s="72" t="str">
        <f>P944*L944*M944*N944</f>
      </c>
      <c r="R944" s="73" t="str">
        <f>O944*K944*M944*N944</f>
      </c>
      <c r="S944" s="74" t="str">
        <f>R944-Q944</f>
      </c>
      <c r="T944" s="20" t="str">
        <f>IFERROR(INDEX('Cost_Components'!$R$2:$R$27,MATCH(E944,'Cost_Components'!$A$2:$A$27,0)),"")</f>
      </c>
      <c r="U944" s="75" t="str">
        <f>IFERROR(INDEX('Cost_Components'!$Q$2:$Q$27,MATCH(E944,'Cost_Components'!$A$2:$A$27,0)),"")</f>
      </c>
      <c r="V944" s="76" t="str">
        <f>1/(1+'Calculation_Assumptions'!$B$5)^(B944-'Calculation_Assumptions'!$B$2)</f>
      </c>
      <c r="W944" s="77" t="str">
        <f>Q944*V944</f>
      </c>
      <c r="X944" s="78" t="str">
        <f>R944*V944</f>
      </c>
      <c r="Y944" s="79" t="str">
        <f>S944*V944</f>
      </c>
      <c r="Z944" s="80" t="str">
        <f>IFERROR(INDEX('Cost_Components'!$T$2:$T$27,MATCH(E944,'Cost_Components'!$A$2:$A$27,0)),"")</f>
      </c>
      <c r="AA944" s="81" t="str">
        <f>IFERROR(INDEX('Cost_Components'!$U$2:$U$27,MATCH(E944,'Cost_Components'!$A$2:$A$27,0)),"")</f>
      </c>
      <c r="AB944" s="82" t="str">
        <f>IFERROR(INDEX('Cost_Components'!$V$2:$V$27,MATCH(E944,'Cost_Components'!$A$2:$A$27,0)),"")</f>
      </c>
      <c r="AC944" s="83" t="str">
        <f>IFERROR(INDEX('Cost_Components'!$M$2:$M$27,MATCH(E944,'Cost_Components'!$A$2:$A$27,0)),"")</f>
      </c>
      <c r="AD944" s="84" t="str">
        <f>IFERROR(INDEX('Cost_Components'!$N$2:$N$27,MATCH(E944,'Cost_Components'!$A$2:$A$27,0)),"")</f>
      </c>
      <c r="AE944" s="20" t="str">
        <f>IFERROR(INDEX('Cost_Components'!$O$2:$O$27,MATCH(E944,'Cost_Components'!$A$2:$A$27,0)),"")</f>
      </c>
      <c r="AF944" s="85" t="n">
        <v>521779.890512671</v>
      </c>
      <c r="AG944" s="86" t="n">
        <v>531504.090557954</v>
      </c>
      <c r="AH944" s="87" t="str">
        <f>IF(H944="shared-count-once",COUNTIFS($A$2:$A$1353,A944,$B$2:$B$1353,B944,$E$2:$E$1353,E944),1)</f>
      </c>
    </row>
    <row r="945">
      <c r="A945" t="s">
        <v>75</v>
      </c>
      <c r="B945" s="59" t="n">
        <v>2032</v>
      </c>
      <c r="C945" t="s">
        <v>200</v>
      </c>
      <c r="D945" t="s">
        <v>166</v>
      </c>
      <c r="E945" s="60" t="s">
        <v>285</v>
      </c>
      <c r="F945" s="61" t="s">
        <v>286</v>
      </c>
      <c r="G945" s="62" t="s">
        <v>203</v>
      </c>
      <c r="H945" s="63" t="s">
        <v>195</v>
      </c>
      <c r="I945" s="64" t="s">
        <v>267</v>
      </c>
      <c r="J945" s="65" t="str">
        <f>IFERROR(INDEX('Cost_Components'!$K$2:$K$27,MATCH(E945,'Cost_Components'!$A$2:$A$27,0)),"")</f>
      </c>
      <c r="K945" s="66" t="str">
        <f>IF(OR(L945="",Z945="",AA945="",AB945=""),"",IF(B945&lt;AA945,L945,IF(B945&gt;AB945,Z945,L945+(Z945-L945)*MIN(MAX((B945-AA945+1)/MAX(AB945-AA945+1,1),0),1))))</f>
      </c>
      <c r="L945" s="67" t="str">
        <f>IFERROR(INDEX('Cost_Components'!$S$2:$S$27,MATCH(E945,'Cost_Components'!$A$2:$A$27,0)),"")</f>
      </c>
      <c r="M945" s="68" t="str">
        <f>IFERROR(INDEX('Cost_Components'!$L$2:$L$27,MATCH(E945,'Cost_Components'!$A$2:$A$27,0)),"")</f>
      </c>
      <c r="N945" s="69" t="str">
        <f>IFERROR(INDEX('Cost_Components'!$P$2:$P$27,MATCH(E945,'Cost_Components'!$A$2:$A$27,0)),"")</f>
      </c>
      <c r="O945" s="70" t="str">
        <f>AF945*J945</f>
      </c>
      <c r="P945" s="71" t="str">
        <f>AG945*J945</f>
      </c>
      <c r="Q945" s="72" t="str">
        <f>P945*L945*M945*N945</f>
      </c>
      <c r="R945" s="73" t="str">
        <f>O945*K945*M945*N945</f>
      </c>
      <c r="S945" s="74" t="str">
        <f>R945-Q945</f>
      </c>
      <c r="T945" s="20" t="str">
        <f>IFERROR(INDEX('Cost_Components'!$R$2:$R$27,MATCH(E945,'Cost_Components'!$A$2:$A$27,0)),"")</f>
      </c>
      <c r="U945" s="75" t="str">
        <f>IFERROR(INDEX('Cost_Components'!$Q$2:$Q$27,MATCH(E945,'Cost_Components'!$A$2:$A$27,0)),"")</f>
      </c>
      <c r="V945" s="76" t="str">
        <f>1/(1+'Calculation_Assumptions'!$B$5)^(B945-'Calculation_Assumptions'!$B$2)</f>
      </c>
      <c r="W945" s="77" t="str">
        <f>Q945*V945</f>
      </c>
      <c r="X945" s="78" t="str">
        <f>R945*V945</f>
      </c>
      <c r="Y945" s="79" t="str">
        <f>S945*V945</f>
      </c>
      <c r="Z945" s="80" t="str">
        <f>IFERROR(INDEX('Cost_Components'!$T$2:$T$27,MATCH(E945,'Cost_Components'!$A$2:$A$27,0)),"")</f>
      </c>
      <c r="AA945" s="81" t="str">
        <f>IFERROR(INDEX('Cost_Components'!$U$2:$U$27,MATCH(E945,'Cost_Components'!$A$2:$A$27,0)),"")</f>
      </c>
      <c r="AB945" s="82" t="str">
        <f>IFERROR(INDEX('Cost_Components'!$V$2:$V$27,MATCH(E945,'Cost_Components'!$A$2:$A$27,0)),"")</f>
      </c>
      <c r="AC945" s="83" t="str">
        <f>IFERROR(INDEX('Cost_Components'!$M$2:$M$27,MATCH(E945,'Cost_Components'!$A$2:$A$27,0)),"")</f>
      </c>
      <c r="AD945" s="84" t="str">
        <f>IFERROR(INDEX('Cost_Components'!$N$2:$N$27,MATCH(E945,'Cost_Components'!$A$2:$A$27,0)),"")</f>
      </c>
      <c r="AE945" s="20" t="str">
        <f>IFERROR(INDEX('Cost_Components'!$O$2:$O$27,MATCH(E945,'Cost_Components'!$A$2:$A$27,0)),"")</f>
      </c>
      <c r="AF945" s="85" t="n">
        <v>531012.569486706</v>
      </c>
      <c r="AG945" s="86" t="n">
        <v>543124.101720714</v>
      </c>
      <c r="AH945" s="87" t="str">
        <f>IF(H945="shared-count-once",COUNTIFS($A$2:$A$1353,A945,$B$2:$B$1353,B945,$E$2:$E$1353,E945),1)</f>
      </c>
    </row>
    <row r="946">
      <c r="A946" t="s">
        <v>75</v>
      </c>
      <c r="B946" s="59" t="n">
        <v>2033</v>
      </c>
      <c r="C946" t="s">
        <v>200</v>
      </c>
      <c r="D946" t="s">
        <v>166</v>
      </c>
      <c r="E946" s="60" t="s">
        <v>285</v>
      </c>
      <c r="F946" s="61" t="s">
        <v>286</v>
      </c>
      <c r="G946" s="62" t="s">
        <v>203</v>
      </c>
      <c r="H946" s="63" t="s">
        <v>195</v>
      </c>
      <c r="I946" s="64" t="s">
        <v>267</v>
      </c>
      <c r="J946" s="65" t="str">
        <f>IFERROR(INDEX('Cost_Components'!$K$2:$K$27,MATCH(E946,'Cost_Components'!$A$2:$A$27,0)),"")</f>
      </c>
      <c r="K946" s="66" t="str">
        <f>IF(OR(L946="",Z946="",AA946="",AB946=""),"",IF(B946&lt;AA946,L946,IF(B946&gt;AB946,Z946,L946+(Z946-L946)*MIN(MAX((B946-AA946+1)/MAX(AB946-AA946+1,1),0),1))))</f>
      </c>
      <c r="L946" s="67" t="str">
        <f>IFERROR(INDEX('Cost_Components'!$S$2:$S$27,MATCH(E946,'Cost_Components'!$A$2:$A$27,0)),"")</f>
      </c>
      <c r="M946" s="68" t="str">
        <f>IFERROR(INDEX('Cost_Components'!$L$2:$L$27,MATCH(E946,'Cost_Components'!$A$2:$A$27,0)),"")</f>
      </c>
      <c r="N946" s="69" t="str">
        <f>IFERROR(INDEX('Cost_Components'!$P$2:$P$27,MATCH(E946,'Cost_Components'!$A$2:$A$27,0)),"")</f>
      </c>
      <c r="O946" s="70" t="str">
        <f>AF946*J946</f>
      </c>
      <c r="P946" s="71" t="str">
        <f>AG946*J946</f>
      </c>
      <c r="Q946" s="72" t="str">
        <f>P946*L946*M946*N946</f>
      </c>
      <c r="R946" s="73" t="str">
        <f>O946*K946*M946*N946</f>
      </c>
      <c r="S946" s="74" t="str">
        <f>R946-Q946</f>
      </c>
      <c r="T946" s="20" t="str">
        <f>IFERROR(INDEX('Cost_Components'!$R$2:$R$27,MATCH(E946,'Cost_Components'!$A$2:$A$27,0)),"")</f>
      </c>
      <c r="U946" s="75" t="str">
        <f>IFERROR(INDEX('Cost_Components'!$Q$2:$Q$27,MATCH(E946,'Cost_Components'!$A$2:$A$27,0)),"")</f>
      </c>
      <c r="V946" s="76" t="str">
        <f>1/(1+'Calculation_Assumptions'!$B$5)^(B946-'Calculation_Assumptions'!$B$2)</f>
      </c>
      <c r="W946" s="77" t="str">
        <f>Q946*V946</f>
      </c>
      <c r="X946" s="78" t="str">
        <f>R946*V946</f>
      </c>
      <c r="Y946" s="79" t="str">
        <f>S946*V946</f>
      </c>
      <c r="Z946" s="80" t="str">
        <f>IFERROR(INDEX('Cost_Components'!$T$2:$T$27,MATCH(E946,'Cost_Components'!$A$2:$A$27,0)),"")</f>
      </c>
      <c r="AA946" s="81" t="str">
        <f>IFERROR(INDEX('Cost_Components'!$U$2:$U$27,MATCH(E946,'Cost_Components'!$A$2:$A$27,0)),"")</f>
      </c>
      <c r="AB946" s="82" t="str">
        <f>IFERROR(INDEX('Cost_Components'!$V$2:$V$27,MATCH(E946,'Cost_Components'!$A$2:$A$27,0)),"")</f>
      </c>
      <c r="AC946" s="83" t="str">
        <f>IFERROR(INDEX('Cost_Components'!$M$2:$M$27,MATCH(E946,'Cost_Components'!$A$2:$A$27,0)),"")</f>
      </c>
      <c r="AD946" s="84" t="str">
        <f>IFERROR(INDEX('Cost_Components'!$N$2:$N$27,MATCH(E946,'Cost_Components'!$A$2:$A$27,0)),"")</f>
      </c>
      <c r="AE946" s="20" t="str">
        <f>IFERROR(INDEX('Cost_Components'!$O$2:$O$27,MATCH(E946,'Cost_Components'!$A$2:$A$27,0)),"")</f>
      </c>
      <c r="AF946" s="85" t="n">
        <v>540560.7896956</v>
      </c>
      <c r="AG946" s="86" t="n">
        <v>555277.35915893</v>
      </c>
      <c r="AH946" s="87" t="str">
        <f>IF(H946="shared-count-once",COUNTIFS($A$2:$A$1353,A946,$B$2:$B$1353,B946,$E$2:$E$1353,E946),1)</f>
      </c>
    </row>
    <row r="947">
      <c r="A947" t="s">
        <v>75</v>
      </c>
      <c r="B947" s="59" t="n">
        <v>2034</v>
      </c>
      <c r="C947" t="s">
        <v>200</v>
      </c>
      <c r="D947" t="s">
        <v>166</v>
      </c>
      <c r="E947" s="60" t="s">
        <v>285</v>
      </c>
      <c r="F947" s="61" t="s">
        <v>286</v>
      </c>
      <c r="G947" s="62" t="s">
        <v>203</v>
      </c>
      <c r="H947" s="63" t="s">
        <v>195</v>
      </c>
      <c r="I947" s="64" t="s">
        <v>267</v>
      </c>
      <c r="J947" s="65" t="str">
        <f>IFERROR(INDEX('Cost_Components'!$K$2:$K$27,MATCH(E947,'Cost_Components'!$A$2:$A$27,0)),"")</f>
      </c>
      <c r="K947" s="66" t="str">
        <f>IF(OR(L947="",Z947="",AA947="",AB947=""),"",IF(B947&lt;AA947,L947,IF(B947&gt;AB947,Z947,L947+(Z947-L947)*MIN(MAX((B947-AA947+1)/MAX(AB947-AA947+1,1),0),1))))</f>
      </c>
      <c r="L947" s="67" t="str">
        <f>IFERROR(INDEX('Cost_Components'!$S$2:$S$27,MATCH(E947,'Cost_Components'!$A$2:$A$27,0)),"")</f>
      </c>
      <c r="M947" s="68" t="str">
        <f>IFERROR(INDEX('Cost_Components'!$L$2:$L$27,MATCH(E947,'Cost_Components'!$A$2:$A$27,0)),"")</f>
      </c>
      <c r="N947" s="69" t="str">
        <f>IFERROR(INDEX('Cost_Components'!$P$2:$P$27,MATCH(E947,'Cost_Components'!$A$2:$A$27,0)),"")</f>
      </c>
      <c r="O947" s="70" t="str">
        <f>AF947*J947</f>
      </c>
      <c r="P947" s="71" t="str">
        <f>AG947*J947</f>
      </c>
      <c r="Q947" s="72" t="str">
        <f>P947*L947*M947*N947</f>
      </c>
      <c r="R947" s="73" t="str">
        <f>O947*K947*M947*N947</f>
      </c>
      <c r="S947" s="74" t="str">
        <f>R947-Q947</f>
      </c>
      <c r="T947" s="20" t="str">
        <f>IFERROR(INDEX('Cost_Components'!$R$2:$R$27,MATCH(E947,'Cost_Components'!$A$2:$A$27,0)),"")</f>
      </c>
      <c r="U947" s="75" t="str">
        <f>IFERROR(INDEX('Cost_Components'!$Q$2:$Q$27,MATCH(E947,'Cost_Components'!$A$2:$A$27,0)),"")</f>
      </c>
      <c r="V947" s="76" t="str">
        <f>1/(1+'Calculation_Assumptions'!$B$5)^(B947-'Calculation_Assumptions'!$B$2)</f>
      </c>
      <c r="W947" s="77" t="str">
        <f>Q947*V947</f>
      </c>
      <c r="X947" s="78" t="str">
        <f>R947*V947</f>
      </c>
      <c r="Y947" s="79" t="str">
        <f>S947*V947</f>
      </c>
      <c r="Z947" s="80" t="str">
        <f>IFERROR(INDEX('Cost_Components'!$T$2:$T$27,MATCH(E947,'Cost_Components'!$A$2:$A$27,0)),"")</f>
      </c>
      <c r="AA947" s="81" t="str">
        <f>IFERROR(INDEX('Cost_Components'!$U$2:$U$27,MATCH(E947,'Cost_Components'!$A$2:$A$27,0)),"")</f>
      </c>
      <c r="AB947" s="82" t="str">
        <f>IFERROR(INDEX('Cost_Components'!$V$2:$V$27,MATCH(E947,'Cost_Components'!$A$2:$A$27,0)),"")</f>
      </c>
      <c r="AC947" s="83" t="str">
        <f>IFERROR(INDEX('Cost_Components'!$M$2:$M$27,MATCH(E947,'Cost_Components'!$A$2:$A$27,0)),"")</f>
      </c>
      <c r="AD947" s="84" t="str">
        <f>IFERROR(INDEX('Cost_Components'!$N$2:$N$27,MATCH(E947,'Cost_Components'!$A$2:$A$27,0)),"")</f>
      </c>
      <c r="AE947" s="20" t="str">
        <f>IFERROR(INDEX('Cost_Components'!$O$2:$O$27,MATCH(E947,'Cost_Components'!$A$2:$A$27,0)),"")</f>
      </c>
      <c r="AF947" s="85" t="n">
        <v>549800.753688412</v>
      </c>
      <c r="AG947" s="86" t="n">
        <v>567273.642436391</v>
      </c>
      <c r="AH947" s="87" t="str">
        <f>IF(H947="shared-count-once",COUNTIFS($A$2:$A$1353,A947,$B$2:$B$1353,B947,$E$2:$E$1353,E947),1)</f>
      </c>
    </row>
    <row r="948">
      <c r="A948" t="s">
        <v>75</v>
      </c>
      <c r="B948" s="59" t="n">
        <v>2035</v>
      </c>
      <c r="C948" t="s">
        <v>200</v>
      </c>
      <c r="D948" t="s">
        <v>166</v>
      </c>
      <c r="E948" s="60" t="s">
        <v>285</v>
      </c>
      <c r="F948" s="61" t="s">
        <v>286</v>
      </c>
      <c r="G948" s="62" t="s">
        <v>203</v>
      </c>
      <c r="H948" s="63" t="s">
        <v>195</v>
      </c>
      <c r="I948" s="64" t="s">
        <v>267</v>
      </c>
      <c r="J948" s="65" t="str">
        <f>IFERROR(INDEX('Cost_Components'!$K$2:$K$27,MATCH(E948,'Cost_Components'!$A$2:$A$27,0)),"")</f>
      </c>
      <c r="K948" s="66" t="str">
        <f>IF(OR(L948="",Z948="",AA948="",AB948=""),"",IF(B948&lt;AA948,L948,IF(B948&gt;AB948,Z948,L948+(Z948-L948)*MIN(MAX((B948-AA948+1)/MAX(AB948-AA948+1,1),0),1))))</f>
      </c>
      <c r="L948" s="67" t="str">
        <f>IFERROR(INDEX('Cost_Components'!$S$2:$S$27,MATCH(E948,'Cost_Components'!$A$2:$A$27,0)),"")</f>
      </c>
      <c r="M948" s="68" t="str">
        <f>IFERROR(INDEX('Cost_Components'!$L$2:$L$27,MATCH(E948,'Cost_Components'!$A$2:$A$27,0)),"")</f>
      </c>
      <c r="N948" s="69" t="str">
        <f>IFERROR(INDEX('Cost_Components'!$P$2:$P$27,MATCH(E948,'Cost_Components'!$A$2:$A$27,0)),"")</f>
      </c>
      <c r="O948" s="70" t="str">
        <f>AF948*J948</f>
      </c>
      <c r="P948" s="71" t="str">
        <f>AG948*J948</f>
      </c>
      <c r="Q948" s="72" t="str">
        <f>P948*L948*M948*N948</f>
      </c>
      <c r="R948" s="73" t="str">
        <f>O948*K948*M948*N948</f>
      </c>
      <c r="S948" s="74" t="str">
        <f>R948-Q948</f>
      </c>
      <c r="T948" s="20" t="str">
        <f>IFERROR(INDEX('Cost_Components'!$R$2:$R$27,MATCH(E948,'Cost_Components'!$A$2:$A$27,0)),"")</f>
      </c>
      <c r="U948" s="75" t="str">
        <f>IFERROR(INDEX('Cost_Components'!$Q$2:$Q$27,MATCH(E948,'Cost_Components'!$A$2:$A$27,0)),"")</f>
      </c>
      <c r="V948" s="76" t="str">
        <f>1/(1+'Calculation_Assumptions'!$B$5)^(B948-'Calculation_Assumptions'!$B$2)</f>
      </c>
      <c r="W948" s="77" t="str">
        <f>Q948*V948</f>
      </c>
      <c r="X948" s="78" t="str">
        <f>R948*V948</f>
      </c>
      <c r="Y948" s="79" t="str">
        <f>S948*V948</f>
      </c>
      <c r="Z948" s="80" t="str">
        <f>IFERROR(INDEX('Cost_Components'!$T$2:$T$27,MATCH(E948,'Cost_Components'!$A$2:$A$27,0)),"")</f>
      </c>
      <c r="AA948" s="81" t="str">
        <f>IFERROR(INDEX('Cost_Components'!$U$2:$U$27,MATCH(E948,'Cost_Components'!$A$2:$A$27,0)),"")</f>
      </c>
      <c r="AB948" s="82" t="str">
        <f>IFERROR(INDEX('Cost_Components'!$V$2:$V$27,MATCH(E948,'Cost_Components'!$A$2:$A$27,0)),"")</f>
      </c>
      <c r="AC948" s="83" t="str">
        <f>IFERROR(INDEX('Cost_Components'!$M$2:$M$27,MATCH(E948,'Cost_Components'!$A$2:$A$27,0)),"")</f>
      </c>
      <c r="AD948" s="84" t="str">
        <f>IFERROR(INDEX('Cost_Components'!$N$2:$N$27,MATCH(E948,'Cost_Components'!$A$2:$A$27,0)),"")</f>
      </c>
      <c r="AE948" s="20" t="str">
        <f>IFERROR(INDEX('Cost_Components'!$O$2:$O$27,MATCH(E948,'Cost_Components'!$A$2:$A$27,0)),"")</f>
      </c>
      <c r="AF948" s="85" t="n">
        <v>559569.145111236</v>
      </c>
      <c r="AG948" s="86" t="n">
        <v>579995.172466871</v>
      </c>
      <c r="AH948" s="87" t="str">
        <f>IF(H948="shared-count-once",COUNTIFS($A$2:$A$1353,A948,$B$2:$B$1353,B948,$E$2:$E$1353,E948),1)</f>
      </c>
    </row>
    <row r="949">
      <c r="A949" t="s">
        <v>75</v>
      </c>
      <c r="B949" s="59" t="n">
        <v>2036</v>
      </c>
      <c r="C949" t="s">
        <v>200</v>
      </c>
      <c r="D949" t="s">
        <v>166</v>
      </c>
      <c r="E949" s="60" t="s">
        <v>285</v>
      </c>
      <c r="F949" s="61" t="s">
        <v>286</v>
      </c>
      <c r="G949" s="62" t="s">
        <v>203</v>
      </c>
      <c r="H949" s="63" t="s">
        <v>195</v>
      </c>
      <c r="I949" s="64" t="s">
        <v>267</v>
      </c>
      <c r="J949" s="65" t="str">
        <f>IFERROR(INDEX('Cost_Components'!$K$2:$K$27,MATCH(E949,'Cost_Components'!$A$2:$A$27,0)),"")</f>
      </c>
      <c r="K949" s="66" t="str">
        <f>IF(OR(L949="",Z949="",AA949="",AB949=""),"",IF(B949&lt;AA949,L949,IF(B949&gt;AB949,Z949,L949+(Z949-L949)*MIN(MAX((B949-AA949+1)/MAX(AB949-AA949+1,1),0),1))))</f>
      </c>
      <c r="L949" s="67" t="str">
        <f>IFERROR(INDEX('Cost_Components'!$S$2:$S$27,MATCH(E949,'Cost_Components'!$A$2:$A$27,0)),"")</f>
      </c>
      <c r="M949" s="68" t="str">
        <f>IFERROR(INDEX('Cost_Components'!$L$2:$L$27,MATCH(E949,'Cost_Components'!$A$2:$A$27,0)),"")</f>
      </c>
      <c r="N949" s="69" t="str">
        <f>IFERROR(INDEX('Cost_Components'!$P$2:$P$27,MATCH(E949,'Cost_Components'!$A$2:$A$27,0)),"")</f>
      </c>
      <c r="O949" s="70" t="str">
        <f>AF949*J949</f>
      </c>
      <c r="P949" s="71" t="str">
        <f>AG949*J949</f>
      </c>
      <c r="Q949" s="72" t="str">
        <f>P949*L949*M949*N949</f>
      </c>
      <c r="R949" s="73" t="str">
        <f>O949*K949*M949*N949</f>
      </c>
      <c r="S949" s="74" t="str">
        <f>R949-Q949</f>
      </c>
      <c r="T949" s="20" t="str">
        <f>IFERROR(INDEX('Cost_Components'!$R$2:$R$27,MATCH(E949,'Cost_Components'!$A$2:$A$27,0)),"")</f>
      </c>
      <c r="U949" s="75" t="str">
        <f>IFERROR(INDEX('Cost_Components'!$Q$2:$Q$27,MATCH(E949,'Cost_Components'!$A$2:$A$27,0)),"")</f>
      </c>
      <c r="V949" s="76" t="str">
        <f>1/(1+'Calculation_Assumptions'!$B$5)^(B949-'Calculation_Assumptions'!$B$2)</f>
      </c>
      <c r="W949" s="77" t="str">
        <f>Q949*V949</f>
      </c>
      <c r="X949" s="78" t="str">
        <f>R949*V949</f>
      </c>
      <c r="Y949" s="79" t="str">
        <f>S949*V949</f>
      </c>
      <c r="Z949" s="80" t="str">
        <f>IFERROR(INDEX('Cost_Components'!$T$2:$T$27,MATCH(E949,'Cost_Components'!$A$2:$A$27,0)),"")</f>
      </c>
      <c r="AA949" s="81" t="str">
        <f>IFERROR(INDEX('Cost_Components'!$U$2:$U$27,MATCH(E949,'Cost_Components'!$A$2:$A$27,0)),"")</f>
      </c>
      <c r="AB949" s="82" t="str">
        <f>IFERROR(INDEX('Cost_Components'!$V$2:$V$27,MATCH(E949,'Cost_Components'!$A$2:$A$27,0)),"")</f>
      </c>
      <c r="AC949" s="83" t="str">
        <f>IFERROR(INDEX('Cost_Components'!$M$2:$M$27,MATCH(E949,'Cost_Components'!$A$2:$A$27,0)),"")</f>
      </c>
      <c r="AD949" s="84" t="str">
        <f>IFERROR(INDEX('Cost_Components'!$N$2:$N$27,MATCH(E949,'Cost_Components'!$A$2:$A$27,0)),"")</f>
      </c>
      <c r="AE949" s="20" t="str">
        <f>IFERROR(INDEX('Cost_Components'!$O$2:$O$27,MATCH(E949,'Cost_Components'!$A$2:$A$27,0)),"")</f>
      </c>
      <c r="AF949" s="85" t="n">
        <v>569781.758401065</v>
      </c>
      <c r="AG949" s="86" t="n">
        <v>593359.731499589</v>
      </c>
      <c r="AH949" s="87" t="str">
        <f>IF(H949="shared-count-once",COUNTIFS($A$2:$A$1353,A949,$B$2:$B$1353,B949,$E$2:$E$1353,E949),1)</f>
      </c>
    </row>
    <row r="950">
      <c r="A950" t="s">
        <v>75</v>
      </c>
      <c r="B950" s="59" t="n">
        <v>2037</v>
      </c>
      <c r="C950" t="s">
        <v>200</v>
      </c>
      <c r="D950" t="s">
        <v>166</v>
      </c>
      <c r="E950" s="60" t="s">
        <v>285</v>
      </c>
      <c r="F950" s="61" t="s">
        <v>286</v>
      </c>
      <c r="G950" s="62" t="s">
        <v>203</v>
      </c>
      <c r="H950" s="63" t="s">
        <v>195</v>
      </c>
      <c r="I950" s="64" t="s">
        <v>267</v>
      </c>
      <c r="J950" s="65" t="str">
        <f>IFERROR(INDEX('Cost_Components'!$K$2:$K$27,MATCH(E950,'Cost_Components'!$A$2:$A$27,0)),"")</f>
      </c>
      <c r="K950" s="66" t="str">
        <f>IF(OR(L950="",Z950="",AA950="",AB950=""),"",IF(B950&lt;AA950,L950,IF(B950&gt;AB950,Z950,L950+(Z950-L950)*MIN(MAX((B950-AA950+1)/MAX(AB950-AA950+1,1),0),1))))</f>
      </c>
      <c r="L950" s="67" t="str">
        <f>IFERROR(INDEX('Cost_Components'!$S$2:$S$27,MATCH(E950,'Cost_Components'!$A$2:$A$27,0)),"")</f>
      </c>
      <c r="M950" s="68" t="str">
        <f>IFERROR(INDEX('Cost_Components'!$L$2:$L$27,MATCH(E950,'Cost_Components'!$A$2:$A$27,0)),"")</f>
      </c>
      <c r="N950" s="69" t="str">
        <f>IFERROR(INDEX('Cost_Components'!$P$2:$P$27,MATCH(E950,'Cost_Components'!$A$2:$A$27,0)),"")</f>
      </c>
      <c r="O950" s="70" t="str">
        <f>AF950*J950</f>
      </c>
      <c r="P950" s="71" t="str">
        <f>AG950*J950</f>
      </c>
      <c r="Q950" s="72" t="str">
        <f>P950*L950*M950*N950</f>
      </c>
      <c r="R950" s="73" t="str">
        <f>O950*K950*M950*N950</f>
      </c>
      <c r="S950" s="74" t="str">
        <f>R950-Q950</f>
      </c>
      <c r="T950" s="20" t="str">
        <f>IFERROR(INDEX('Cost_Components'!$R$2:$R$27,MATCH(E950,'Cost_Components'!$A$2:$A$27,0)),"")</f>
      </c>
      <c r="U950" s="75" t="str">
        <f>IFERROR(INDEX('Cost_Components'!$Q$2:$Q$27,MATCH(E950,'Cost_Components'!$A$2:$A$27,0)),"")</f>
      </c>
      <c r="V950" s="76" t="str">
        <f>1/(1+'Calculation_Assumptions'!$B$5)^(B950-'Calculation_Assumptions'!$B$2)</f>
      </c>
      <c r="W950" s="77" t="str">
        <f>Q950*V950</f>
      </c>
      <c r="X950" s="78" t="str">
        <f>R950*V950</f>
      </c>
      <c r="Y950" s="79" t="str">
        <f>S950*V950</f>
      </c>
      <c r="Z950" s="80" t="str">
        <f>IFERROR(INDEX('Cost_Components'!$T$2:$T$27,MATCH(E950,'Cost_Components'!$A$2:$A$27,0)),"")</f>
      </c>
      <c r="AA950" s="81" t="str">
        <f>IFERROR(INDEX('Cost_Components'!$U$2:$U$27,MATCH(E950,'Cost_Components'!$A$2:$A$27,0)),"")</f>
      </c>
      <c r="AB950" s="82" t="str">
        <f>IFERROR(INDEX('Cost_Components'!$V$2:$V$27,MATCH(E950,'Cost_Components'!$A$2:$A$27,0)),"")</f>
      </c>
      <c r="AC950" s="83" t="str">
        <f>IFERROR(INDEX('Cost_Components'!$M$2:$M$27,MATCH(E950,'Cost_Components'!$A$2:$A$27,0)),"")</f>
      </c>
      <c r="AD950" s="84" t="str">
        <f>IFERROR(INDEX('Cost_Components'!$N$2:$N$27,MATCH(E950,'Cost_Components'!$A$2:$A$27,0)),"")</f>
      </c>
      <c r="AE950" s="20" t="str">
        <f>IFERROR(INDEX('Cost_Components'!$O$2:$O$27,MATCH(E950,'Cost_Components'!$A$2:$A$27,0)),"")</f>
      </c>
      <c r="AF950" s="85" t="n">
        <v>580305.625817783</v>
      </c>
      <c r="AG950" s="86" t="n">
        <v>607226.65286798</v>
      </c>
      <c r="AH950" s="87" t="str">
        <f>IF(H950="shared-count-once",COUNTIFS($A$2:$A$1353,A950,$B$2:$B$1353,B950,$E$2:$E$1353,E950),1)</f>
      </c>
    </row>
    <row r="951">
      <c r="A951" t="s">
        <v>75</v>
      </c>
      <c r="B951" s="59" t="n">
        <v>2038</v>
      </c>
      <c r="C951" t="s">
        <v>200</v>
      </c>
      <c r="D951" t="s">
        <v>166</v>
      </c>
      <c r="E951" s="60" t="s">
        <v>285</v>
      </c>
      <c r="F951" s="61" t="s">
        <v>286</v>
      </c>
      <c r="G951" s="62" t="s">
        <v>203</v>
      </c>
      <c r="H951" s="63" t="s">
        <v>195</v>
      </c>
      <c r="I951" s="64" t="s">
        <v>267</v>
      </c>
      <c r="J951" s="65" t="str">
        <f>IFERROR(INDEX('Cost_Components'!$K$2:$K$27,MATCH(E951,'Cost_Components'!$A$2:$A$27,0)),"")</f>
      </c>
      <c r="K951" s="66" t="str">
        <f>IF(OR(L951="",Z951="",AA951="",AB951=""),"",IF(B951&lt;AA951,L951,IF(B951&gt;AB951,Z951,L951+(Z951-L951)*MIN(MAX((B951-AA951+1)/MAX(AB951-AA951+1,1),0),1))))</f>
      </c>
      <c r="L951" s="67" t="str">
        <f>IFERROR(INDEX('Cost_Components'!$S$2:$S$27,MATCH(E951,'Cost_Components'!$A$2:$A$27,0)),"")</f>
      </c>
      <c r="M951" s="68" t="str">
        <f>IFERROR(INDEX('Cost_Components'!$L$2:$L$27,MATCH(E951,'Cost_Components'!$A$2:$A$27,0)),"")</f>
      </c>
      <c r="N951" s="69" t="str">
        <f>IFERROR(INDEX('Cost_Components'!$P$2:$P$27,MATCH(E951,'Cost_Components'!$A$2:$A$27,0)),"")</f>
      </c>
      <c r="O951" s="70" t="str">
        <f>AF951*J951</f>
      </c>
      <c r="P951" s="71" t="str">
        <f>AG951*J951</f>
      </c>
      <c r="Q951" s="72" t="str">
        <f>P951*L951*M951*N951</f>
      </c>
      <c r="R951" s="73" t="str">
        <f>O951*K951*M951*N951</f>
      </c>
      <c r="S951" s="74" t="str">
        <f>R951-Q951</f>
      </c>
      <c r="T951" s="20" t="str">
        <f>IFERROR(INDEX('Cost_Components'!$R$2:$R$27,MATCH(E951,'Cost_Components'!$A$2:$A$27,0)),"")</f>
      </c>
      <c r="U951" s="75" t="str">
        <f>IFERROR(INDEX('Cost_Components'!$Q$2:$Q$27,MATCH(E951,'Cost_Components'!$A$2:$A$27,0)),"")</f>
      </c>
      <c r="V951" s="76" t="str">
        <f>1/(1+'Calculation_Assumptions'!$B$5)^(B951-'Calculation_Assumptions'!$B$2)</f>
      </c>
      <c r="W951" s="77" t="str">
        <f>Q951*V951</f>
      </c>
      <c r="X951" s="78" t="str">
        <f>R951*V951</f>
      </c>
      <c r="Y951" s="79" t="str">
        <f>S951*V951</f>
      </c>
      <c r="Z951" s="80" t="str">
        <f>IFERROR(INDEX('Cost_Components'!$T$2:$T$27,MATCH(E951,'Cost_Components'!$A$2:$A$27,0)),"")</f>
      </c>
      <c r="AA951" s="81" t="str">
        <f>IFERROR(INDEX('Cost_Components'!$U$2:$U$27,MATCH(E951,'Cost_Components'!$A$2:$A$27,0)),"")</f>
      </c>
      <c r="AB951" s="82" t="str">
        <f>IFERROR(INDEX('Cost_Components'!$V$2:$V$27,MATCH(E951,'Cost_Components'!$A$2:$A$27,0)),"")</f>
      </c>
      <c r="AC951" s="83" t="str">
        <f>IFERROR(INDEX('Cost_Components'!$M$2:$M$27,MATCH(E951,'Cost_Components'!$A$2:$A$27,0)),"")</f>
      </c>
      <c r="AD951" s="84" t="str">
        <f>IFERROR(INDEX('Cost_Components'!$N$2:$N$27,MATCH(E951,'Cost_Components'!$A$2:$A$27,0)),"")</f>
      </c>
      <c r="AE951" s="20" t="str">
        <f>IFERROR(INDEX('Cost_Components'!$O$2:$O$27,MATCH(E951,'Cost_Components'!$A$2:$A$27,0)),"")</f>
      </c>
      <c r="AF951" s="85" t="n">
        <v>591182.008019311</v>
      </c>
      <c r="AG951" s="86" t="n">
        <v>621650.16225564</v>
      </c>
      <c r="AH951" s="87" t="str">
        <f>IF(H951="shared-count-once",COUNTIFS($A$2:$A$1353,A951,$B$2:$B$1353,B951,$E$2:$E$1353,E951),1)</f>
      </c>
    </row>
    <row r="952">
      <c r="A952" t="s">
        <v>75</v>
      </c>
      <c r="B952" s="59" t="n">
        <v>2039</v>
      </c>
      <c r="C952" t="s">
        <v>200</v>
      </c>
      <c r="D952" t="s">
        <v>166</v>
      </c>
      <c r="E952" s="60" t="s">
        <v>285</v>
      </c>
      <c r="F952" s="61" t="s">
        <v>286</v>
      </c>
      <c r="G952" s="62" t="s">
        <v>203</v>
      </c>
      <c r="H952" s="63" t="s">
        <v>195</v>
      </c>
      <c r="I952" s="64" t="s">
        <v>267</v>
      </c>
      <c r="J952" s="65" t="str">
        <f>IFERROR(INDEX('Cost_Components'!$K$2:$K$27,MATCH(E952,'Cost_Components'!$A$2:$A$27,0)),"")</f>
      </c>
      <c r="K952" s="66" t="str">
        <f>IF(OR(L952="",Z952="",AA952="",AB952=""),"",IF(B952&lt;AA952,L952,IF(B952&gt;AB952,Z952,L952+(Z952-L952)*MIN(MAX((B952-AA952+1)/MAX(AB952-AA952+1,1),0),1))))</f>
      </c>
      <c r="L952" s="67" t="str">
        <f>IFERROR(INDEX('Cost_Components'!$S$2:$S$27,MATCH(E952,'Cost_Components'!$A$2:$A$27,0)),"")</f>
      </c>
      <c r="M952" s="68" t="str">
        <f>IFERROR(INDEX('Cost_Components'!$L$2:$L$27,MATCH(E952,'Cost_Components'!$A$2:$A$27,0)),"")</f>
      </c>
      <c r="N952" s="69" t="str">
        <f>IFERROR(INDEX('Cost_Components'!$P$2:$P$27,MATCH(E952,'Cost_Components'!$A$2:$A$27,0)),"")</f>
      </c>
      <c r="O952" s="70" t="str">
        <f>AF952*J952</f>
      </c>
      <c r="P952" s="71" t="str">
        <f>AG952*J952</f>
      </c>
      <c r="Q952" s="72" t="str">
        <f>P952*L952*M952*N952</f>
      </c>
      <c r="R952" s="73" t="str">
        <f>O952*K952*M952*N952</f>
      </c>
      <c r="S952" s="74" t="str">
        <f>R952-Q952</f>
      </c>
      <c r="T952" s="20" t="str">
        <f>IFERROR(INDEX('Cost_Components'!$R$2:$R$27,MATCH(E952,'Cost_Components'!$A$2:$A$27,0)),"")</f>
      </c>
      <c r="U952" s="75" t="str">
        <f>IFERROR(INDEX('Cost_Components'!$Q$2:$Q$27,MATCH(E952,'Cost_Components'!$A$2:$A$27,0)),"")</f>
      </c>
      <c r="V952" s="76" t="str">
        <f>1/(1+'Calculation_Assumptions'!$B$5)^(B952-'Calculation_Assumptions'!$B$2)</f>
      </c>
      <c r="W952" s="77" t="str">
        <f>Q952*V952</f>
      </c>
      <c r="X952" s="78" t="str">
        <f>R952*V952</f>
      </c>
      <c r="Y952" s="79" t="str">
        <f>S952*V952</f>
      </c>
      <c r="Z952" s="80" t="str">
        <f>IFERROR(INDEX('Cost_Components'!$T$2:$T$27,MATCH(E952,'Cost_Components'!$A$2:$A$27,0)),"")</f>
      </c>
      <c r="AA952" s="81" t="str">
        <f>IFERROR(INDEX('Cost_Components'!$U$2:$U$27,MATCH(E952,'Cost_Components'!$A$2:$A$27,0)),"")</f>
      </c>
      <c r="AB952" s="82" t="str">
        <f>IFERROR(INDEX('Cost_Components'!$V$2:$V$27,MATCH(E952,'Cost_Components'!$A$2:$A$27,0)),"")</f>
      </c>
      <c r="AC952" s="83" t="str">
        <f>IFERROR(INDEX('Cost_Components'!$M$2:$M$27,MATCH(E952,'Cost_Components'!$A$2:$A$27,0)),"")</f>
      </c>
      <c r="AD952" s="84" t="str">
        <f>IFERROR(INDEX('Cost_Components'!$N$2:$N$27,MATCH(E952,'Cost_Components'!$A$2:$A$27,0)),"")</f>
      </c>
      <c r="AE952" s="20" t="str">
        <f>IFERROR(INDEX('Cost_Components'!$O$2:$O$27,MATCH(E952,'Cost_Components'!$A$2:$A$27,0)),"")</f>
      </c>
      <c r="AF952" s="85" t="n">
        <v>601669.494517248</v>
      </c>
      <c r="AG952" s="86" t="n">
        <v>635787.971332228</v>
      </c>
      <c r="AH952" s="87" t="str">
        <f>IF(H952="shared-count-once",COUNTIFS($A$2:$A$1353,A952,$B$2:$B$1353,B952,$E$2:$E$1353,E952),1)</f>
      </c>
    </row>
    <row r="953">
      <c r="A953" t="s">
        <v>75</v>
      </c>
      <c r="B953" s="59" t="n">
        <v>2040</v>
      </c>
      <c r="C953" t="s">
        <v>200</v>
      </c>
      <c r="D953" t="s">
        <v>166</v>
      </c>
      <c r="E953" s="60" t="s">
        <v>285</v>
      </c>
      <c r="F953" s="61" t="s">
        <v>286</v>
      </c>
      <c r="G953" s="62" t="s">
        <v>203</v>
      </c>
      <c r="H953" s="63" t="s">
        <v>195</v>
      </c>
      <c r="I953" s="64" t="s">
        <v>267</v>
      </c>
      <c r="J953" s="65" t="str">
        <f>IFERROR(INDEX('Cost_Components'!$K$2:$K$27,MATCH(E953,'Cost_Components'!$A$2:$A$27,0)),"")</f>
      </c>
      <c r="K953" s="66" t="str">
        <f>IF(OR(L953="",Z953="",AA953="",AB953=""),"",IF(B953&lt;AA953,L953,IF(B953&gt;AB953,Z953,L953+(Z953-L953)*MIN(MAX((B953-AA953+1)/MAX(AB953-AA953+1,1),0),1))))</f>
      </c>
      <c r="L953" s="67" t="str">
        <f>IFERROR(INDEX('Cost_Components'!$S$2:$S$27,MATCH(E953,'Cost_Components'!$A$2:$A$27,0)),"")</f>
      </c>
      <c r="M953" s="68" t="str">
        <f>IFERROR(INDEX('Cost_Components'!$L$2:$L$27,MATCH(E953,'Cost_Components'!$A$2:$A$27,0)),"")</f>
      </c>
      <c r="N953" s="69" t="str">
        <f>IFERROR(INDEX('Cost_Components'!$P$2:$P$27,MATCH(E953,'Cost_Components'!$A$2:$A$27,0)),"")</f>
      </c>
      <c r="O953" s="70" t="str">
        <f>AF953*J953</f>
      </c>
      <c r="P953" s="71" t="str">
        <f>AG953*J953</f>
      </c>
      <c r="Q953" s="72" t="str">
        <f>P953*L953*M953*N953</f>
      </c>
      <c r="R953" s="73" t="str">
        <f>O953*K953*M953*N953</f>
      </c>
      <c r="S953" s="74" t="str">
        <f>R953-Q953</f>
      </c>
      <c r="T953" s="20" t="str">
        <f>IFERROR(INDEX('Cost_Components'!$R$2:$R$27,MATCH(E953,'Cost_Components'!$A$2:$A$27,0)),"")</f>
      </c>
      <c r="U953" s="75" t="str">
        <f>IFERROR(INDEX('Cost_Components'!$Q$2:$Q$27,MATCH(E953,'Cost_Components'!$A$2:$A$27,0)),"")</f>
      </c>
      <c r="V953" s="76" t="str">
        <f>1/(1+'Calculation_Assumptions'!$B$5)^(B953-'Calculation_Assumptions'!$B$2)</f>
      </c>
      <c r="W953" s="77" t="str">
        <f>Q953*V953</f>
      </c>
      <c r="X953" s="78" t="str">
        <f>R953*V953</f>
      </c>
      <c r="Y953" s="79" t="str">
        <f>S953*V953</f>
      </c>
      <c r="Z953" s="80" t="str">
        <f>IFERROR(INDEX('Cost_Components'!$T$2:$T$27,MATCH(E953,'Cost_Components'!$A$2:$A$27,0)),"")</f>
      </c>
      <c r="AA953" s="81" t="str">
        <f>IFERROR(INDEX('Cost_Components'!$U$2:$U$27,MATCH(E953,'Cost_Components'!$A$2:$A$27,0)),"")</f>
      </c>
      <c r="AB953" s="82" t="str">
        <f>IFERROR(INDEX('Cost_Components'!$V$2:$V$27,MATCH(E953,'Cost_Components'!$A$2:$A$27,0)),"")</f>
      </c>
      <c r="AC953" s="83" t="str">
        <f>IFERROR(INDEX('Cost_Components'!$M$2:$M$27,MATCH(E953,'Cost_Components'!$A$2:$A$27,0)),"")</f>
      </c>
      <c r="AD953" s="84" t="str">
        <f>IFERROR(INDEX('Cost_Components'!$N$2:$N$27,MATCH(E953,'Cost_Components'!$A$2:$A$27,0)),"")</f>
      </c>
      <c r="AE953" s="20" t="str">
        <f>IFERROR(INDEX('Cost_Components'!$O$2:$O$27,MATCH(E953,'Cost_Components'!$A$2:$A$27,0)),"")</f>
      </c>
      <c r="AF953" s="85" t="n">
        <v>612398.142763162</v>
      </c>
      <c r="AG953" s="86" t="n">
        <v>650347.171359419</v>
      </c>
      <c r="AH953" s="87" t="str">
        <f>IF(H953="shared-count-once",COUNTIFS($A$2:$A$1353,A953,$B$2:$B$1353,B953,$E$2:$E$1353,E953),1)</f>
      </c>
    </row>
    <row r="954">
      <c r="A954" t="s">
        <v>75</v>
      </c>
      <c r="B954" s="59" t="n">
        <v>2041</v>
      </c>
      <c r="C954" t="s">
        <v>200</v>
      </c>
      <c r="D954" t="s">
        <v>166</v>
      </c>
      <c r="E954" s="60" t="s">
        <v>285</v>
      </c>
      <c r="F954" s="61" t="s">
        <v>286</v>
      </c>
      <c r="G954" s="62" t="s">
        <v>203</v>
      </c>
      <c r="H954" s="63" t="s">
        <v>195</v>
      </c>
      <c r="I954" s="64" t="s">
        <v>267</v>
      </c>
      <c r="J954" s="65" t="str">
        <f>IFERROR(INDEX('Cost_Components'!$K$2:$K$27,MATCH(E954,'Cost_Components'!$A$2:$A$27,0)),"")</f>
      </c>
      <c r="K954" s="66" t="str">
        <f>IF(OR(L954="",Z954="",AA954="",AB954=""),"",IF(B954&lt;AA954,L954,IF(B954&gt;AB954,Z954,L954+(Z954-L954)*MIN(MAX((B954-AA954+1)/MAX(AB954-AA954+1,1),0),1))))</f>
      </c>
      <c r="L954" s="67" t="str">
        <f>IFERROR(INDEX('Cost_Components'!$S$2:$S$27,MATCH(E954,'Cost_Components'!$A$2:$A$27,0)),"")</f>
      </c>
      <c r="M954" s="68" t="str">
        <f>IFERROR(INDEX('Cost_Components'!$L$2:$L$27,MATCH(E954,'Cost_Components'!$A$2:$A$27,0)),"")</f>
      </c>
      <c r="N954" s="69" t="str">
        <f>IFERROR(INDEX('Cost_Components'!$P$2:$P$27,MATCH(E954,'Cost_Components'!$A$2:$A$27,0)),"")</f>
      </c>
      <c r="O954" s="70" t="str">
        <f>AF954*J954</f>
      </c>
      <c r="P954" s="71" t="str">
        <f>AG954*J954</f>
      </c>
      <c r="Q954" s="72" t="str">
        <f>P954*L954*M954*N954</f>
      </c>
      <c r="R954" s="73" t="str">
        <f>O954*K954*M954*N954</f>
      </c>
      <c r="S954" s="74" t="str">
        <f>R954-Q954</f>
      </c>
      <c r="T954" s="20" t="str">
        <f>IFERROR(INDEX('Cost_Components'!$R$2:$R$27,MATCH(E954,'Cost_Components'!$A$2:$A$27,0)),"")</f>
      </c>
      <c r="U954" s="75" t="str">
        <f>IFERROR(INDEX('Cost_Components'!$Q$2:$Q$27,MATCH(E954,'Cost_Components'!$A$2:$A$27,0)),"")</f>
      </c>
      <c r="V954" s="76" t="str">
        <f>1/(1+'Calculation_Assumptions'!$B$5)^(B954-'Calculation_Assumptions'!$B$2)</f>
      </c>
      <c r="W954" s="77" t="str">
        <f>Q954*V954</f>
      </c>
      <c r="X954" s="78" t="str">
        <f>R954*V954</f>
      </c>
      <c r="Y954" s="79" t="str">
        <f>S954*V954</f>
      </c>
      <c r="Z954" s="80" t="str">
        <f>IFERROR(INDEX('Cost_Components'!$T$2:$T$27,MATCH(E954,'Cost_Components'!$A$2:$A$27,0)),"")</f>
      </c>
      <c r="AA954" s="81" t="str">
        <f>IFERROR(INDEX('Cost_Components'!$U$2:$U$27,MATCH(E954,'Cost_Components'!$A$2:$A$27,0)),"")</f>
      </c>
      <c r="AB954" s="82" t="str">
        <f>IFERROR(INDEX('Cost_Components'!$V$2:$V$27,MATCH(E954,'Cost_Components'!$A$2:$A$27,0)),"")</f>
      </c>
      <c r="AC954" s="83" t="str">
        <f>IFERROR(INDEX('Cost_Components'!$M$2:$M$27,MATCH(E954,'Cost_Components'!$A$2:$A$27,0)),"")</f>
      </c>
      <c r="AD954" s="84" t="str">
        <f>IFERROR(INDEX('Cost_Components'!$N$2:$N$27,MATCH(E954,'Cost_Components'!$A$2:$A$27,0)),"")</f>
      </c>
      <c r="AE954" s="20" t="str">
        <f>IFERROR(INDEX('Cost_Components'!$O$2:$O$27,MATCH(E954,'Cost_Components'!$A$2:$A$27,0)),"")</f>
      </c>
      <c r="AF954" s="85" t="n">
        <v>623303.632670037</v>
      </c>
      <c r="AG954" s="86" t="n">
        <v>665281.394166627</v>
      </c>
      <c r="AH954" s="87" t="str">
        <f>IF(H954="shared-count-once",COUNTIFS($A$2:$A$1353,A954,$B$2:$B$1353,B954,$E$2:$E$1353,E954),1)</f>
      </c>
    </row>
    <row r="955">
      <c r="A955" t="s">
        <v>75</v>
      </c>
      <c r="B955" s="59" t="n">
        <v>2042</v>
      </c>
      <c r="C955" t="s">
        <v>200</v>
      </c>
      <c r="D955" t="s">
        <v>166</v>
      </c>
      <c r="E955" s="60" t="s">
        <v>285</v>
      </c>
      <c r="F955" s="61" t="s">
        <v>286</v>
      </c>
      <c r="G955" s="62" t="s">
        <v>203</v>
      </c>
      <c r="H955" s="63" t="s">
        <v>195</v>
      </c>
      <c r="I955" s="64" t="s">
        <v>267</v>
      </c>
      <c r="J955" s="65" t="str">
        <f>IFERROR(INDEX('Cost_Components'!$K$2:$K$27,MATCH(E955,'Cost_Components'!$A$2:$A$27,0)),"")</f>
      </c>
      <c r="K955" s="66" t="str">
        <f>IF(OR(L955="",Z955="",AA955="",AB955=""),"",IF(B955&lt;AA955,L955,IF(B955&gt;AB955,Z955,L955+(Z955-L955)*MIN(MAX((B955-AA955+1)/MAX(AB955-AA955+1,1),0),1))))</f>
      </c>
      <c r="L955" s="67" t="str">
        <f>IFERROR(INDEX('Cost_Components'!$S$2:$S$27,MATCH(E955,'Cost_Components'!$A$2:$A$27,0)),"")</f>
      </c>
      <c r="M955" s="68" t="str">
        <f>IFERROR(INDEX('Cost_Components'!$L$2:$L$27,MATCH(E955,'Cost_Components'!$A$2:$A$27,0)),"")</f>
      </c>
      <c r="N955" s="69" t="str">
        <f>IFERROR(INDEX('Cost_Components'!$P$2:$P$27,MATCH(E955,'Cost_Components'!$A$2:$A$27,0)),"")</f>
      </c>
      <c r="O955" s="70" t="str">
        <f>AF955*J955</f>
      </c>
      <c r="P955" s="71" t="str">
        <f>AG955*J955</f>
      </c>
      <c r="Q955" s="72" t="str">
        <f>P955*L955*M955*N955</f>
      </c>
      <c r="R955" s="73" t="str">
        <f>O955*K955*M955*N955</f>
      </c>
      <c r="S955" s="74" t="str">
        <f>R955-Q955</f>
      </c>
      <c r="T955" s="20" t="str">
        <f>IFERROR(INDEX('Cost_Components'!$R$2:$R$27,MATCH(E955,'Cost_Components'!$A$2:$A$27,0)),"")</f>
      </c>
      <c r="U955" s="75" t="str">
        <f>IFERROR(INDEX('Cost_Components'!$Q$2:$Q$27,MATCH(E955,'Cost_Components'!$A$2:$A$27,0)),"")</f>
      </c>
      <c r="V955" s="76" t="str">
        <f>1/(1+'Calculation_Assumptions'!$B$5)^(B955-'Calculation_Assumptions'!$B$2)</f>
      </c>
      <c r="W955" s="77" t="str">
        <f>Q955*V955</f>
      </c>
      <c r="X955" s="78" t="str">
        <f>R955*V955</f>
      </c>
      <c r="Y955" s="79" t="str">
        <f>S955*V955</f>
      </c>
      <c r="Z955" s="80" t="str">
        <f>IFERROR(INDEX('Cost_Components'!$T$2:$T$27,MATCH(E955,'Cost_Components'!$A$2:$A$27,0)),"")</f>
      </c>
      <c r="AA955" s="81" t="str">
        <f>IFERROR(INDEX('Cost_Components'!$U$2:$U$27,MATCH(E955,'Cost_Components'!$A$2:$A$27,0)),"")</f>
      </c>
      <c r="AB955" s="82" t="str">
        <f>IFERROR(INDEX('Cost_Components'!$V$2:$V$27,MATCH(E955,'Cost_Components'!$A$2:$A$27,0)),"")</f>
      </c>
      <c r="AC955" s="83" t="str">
        <f>IFERROR(INDEX('Cost_Components'!$M$2:$M$27,MATCH(E955,'Cost_Components'!$A$2:$A$27,0)),"")</f>
      </c>
      <c r="AD955" s="84" t="str">
        <f>IFERROR(INDEX('Cost_Components'!$N$2:$N$27,MATCH(E955,'Cost_Components'!$A$2:$A$27,0)),"")</f>
      </c>
      <c r="AE955" s="20" t="str">
        <f>IFERROR(INDEX('Cost_Components'!$O$2:$O$27,MATCH(E955,'Cost_Components'!$A$2:$A$27,0)),"")</f>
      </c>
      <c r="AF955" s="85" t="n">
        <v>634288.059973183</v>
      </c>
      <c r="AG955" s="86" t="n">
        <v>680485.192431276</v>
      </c>
      <c r="AH955" s="87" t="str">
        <f>IF(H955="shared-count-once",COUNTIFS($A$2:$A$1353,A955,$B$2:$B$1353,B955,$E$2:$E$1353,E955),1)</f>
      </c>
    </row>
    <row r="956">
      <c r="A956" t="s">
        <v>75</v>
      </c>
      <c r="B956" s="59" t="n">
        <v>2043</v>
      </c>
      <c r="C956" t="s">
        <v>200</v>
      </c>
      <c r="D956" t="s">
        <v>166</v>
      </c>
      <c r="E956" s="60" t="s">
        <v>285</v>
      </c>
      <c r="F956" s="61" t="s">
        <v>286</v>
      </c>
      <c r="G956" s="62" t="s">
        <v>203</v>
      </c>
      <c r="H956" s="63" t="s">
        <v>195</v>
      </c>
      <c r="I956" s="64" t="s">
        <v>267</v>
      </c>
      <c r="J956" s="65" t="str">
        <f>IFERROR(INDEX('Cost_Components'!$K$2:$K$27,MATCH(E956,'Cost_Components'!$A$2:$A$27,0)),"")</f>
      </c>
      <c r="K956" s="66" t="str">
        <f>IF(OR(L956="",Z956="",AA956="",AB956=""),"",IF(B956&lt;AA956,L956,IF(B956&gt;AB956,Z956,L956+(Z956-L956)*MIN(MAX((B956-AA956+1)/MAX(AB956-AA956+1,1),0),1))))</f>
      </c>
      <c r="L956" s="67" t="str">
        <f>IFERROR(INDEX('Cost_Components'!$S$2:$S$27,MATCH(E956,'Cost_Components'!$A$2:$A$27,0)),"")</f>
      </c>
      <c r="M956" s="68" t="str">
        <f>IFERROR(INDEX('Cost_Components'!$L$2:$L$27,MATCH(E956,'Cost_Components'!$A$2:$A$27,0)),"")</f>
      </c>
      <c r="N956" s="69" t="str">
        <f>IFERROR(INDEX('Cost_Components'!$P$2:$P$27,MATCH(E956,'Cost_Components'!$A$2:$A$27,0)),"")</f>
      </c>
      <c r="O956" s="70" t="str">
        <f>AF956*J956</f>
      </c>
      <c r="P956" s="71" t="str">
        <f>AG956*J956</f>
      </c>
      <c r="Q956" s="72" t="str">
        <f>P956*L956*M956*N956</f>
      </c>
      <c r="R956" s="73" t="str">
        <f>O956*K956*M956*N956</f>
      </c>
      <c r="S956" s="74" t="str">
        <f>R956-Q956</f>
      </c>
      <c r="T956" s="20" t="str">
        <f>IFERROR(INDEX('Cost_Components'!$R$2:$R$27,MATCH(E956,'Cost_Components'!$A$2:$A$27,0)),"")</f>
      </c>
      <c r="U956" s="75" t="str">
        <f>IFERROR(INDEX('Cost_Components'!$Q$2:$Q$27,MATCH(E956,'Cost_Components'!$A$2:$A$27,0)),"")</f>
      </c>
      <c r="V956" s="76" t="str">
        <f>1/(1+'Calculation_Assumptions'!$B$5)^(B956-'Calculation_Assumptions'!$B$2)</f>
      </c>
      <c r="W956" s="77" t="str">
        <f>Q956*V956</f>
      </c>
      <c r="X956" s="78" t="str">
        <f>R956*V956</f>
      </c>
      <c r="Y956" s="79" t="str">
        <f>S956*V956</f>
      </c>
      <c r="Z956" s="80" t="str">
        <f>IFERROR(INDEX('Cost_Components'!$T$2:$T$27,MATCH(E956,'Cost_Components'!$A$2:$A$27,0)),"")</f>
      </c>
      <c r="AA956" s="81" t="str">
        <f>IFERROR(INDEX('Cost_Components'!$U$2:$U$27,MATCH(E956,'Cost_Components'!$A$2:$A$27,0)),"")</f>
      </c>
      <c r="AB956" s="82" t="str">
        <f>IFERROR(INDEX('Cost_Components'!$V$2:$V$27,MATCH(E956,'Cost_Components'!$A$2:$A$27,0)),"")</f>
      </c>
      <c r="AC956" s="83" t="str">
        <f>IFERROR(INDEX('Cost_Components'!$M$2:$M$27,MATCH(E956,'Cost_Components'!$A$2:$A$27,0)),"")</f>
      </c>
      <c r="AD956" s="84" t="str">
        <f>IFERROR(INDEX('Cost_Components'!$N$2:$N$27,MATCH(E956,'Cost_Components'!$A$2:$A$27,0)),"")</f>
      </c>
      <c r="AE956" s="20" t="str">
        <f>IFERROR(INDEX('Cost_Components'!$O$2:$O$27,MATCH(E956,'Cost_Components'!$A$2:$A$27,0)),"")</f>
      </c>
      <c r="AF956" s="85" t="n">
        <v>645427.234464428</v>
      </c>
      <c r="AG956" s="86" t="n">
        <v>696055.839279261</v>
      </c>
      <c r="AH956" s="87" t="str">
        <f>IF(H956="shared-count-once",COUNTIFS($A$2:$A$1353,A956,$B$2:$B$1353,B956,$E$2:$E$1353,E956),1)</f>
      </c>
    </row>
    <row r="957">
      <c r="A957" t="s">
        <v>75</v>
      </c>
      <c r="B957" s="59" t="n">
        <v>2044</v>
      </c>
      <c r="C957" t="s">
        <v>200</v>
      </c>
      <c r="D957" t="s">
        <v>166</v>
      </c>
      <c r="E957" s="60" t="s">
        <v>285</v>
      </c>
      <c r="F957" s="61" t="s">
        <v>286</v>
      </c>
      <c r="G957" s="62" t="s">
        <v>203</v>
      </c>
      <c r="H957" s="63" t="s">
        <v>195</v>
      </c>
      <c r="I957" s="64" t="s">
        <v>267</v>
      </c>
      <c r="J957" s="65" t="str">
        <f>IFERROR(INDEX('Cost_Components'!$K$2:$K$27,MATCH(E957,'Cost_Components'!$A$2:$A$27,0)),"")</f>
      </c>
      <c r="K957" s="66" t="str">
        <f>IF(OR(L957="",Z957="",AA957="",AB957=""),"",IF(B957&lt;AA957,L957,IF(B957&gt;AB957,Z957,L957+(Z957-L957)*MIN(MAX((B957-AA957+1)/MAX(AB957-AA957+1,1),0),1))))</f>
      </c>
      <c r="L957" s="67" t="str">
        <f>IFERROR(INDEX('Cost_Components'!$S$2:$S$27,MATCH(E957,'Cost_Components'!$A$2:$A$27,0)),"")</f>
      </c>
      <c r="M957" s="68" t="str">
        <f>IFERROR(INDEX('Cost_Components'!$L$2:$L$27,MATCH(E957,'Cost_Components'!$A$2:$A$27,0)),"")</f>
      </c>
      <c r="N957" s="69" t="str">
        <f>IFERROR(INDEX('Cost_Components'!$P$2:$P$27,MATCH(E957,'Cost_Components'!$A$2:$A$27,0)),"")</f>
      </c>
      <c r="O957" s="70" t="str">
        <f>AF957*J957</f>
      </c>
      <c r="P957" s="71" t="str">
        <f>AG957*J957</f>
      </c>
      <c r="Q957" s="72" t="str">
        <f>P957*L957*M957*N957</f>
      </c>
      <c r="R957" s="73" t="str">
        <f>O957*K957*M957*N957</f>
      </c>
      <c r="S957" s="74" t="str">
        <f>R957-Q957</f>
      </c>
      <c r="T957" s="20" t="str">
        <f>IFERROR(INDEX('Cost_Components'!$R$2:$R$27,MATCH(E957,'Cost_Components'!$A$2:$A$27,0)),"")</f>
      </c>
      <c r="U957" s="75" t="str">
        <f>IFERROR(INDEX('Cost_Components'!$Q$2:$Q$27,MATCH(E957,'Cost_Components'!$A$2:$A$27,0)),"")</f>
      </c>
      <c r="V957" s="76" t="str">
        <f>1/(1+'Calculation_Assumptions'!$B$5)^(B957-'Calculation_Assumptions'!$B$2)</f>
      </c>
      <c r="W957" s="77" t="str">
        <f>Q957*V957</f>
      </c>
      <c r="X957" s="78" t="str">
        <f>R957*V957</f>
      </c>
      <c r="Y957" s="79" t="str">
        <f>S957*V957</f>
      </c>
      <c r="Z957" s="80" t="str">
        <f>IFERROR(INDEX('Cost_Components'!$T$2:$T$27,MATCH(E957,'Cost_Components'!$A$2:$A$27,0)),"")</f>
      </c>
      <c r="AA957" s="81" t="str">
        <f>IFERROR(INDEX('Cost_Components'!$U$2:$U$27,MATCH(E957,'Cost_Components'!$A$2:$A$27,0)),"")</f>
      </c>
      <c r="AB957" s="82" t="str">
        <f>IFERROR(INDEX('Cost_Components'!$V$2:$V$27,MATCH(E957,'Cost_Components'!$A$2:$A$27,0)),"")</f>
      </c>
      <c r="AC957" s="83" t="str">
        <f>IFERROR(INDEX('Cost_Components'!$M$2:$M$27,MATCH(E957,'Cost_Components'!$A$2:$A$27,0)),"")</f>
      </c>
      <c r="AD957" s="84" t="str">
        <f>IFERROR(INDEX('Cost_Components'!$N$2:$N$27,MATCH(E957,'Cost_Components'!$A$2:$A$27,0)),"")</f>
      </c>
      <c r="AE957" s="20" t="str">
        <f>IFERROR(INDEX('Cost_Components'!$O$2:$O$27,MATCH(E957,'Cost_Components'!$A$2:$A$27,0)),"")</f>
      </c>
      <c r="AF957" s="85" t="n">
        <v>656070.634702107</v>
      </c>
      <c r="AG957" s="86" t="n">
        <v>711218.32812521</v>
      </c>
      <c r="AH957" s="87" t="str">
        <f>IF(H957="shared-count-once",COUNTIFS($A$2:$A$1353,A957,$B$2:$B$1353,B957,$E$2:$E$1353,E957),1)</f>
      </c>
    </row>
    <row r="958">
      <c r="A958" t="s">
        <v>75</v>
      </c>
      <c r="B958" s="59" t="n">
        <v>2045</v>
      </c>
      <c r="C958" t="s">
        <v>200</v>
      </c>
      <c r="D958" t="s">
        <v>166</v>
      </c>
      <c r="E958" s="60" t="s">
        <v>285</v>
      </c>
      <c r="F958" s="61" t="s">
        <v>286</v>
      </c>
      <c r="G958" s="62" t="s">
        <v>203</v>
      </c>
      <c r="H958" s="63" t="s">
        <v>195</v>
      </c>
      <c r="I958" s="64" t="s">
        <v>267</v>
      </c>
      <c r="J958" s="65" t="str">
        <f>IFERROR(INDEX('Cost_Components'!$K$2:$K$27,MATCH(E958,'Cost_Components'!$A$2:$A$27,0)),"")</f>
      </c>
      <c r="K958" s="66" t="str">
        <f>IF(OR(L958="",Z958="",AA958="",AB958=""),"",IF(B958&lt;AA958,L958,IF(B958&gt;AB958,Z958,L958+(Z958-L958)*MIN(MAX((B958-AA958+1)/MAX(AB958-AA958+1,1),0),1))))</f>
      </c>
      <c r="L958" s="67" t="str">
        <f>IFERROR(INDEX('Cost_Components'!$S$2:$S$27,MATCH(E958,'Cost_Components'!$A$2:$A$27,0)),"")</f>
      </c>
      <c r="M958" s="68" t="str">
        <f>IFERROR(INDEX('Cost_Components'!$L$2:$L$27,MATCH(E958,'Cost_Components'!$A$2:$A$27,0)),"")</f>
      </c>
      <c r="N958" s="69" t="str">
        <f>IFERROR(INDEX('Cost_Components'!$P$2:$P$27,MATCH(E958,'Cost_Components'!$A$2:$A$27,0)),"")</f>
      </c>
      <c r="O958" s="70" t="str">
        <f>AF958*J958</f>
      </c>
      <c r="P958" s="71" t="str">
        <f>AG958*J958</f>
      </c>
      <c r="Q958" s="72" t="str">
        <f>P958*L958*M958*N958</f>
      </c>
      <c r="R958" s="73" t="str">
        <f>O958*K958*M958*N958</f>
      </c>
      <c r="S958" s="74" t="str">
        <f>R958-Q958</f>
      </c>
      <c r="T958" s="20" t="str">
        <f>IFERROR(INDEX('Cost_Components'!$R$2:$R$27,MATCH(E958,'Cost_Components'!$A$2:$A$27,0)),"")</f>
      </c>
      <c r="U958" s="75" t="str">
        <f>IFERROR(INDEX('Cost_Components'!$Q$2:$Q$27,MATCH(E958,'Cost_Components'!$A$2:$A$27,0)),"")</f>
      </c>
      <c r="V958" s="76" t="str">
        <f>1/(1+'Calculation_Assumptions'!$B$5)^(B958-'Calculation_Assumptions'!$B$2)</f>
      </c>
      <c r="W958" s="77" t="str">
        <f>Q958*V958</f>
      </c>
      <c r="X958" s="78" t="str">
        <f>R958*V958</f>
      </c>
      <c r="Y958" s="79" t="str">
        <f>S958*V958</f>
      </c>
      <c r="Z958" s="80" t="str">
        <f>IFERROR(INDEX('Cost_Components'!$T$2:$T$27,MATCH(E958,'Cost_Components'!$A$2:$A$27,0)),"")</f>
      </c>
      <c r="AA958" s="81" t="str">
        <f>IFERROR(INDEX('Cost_Components'!$U$2:$U$27,MATCH(E958,'Cost_Components'!$A$2:$A$27,0)),"")</f>
      </c>
      <c r="AB958" s="82" t="str">
        <f>IFERROR(INDEX('Cost_Components'!$V$2:$V$27,MATCH(E958,'Cost_Components'!$A$2:$A$27,0)),"")</f>
      </c>
      <c r="AC958" s="83" t="str">
        <f>IFERROR(INDEX('Cost_Components'!$M$2:$M$27,MATCH(E958,'Cost_Components'!$A$2:$A$27,0)),"")</f>
      </c>
      <c r="AD958" s="84" t="str">
        <f>IFERROR(INDEX('Cost_Components'!$N$2:$N$27,MATCH(E958,'Cost_Components'!$A$2:$A$27,0)),"")</f>
      </c>
      <c r="AE958" s="20" t="str">
        <f>IFERROR(INDEX('Cost_Components'!$O$2:$O$27,MATCH(E958,'Cost_Components'!$A$2:$A$27,0)),"")</f>
      </c>
      <c r="AF958" s="85" t="n">
        <v>666658.094905637</v>
      </c>
      <c r="AG958" s="86" t="n">
        <v>726486.456587552</v>
      </c>
      <c r="AH958" s="87" t="str">
        <f>IF(H958="shared-count-once",COUNTIFS($A$2:$A$1353,A958,$B$2:$B$1353,B958,$E$2:$E$1353,E958),1)</f>
      </c>
    </row>
    <row r="959">
      <c r="A959" t="s">
        <v>75</v>
      </c>
      <c r="B959" s="59" t="n">
        <v>2046</v>
      </c>
      <c r="C959" t="s">
        <v>200</v>
      </c>
      <c r="D959" t="s">
        <v>166</v>
      </c>
      <c r="E959" s="60" t="s">
        <v>285</v>
      </c>
      <c r="F959" s="61" t="s">
        <v>286</v>
      </c>
      <c r="G959" s="62" t="s">
        <v>203</v>
      </c>
      <c r="H959" s="63" t="s">
        <v>195</v>
      </c>
      <c r="I959" s="64" t="s">
        <v>267</v>
      </c>
      <c r="J959" s="65" t="str">
        <f>IFERROR(INDEX('Cost_Components'!$K$2:$K$27,MATCH(E959,'Cost_Components'!$A$2:$A$27,0)),"")</f>
      </c>
      <c r="K959" s="66" t="str">
        <f>IF(OR(L959="",Z959="",AA959="",AB959=""),"",IF(B959&lt;AA959,L959,IF(B959&gt;AB959,Z959,L959+(Z959-L959)*MIN(MAX((B959-AA959+1)/MAX(AB959-AA959+1,1),0),1))))</f>
      </c>
      <c r="L959" s="67" t="str">
        <f>IFERROR(INDEX('Cost_Components'!$S$2:$S$27,MATCH(E959,'Cost_Components'!$A$2:$A$27,0)),"")</f>
      </c>
      <c r="M959" s="68" t="str">
        <f>IFERROR(INDEX('Cost_Components'!$L$2:$L$27,MATCH(E959,'Cost_Components'!$A$2:$A$27,0)),"")</f>
      </c>
      <c r="N959" s="69" t="str">
        <f>IFERROR(INDEX('Cost_Components'!$P$2:$P$27,MATCH(E959,'Cost_Components'!$A$2:$A$27,0)),"")</f>
      </c>
      <c r="O959" s="70" t="str">
        <f>AF959*J959</f>
      </c>
      <c r="P959" s="71" t="str">
        <f>AG959*J959</f>
      </c>
      <c r="Q959" s="72" t="str">
        <f>P959*L959*M959*N959</f>
      </c>
      <c r="R959" s="73" t="str">
        <f>O959*K959*M959*N959</f>
      </c>
      <c r="S959" s="74" t="str">
        <f>R959-Q959</f>
      </c>
      <c r="T959" s="20" t="str">
        <f>IFERROR(INDEX('Cost_Components'!$R$2:$R$27,MATCH(E959,'Cost_Components'!$A$2:$A$27,0)),"")</f>
      </c>
      <c r="U959" s="75" t="str">
        <f>IFERROR(INDEX('Cost_Components'!$Q$2:$Q$27,MATCH(E959,'Cost_Components'!$A$2:$A$27,0)),"")</f>
      </c>
      <c r="V959" s="76" t="str">
        <f>1/(1+'Calculation_Assumptions'!$B$5)^(B959-'Calculation_Assumptions'!$B$2)</f>
      </c>
      <c r="W959" s="77" t="str">
        <f>Q959*V959</f>
      </c>
      <c r="X959" s="78" t="str">
        <f>R959*V959</f>
      </c>
      <c r="Y959" s="79" t="str">
        <f>S959*V959</f>
      </c>
      <c r="Z959" s="80" t="str">
        <f>IFERROR(INDEX('Cost_Components'!$T$2:$T$27,MATCH(E959,'Cost_Components'!$A$2:$A$27,0)),"")</f>
      </c>
      <c r="AA959" s="81" t="str">
        <f>IFERROR(INDEX('Cost_Components'!$U$2:$U$27,MATCH(E959,'Cost_Components'!$A$2:$A$27,0)),"")</f>
      </c>
      <c r="AB959" s="82" t="str">
        <f>IFERROR(INDEX('Cost_Components'!$V$2:$V$27,MATCH(E959,'Cost_Components'!$A$2:$A$27,0)),"")</f>
      </c>
      <c r="AC959" s="83" t="str">
        <f>IFERROR(INDEX('Cost_Components'!$M$2:$M$27,MATCH(E959,'Cost_Components'!$A$2:$A$27,0)),"")</f>
      </c>
      <c r="AD959" s="84" t="str">
        <f>IFERROR(INDEX('Cost_Components'!$N$2:$N$27,MATCH(E959,'Cost_Components'!$A$2:$A$27,0)),"")</f>
      </c>
      <c r="AE959" s="20" t="str">
        <f>IFERROR(INDEX('Cost_Components'!$O$2:$O$27,MATCH(E959,'Cost_Components'!$A$2:$A$27,0)),"")</f>
      </c>
      <c r="AF959" s="85" t="n">
        <v>677089.074121133</v>
      </c>
      <c r="AG959" s="86" t="n">
        <v>741764.268871816</v>
      </c>
      <c r="AH959" s="87" t="str">
        <f>IF(H959="shared-count-once",COUNTIFS($A$2:$A$1353,A959,$B$2:$B$1353,B959,$E$2:$E$1353,E959),1)</f>
      </c>
    </row>
    <row r="960">
      <c r="A960" t="s">
        <v>75</v>
      </c>
      <c r="B960" s="59" t="n">
        <v>2047</v>
      </c>
      <c r="C960" t="s">
        <v>200</v>
      </c>
      <c r="D960" t="s">
        <v>166</v>
      </c>
      <c r="E960" s="60" t="s">
        <v>285</v>
      </c>
      <c r="F960" s="61" t="s">
        <v>286</v>
      </c>
      <c r="G960" s="62" t="s">
        <v>203</v>
      </c>
      <c r="H960" s="63" t="s">
        <v>195</v>
      </c>
      <c r="I960" s="64" t="s">
        <v>267</v>
      </c>
      <c r="J960" s="65" t="str">
        <f>IFERROR(INDEX('Cost_Components'!$K$2:$K$27,MATCH(E960,'Cost_Components'!$A$2:$A$27,0)),"")</f>
      </c>
      <c r="K960" s="66" t="str">
        <f>IF(OR(L960="",Z960="",AA960="",AB960=""),"",IF(B960&lt;AA960,L960,IF(B960&gt;AB960,Z960,L960+(Z960-L960)*MIN(MAX((B960-AA960+1)/MAX(AB960-AA960+1,1),0),1))))</f>
      </c>
      <c r="L960" s="67" t="str">
        <f>IFERROR(INDEX('Cost_Components'!$S$2:$S$27,MATCH(E960,'Cost_Components'!$A$2:$A$27,0)),"")</f>
      </c>
      <c r="M960" s="68" t="str">
        <f>IFERROR(INDEX('Cost_Components'!$L$2:$L$27,MATCH(E960,'Cost_Components'!$A$2:$A$27,0)),"")</f>
      </c>
      <c r="N960" s="69" t="str">
        <f>IFERROR(INDEX('Cost_Components'!$P$2:$P$27,MATCH(E960,'Cost_Components'!$A$2:$A$27,0)),"")</f>
      </c>
      <c r="O960" s="70" t="str">
        <f>AF960*J960</f>
      </c>
      <c r="P960" s="71" t="str">
        <f>AG960*J960</f>
      </c>
      <c r="Q960" s="72" t="str">
        <f>P960*L960*M960*N960</f>
      </c>
      <c r="R960" s="73" t="str">
        <f>O960*K960*M960*N960</f>
      </c>
      <c r="S960" s="74" t="str">
        <f>R960-Q960</f>
      </c>
      <c r="T960" s="20" t="str">
        <f>IFERROR(INDEX('Cost_Components'!$R$2:$R$27,MATCH(E960,'Cost_Components'!$A$2:$A$27,0)),"")</f>
      </c>
      <c r="U960" s="75" t="str">
        <f>IFERROR(INDEX('Cost_Components'!$Q$2:$Q$27,MATCH(E960,'Cost_Components'!$A$2:$A$27,0)),"")</f>
      </c>
      <c r="V960" s="76" t="str">
        <f>1/(1+'Calculation_Assumptions'!$B$5)^(B960-'Calculation_Assumptions'!$B$2)</f>
      </c>
      <c r="W960" s="77" t="str">
        <f>Q960*V960</f>
      </c>
      <c r="X960" s="78" t="str">
        <f>R960*V960</f>
      </c>
      <c r="Y960" s="79" t="str">
        <f>S960*V960</f>
      </c>
      <c r="Z960" s="80" t="str">
        <f>IFERROR(INDEX('Cost_Components'!$T$2:$T$27,MATCH(E960,'Cost_Components'!$A$2:$A$27,0)),"")</f>
      </c>
      <c r="AA960" s="81" t="str">
        <f>IFERROR(INDEX('Cost_Components'!$U$2:$U$27,MATCH(E960,'Cost_Components'!$A$2:$A$27,0)),"")</f>
      </c>
      <c r="AB960" s="82" t="str">
        <f>IFERROR(INDEX('Cost_Components'!$V$2:$V$27,MATCH(E960,'Cost_Components'!$A$2:$A$27,0)),"")</f>
      </c>
      <c r="AC960" s="83" t="str">
        <f>IFERROR(INDEX('Cost_Components'!$M$2:$M$27,MATCH(E960,'Cost_Components'!$A$2:$A$27,0)),"")</f>
      </c>
      <c r="AD960" s="84" t="str">
        <f>IFERROR(INDEX('Cost_Components'!$N$2:$N$27,MATCH(E960,'Cost_Components'!$A$2:$A$27,0)),"")</f>
      </c>
      <c r="AE960" s="20" t="str">
        <f>IFERROR(INDEX('Cost_Components'!$O$2:$O$27,MATCH(E960,'Cost_Components'!$A$2:$A$27,0)),"")</f>
      </c>
      <c r="AF960" s="85" t="n">
        <v>687385.921814973</v>
      </c>
      <c r="AG960" s="86" t="n">
        <v>757093.248363789</v>
      </c>
      <c r="AH960" s="87" t="str">
        <f>IF(H960="shared-count-once",COUNTIFS($A$2:$A$1353,A960,$B$2:$B$1353,B960,$E$2:$E$1353,E960),1)</f>
      </c>
    </row>
    <row r="961">
      <c r="A961" t="s">
        <v>75</v>
      </c>
      <c r="B961" s="59" t="n">
        <v>2048</v>
      </c>
      <c r="C961" t="s">
        <v>200</v>
      </c>
      <c r="D961" t="s">
        <v>166</v>
      </c>
      <c r="E961" s="60" t="s">
        <v>285</v>
      </c>
      <c r="F961" s="61" t="s">
        <v>286</v>
      </c>
      <c r="G961" s="62" t="s">
        <v>203</v>
      </c>
      <c r="H961" s="63" t="s">
        <v>195</v>
      </c>
      <c r="I961" s="64" t="s">
        <v>267</v>
      </c>
      <c r="J961" s="65" t="str">
        <f>IFERROR(INDEX('Cost_Components'!$K$2:$K$27,MATCH(E961,'Cost_Components'!$A$2:$A$27,0)),"")</f>
      </c>
      <c r="K961" s="66" t="str">
        <f>IF(OR(L961="",Z961="",AA961="",AB961=""),"",IF(B961&lt;AA961,L961,IF(B961&gt;AB961,Z961,L961+(Z961-L961)*MIN(MAX((B961-AA961+1)/MAX(AB961-AA961+1,1),0),1))))</f>
      </c>
      <c r="L961" s="67" t="str">
        <f>IFERROR(INDEX('Cost_Components'!$S$2:$S$27,MATCH(E961,'Cost_Components'!$A$2:$A$27,0)),"")</f>
      </c>
      <c r="M961" s="68" t="str">
        <f>IFERROR(INDEX('Cost_Components'!$L$2:$L$27,MATCH(E961,'Cost_Components'!$A$2:$A$27,0)),"")</f>
      </c>
      <c r="N961" s="69" t="str">
        <f>IFERROR(INDEX('Cost_Components'!$P$2:$P$27,MATCH(E961,'Cost_Components'!$A$2:$A$27,0)),"")</f>
      </c>
      <c r="O961" s="70" t="str">
        <f>AF961*J961</f>
      </c>
      <c r="P961" s="71" t="str">
        <f>AG961*J961</f>
      </c>
      <c r="Q961" s="72" t="str">
        <f>P961*L961*M961*N961</f>
      </c>
      <c r="R961" s="73" t="str">
        <f>O961*K961*M961*N961</f>
      </c>
      <c r="S961" s="74" t="str">
        <f>R961-Q961</f>
      </c>
      <c r="T961" s="20" t="str">
        <f>IFERROR(INDEX('Cost_Components'!$R$2:$R$27,MATCH(E961,'Cost_Components'!$A$2:$A$27,0)),"")</f>
      </c>
      <c r="U961" s="75" t="str">
        <f>IFERROR(INDEX('Cost_Components'!$Q$2:$Q$27,MATCH(E961,'Cost_Components'!$A$2:$A$27,0)),"")</f>
      </c>
      <c r="V961" s="76" t="str">
        <f>1/(1+'Calculation_Assumptions'!$B$5)^(B961-'Calculation_Assumptions'!$B$2)</f>
      </c>
      <c r="W961" s="77" t="str">
        <f>Q961*V961</f>
      </c>
      <c r="X961" s="78" t="str">
        <f>R961*V961</f>
      </c>
      <c r="Y961" s="79" t="str">
        <f>S961*V961</f>
      </c>
      <c r="Z961" s="80" t="str">
        <f>IFERROR(INDEX('Cost_Components'!$T$2:$T$27,MATCH(E961,'Cost_Components'!$A$2:$A$27,0)),"")</f>
      </c>
      <c r="AA961" s="81" t="str">
        <f>IFERROR(INDEX('Cost_Components'!$U$2:$U$27,MATCH(E961,'Cost_Components'!$A$2:$A$27,0)),"")</f>
      </c>
      <c r="AB961" s="82" t="str">
        <f>IFERROR(INDEX('Cost_Components'!$V$2:$V$27,MATCH(E961,'Cost_Components'!$A$2:$A$27,0)),"")</f>
      </c>
      <c r="AC961" s="83" t="str">
        <f>IFERROR(INDEX('Cost_Components'!$M$2:$M$27,MATCH(E961,'Cost_Components'!$A$2:$A$27,0)),"")</f>
      </c>
      <c r="AD961" s="84" t="str">
        <f>IFERROR(INDEX('Cost_Components'!$N$2:$N$27,MATCH(E961,'Cost_Components'!$A$2:$A$27,0)),"")</f>
      </c>
      <c r="AE961" s="20" t="str">
        <f>IFERROR(INDEX('Cost_Components'!$O$2:$O$27,MATCH(E961,'Cost_Components'!$A$2:$A$27,0)),"")</f>
      </c>
      <c r="AF961" s="85" t="n">
        <v>697667.122444904</v>
      </c>
      <c r="AG961" s="86" t="n">
        <v>772625.898951972</v>
      </c>
      <c r="AH961" s="87" t="str">
        <f>IF(H961="shared-count-once",COUNTIFS($A$2:$A$1353,A961,$B$2:$B$1353,B961,$E$2:$E$1353,E961),1)</f>
      </c>
    </row>
    <row r="962">
      <c r="A962" t="s">
        <v>75</v>
      </c>
      <c r="B962" s="59" t="n">
        <v>2049</v>
      </c>
      <c r="C962" t="s">
        <v>200</v>
      </c>
      <c r="D962" t="s">
        <v>166</v>
      </c>
      <c r="E962" s="60" t="s">
        <v>285</v>
      </c>
      <c r="F962" s="61" t="s">
        <v>286</v>
      </c>
      <c r="G962" s="62" t="s">
        <v>203</v>
      </c>
      <c r="H962" s="63" t="s">
        <v>195</v>
      </c>
      <c r="I962" s="64" t="s">
        <v>267</v>
      </c>
      <c r="J962" s="65" t="str">
        <f>IFERROR(INDEX('Cost_Components'!$K$2:$K$27,MATCH(E962,'Cost_Components'!$A$2:$A$27,0)),"")</f>
      </c>
      <c r="K962" s="66" t="str">
        <f>IF(OR(L962="",Z962="",AA962="",AB962=""),"",IF(B962&lt;AA962,L962,IF(B962&gt;AB962,Z962,L962+(Z962-L962)*MIN(MAX((B962-AA962+1)/MAX(AB962-AA962+1,1),0),1))))</f>
      </c>
      <c r="L962" s="67" t="str">
        <f>IFERROR(INDEX('Cost_Components'!$S$2:$S$27,MATCH(E962,'Cost_Components'!$A$2:$A$27,0)),"")</f>
      </c>
      <c r="M962" s="68" t="str">
        <f>IFERROR(INDEX('Cost_Components'!$L$2:$L$27,MATCH(E962,'Cost_Components'!$A$2:$A$27,0)),"")</f>
      </c>
      <c r="N962" s="69" t="str">
        <f>IFERROR(INDEX('Cost_Components'!$P$2:$P$27,MATCH(E962,'Cost_Components'!$A$2:$A$27,0)),"")</f>
      </c>
      <c r="O962" s="70" t="str">
        <f>AF962*J962</f>
      </c>
      <c r="P962" s="71" t="str">
        <f>AG962*J962</f>
      </c>
      <c r="Q962" s="72" t="str">
        <f>P962*L962*M962*N962</f>
      </c>
      <c r="R962" s="73" t="str">
        <f>O962*K962*M962*N962</f>
      </c>
      <c r="S962" s="74" t="str">
        <f>R962-Q962</f>
      </c>
      <c r="T962" s="20" t="str">
        <f>IFERROR(INDEX('Cost_Components'!$R$2:$R$27,MATCH(E962,'Cost_Components'!$A$2:$A$27,0)),"")</f>
      </c>
      <c r="U962" s="75" t="str">
        <f>IFERROR(INDEX('Cost_Components'!$Q$2:$Q$27,MATCH(E962,'Cost_Components'!$A$2:$A$27,0)),"")</f>
      </c>
      <c r="V962" s="76" t="str">
        <f>1/(1+'Calculation_Assumptions'!$B$5)^(B962-'Calculation_Assumptions'!$B$2)</f>
      </c>
      <c r="W962" s="77" t="str">
        <f>Q962*V962</f>
      </c>
      <c r="X962" s="78" t="str">
        <f>R962*V962</f>
      </c>
      <c r="Y962" s="79" t="str">
        <f>S962*V962</f>
      </c>
      <c r="Z962" s="80" t="str">
        <f>IFERROR(INDEX('Cost_Components'!$T$2:$T$27,MATCH(E962,'Cost_Components'!$A$2:$A$27,0)),"")</f>
      </c>
      <c r="AA962" s="81" t="str">
        <f>IFERROR(INDEX('Cost_Components'!$U$2:$U$27,MATCH(E962,'Cost_Components'!$A$2:$A$27,0)),"")</f>
      </c>
      <c r="AB962" s="82" t="str">
        <f>IFERROR(INDEX('Cost_Components'!$V$2:$V$27,MATCH(E962,'Cost_Components'!$A$2:$A$27,0)),"")</f>
      </c>
      <c r="AC962" s="83" t="str">
        <f>IFERROR(INDEX('Cost_Components'!$M$2:$M$27,MATCH(E962,'Cost_Components'!$A$2:$A$27,0)),"")</f>
      </c>
      <c r="AD962" s="84" t="str">
        <f>IFERROR(INDEX('Cost_Components'!$N$2:$N$27,MATCH(E962,'Cost_Components'!$A$2:$A$27,0)),"")</f>
      </c>
      <c r="AE962" s="20" t="str">
        <f>IFERROR(INDEX('Cost_Components'!$O$2:$O$27,MATCH(E962,'Cost_Components'!$A$2:$A$27,0)),"")</f>
      </c>
      <c r="AF962" s="85" t="n">
        <v>707329.831435634</v>
      </c>
      <c r="AG962" s="86" t="n">
        <v>787603.468855428</v>
      </c>
      <c r="AH962" s="87" t="str">
        <f>IF(H962="shared-count-once",COUNTIFS($A$2:$A$1353,A962,$B$2:$B$1353,B962,$E$2:$E$1353,E962),1)</f>
      </c>
    </row>
    <row r="963">
      <c r="A963" t="s">
        <v>75</v>
      </c>
      <c r="B963" s="59" t="n">
        <v>2050</v>
      </c>
      <c r="C963" t="s">
        <v>200</v>
      </c>
      <c r="D963" t="s">
        <v>166</v>
      </c>
      <c r="E963" s="60" t="s">
        <v>285</v>
      </c>
      <c r="F963" s="61" t="s">
        <v>286</v>
      </c>
      <c r="G963" s="62" t="s">
        <v>203</v>
      </c>
      <c r="H963" s="63" t="s">
        <v>195</v>
      </c>
      <c r="I963" s="64" t="s">
        <v>267</v>
      </c>
      <c r="J963" s="65" t="str">
        <f>IFERROR(INDEX('Cost_Components'!$K$2:$K$27,MATCH(E963,'Cost_Components'!$A$2:$A$27,0)),"")</f>
      </c>
      <c r="K963" s="66" t="str">
        <f>IF(OR(L963="",Z963="",AA963="",AB963=""),"",IF(B963&lt;AA963,L963,IF(B963&gt;AB963,Z963,L963+(Z963-L963)*MIN(MAX((B963-AA963+1)/MAX(AB963-AA963+1,1),0),1))))</f>
      </c>
      <c r="L963" s="67" t="str">
        <f>IFERROR(INDEX('Cost_Components'!$S$2:$S$27,MATCH(E963,'Cost_Components'!$A$2:$A$27,0)),"")</f>
      </c>
      <c r="M963" s="68" t="str">
        <f>IFERROR(INDEX('Cost_Components'!$L$2:$L$27,MATCH(E963,'Cost_Components'!$A$2:$A$27,0)),"")</f>
      </c>
      <c r="N963" s="69" t="str">
        <f>IFERROR(INDEX('Cost_Components'!$P$2:$P$27,MATCH(E963,'Cost_Components'!$A$2:$A$27,0)),"")</f>
      </c>
      <c r="O963" s="70" t="str">
        <f>AF963*J963</f>
      </c>
      <c r="P963" s="71" t="str">
        <f>AG963*J963</f>
      </c>
      <c r="Q963" s="72" t="str">
        <f>P963*L963*M963*N963</f>
      </c>
      <c r="R963" s="73" t="str">
        <f>O963*K963*M963*N963</f>
      </c>
      <c r="S963" s="74" t="str">
        <f>R963-Q963</f>
      </c>
      <c r="T963" s="20" t="str">
        <f>IFERROR(INDEX('Cost_Components'!$R$2:$R$27,MATCH(E963,'Cost_Components'!$A$2:$A$27,0)),"")</f>
      </c>
      <c r="U963" s="75" t="str">
        <f>IFERROR(INDEX('Cost_Components'!$Q$2:$Q$27,MATCH(E963,'Cost_Components'!$A$2:$A$27,0)),"")</f>
      </c>
      <c r="V963" s="76" t="str">
        <f>1/(1+'Calculation_Assumptions'!$B$5)^(B963-'Calculation_Assumptions'!$B$2)</f>
      </c>
      <c r="W963" s="77" t="str">
        <f>Q963*V963</f>
      </c>
      <c r="X963" s="78" t="str">
        <f>R963*V963</f>
      </c>
      <c r="Y963" s="79" t="str">
        <f>S963*V963</f>
      </c>
      <c r="Z963" s="80" t="str">
        <f>IFERROR(INDEX('Cost_Components'!$T$2:$T$27,MATCH(E963,'Cost_Components'!$A$2:$A$27,0)),"")</f>
      </c>
      <c r="AA963" s="81" t="str">
        <f>IFERROR(INDEX('Cost_Components'!$U$2:$U$27,MATCH(E963,'Cost_Components'!$A$2:$A$27,0)),"")</f>
      </c>
      <c r="AB963" s="82" t="str">
        <f>IFERROR(INDEX('Cost_Components'!$V$2:$V$27,MATCH(E963,'Cost_Components'!$A$2:$A$27,0)),"")</f>
      </c>
      <c r="AC963" s="83" t="str">
        <f>IFERROR(INDEX('Cost_Components'!$M$2:$M$27,MATCH(E963,'Cost_Components'!$A$2:$A$27,0)),"")</f>
      </c>
      <c r="AD963" s="84" t="str">
        <f>IFERROR(INDEX('Cost_Components'!$N$2:$N$27,MATCH(E963,'Cost_Components'!$A$2:$A$27,0)),"")</f>
      </c>
      <c r="AE963" s="20" t="str">
        <f>IFERROR(INDEX('Cost_Components'!$O$2:$O$27,MATCH(E963,'Cost_Components'!$A$2:$A$27,0)),"")</f>
      </c>
      <c r="AF963" s="85" t="n">
        <v>716606.014469922</v>
      </c>
      <c r="AG963" s="86" t="n">
        <v>802290.53275889</v>
      </c>
      <c r="AH963" s="87" t="str">
        <f>IF(H963="shared-count-once",COUNTIFS($A$2:$A$1353,A963,$B$2:$B$1353,B963,$E$2:$E$1353,E963),1)</f>
      </c>
    </row>
    <row r="964">
      <c r="A964" t="s">
        <v>75</v>
      </c>
      <c r="B964" s="59" t="n">
        <v>2025</v>
      </c>
      <c r="C964" t="s">
        <v>200</v>
      </c>
      <c r="D964" t="s">
        <v>180</v>
      </c>
      <c r="E964" s="60" t="s">
        <v>287</v>
      </c>
      <c r="F964" s="61" t="s">
        <v>288</v>
      </c>
      <c r="G964" s="62" t="s">
        <v>204</v>
      </c>
      <c r="H964" s="63" t="s">
        <v>195</v>
      </c>
      <c r="I964" s="64" t="s">
        <v>267</v>
      </c>
      <c r="J964" s="65" t="str">
        <f>IFERROR(INDEX('Cost_Components'!$K$2:$K$27,MATCH(E964,'Cost_Components'!$A$2:$A$27,0)),"")</f>
      </c>
      <c r="K964" s="66" t="str">
        <f>IF(OR(L964="",Z964="",AA964="",AB964=""),"",IF(B964&lt;AA964,L964,IF(B964&gt;AB964,Z964,L964+(Z964-L964)*MIN(MAX((B964-AA964+1)/MAX(AB964-AA964+1,1),0),1))))</f>
      </c>
      <c r="L964" s="67" t="str">
        <f>IFERROR(INDEX('Cost_Components'!$S$2:$S$27,MATCH(E964,'Cost_Components'!$A$2:$A$27,0)),"")</f>
      </c>
      <c r="M964" s="68" t="str">
        <f>IFERROR(INDEX('Cost_Components'!$L$2:$L$27,MATCH(E964,'Cost_Components'!$A$2:$A$27,0)),"")</f>
      </c>
      <c r="N964" s="69" t="str">
        <f>IFERROR(INDEX('Cost_Components'!$P$2:$P$27,MATCH(E964,'Cost_Components'!$A$2:$A$27,0)),"")</f>
      </c>
      <c r="O964" s="70" t="str">
        <f>AF964*J964</f>
      </c>
      <c r="P964" s="71" t="str">
        <f>AG964*J964</f>
      </c>
      <c r="Q964" s="72" t="str">
        <f>P964*L964*M964*N964</f>
      </c>
      <c r="R964" s="73" t="str">
        <f>O964*K964*M964*N964</f>
      </c>
      <c r="S964" s="74" t="str">
        <f>R964-Q964</f>
      </c>
      <c r="T964" s="20" t="str">
        <f>IFERROR(INDEX('Cost_Components'!$R$2:$R$27,MATCH(E964,'Cost_Components'!$A$2:$A$27,0)),"")</f>
      </c>
      <c r="U964" s="75" t="str">
        <f>IFERROR(INDEX('Cost_Components'!$Q$2:$Q$27,MATCH(E964,'Cost_Components'!$A$2:$A$27,0)),"")</f>
      </c>
      <c r="V964" s="76" t="str">
        <f>1/(1+'Calculation_Assumptions'!$B$5)^(B964-'Calculation_Assumptions'!$B$2)</f>
      </c>
      <c r="W964" s="77" t="str">
        <f>Q964*V964</f>
      </c>
      <c r="X964" s="78" t="str">
        <f>R964*V964</f>
      </c>
      <c r="Y964" s="79" t="str">
        <f>S964*V964</f>
      </c>
      <c r="Z964" s="80" t="str">
        <f>IFERROR(INDEX('Cost_Components'!$T$2:$T$27,MATCH(E964,'Cost_Components'!$A$2:$A$27,0)),"")</f>
      </c>
      <c r="AA964" s="81" t="str">
        <f>IFERROR(INDEX('Cost_Components'!$U$2:$U$27,MATCH(E964,'Cost_Components'!$A$2:$A$27,0)),"")</f>
      </c>
      <c r="AB964" s="82" t="str">
        <f>IFERROR(INDEX('Cost_Components'!$V$2:$V$27,MATCH(E964,'Cost_Components'!$A$2:$A$27,0)),"")</f>
      </c>
      <c r="AC964" s="83" t="str">
        <f>IFERROR(INDEX('Cost_Components'!$M$2:$M$27,MATCH(E964,'Cost_Components'!$A$2:$A$27,0)),"")</f>
      </c>
      <c r="AD964" s="84" t="str">
        <f>IFERROR(INDEX('Cost_Components'!$N$2:$N$27,MATCH(E964,'Cost_Components'!$A$2:$A$27,0)),"")</f>
      </c>
      <c r="AE964" s="20" t="str">
        <f>IFERROR(INDEX('Cost_Components'!$O$2:$O$27,MATCH(E964,'Cost_Components'!$A$2:$A$27,0)),"")</f>
      </c>
      <c r="AF964" s="85" t="n">
        <v>4934208.81018054</v>
      </c>
      <c r="AG964" s="86" t="n">
        <v>4938586.08395776</v>
      </c>
      <c r="AH964" s="87" t="str">
        <f>IF(H964="shared-count-once",COUNTIFS($A$2:$A$1353,A964,$B$2:$B$1353,B964,$E$2:$E$1353,E964),1)</f>
      </c>
    </row>
    <row r="965">
      <c r="A965" t="s">
        <v>75</v>
      </c>
      <c r="B965" s="59" t="n">
        <v>2026</v>
      </c>
      <c r="C965" t="s">
        <v>200</v>
      </c>
      <c r="D965" t="s">
        <v>180</v>
      </c>
      <c r="E965" s="60" t="s">
        <v>287</v>
      </c>
      <c r="F965" s="61" t="s">
        <v>288</v>
      </c>
      <c r="G965" s="62" t="s">
        <v>204</v>
      </c>
      <c r="H965" s="63" t="s">
        <v>195</v>
      </c>
      <c r="I965" s="64" t="s">
        <v>267</v>
      </c>
      <c r="J965" s="65" t="str">
        <f>IFERROR(INDEX('Cost_Components'!$K$2:$K$27,MATCH(E965,'Cost_Components'!$A$2:$A$27,0)),"")</f>
      </c>
      <c r="K965" s="66" t="str">
        <f>IF(OR(L965="",Z965="",AA965="",AB965=""),"",IF(B965&lt;AA965,L965,IF(B965&gt;AB965,Z965,L965+(Z965-L965)*MIN(MAX((B965-AA965+1)/MAX(AB965-AA965+1,1),0),1))))</f>
      </c>
      <c r="L965" s="67" t="str">
        <f>IFERROR(INDEX('Cost_Components'!$S$2:$S$27,MATCH(E965,'Cost_Components'!$A$2:$A$27,0)),"")</f>
      </c>
      <c r="M965" s="68" t="str">
        <f>IFERROR(INDEX('Cost_Components'!$L$2:$L$27,MATCH(E965,'Cost_Components'!$A$2:$A$27,0)),"")</f>
      </c>
      <c r="N965" s="69" t="str">
        <f>IFERROR(INDEX('Cost_Components'!$P$2:$P$27,MATCH(E965,'Cost_Components'!$A$2:$A$27,0)),"")</f>
      </c>
      <c r="O965" s="70" t="str">
        <f>AF965*J965</f>
      </c>
      <c r="P965" s="71" t="str">
        <f>AG965*J965</f>
      </c>
      <c r="Q965" s="72" t="str">
        <f>P965*L965*M965*N965</f>
      </c>
      <c r="R965" s="73" t="str">
        <f>O965*K965*M965*N965</f>
      </c>
      <c r="S965" s="74" t="str">
        <f>R965-Q965</f>
      </c>
      <c r="T965" s="20" t="str">
        <f>IFERROR(INDEX('Cost_Components'!$R$2:$R$27,MATCH(E965,'Cost_Components'!$A$2:$A$27,0)),"")</f>
      </c>
      <c r="U965" s="75" t="str">
        <f>IFERROR(INDEX('Cost_Components'!$Q$2:$Q$27,MATCH(E965,'Cost_Components'!$A$2:$A$27,0)),"")</f>
      </c>
      <c r="V965" s="76" t="str">
        <f>1/(1+'Calculation_Assumptions'!$B$5)^(B965-'Calculation_Assumptions'!$B$2)</f>
      </c>
      <c r="W965" s="77" t="str">
        <f>Q965*V965</f>
      </c>
      <c r="X965" s="78" t="str">
        <f>R965*V965</f>
      </c>
      <c r="Y965" s="79" t="str">
        <f>S965*V965</f>
      </c>
      <c r="Z965" s="80" t="str">
        <f>IFERROR(INDEX('Cost_Components'!$T$2:$T$27,MATCH(E965,'Cost_Components'!$A$2:$A$27,0)),"")</f>
      </c>
      <c r="AA965" s="81" t="str">
        <f>IFERROR(INDEX('Cost_Components'!$U$2:$U$27,MATCH(E965,'Cost_Components'!$A$2:$A$27,0)),"")</f>
      </c>
      <c r="AB965" s="82" t="str">
        <f>IFERROR(INDEX('Cost_Components'!$V$2:$V$27,MATCH(E965,'Cost_Components'!$A$2:$A$27,0)),"")</f>
      </c>
      <c r="AC965" s="83" t="str">
        <f>IFERROR(INDEX('Cost_Components'!$M$2:$M$27,MATCH(E965,'Cost_Components'!$A$2:$A$27,0)),"")</f>
      </c>
      <c r="AD965" s="84" t="str">
        <f>IFERROR(INDEX('Cost_Components'!$N$2:$N$27,MATCH(E965,'Cost_Components'!$A$2:$A$27,0)),"")</f>
      </c>
      <c r="AE965" s="20" t="str">
        <f>IFERROR(INDEX('Cost_Components'!$O$2:$O$27,MATCH(E965,'Cost_Components'!$A$2:$A$27,0)),"")</f>
      </c>
      <c r="AF965" s="85" t="n">
        <v>5046970.66554862</v>
      </c>
      <c r="AG965" s="86" t="n">
        <v>5059876.23903272</v>
      </c>
      <c r="AH965" s="87" t="str">
        <f>IF(H965="shared-count-once",COUNTIFS($A$2:$A$1353,A965,$B$2:$B$1353,B965,$E$2:$E$1353,E965),1)</f>
      </c>
    </row>
    <row r="966">
      <c r="A966" t="s">
        <v>75</v>
      </c>
      <c r="B966" s="59" t="n">
        <v>2027</v>
      </c>
      <c r="C966" t="s">
        <v>200</v>
      </c>
      <c r="D966" t="s">
        <v>180</v>
      </c>
      <c r="E966" s="60" t="s">
        <v>287</v>
      </c>
      <c r="F966" s="61" t="s">
        <v>288</v>
      </c>
      <c r="G966" s="62" t="s">
        <v>204</v>
      </c>
      <c r="H966" s="63" t="s">
        <v>195</v>
      </c>
      <c r="I966" s="64" t="s">
        <v>267</v>
      </c>
      <c r="J966" s="65" t="str">
        <f>IFERROR(INDEX('Cost_Components'!$K$2:$K$27,MATCH(E966,'Cost_Components'!$A$2:$A$27,0)),"")</f>
      </c>
      <c r="K966" s="66" t="str">
        <f>IF(OR(L966="",Z966="",AA966="",AB966=""),"",IF(B966&lt;AA966,L966,IF(B966&gt;AB966,Z966,L966+(Z966-L966)*MIN(MAX((B966-AA966+1)/MAX(AB966-AA966+1,1),0),1))))</f>
      </c>
      <c r="L966" s="67" t="str">
        <f>IFERROR(INDEX('Cost_Components'!$S$2:$S$27,MATCH(E966,'Cost_Components'!$A$2:$A$27,0)),"")</f>
      </c>
      <c r="M966" s="68" t="str">
        <f>IFERROR(INDEX('Cost_Components'!$L$2:$L$27,MATCH(E966,'Cost_Components'!$A$2:$A$27,0)),"")</f>
      </c>
      <c r="N966" s="69" t="str">
        <f>IFERROR(INDEX('Cost_Components'!$P$2:$P$27,MATCH(E966,'Cost_Components'!$A$2:$A$27,0)),"")</f>
      </c>
      <c r="O966" s="70" t="str">
        <f>AF966*J966</f>
      </c>
      <c r="P966" s="71" t="str">
        <f>AG966*J966</f>
      </c>
      <c r="Q966" s="72" t="str">
        <f>P966*L966*M966*N966</f>
      </c>
      <c r="R966" s="73" t="str">
        <f>O966*K966*M966*N966</f>
      </c>
      <c r="S966" s="74" t="str">
        <f>R966-Q966</f>
      </c>
      <c r="T966" s="20" t="str">
        <f>IFERROR(INDEX('Cost_Components'!$R$2:$R$27,MATCH(E966,'Cost_Components'!$A$2:$A$27,0)),"")</f>
      </c>
      <c r="U966" s="75" t="str">
        <f>IFERROR(INDEX('Cost_Components'!$Q$2:$Q$27,MATCH(E966,'Cost_Components'!$A$2:$A$27,0)),"")</f>
      </c>
      <c r="V966" s="76" t="str">
        <f>1/(1+'Calculation_Assumptions'!$B$5)^(B966-'Calculation_Assumptions'!$B$2)</f>
      </c>
      <c r="W966" s="77" t="str">
        <f>Q966*V966</f>
      </c>
      <c r="X966" s="78" t="str">
        <f>R966*V966</f>
      </c>
      <c r="Y966" s="79" t="str">
        <f>S966*V966</f>
      </c>
      <c r="Z966" s="80" t="str">
        <f>IFERROR(INDEX('Cost_Components'!$T$2:$T$27,MATCH(E966,'Cost_Components'!$A$2:$A$27,0)),"")</f>
      </c>
      <c r="AA966" s="81" t="str">
        <f>IFERROR(INDEX('Cost_Components'!$U$2:$U$27,MATCH(E966,'Cost_Components'!$A$2:$A$27,0)),"")</f>
      </c>
      <c r="AB966" s="82" t="str">
        <f>IFERROR(INDEX('Cost_Components'!$V$2:$V$27,MATCH(E966,'Cost_Components'!$A$2:$A$27,0)),"")</f>
      </c>
      <c r="AC966" s="83" t="str">
        <f>IFERROR(INDEX('Cost_Components'!$M$2:$M$27,MATCH(E966,'Cost_Components'!$A$2:$A$27,0)),"")</f>
      </c>
      <c r="AD966" s="84" t="str">
        <f>IFERROR(INDEX('Cost_Components'!$N$2:$N$27,MATCH(E966,'Cost_Components'!$A$2:$A$27,0)),"")</f>
      </c>
      <c r="AE966" s="20" t="str">
        <f>IFERROR(INDEX('Cost_Components'!$O$2:$O$27,MATCH(E966,'Cost_Components'!$A$2:$A$27,0)),"")</f>
      </c>
      <c r="AF966" s="85" t="n">
        <v>5152582.21959081</v>
      </c>
      <c r="AG966" s="86" t="n">
        <v>5177908.34578341</v>
      </c>
      <c r="AH966" s="87" t="str">
        <f>IF(H966="shared-count-once",COUNTIFS($A$2:$A$1353,A966,$B$2:$B$1353,B966,$E$2:$E$1353,E966),1)</f>
      </c>
    </row>
    <row r="967">
      <c r="A967" t="s">
        <v>75</v>
      </c>
      <c r="B967" s="59" t="n">
        <v>2028</v>
      </c>
      <c r="C967" t="s">
        <v>200</v>
      </c>
      <c r="D967" t="s">
        <v>180</v>
      </c>
      <c r="E967" s="60" t="s">
        <v>287</v>
      </c>
      <c r="F967" s="61" t="s">
        <v>288</v>
      </c>
      <c r="G967" s="62" t="s">
        <v>204</v>
      </c>
      <c r="H967" s="63" t="s">
        <v>195</v>
      </c>
      <c r="I967" s="64" t="s">
        <v>267</v>
      </c>
      <c r="J967" s="65" t="str">
        <f>IFERROR(INDEX('Cost_Components'!$K$2:$K$27,MATCH(E967,'Cost_Components'!$A$2:$A$27,0)),"")</f>
      </c>
      <c r="K967" s="66" t="str">
        <f>IF(OR(L967="",Z967="",AA967="",AB967=""),"",IF(B967&lt;AA967,L967,IF(B967&gt;AB967,Z967,L967+(Z967-L967)*MIN(MAX((B967-AA967+1)/MAX(AB967-AA967+1,1),0),1))))</f>
      </c>
      <c r="L967" s="67" t="str">
        <f>IFERROR(INDEX('Cost_Components'!$S$2:$S$27,MATCH(E967,'Cost_Components'!$A$2:$A$27,0)),"")</f>
      </c>
      <c r="M967" s="68" t="str">
        <f>IFERROR(INDEX('Cost_Components'!$L$2:$L$27,MATCH(E967,'Cost_Components'!$A$2:$A$27,0)),"")</f>
      </c>
      <c r="N967" s="69" t="str">
        <f>IFERROR(INDEX('Cost_Components'!$P$2:$P$27,MATCH(E967,'Cost_Components'!$A$2:$A$27,0)),"")</f>
      </c>
      <c r="O967" s="70" t="str">
        <f>AF967*J967</f>
      </c>
      <c r="P967" s="71" t="str">
        <f>AG967*J967</f>
      </c>
      <c r="Q967" s="72" t="str">
        <f>P967*L967*M967*N967</f>
      </c>
      <c r="R967" s="73" t="str">
        <f>O967*K967*M967*N967</f>
      </c>
      <c r="S967" s="74" t="str">
        <f>R967-Q967</f>
      </c>
      <c r="T967" s="20" t="str">
        <f>IFERROR(INDEX('Cost_Components'!$R$2:$R$27,MATCH(E967,'Cost_Components'!$A$2:$A$27,0)),"")</f>
      </c>
      <c r="U967" s="75" t="str">
        <f>IFERROR(INDEX('Cost_Components'!$Q$2:$Q$27,MATCH(E967,'Cost_Components'!$A$2:$A$27,0)),"")</f>
      </c>
      <c r="V967" s="76" t="str">
        <f>1/(1+'Calculation_Assumptions'!$B$5)^(B967-'Calculation_Assumptions'!$B$2)</f>
      </c>
      <c r="W967" s="77" t="str">
        <f>Q967*V967</f>
      </c>
      <c r="X967" s="78" t="str">
        <f>R967*V967</f>
      </c>
      <c r="Y967" s="79" t="str">
        <f>S967*V967</f>
      </c>
      <c r="Z967" s="80" t="str">
        <f>IFERROR(INDEX('Cost_Components'!$T$2:$T$27,MATCH(E967,'Cost_Components'!$A$2:$A$27,0)),"")</f>
      </c>
      <c r="AA967" s="81" t="str">
        <f>IFERROR(INDEX('Cost_Components'!$U$2:$U$27,MATCH(E967,'Cost_Components'!$A$2:$A$27,0)),"")</f>
      </c>
      <c r="AB967" s="82" t="str">
        <f>IFERROR(INDEX('Cost_Components'!$V$2:$V$27,MATCH(E967,'Cost_Components'!$A$2:$A$27,0)),"")</f>
      </c>
      <c r="AC967" s="83" t="str">
        <f>IFERROR(INDEX('Cost_Components'!$M$2:$M$27,MATCH(E967,'Cost_Components'!$A$2:$A$27,0)),"")</f>
      </c>
      <c r="AD967" s="84" t="str">
        <f>IFERROR(INDEX('Cost_Components'!$N$2:$N$27,MATCH(E967,'Cost_Components'!$A$2:$A$27,0)),"")</f>
      </c>
      <c r="AE967" s="20" t="str">
        <f>IFERROR(INDEX('Cost_Components'!$O$2:$O$27,MATCH(E967,'Cost_Components'!$A$2:$A$27,0)),"")</f>
      </c>
      <c r="AF967" s="85" t="n">
        <v>5250905.8154041</v>
      </c>
      <c r="AG967" s="86" t="n">
        <v>5292362.05081189</v>
      </c>
      <c r="AH967" s="87" t="str">
        <f>IF(H967="shared-count-once",COUNTIFS($A$2:$A$1353,A967,$B$2:$B$1353,B967,$E$2:$E$1353,E967),1)</f>
      </c>
    </row>
    <row r="968">
      <c r="A968" t="s">
        <v>75</v>
      </c>
      <c r="B968" s="59" t="n">
        <v>2029</v>
      </c>
      <c r="C968" t="s">
        <v>200</v>
      </c>
      <c r="D968" t="s">
        <v>180</v>
      </c>
      <c r="E968" s="60" t="s">
        <v>287</v>
      </c>
      <c r="F968" s="61" t="s">
        <v>288</v>
      </c>
      <c r="G968" s="62" t="s">
        <v>204</v>
      </c>
      <c r="H968" s="63" t="s">
        <v>195</v>
      </c>
      <c r="I968" s="64" t="s">
        <v>267</v>
      </c>
      <c r="J968" s="65" t="str">
        <f>IFERROR(INDEX('Cost_Components'!$K$2:$K$27,MATCH(E968,'Cost_Components'!$A$2:$A$27,0)),"")</f>
      </c>
      <c r="K968" s="66" t="str">
        <f>IF(OR(L968="",Z968="",AA968="",AB968=""),"",IF(B968&lt;AA968,L968,IF(B968&gt;AB968,Z968,L968+(Z968-L968)*MIN(MAX((B968-AA968+1)/MAX(AB968-AA968+1,1),0),1))))</f>
      </c>
      <c r="L968" s="67" t="str">
        <f>IFERROR(INDEX('Cost_Components'!$S$2:$S$27,MATCH(E968,'Cost_Components'!$A$2:$A$27,0)),"")</f>
      </c>
      <c r="M968" s="68" t="str">
        <f>IFERROR(INDEX('Cost_Components'!$L$2:$L$27,MATCH(E968,'Cost_Components'!$A$2:$A$27,0)),"")</f>
      </c>
      <c r="N968" s="69" t="str">
        <f>IFERROR(INDEX('Cost_Components'!$P$2:$P$27,MATCH(E968,'Cost_Components'!$A$2:$A$27,0)),"")</f>
      </c>
      <c r="O968" s="70" t="str">
        <f>AF968*J968</f>
      </c>
      <c r="P968" s="71" t="str">
        <f>AG968*J968</f>
      </c>
      <c r="Q968" s="72" t="str">
        <f>P968*L968*M968*N968</f>
      </c>
      <c r="R968" s="73" t="str">
        <f>O968*K968*M968*N968</f>
      </c>
      <c r="S968" s="74" t="str">
        <f>R968-Q968</f>
      </c>
      <c r="T968" s="20" t="str">
        <f>IFERROR(INDEX('Cost_Components'!$R$2:$R$27,MATCH(E968,'Cost_Components'!$A$2:$A$27,0)),"")</f>
      </c>
      <c r="U968" s="75" t="str">
        <f>IFERROR(INDEX('Cost_Components'!$Q$2:$Q$27,MATCH(E968,'Cost_Components'!$A$2:$A$27,0)),"")</f>
      </c>
      <c r="V968" s="76" t="str">
        <f>1/(1+'Calculation_Assumptions'!$B$5)^(B968-'Calculation_Assumptions'!$B$2)</f>
      </c>
      <c r="W968" s="77" t="str">
        <f>Q968*V968</f>
      </c>
      <c r="X968" s="78" t="str">
        <f>R968*V968</f>
      </c>
      <c r="Y968" s="79" t="str">
        <f>S968*V968</f>
      </c>
      <c r="Z968" s="80" t="str">
        <f>IFERROR(INDEX('Cost_Components'!$T$2:$T$27,MATCH(E968,'Cost_Components'!$A$2:$A$27,0)),"")</f>
      </c>
      <c r="AA968" s="81" t="str">
        <f>IFERROR(INDEX('Cost_Components'!$U$2:$U$27,MATCH(E968,'Cost_Components'!$A$2:$A$27,0)),"")</f>
      </c>
      <c r="AB968" s="82" t="str">
        <f>IFERROR(INDEX('Cost_Components'!$V$2:$V$27,MATCH(E968,'Cost_Components'!$A$2:$A$27,0)),"")</f>
      </c>
      <c r="AC968" s="83" t="str">
        <f>IFERROR(INDEX('Cost_Components'!$M$2:$M$27,MATCH(E968,'Cost_Components'!$A$2:$A$27,0)),"")</f>
      </c>
      <c r="AD968" s="84" t="str">
        <f>IFERROR(INDEX('Cost_Components'!$N$2:$N$27,MATCH(E968,'Cost_Components'!$A$2:$A$27,0)),"")</f>
      </c>
      <c r="AE968" s="20" t="str">
        <f>IFERROR(INDEX('Cost_Components'!$O$2:$O$27,MATCH(E968,'Cost_Components'!$A$2:$A$27,0)),"")</f>
      </c>
      <c r="AF968" s="85" t="n">
        <v>5346734.10010038</v>
      </c>
      <c r="AG968" s="86" t="n">
        <v>5407624.20226317</v>
      </c>
      <c r="AH968" s="87" t="str">
        <f>IF(H968="shared-count-once",COUNTIFS($A$2:$A$1353,A968,$B$2:$B$1353,B968,$E$2:$E$1353,E968),1)</f>
      </c>
    </row>
    <row r="969">
      <c r="A969" t="s">
        <v>75</v>
      </c>
      <c r="B969" s="59" t="n">
        <v>2030</v>
      </c>
      <c r="C969" t="s">
        <v>200</v>
      </c>
      <c r="D969" t="s">
        <v>180</v>
      </c>
      <c r="E969" s="60" t="s">
        <v>287</v>
      </c>
      <c r="F969" s="61" t="s">
        <v>288</v>
      </c>
      <c r="G969" s="62" t="s">
        <v>204</v>
      </c>
      <c r="H969" s="63" t="s">
        <v>195</v>
      </c>
      <c r="I969" s="64" t="s">
        <v>267</v>
      </c>
      <c r="J969" s="65" t="str">
        <f>IFERROR(INDEX('Cost_Components'!$K$2:$K$27,MATCH(E969,'Cost_Components'!$A$2:$A$27,0)),"")</f>
      </c>
      <c r="K969" s="66" t="str">
        <f>IF(OR(L969="",Z969="",AA969="",AB969=""),"",IF(B969&lt;AA969,L969,IF(B969&gt;AB969,Z969,L969+(Z969-L969)*MIN(MAX((B969-AA969+1)/MAX(AB969-AA969+1,1),0),1))))</f>
      </c>
      <c r="L969" s="67" t="str">
        <f>IFERROR(INDEX('Cost_Components'!$S$2:$S$27,MATCH(E969,'Cost_Components'!$A$2:$A$27,0)),"")</f>
      </c>
      <c r="M969" s="68" t="str">
        <f>IFERROR(INDEX('Cost_Components'!$L$2:$L$27,MATCH(E969,'Cost_Components'!$A$2:$A$27,0)),"")</f>
      </c>
      <c r="N969" s="69" t="str">
        <f>IFERROR(INDEX('Cost_Components'!$P$2:$P$27,MATCH(E969,'Cost_Components'!$A$2:$A$27,0)),"")</f>
      </c>
      <c r="O969" s="70" t="str">
        <f>AF969*J969</f>
      </c>
      <c r="P969" s="71" t="str">
        <f>AG969*J969</f>
      </c>
      <c r="Q969" s="72" t="str">
        <f>P969*L969*M969*N969</f>
      </c>
      <c r="R969" s="73" t="str">
        <f>O969*K969*M969*N969</f>
      </c>
      <c r="S969" s="74" t="str">
        <f>R969-Q969</f>
      </c>
      <c r="T969" s="20" t="str">
        <f>IFERROR(INDEX('Cost_Components'!$R$2:$R$27,MATCH(E969,'Cost_Components'!$A$2:$A$27,0)),"")</f>
      </c>
      <c r="U969" s="75" t="str">
        <f>IFERROR(INDEX('Cost_Components'!$Q$2:$Q$27,MATCH(E969,'Cost_Components'!$A$2:$A$27,0)),"")</f>
      </c>
      <c r="V969" s="76" t="str">
        <f>1/(1+'Calculation_Assumptions'!$B$5)^(B969-'Calculation_Assumptions'!$B$2)</f>
      </c>
      <c r="W969" s="77" t="str">
        <f>Q969*V969</f>
      </c>
      <c r="X969" s="78" t="str">
        <f>R969*V969</f>
      </c>
      <c r="Y969" s="79" t="str">
        <f>S969*V969</f>
      </c>
      <c r="Z969" s="80" t="str">
        <f>IFERROR(INDEX('Cost_Components'!$T$2:$T$27,MATCH(E969,'Cost_Components'!$A$2:$A$27,0)),"")</f>
      </c>
      <c r="AA969" s="81" t="str">
        <f>IFERROR(INDEX('Cost_Components'!$U$2:$U$27,MATCH(E969,'Cost_Components'!$A$2:$A$27,0)),"")</f>
      </c>
      <c r="AB969" s="82" t="str">
        <f>IFERROR(INDEX('Cost_Components'!$V$2:$V$27,MATCH(E969,'Cost_Components'!$A$2:$A$27,0)),"")</f>
      </c>
      <c r="AC969" s="83" t="str">
        <f>IFERROR(INDEX('Cost_Components'!$M$2:$M$27,MATCH(E969,'Cost_Components'!$A$2:$A$27,0)),"")</f>
      </c>
      <c r="AD969" s="84" t="str">
        <f>IFERROR(INDEX('Cost_Components'!$N$2:$N$27,MATCH(E969,'Cost_Components'!$A$2:$A$27,0)),"")</f>
      </c>
      <c r="AE969" s="20" t="str">
        <f>IFERROR(INDEX('Cost_Components'!$O$2:$O$27,MATCH(E969,'Cost_Components'!$A$2:$A$27,0)),"")</f>
      </c>
      <c r="AF969" s="85" t="n">
        <v>5438237.07793204</v>
      </c>
      <c r="AG969" s="86" t="n">
        <v>5521846.50884352</v>
      </c>
      <c r="AH969" s="87" t="str">
        <f>IF(H969="shared-count-once",COUNTIFS($A$2:$A$1353,A969,$B$2:$B$1353,B969,$E$2:$E$1353,E969),1)</f>
      </c>
    </row>
    <row r="970">
      <c r="A970" t="s">
        <v>75</v>
      </c>
      <c r="B970" s="59" t="n">
        <v>2031</v>
      </c>
      <c r="C970" t="s">
        <v>200</v>
      </c>
      <c r="D970" t="s">
        <v>180</v>
      </c>
      <c r="E970" s="60" t="s">
        <v>287</v>
      </c>
      <c r="F970" s="61" t="s">
        <v>288</v>
      </c>
      <c r="G970" s="62" t="s">
        <v>204</v>
      </c>
      <c r="H970" s="63" t="s">
        <v>195</v>
      </c>
      <c r="I970" s="64" t="s">
        <v>267</v>
      </c>
      <c r="J970" s="65" t="str">
        <f>IFERROR(INDEX('Cost_Components'!$K$2:$K$27,MATCH(E970,'Cost_Components'!$A$2:$A$27,0)),"")</f>
      </c>
      <c r="K970" s="66" t="str">
        <f>IF(OR(L970="",Z970="",AA970="",AB970=""),"",IF(B970&lt;AA970,L970,IF(B970&gt;AB970,Z970,L970+(Z970-L970)*MIN(MAX((B970-AA970+1)/MAX(AB970-AA970+1,1),0),1))))</f>
      </c>
      <c r="L970" s="67" t="str">
        <f>IFERROR(INDEX('Cost_Components'!$S$2:$S$27,MATCH(E970,'Cost_Components'!$A$2:$A$27,0)),"")</f>
      </c>
      <c r="M970" s="68" t="str">
        <f>IFERROR(INDEX('Cost_Components'!$L$2:$L$27,MATCH(E970,'Cost_Components'!$A$2:$A$27,0)),"")</f>
      </c>
      <c r="N970" s="69" t="str">
        <f>IFERROR(INDEX('Cost_Components'!$P$2:$P$27,MATCH(E970,'Cost_Components'!$A$2:$A$27,0)),"")</f>
      </c>
      <c r="O970" s="70" t="str">
        <f>AF970*J970</f>
      </c>
      <c r="P970" s="71" t="str">
        <f>AG970*J970</f>
      </c>
      <c r="Q970" s="72" t="str">
        <f>P970*L970*M970*N970</f>
      </c>
      <c r="R970" s="73" t="str">
        <f>O970*K970*M970*N970</f>
      </c>
      <c r="S970" s="74" t="str">
        <f>R970-Q970</f>
      </c>
      <c r="T970" s="20" t="str">
        <f>IFERROR(INDEX('Cost_Components'!$R$2:$R$27,MATCH(E970,'Cost_Components'!$A$2:$A$27,0)),"")</f>
      </c>
      <c r="U970" s="75" t="str">
        <f>IFERROR(INDEX('Cost_Components'!$Q$2:$Q$27,MATCH(E970,'Cost_Components'!$A$2:$A$27,0)),"")</f>
      </c>
      <c r="V970" s="76" t="str">
        <f>1/(1+'Calculation_Assumptions'!$B$5)^(B970-'Calculation_Assumptions'!$B$2)</f>
      </c>
      <c r="W970" s="77" t="str">
        <f>Q970*V970</f>
      </c>
      <c r="X970" s="78" t="str">
        <f>R970*V970</f>
      </c>
      <c r="Y970" s="79" t="str">
        <f>S970*V970</f>
      </c>
      <c r="Z970" s="80" t="str">
        <f>IFERROR(INDEX('Cost_Components'!$T$2:$T$27,MATCH(E970,'Cost_Components'!$A$2:$A$27,0)),"")</f>
      </c>
      <c r="AA970" s="81" t="str">
        <f>IFERROR(INDEX('Cost_Components'!$U$2:$U$27,MATCH(E970,'Cost_Components'!$A$2:$A$27,0)),"")</f>
      </c>
      <c r="AB970" s="82" t="str">
        <f>IFERROR(INDEX('Cost_Components'!$V$2:$V$27,MATCH(E970,'Cost_Components'!$A$2:$A$27,0)),"")</f>
      </c>
      <c r="AC970" s="83" t="str">
        <f>IFERROR(INDEX('Cost_Components'!$M$2:$M$27,MATCH(E970,'Cost_Components'!$A$2:$A$27,0)),"")</f>
      </c>
      <c r="AD970" s="84" t="str">
        <f>IFERROR(INDEX('Cost_Components'!$N$2:$N$27,MATCH(E970,'Cost_Components'!$A$2:$A$27,0)),"")</f>
      </c>
      <c r="AE970" s="20" t="str">
        <f>IFERROR(INDEX('Cost_Components'!$O$2:$O$27,MATCH(E970,'Cost_Components'!$A$2:$A$27,0)),"")</f>
      </c>
      <c r="AF970" s="85" t="n">
        <v>5526389.41668622</v>
      </c>
      <c r="AG970" s="86" t="n">
        <v>5635894.28157856</v>
      </c>
      <c r="AH970" s="87" t="str">
        <f>IF(H970="shared-count-once",COUNTIFS($A$2:$A$1353,A970,$B$2:$B$1353,B970,$E$2:$E$1353,E970),1)</f>
      </c>
    </row>
    <row r="971">
      <c r="A971" t="s">
        <v>75</v>
      </c>
      <c r="B971" s="59" t="n">
        <v>2032</v>
      </c>
      <c r="C971" t="s">
        <v>200</v>
      </c>
      <c r="D971" t="s">
        <v>180</v>
      </c>
      <c r="E971" s="60" t="s">
        <v>287</v>
      </c>
      <c r="F971" s="61" t="s">
        <v>288</v>
      </c>
      <c r="G971" s="62" t="s">
        <v>204</v>
      </c>
      <c r="H971" s="63" t="s">
        <v>195</v>
      </c>
      <c r="I971" s="64" t="s">
        <v>267</v>
      </c>
      <c r="J971" s="65" t="str">
        <f>IFERROR(INDEX('Cost_Components'!$K$2:$K$27,MATCH(E971,'Cost_Components'!$A$2:$A$27,0)),"")</f>
      </c>
      <c r="K971" s="66" t="str">
        <f>IF(OR(L971="",Z971="",AA971="",AB971=""),"",IF(B971&lt;AA971,L971,IF(B971&gt;AB971,Z971,L971+(Z971-L971)*MIN(MAX((B971-AA971+1)/MAX(AB971-AA971+1,1),0),1))))</f>
      </c>
      <c r="L971" s="67" t="str">
        <f>IFERROR(INDEX('Cost_Components'!$S$2:$S$27,MATCH(E971,'Cost_Components'!$A$2:$A$27,0)),"")</f>
      </c>
      <c r="M971" s="68" t="str">
        <f>IFERROR(INDEX('Cost_Components'!$L$2:$L$27,MATCH(E971,'Cost_Components'!$A$2:$A$27,0)),"")</f>
      </c>
      <c r="N971" s="69" t="str">
        <f>IFERROR(INDEX('Cost_Components'!$P$2:$P$27,MATCH(E971,'Cost_Components'!$A$2:$A$27,0)),"")</f>
      </c>
      <c r="O971" s="70" t="str">
        <f>AF971*J971</f>
      </c>
      <c r="P971" s="71" t="str">
        <f>AG971*J971</f>
      </c>
      <c r="Q971" s="72" t="str">
        <f>P971*L971*M971*N971</f>
      </c>
      <c r="R971" s="73" t="str">
        <f>O971*K971*M971*N971</f>
      </c>
      <c r="S971" s="74" t="str">
        <f>R971-Q971</f>
      </c>
      <c r="T971" s="20" t="str">
        <f>IFERROR(INDEX('Cost_Components'!$R$2:$R$27,MATCH(E971,'Cost_Components'!$A$2:$A$27,0)),"")</f>
      </c>
      <c r="U971" s="75" t="str">
        <f>IFERROR(INDEX('Cost_Components'!$Q$2:$Q$27,MATCH(E971,'Cost_Components'!$A$2:$A$27,0)),"")</f>
      </c>
      <c r="V971" s="76" t="str">
        <f>1/(1+'Calculation_Assumptions'!$B$5)^(B971-'Calculation_Assumptions'!$B$2)</f>
      </c>
      <c r="W971" s="77" t="str">
        <f>Q971*V971</f>
      </c>
      <c r="X971" s="78" t="str">
        <f>R971*V971</f>
      </c>
      <c r="Y971" s="79" t="str">
        <f>S971*V971</f>
      </c>
      <c r="Z971" s="80" t="str">
        <f>IFERROR(INDEX('Cost_Components'!$T$2:$T$27,MATCH(E971,'Cost_Components'!$A$2:$A$27,0)),"")</f>
      </c>
      <c r="AA971" s="81" t="str">
        <f>IFERROR(INDEX('Cost_Components'!$U$2:$U$27,MATCH(E971,'Cost_Components'!$A$2:$A$27,0)),"")</f>
      </c>
      <c r="AB971" s="82" t="str">
        <f>IFERROR(INDEX('Cost_Components'!$V$2:$V$27,MATCH(E971,'Cost_Components'!$A$2:$A$27,0)),"")</f>
      </c>
      <c r="AC971" s="83" t="str">
        <f>IFERROR(INDEX('Cost_Components'!$M$2:$M$27,MATCH(E971,'Cost_Components'!$A$2:$A$27,0)),"")</f>
      </c>
      <c r="AD971" s="84" t="str">
        <f>IFERROR(INDEX('Cost_Components'!$N$2:$N$27,MATCH(E971,'Cost_Components'!$A$2:$A$27,0)),"")</f>
      </c>
      <c r="AE971" s="20" t="str">
        <f>IFERROR(INDEX('Cost_Components'!$O$2:$O$27,MATCH(E971,'Cost_Components'!$A$2:$A$27,0)),"")</f>
      </c>
      <c r="AF971" s="85" t="n">
        <v>5611303.56990719</v>
      </c>
      <c r="AG971" s="86" t="n">
        <v>5749760.92998007</v>
      </c>
      <c r="AH971" s="87" t="str">
        <f>IF(H971="shared-count-once",COUNTIFS($A$2:$A$1353,A971,$B$2:$B$1353,B971,$E$2:$E$1353,E971),1)</f>
      </c>
    </row>
    <row r="972">
      <c r="A972" t="s">
        <v>75</v>
      </c>
      <c r="B972" s="59" t="n">
        <v>2033</v>
      </c>
      <c r="C972" t="s">
        <v>200</v>
      </c>
      <c r="D972" t="s">
        <v>180</v>
      </c>
      <c r="E972" s="60" t="s">
        <v>287</v>
      </c>
      <c r="F972" s="61" t="s">
        <v>288</v>
      </c>
      <c r="G972" s="62" t="s">
        <v>204</v>
      </c>
      <c r="H972" s="63" t="s">
        <v>195</v>
      </c>
      <c r="I972" s="64" t="s">
        <v>267</v>
      </c>
      <c r="J972" s="65" t="str">
        <f>IFERROR(INDEX('Cost_Components'!$K$2:$K$27,MATCH(E972,'Cost_Components'!$A$2:$A$27,0)),"")</f>
      </c>
      <c r="K972" s="66" t="str">
        <f>IF(OR(L972="",Z972="",AA972="",AB972=""),"",IF(B972&lt;AA972,L972,IF(B972&gt;AB972,Z972,L972+(Z972-L972)*MIN(MAX((B972-AA972+1)/MAX(AB972-AA972+1,1),0),1))))</f>
      </c>
      <c r="L972" s="67" t="str">
        <f>IFERROR(INDEX('Cost_Components'!$S$2:$S$27,MATCH(E972,'Cost_Components'!$A$2:$A$27,0)),"")</f>
      </c>
      <c r="M972" s="68" t="str">
        <f>IFERROR(INDEX('Cost_Components'!$L$2:$L$27,MATCH(E972,'Cost_Components'!$A$2:$A$27,0)),"")</f>
      </c>
      <c r="N972" s="69" t="str">
        <f>IFERROR(INDEX('Cost_Components'!$P$2:$P$27,MATCH(E972,'Cost_Components'!$A$2:$A$27,0)),"")</f>
      </c>
      <c r="O972" s="70" t="str">
        <f>AF972*J972</f>
      </c>
      <c r="P972" s="71" t="str">
        <f>AG972*J972</f>
      </c>
      <c r="Q972" s="72" t="str">
        <f>P972*L972*M972*N972</f>
      </c>
      <c r="R972" s="73" t="str">
        <f>O972*K972*M972*N972</f>
      </c>
      <c r="S972" s="74" t="str">
        <f>R972-Q972</f>
      </c>
      <c r="T972" s="20" t="str">
        <f>IFERROR(INDEX('Cost_Components'!$R$2:$R$27,MATCH(E972,'Cost_Components'!$A$2:$A$27,0)),"")</f>
      </c>
      <c r="U972" s="75" t="str">
        <f>IFERROR(INDEX('Cost_Components'!$Q$2:$Q$27,MATCH(E972,'Cost_Components'!$A$2:$A$27,0)),"")</f>
      </c>
      <c r="V972" s="76" t="str">
        <f>1/(1+'Calculation_Assumptions'!$B$5)^(B972-'Calculation_Assumptions'!$B$2)</f>
      </c>
      <c r="W972" s="77" t="str">
        <f>Q972*V972</f>
      </c>
      <c r="X972" s="78" t="str">
        <f>R972*V972</f>
      </c>
      <c r="Y972" s="79" t="str">
        <f>S972*V972</f>
      </c>
      <c r="Z972" s="80" t="str">
        <f>IFERROR(INDEX('Cost_Components'!$T$2:$T$27,MATCH(E972,'Cost_Components'!$A$2:$A$27,0)),"")</f>
      </c>
      <c r="AA972" s="81" t="str">
        <f>IFERROR(INDEX('Cost_Components'!$U$2:$U$27,MATCH(E972,'Cost_Components'!$A$2:$A$27,0)),"")</f>
      </c>
      <c r="AB972" s="82" t="str">
        <f>IFERROR(INDEX('Cost_Components'!$V$2:$V$27,MATCH(E972,'Cost_Components'!$A$2:$A$27,0)),"")</f>
      </c>
      <c r="AC972" s="83" t="str">
        <f>IFERROR(INDEX('Cost_Components'!$M$2:$M$27,MATCH(E972,'Cost_Components'!$A$2:$A$27,0)),"")</f>
      </c>
      <c r="AD972" s="84" t="str">
        <f>IFERROR(INDEX('Cost_Components'!$N$2:$N$27,MATCH(E972,'Cost_Components'!$A$2:$A$27,0)),"")</f>
      </c>
      <c r="AE972" s="20" t="str">
        <f>IFERROR(INDEX('Cost_Components'!$O$2:$O$27,MATCH(E972,'Cost_Components'!$A$2:$A$27,0)),"")</f>
      </c>
      <c r="AF972" s="85" t="n">
        <v>5693742.79106781</v>
      </c>
      <c r="AG972" s="86" t="n">
        <v>5864146.54515379</v>
      </c>
      <c r="AH972" s="87" t="str">
        <f>IF(H972="shared-count-once",COUNTIFS($A$2:$A$1353,A972,$B$2:$B$1353,B972,$E$2:$E$1353,E972),1)</f>
      </c>
    </row>
    <row r="973">
      <c r="A973" t="s">
        <v>75</v>
      </c>
      <c r="B973" s="59" t="n">
        <v>2034</v>
      </c>
      <c r="C973" t="s">
        <v>200</v>
      </c>
      <c r="D973" t="s">
        <v>180</v>
      </c>
      <c r="E973" s="60" t="s">
        <v>287</v>
      </c>
      <c r="F973" s="61" t="s">
        <v>288</v>
      </c>
      <c r="G973" s="62" t="s">
        <v>204</v>
      </c>
      <c r="H973" s="63" t="s">
        <v>195</v>
      </c>
      <c r="I973" s="64" t="s">
        <v>267</v>
      </c>
      <c r="J973" s="65" t="str">
        <f>IFERROR(INDEX('Cost_Components'!$K$2:$K$27,MATCH(E973,'Cost_Components'!$A$2:$A$27,0)),"")</f>
      </c>
      <c r="K973" s="66" t="str">
        <f>IF(OR(L973="",Z973="",AA973="",AB973=""),"",IF(B973&lt;AA973,L973,IF(B973&gt;AB973,Z973,L973+(Z973-L973)*MIN(MAX((B973-AA973+1)/MAX(AB973-AA973+1,1),0),1))))</f>
      </c>
      <c r="L973" s="67" t="str">
        <f>IFERROR(INDEX('Cost_Components'!$S$2:$S$27,MATCH(E973,'Cost_Components'!$A$2:$A$27,0)),"")</f>
      </c>
      <c r="M973" s="68" t="str">
        <f>IFERROR(INDEX('Cost_Components'!$L$2:$L$27,MATCH(E973,'Cost_Components'!$A$2:$A$27,0)),"")</f>
      </c>
      <c r="N973" s="69" t="str">
        <f>IFERROR(INDEX('Cost_Components'!$P$2:$P$27,MATCH(E973,'Cost_Components'!$A$2:$A$27,0)),"")</f>
      </c>
      <c r="O973" s="70" t="str">
        <f>AF973*J973</f>
      </c>
      <c r="P973" s="71" t="str">
        <f>AG973*J973</f>
      </c>
      <c r="Q973" s="72" t="str">
        <f>P973*L973*M973*N973</f>
      </c>
      <c r="R973" s="73" t="str">
        <f>O973*K973*M973*N973</f>
      </c>
      <c r="S973" s="74" t="str">
        <f>R973-Q973</f>
      </c>
      <c r="T973" s="20" t="str">
        <f>IFERROR(INDEX('Cost_Components'!$R$2:$R$27,MATCH(E973,'Cost_Components'!$A$2:$A$27,0)),"")</f>
      </c>
      <c r="U973" s="75" t="str">
        <f>IFERROR(INDEX('Cost_Components'!$Q$2:$Q$27,MATCH(E973,'Cost_Components'!$A$2:$A$27,0)),"")</f>
      </c>
      <c r="V973" s="76" t="str">
        <f>1/(1+'Calculation_Assumptions'!$B$5)^(B973-'Calculation_Assumptions'!$B$2)</f>
      </c>
      <c r="W973" s="77" t="str">
        <f>Q973*V973</f>
      </c>
      <c r="X973" s="78" t="str">
        <f>R973*V973</f>
      </c>
      <c r="Y973" s="79" t="str">
        <f>S973*V973</f>
      </c>
      <c r="Z973" s="80" t="str">
        <f>IFERROR(INDEX('Cost_Components'!$T$2:$T$27,MATCH(E973,'Cost_Components'!$A$2:$A$27,0)),"")</f>
      </c>
      <c r="AA973" s="81" t="str">
        <f>IFERROR(INDEX('Cost_Components'!$U$2:$U$27,MATCH(E973,'Cost_Components'!$A$2:$A$27,0)),"")</f>
      </c>
      <c r="AB973" s="82" t="str">
        <f>IFERROR(INDEX('Cost_Components'!$V$2:$V$27,MATCH(E973,'Cost_Components'!$A$2:$A$27,0)),"")</f>
      </c>
      <c r="AC973" s="83" t="str">
        <f>IFERROR(INDEX('Cost_Components'!$M$2:$M$27,MATCH(E973,'Cost_Components'!$A$2:$A$27,0)),"")</f>
      </c>
      <c r="AD973" s="84" t="str">
        <f>IFERROR(INDEX('Cost_Components'!$N$2:$N$27,MATCH(E973,'Cost_Components'!$A$2:$A$27,0)),"")</f>
      </c>
      <c r="AE973" s="20" t="str">
        <f>IFERROR(INDEX('Cost_Components'!$O$2:$O$27,MATCH(E973,'Cost_Components'!$A$2:$A$27,0)),"")</f>
      </c>
      <c r="AF973" s="85" t="n">
        <v>5775056.5816114</v>
      </c>
      <c r="AG973" s="86" t="n">
        <v>5979832.51047759</v>
      </c>
      <c r="AH973" s="87" t="str">
        <f>IF(H973="shared-count-once",COUNTIFS($A$2:$A$1353,A973,$B$2:$B$1353,B973,$E$2:$E$1353,E973),1)</f>
      </c>
    </row>
    <row r="974">
      <c r="A974" t="s">
        <v>75</v>
      </c>
      <c r="B974" s="59" t="n">
        <v>2035</v>
      </c>
      <c r="C974" t="s">
        <v>200</v>
      </c>
      <c r="D974" t="s">
        <v>180</v>
      </c>
      <c r="E974" s="60" t="s">
        <v>287</v>
      </c>
      <c r="F974" s="61" t="s">
        <v>288</v>
      </c>
      <c r="G974" s="62" t="s">
        <v>204</v>
      </c>
      <c r="H974" s="63" t="s">
        <v>195</v>
      </c>
      <c r="I974" s="64" t="s">
        <v>267</v>
      </c>
      <c r="J974" s="65" t="str">
        <f>IFERROR(INDEX('Cost_Components'!$K$2:$K$27,MATCH(E974,'Cost_Components'!$A$2:$A$27,0)),"")</f>
      </c>
      <c r="K974" s="66" t="str">
        <f>IF(OR(L974="",Z974="",AA974="",AB974=""),"",IF(B974&lt;AA974,L974,IF(B974&gt;AB974,Z974,L974+(Z974-L974)*MIN(MAX((B974-AA974+1)/MAX(AB974-AA974+1,1),0),1))))</f>
      </c>
      <c r="L974" s="67" t="str">
        <f>IFERROR(INDEX('Cost_Components'!$S$2:$S$27,MATCH(E974,'Cost_Components'!$A$2:$A$27,0)),"")</f>
      </c>
      <c r="M974" s="68" t="str">
        <f>IFERROR(INDEX('Cost_Components'!$L$2:$L$27,MATCH(E974,'Cost_Components'!$A$2:$A$27,0)),"")</f>
      </c>
      <c r="N974" s="69" t="str">
        <f>IFERROR(INDEX('Cost_Components'!$P$2:$P$27,MATCH(E974,'Cost_Components'!$A$2:$A$27,0)),"")</f>
      </c>
      <c r="O974" s="70" t="str">
        <f>AF974*J974</f>
      </c>
      <c r="P974" s="71" t="str">
        <f>AG974*J974</f>
      </c>
      <c r="Q974" s="72" t="str">
        <f>P974*L974*M974*N974</f>
      </c>
      <c r="R974" s="73" t="str">
        <f>O974*K974*M974*N974</f>
      </c>
      <c r="S974" s="74" t="str">
        <f>R974-Q974</f>
      </c>
      <c r="T974" s="20" t="str">
        <f>IFERROR(INDEX('Cost_Components'!$R$2:$R$27,MATCH(E974,'Cost_Components'!$A$2:$A$27,0)),"")</f>
      </c>
      <c r="U974" s="75" t="str">
        <f>IFERROR(INDEX('Cost_Components'!$Q$2:$Q$27,MATCH(E974,'Cost_Components'!$A$2:$A$27,0)),"")</f>
      </c>
      <c r="V974" s="76" t="str">
        <f>1/(1+'Calculation_Assumptions'!$B$5)^(B974-'Calculation_Assumptions'!$B$2)</f>
      </c>
      <c r="W974" s="77" t="str">
        <f>Q974*V974</f>
      </c>
      <c r="X974" s="78" t="str">
        <f>R974*V974</f>
      </c>
      <c r="Y974" s="79" t="str">
        <f>S974*V974</f>
      </c>
      <c r="Z974" s="80" t="str">
        <f>IFERROR(INDEX('Cost_Components'!$T$2:$T$27,MATCH(E974,'Cost_Components'!$A$2:$A$27,0)),"")</f>
      </c>
      <c r="AA974" s="81" t="str">
        <f>IFERROR(INDEX('Cost_Components'!$U$2:$U$27,MATCH(E974,'Cost_Components'!$A$2:$A$27,0)),"")</f>
      </c>
      <c r="AB974" s="82" t="str">
        <f>IFERROR(INDEX('Cost_Components'!$V$2:$V$27,MATCH(E974,'Cost_Components'!$A$2:$A$27,0)),"")</f>
      </c>
      <c r="AC974" s="83" t="str">
        <f>IFERROR(INDEX('Cost_Components'!$M$2:$M$27,MATCH(E974,'Cost_Components'!$A$2:$A$27,0)),"")</f>
      </c>
      <c r="AD974" s="84" t="str">
        <f>IFERROR(INDEX('Cost_Components'!$N$2:$N$27,MATCH(E974,'Cost_Components'!$A$2:$A$27,0)),"")</f>
      </c>
      <c r="AE974" s="20" t="str">
        <f>IFERROR(INDEX('Cost_Components'!$O$2:$O$27,MATCH(E974,'Cost_Components'!$A$2:$A$27,0)),"")</f>
      </c>
      <c r="AF974" s="85" t="n">
        <v>5854440.19524261</v>
      </c>
      <c r="AG974" s="86" t="n">
        <v>6096161.90235007</v>
      </c>
      <c r="AH974" s="87" t="str">
        <f>IF(H974="shared-count-once",COUNTIFS($A$2:$A$1353,A974,$B$2:$B$1353,B974,$E$2:$E$1353,E974),1)</f>
      </c>
    </row>
    <row r="975">
      <c r="A975" t="s">
        <v>75</v>
      </c>
      <c r="B975" s="59" t="n">
        <v>2036</v>
      </c>
      <c r="C975" t="s">
        <v>200</v>
      </c>
      <c r="D975" t="s">
        <v>180</v>
      </c>
      <c r="E975" s="60" t="s">
        <v>287</v>
      </c>
      <c r="F975" s="61" t="s">
        <v>288</v>
      </c>
      <c r="G975" s="62" t="s">
        <v>204</v>
      </c>
      <c r="H975" s="63" t="s">
        <v>195</v>
      </c>
      <c r="I975" s="64" t="s">
        <v>267</v>
      </c>
      <c r="J975" s="65" t="str">
        <f>IFERROR(INDEX('Cost_Components'!$K$2:$K$27,MATCH(E975,'Cost_Components'!$A$2:$A$27,0)),"")</f>
      </c>
      <c r="K975" s="66" t="str">
        <f>IF(OR(L975="",Z975="",AA975="",AB975=""),"",IF(B975&lt;AA975,L975,IF(B975&gt;AB975,Z975,L975+(Z975-L975)*MIN(MAX((B975-AA975+1)/MAX(AB975-AA975+1,1),0),1))))</f>
      </c>
      <c r="L975" s="67" t="str">
        <f>IFERROR(INDEX('Cost_Components'!$S$2:$S$27,MATCH(E975,'Cost_Components'!$A$2:$A$27,0)),"")</f>
      </c>
      <c r="M975" s="68" t="str">
        <f>IFERROR(INDEX('Cost_Components'!$L$2:$L$27,MATCH(E975,'Cost_Components'!$A$2:$A$27,0)),"")</f>
      </c>
      <c r="N975" s="69" t="str">
        <f>IFERROR(INDEX('Cost_Components'!$P$2:$P$27,MATCH(E975,'Cost_Components'!$A$2:$A$27,0)),"")</f>
      </c>
      <c r="O975" s="70" t="str">
        <f>AF975*J975</f>
      </c>
      <c r="P975" s="71" t="str">
        <f>AG975*J975</f>
      </c>
      <c r="Q975" s="72" t="str">
        <f>P975*L975*M975*N975</f>
      </c>
      <c r="R975" s="73" t="str">
        <f>O975*K975*M975*N975</f>
      </c>
      <c r="S975" s="74" t="str">
        <f>R975-Q975</f>
      </c>
      <c r="T975" s="20" t="str">
        <f>IFERROR(INDEX('Cost_Components'!$R$2:$R$27,MATCH(E975,'Cost_Components'!$A$2:$A$27,0)),"")</f>
      </c>
      <c r="U975" s="75" t="str">
        <f>IFERROR(INDEX('Cost_Components'!$Q$2:$Q$27,MATCH(E975,'Cost_Components'!$A$2:$A$27,0)),"")</f>
      </c>
      <c r="V975" s="76" t="str">
        <f>1/(1+'Calculation_Assumptions'!$B$5)^(B975-'Calculation_Assumptions'!$B$2)</f>
      </c>
      <c r="W975" s="77" t="str">
        <f>Q975*V975</f>
      </c>
      <c r="X975" s="78" t="str">
        <f>R975*V975</f>
      </c>
      <c r="Y975" s="79" t="str">
        <f>S975*V975</f>
      </c>
      <c r="Z975" s="80" t="str">
        <f>IFERROR(INDEX('Cost_Components'!$T$2:$T$27,MATCH(E975,'Cost_Components'!$A$2:$A$27,0)),"")</f>
      </c>
      <c r="AA975" s="81" t="str">
        <f>IFERROR(INDEX('Cost_Components'!$U$2:$U$27,MATCH(E975,'Cost_Components'!$A$2:$A$27,0)),"")</f>
      </c>
      <c r="AB975" s="82" t="str">
        <f>IFERROR(INDEX('Cost_Components'!$V$2:$V$27,MATCH(E975,'Cost_Components'!$A$2:$A$27,0)),"")</f>
      </c>
      <c r="AC975" s="83" t="str">
        <f>IFERROR(INDEX('Cost_Components'!$M$2:$M$27,MATCH(E975,'Cost_Components'!$A$2:$A$27,0)),"")</f>
      </c>
      <c r="AD975" s="84" t="str">
        <f>IFERROR(INDEX('Cost_Components'!$N$2:$N$27,MATCH(E975,'Cost_Components'!$A$2:$A$27,0)),"")</f>
      </c>
      <c r="AE975" s="20" t="str">
        <f>IFERROR(INDEX('Cost_Components'!$O$2:$O$27,MATCH(E975,'Cost_Components'!$A$2:$A$27,0)),"")</f>
      </c>
      <c r="AF975" s="85" t="n">
        <v>5931780.74418408</v>
      </c>
      <c r="AG975" s="86" t="n">
        <v>6212931.28695398</v>
      </c>
      <c r="AH975" s="87" t="str">
        <f>IF(H975="shared-count-once",COUNTIFS($A$2:$A$1353,A975,$B$2:$B$1353,B975,$E$2:$E$1353,E975),1)</f>
      </c>
    </row>
    <row r="976">
      <c r="A976" t="s">
        <v>75</v>
      </c>
      <c r="B976" s="59" t="n">
        <v>2037</v>
      </c>
      <c r="C976" t="s">
        <v>200</v>
      </c>
      <c r="D976" t="s">
        <v>180</v>
      </c>
      <c r="E976" s="60" t="s">
        <v>287</v>
      </c>
      <c r="F976" s="61" t="s">
        <v>288</v>
      </c>
      <c r="G976" s="62" t="s">
        <v>204</v>
      </c>
      <c r="H976" s="63" t="s">
        <v>195</v>
      </c>
      <c r="I976" s="64" t="s">
        <v>267</v>
      </c>
      <c r="J976" s="65" t="str">
        <f>IFERROR(INDEX('Cost_Components'!$K$2:$K$27,MATCH(E976,'Cost_Components'!$A$2:$A$27,0)),"")</f>
      </c>
      <c r="K976" s="66" t="str">
        <f>IF(OR(L976="",Z976="",AA976="",AB976=""),"",IF(B976&lt;AA976,L976,IF(B976&gt;AB976,Z976,L976+(Z976-L976)*MIN(MAX((B976-AA976+1)/MAX(AB976-AA976+1,1),0),1))))</f>
      </c>
      <c r="L976" s="67" t="str">
        <f>IFERROR(INDEX('Cost_Components'!$S$2:$S$27,MATCH(E976,'Cost_Components'!$A$2:$A$27,0)),"")</f>
      </c>
      <c r="M976" s="68" t="str">
        <f>IFERROR(INDEX('Cost_Components'!$L$2:$L$27,MATCH(E976,'Cost_Components'!$A$2:$A$27,0)),"")</f>
      </c>
      <c r="N976" s="69" t="str">
        <f>IFERROR(INDEX('Cost_Components'!$P$2:$P$27,MATCH(E976,'Cost_Components'!$A$2:$A$27,0)),"")</f>
      </c>
      <c r="O976" s="70" t="str">
        <f>AF976*J976</f>
      </c>
      <c r="P976" s="71" t="str">
        <f>AG976*J976</f>
      </c>
      <c r="Q976" s="72" t="str">
        <f>P976*L976*M976*N976</f>
      </c>
      <c r="R976" s="73" t="str">
        <f>O976*K976*M976*N976</f>
      </c>
      <c r="S976" s="74" t="str">
        <f>R976-Q976</f>
      </c>
      <c r="T976" s="20" t="str">
        <f>IFERROR(INDEX('Cost_Components'!$R$2:$R$27,MATCH(E976,'Cost_Components'!$A$2:$A$27,0)),"")</f>
      </c>
      <c r="U976" s="75" t="str">
        <f>IFERROR(INDEX('Cost_Components'!$Q$2:$Q$27,MATCH(E976,'Cost_Components'!$A$2:$A$27,0)),"")</f>
      </c>
      <c r="V976" s="76" t="str">
        <f>1/(1+'Calculation_Assumptions'!$B$5)^(B976-'Calculation_Assumptions'!$B$2)</f>
      </c>
      <c r="W976" s="77" t="str">
        <f>Q976*V976</f>
      </c>
      <c r="X976" s="78" t="str">
        <f>R976*V976</f>
      </c>
      <c r="Y976" s="79" t="str">
        <f>S976*V976</f>
      </c>
      <c r="Z976" s="80" t="str">
        <f>IFERROR(INDEX('Cost_Components'!$T$2:$T$27,MATCH(E976,'Cost_Components'!$A$2:$A$27,0)),"")</f>
      </c>
      <c r="AA976" s="81" t="str">
        <f>IFERROR(INDEX('Cost_Components'!$U$2:$U$27,MATCH(E976,'Cost_Components'!$A$2:$A$27,0)),"")</f>
      </c>
      <c r="AB976" s="82" t="str">
        <f>IFERROR(INDEX('Cost_Components'!$V$2:$V$27,MATCH(E976,'Cost_Components'!$A$2:$A$27,0)),"")</f>
      </c>
      <c r="AC976" s="83" t="str">
        <f>IFERROR(INDEX('Cost_Components'!$M$2:$M$27,MATCH(E976,'Cost_Components'!$A$2:$A$27,0)),"")</f>
      </c>
      <c r="AD976" s="84" t="str">
        <f>IFERROR(INDEX('Cost_Components'!$N$2:$N$27,MATCH(E976,'Cost_Components'!$A$2:$A$27,0)),"")</f>
      </c>
      <c r="AE976" s="20" t="str">
        <f>IFERROR(INDEX('Cost_Components'!$O$2:$O$27,MATCH(E976,'Cost_Components'!$A$2:$A$27,0)),"")</f>
      </c>
      <c r="AF976" s="85" t="n">
        <v>6007010.41300939</v>
      </c>
      <c r="AG976" s="86" t="n">
        <v>6330015.78836299</v>
      </c>
      <c r="AH976" s="87" t="str">
        <f>IF(H976="shared-count-once",COUNTIFS($A$2:$A$1353,A976,$B$2:$B$1353,B976,$E$2:$E$1353,E976),1)</f>
      </c>
    </row>
    <row r="977">
      <c r="A977" t="s">
        <v>75</v>
      </c>
      <c r="B977" s="59" t="n">
        <v>2038</v>
      </c>
      <c r="C977" t="s">
        <v>200</v>
      </c>
      <c r="D977" t="s">
        <v>180</v>
      </c>
      <c r="E977" s="60" t="s">
        <v>287</v>
      </c>
      <c r="F977" s="61" t="s">
        <v>288</v>
      </c>
      <c r="G977" s="62" t="s">
        <v>204</v>
      </c>
      <c r="H977" s="63" t="s">
        <v>195</v>
      </c>
      <c r="I977" s="64" t="s">
        <v>267</v>
      </c>
      <c r="J977" s="65" t="str">
        <f>IFERROR(INDEX('Cost_Components'!$K$2:$K$27,MATCH(E977,'Cost_Components'!$A$2:$A$27,0)),"")</f>
      </c>
      <c r="K977" s="66" t="str">
        <f>IF(OR(L977="",Z977="",AA977="",AB977=""),"",IF(B977&lt;AA977,L977,IF(B977&gt;AB977,Z977,L977+(Z977-L977)*MIN(MAX((B977-AA977+1)/MAX(AB977-AA977+1,1),0),1))))</f>
      </c>
      <c r="L977" s="67" t="str">
        <f>IFERROR(INDEX('Cost_Components'!$S$2:$S$27,MATCH(E977,'Cost_Components'!$A$2:$A$27,0)),"")</f>
      </c>
      <c r="M977" s="68" t="str">
        <f>IFERROR(INDEX('Cost_Components'!$L$2:$L$27,MATCH(E977,'Cost_Components'!$A$2:$A$27,0)),"")</f>
      </c>
      <c r="N977" s="69" t="str">
        <f>IFERROR(INDEX('Cost_Components'!$P$2:$P$27,MATCH(E977,'Cost_Components'!$A$2:$A$27,0)),"")</f>
      </c>
      <c r="O977" s="70" t="str">
        <f>AF977*J977</f>
      </c>
      <c r="P977" s="71" t="str">
        <f>AG977*J977</f>
      </c>
      <c r="Q977" s="72" t="str">
        <f>P977*L977*M977*N977</f>
      </c>
      <c r="R977" s="73" t="str">
        <f>O977*K977*M977*N977</f>
      </c>
      <c r="S977" s="74" t="str">
        <f>R977-Q977</f>
      </c>
      <c r="T977" s="20" t="str">
        <f>IFERROR(INDEX('Cost_Components'!$R$2:$R$27,MATCH(E977,'Cost_Components'!$A$2:$A$27,0)),"")</f>
      </c>
      <c r="U977" s="75" t="str">
        <f>IFERROR(INDEX('Cost_Components'!$Q$2:$Q$27,MATCH(E977,'Cost_Components'!$A$2:$A$27,0)),"")</f>
      </c>
      <c r="V977" s="76" t="str">
        <f>1/(1+'Calculation_Assumptions'!$B$5)^(B977-'Calculation_Assumptions'!$B$2)</f>
      </c>
      <c r="W977" s="77" t="str">
        <f>Q977*V977</f>
      </c>
      <c r="X977" s="78" t="str">
        <f>R977*V977</f>
      </c>
      <c r="Y977" s="79" t="str">
        <f>S977*V977</f>
      </c>
      <c r="Z977" s="80" t="str">
        <f>IFERROR(INDEX('Cost_Components'!$T$2:$T$27,MATCH(E977,'Cost_Components'!$A$2:$A$27,0)),"")</f>
      </c>
      <c r="AA977" s="81" t="str">
        <f>IFERROR(INDEX('Cost_Components'!$U$2:$U$27,MATCH(E977,'Cost_Components'!$A$2:$A$27,0)),"")</f>
      </c>
      <c r="AB977" s="82" t="str">
        <f>IFERROR(INDEX('Cost_Components'!$V$2:$V$27,MATCH(E977,'Cost_Components'!$A$2:$A$27,0)),"")</f>
      </c>
      <c r="AC977" s="83" t="str">
        <f>IFERROR(INDEX('Cost_Components'!$M$2:$M$27,MATCH(E977,'Cost_Components'!$A$2:$A$27,0)),"")</f>
      </c>
      <c r="AD977" s="84" t="str">
        <f>IFERROR(INDEX('Cost_Components'!$N$2:$N$27,MATCH(E977,'Cost_Components'!$A$2:$A$27,0)),"")</f>
      </c>
      <c r="AE977" s="20" t="str">
        <f>IFERROR(INDEX('Cost_Components'!$O$2:$O$27,MATCH(E977,'Cost_Components'!$A$2:$A$27,0)),"")</f>
      </c>
      <c r="AF977" s="85" t="n">
        <v>6080227.03152789</v>
      </c>
      <c r="AG977" s="86" t="n">
        <v>6447512.9889023</v>
      </c>
      <c r="AH977" s="87" t="str">
        <f>IF(H977="shared-count-once",COUNTIFS($A$2:$A$1353,A977,$B$2:$B$1353,B977,$E$2:$E$1353,E977),1)</f>
      </c>
    </row>
    <row r="978">
      <c r="A978" t="s">
        <v>75</v>
      </c>
      <c r="B978" s="59" t="n">
        <v>2039</v>
      </c>
      <c r="C978" t="s">
        <v>200</v>
      </c>
      <c r="D978" t="s">
        <v>180</v>
      </c>
      <c r="E978" s="60" t="s">
        <v>287</v>
      </c>
      <c r="F978" s="61" t="s">
        <v>288</v>
      </c>
      <c r="G978" s="62" t="s">
        <v>204</v>
      </c>
      <c r="H978" s="63" t="s">
        <v>195</v>
      </c>
      <c r="I978" s="64" t="s">
        <v>267</v>
      </c>
      <c r="J978" s="65" t="str">
        <f>IFERROR(INDEX('Cost_Components'!$K$2:$K$27,MATCH(E978,'Cost_Components'!$A$2:$A$27,0)),"")</f>
      </c>
      <c r="K978" s="66" t="str">
        <f>IF(OR(L978="",Z978="",AA978="",AB978=""),"",IF(B978&lt;AA978,L978,IF(B978&gt;AB978,Z978,L978+(Z978-L978)*MIN(MAX((B978-AA978+1)/MAX(AB978-AA978+1,1),0),1))))</f>
      </c>
      <c r="L978" s="67" t="str">
        <f>IFERROR(INDEX('Cost_Components'!$S$2:$S$27,MATCH(E978,'Cost_Components'!$A$2:$A$27,0)),"")</f>
      </c>
      <c r="M978" s="68" t="str">
        <f>IFERROR(INDEX('Cost_Components'!$L$2:$L$27,MATCH(E978,'Cost_Components'!$A$2:$A$27,0)),"")</f>
      </c>
      <c r="N978" s="69" t="str">
        <f>IFERROR(INDEX('Cost_Components'!$P$2:$P$27,MATCH(E978,'Cost_Components'!$A$2:$A$27,0)),"")</f>
      </c>
      <c r="O978" s="70" t="str">
        <f>AF978*J978</f>
      </c>
      <c r="P978" s="71" t="str">
        <f>AG978*J978</f>
      </c>
      <c r="Q978" s="72" t="str">
        <f>P978*L978*M978*N978</f>
      </c>
      <c r="R978" s="73" t="str">
        <f>O978*K978*M978*N978</f>
      </c>
      <c r="S978" s="74" t="str">
        <f>R978-Q978</f>
      </c>
      <c r="T978" s="20" t="str">
        <f>IFERROR(INDEX('Cost_Components'!$R$2:$R$27,MATCH(E978,'Cost_Components'!$A$2:$A$27,0)),"")</f>
      </c>
      <c r="U978" s="75" t="str">
        <f>IFERROR(INDEX('Cost_Components'!$Q$2:$Q$27,MATCH(E978,'Cost_Components'!$A$2:$A$27,0)),"")</f>
      </c>
      <c r="V978" s="76" t="str">
        <f>1/(1+'Calculation_Assumptions'!$B$5)^(B978-'Calculation_Assumptions'!$B$2)</f>
      </c>
      <c r="W978" s="77" t="str">
        <f>Q978*V978</f>
      </c>
      <c r="X978" s="78" t="str">
        <f>R978*V978</f>
      </c>
      <c r="Y978" s="79" t="str">
        <f>S978*V978</f>
      </c>
      <c r="Z978" s="80" t="str">
        <f>IFERROR(INDEX('Cost_Components'!$T$2:$T$27,MATCH(E978,'Cost_Components'!$A$2:$A$27,0)),"")</f>
      </c>
      <c r="AA978" s="81" t="str">
        <f>IFERROR(INDEX('Cost_Components'!$U$2:$U$27,MATCH(E978,'Cost_Components'!$A$2:$A$27,0)),"")</f>
      </c>
      <c r="AB978" s="82" t="str">
        <f>IFERROR(INDEX('Cost_Components'!$V$2:$V$27,MATCH(E978,'Cost_Components'!$A$2:$A$27,0)),"")</f>
      </c>
      <c r="AC978" s="83" t="str">
        <f>IFERROR(INDEX('Cost_Components'!$M$2:$M$27,MATCH(E978,'Cost_Components'!$A$2:$A$27,0)),"")</f>
      </c>
      <c r="AD978" s="84" t="str">
        <f>IFERROR(INDEX('Cost_Components'!$N$2:$N$27,MATCH(E978,'Cost_Components'!$A$2:$A$27,0)),"")</f>
      </c>
      <c r="AE978" s="20" t="str">
        <f>IFERROR(INDEX('Cost_Components'!$O$2:$O$27,MATCH(E978,'Cost_Components'!$A$2:$A$27,0)),"")</f>
      </c>
      <c r="AF978" s="85" t="n">
        <v>6150764.68663922</v>
      </c>
      <c r="AG978" s="86" t="n">
        <v>6564073.62283021</v>
      </c>
      <c r="AH978" s="87" t="str">
        <f>IF(H978="shared-count-once",COUNTIFS($A$2:$A$1353,A978,$B$2:$B$1353,B978,$E$2:$E$1353,E978),1)</f>
      </c>
    </row>
    <row r="979">
      <c r="A979" t="s">
        <v>75</v>
      </c>
      <c r="B979" s="59" t="n">
        <v>2040</v>
      </c>
      <c r="C979" t="s">
        <v>200</v>
      </c>
      <c r="D979" t="s">
        <v>180</v>
      </c>
      <c r="E979" s="60" t="s">
        <v>287</v>
      </c>
      <c r="F979" s="61" t="s">
        <v>288</v>
      </c>
      <c r="G979" s="62" t="s">
        <v>204</v>
      </c>
      <c r="H979" s="63" t="s">
        <v>195</v>
      </c>
      <c r="I979" s="64" t="s">
        <v>267</v>
      </c>
      <c r="J979" s="65" t="str">
        <f>IFERROR(INDEX('Cost_Components'!$K$2:$K$27,MATCH(E979,'Cost_Components'!$A$2:$A$27,0)),"")</f>
      </c>
      <c r="K979" s="66" t="str">
        <f>IF(OR(L979="",Z979="",AA979="",AB979=""),"",IF(B979&lt;AA979,L979,IF(B979&gt;AB979,Z979,L979+(Z979-L979)*MIN(MAX((B979-AA979+1)/MAX(AB979-AA979+1,1),0),1))))</f>
      </c>
      <c r="L979" s="67" t="str">
        <f>IFERROR(INDEX('Cost_Components'!$S$2:$S$27,MATCH(E979,'Cost_Components'!$A$2:$A$27,0)),"")</f>
      </c>
      <c r="M979" s="68" t="str">
        <f>IFERROR(INDEX('Cost_Components'!$L$2:$L$27,MATCH(E979,'Cost_Components'!$A$2:$A$27,0)),"")</f>
      </c>
      <c r="N979" s="69" t="str">
        <f>IFERROR(INDEX('Cost_Components'!$P$2:$P$27,MATCH(E979,'Cost_Components'!$A$2:$A$27,0)),"")</f>
      </c>
      <c r="O979" s="70" t="str">
        <f>AF979*J979</f>
      </c>
      <c r="P979" s="71" t="str">
        <f>AG979*J979</f>
      </c>
      <c r="Q979" s="72" t="str">
        <f>P979*L979*M979*N979</f>
      </c>
      <c r="R979" s="73" t="str">
        <f>O979*K979*M979*N979</f>
      </c>
      <c r="S979" s="74" t="str">
        <f>R979-Q979</f>
      </c>
      <c r="T979" s="20" t="str">
        <f>IFERROR(INDEX('Cost_Components'!$R$2:$R$27,MATCH(E979,'Cost_Components'!$A$2:$A$27,0)),"")</f>
      </c>
      <c r="U979" s="75" t="str">
        <f>IFERROR(INDEX('Cost_Components'!$Q$2:$Q$27,MATCH(E979,'Cost_Components'!$A$2:$A$27,0)),"")</f>
      </c>
      <c r="V979" s="76" t="str">
        <f>1/(1+'Calculation_Assumptions'!$B$5)^(B979-'Calculation_Assumptions'!$B$2)</f>
      </c>
      <c r="W979" s="77" t="str">
        <f>Q979*V979</f>
      </c>
      <c r="X979" s="78" t="str">
        <f>R979*V979</f>
      </c>
      <c r="Y979" s="79" t="str">
        <f>S979*V979</f>
      </c>
      <c r="Z979" s="80" t="str">
        <f>IFERROR(INDEX('Cost_Components'!$T$2:$T$27,MATCH(E979,'Cost_Components'!$A$2:$A$27,0)),"")</f>
      </c>
      <c r="AA979" s="81" t="str">
        <f>IFERROR(INDEX('Cost_Components'!$U$2:$U$27,MATCH(E979,'Cost_Components'!$A$2:$A$27,0)),"")</f>
      </c>
      <c r="AB979" s="82" t="str">
        <f>IFERROR(INDEX('Cost_Components'!$V$2:$V$27,MATCH(E979,'Cost_Components'!$A$2:$A$27,0)),"")</f>
      </c>
      <c r="AC979" s="83" t="str">
        <f>IFERROR(INDEX('Cost_Components'!$M$2:$M$27,MATCH(E979,'Cost_Components'!$A$2:$A$27,0)),"")</f>
      </c>
      <c r="AD979" s="84" t="str">
        <f>IFERROR(INDEX('Cost_Components'!$N$2:$N$27,MATCH(E979,'Cost_Components'!$A$2:$A$27,0)),"")</f>
      </c>
      <c r="AE979" s="20" t="str">
        <f>IFERROR(INDEX('Cost_Components'!$O$2:$O$27,MATCH(E979,'Cost_Components'!$A$2:$A$27,0)),"")</f>
      </c>
      <c r="AF979" s="85" t="n">
        <v>6219295.51062842</v>
      </c>
      <c r="AG979" s="86" t="n">
        <v>6680640.99764336</v>
      </c>
      <c r="AH979" s="87" t="str">
        <f>IF(H979="shared-count-once",COUNTIFS($A$2:$A$1353,A979,$B$2:$B$1353,B979,$E$2:$E$1353,E979),1)</f>
      </c>
    </row>
    <row r="980">
      <c r="A980" t="s">
        <v>75</v>
      </c>
      <c r="B980" s="59" t="n">
        <v>2041</v>
      </c>
      <c r="C980" t="s">
        <v>200</v>
      </c>
      <c r="D980" t="s">
        <v>180</v>
      </c>
      <c r="E980" s="60" t="s">
        <v>287</v>
      </c>
      <c r="F980" s="61" t="s">
        <v>288</v>
      </c>
      <c r="G980" s="62" t="s">
        <v>204</v>
      </c>
      <c r="H980" s="63" t="s">
        <v>195</v>
      </c>
      <c r="I980" s="64" t="s">
        <v>267</v>
      </c>
      <c r="J980" s="65" t="str">
        <f>IFERROR(INDEX('Cost_Components'!$K$2:$K$27,MATCH(E980,'Cost_Components'!$A$2:$A$27,0)),"")</f>
      </c>
      <c r="K980" s="66" t="str">
        <f>IF(OR(L980="",Z980="",AA980="",AB980=""),"",IF(B980&lt;AA980,L980,IF(B980&gt;AB980,Z980,L980+(Z980-L980)*MIN(MAX((B980-AA980+1)/MAX(AB980-AA980+1,1),0),1))))</f>
      </c>
      <c r="L980" s="67" t="str">
        <f>IFERROR(INDEX('Cost_Components'!$S$2:$S$27,MATCH(E980,'Cost_Components'!$A$2:$A$27,0)),"")</f>
      </c>
      <c r="M980" s="68" t="str">
        <f>IFERROR(INDEX('Cost_Components'!$L$2:$L$27,MATCH(E980,'Cost_Components'!$A$2:$A$27,0)),"")</f>
      </c>
      <c r="N980" s="69" t="str">
        <f>IFERROR(INDEX('Cost_Components'!$P$2:$P$27,MATCH(E980,'Cost_Components'!$A$2:$A$27,0)),"")</f>
      </c>
      <c r="O980" s="70" t="str">
        <f>AF980*J980</f>
      </c>
      <c r="P980" s="71" t="str">
        <f>AG980*J980</f>
      </c>
      <c r="Q980" s="72" t="str">
        <f>P980*L980*M980*N980</f>
      </c>
      <c r="R980" s="73" t="str">
        <f>O980*K980*M980*N980</f>
      </c>
      <c r="S980" s="74" t="str">
        <f>R980-Q980</f>
      </c>
      <c r="T980" s="20" t="str">
        <f>IFERROR(INDEX('Cost_Components'!$R$2:$R$27,MATCH(E980,'Cost_Components'!$A$2:$A$27,0)),"")</f>
      </c>
      <c r="U980" s="75" t="str">
        <f>IFERROR(INDEX('Cost_Components'!$Q$2:$Q$27,MATCH(E980,'Cost_Components'!$A$2:$A$27,0)),"")</f>
      </c>
      <c r="V980" s="76" t="str">
        <f>1/(1+'Calculation_Assumptions'!$B$5)^(B980-'Calculation_Assumptions'!$B$2)</f>
      </c>
      <c r="W980" s="77" t="str">
        <f>Q980*V980</f>
      </c>
      <c r="X980" s="78" t="str">
        <f>R980*V980</f>
      </c>
      <c r="Y980" s="79" t="str">
        <f>S980*V980</f>
      </c>
      <c r="Z980" s="80" t="str">
        <f>IFERROR(INDEX('Cost_Components'!$T$2:$T$27,MATCH(E980,'Cost_Components'!$A$2:$A$27,0)),"")</f>
      </c>
      <c r="AA980" s="81" t="str">
        <f>IFERROR(INDEX('Cost_Components'!$U$2:$U$27,MATCH(E980,'Cost_Components'!$A$2:$A$27,0)),"")</f>
      </c>
      <c r="AB980" s="82" t="str">
        <f>IFERROR(INDEX('Cost_Components'!$V$2:$V$27,MATCH(E980,'Cost_Components'!$A$2:$A$27,0)),"")</f>
      </c>
      <c r="AC980" s="83" t="str">
        <f>IFERROR(INDEX('Cost_Components'!$M$2:$M$27,MATCH(E980,'Cost_Components'!$A$2:$A$27,0)),"")</f>
      </c>
      <c r="AD980" s="84" t="str">
        <f>IFERROR(INDEX('Cost_Components'!$N$2:$N$27,MATCH(E980,'Cost_Components'!$A$2:$A$27,0)),"")</f>
      </c>
      <c r="AE980" s="20" t="str">
        <f>IFERROR(INDEX('Cost_Components'!$O$2:$O$27,MATCH(E980,'Cost_Components'!$A$2:$A$27,0)),"")</f>
      </c>
      <c r="AF980" s="85" t="n">
        <v>6285604.10132309</v>
      </c>
      <c r="AG980" s="86" t="n">
        <v>6796959.57831694</v>
      </c>
      <c r="AH980" s="87" t="str">
        <f>IF(H980="shared-count-once",COUNTIFS($A$2:$A$1353,A980,$B$2:$B$1353,B980,$E$2:$E$1353,E980),1)</f>
      </c>
    </row>
    <row r="981">
      <c r="A981" t="s">
        <v>75</v>
      </c>
      <c r="B981" s="59" t="n">
        <v>2042</v>
      </c>
      <c r="C981" t="s">
        <v>200</v>
      </c>
      <c r="D981" t="s">
        <v>180</v>
      </c>
      <c r="E981" s="60" t="s">
        <v>287</v>
      </c>
      <c r="F981" s="61" t="s">
        <v>288</v>
      </c>
      <c r="G981" s="62" t="s">
        <v>204</v>
      </c>
      <c r="H981" s="63" t="s">
        <v>195</v>
      </c>
      <c r="I981" s="64" t="s">
        <v>267</v>
      </c>
      <c r="J981" s="65" t="str">
        <f>IFERROR(INDEX('Cost_Components'!$K$2:$K$27,MATCH(E981,'Cost_Components'!$A$2:$A$27,0)),"")</f>
      </c>
      <c r="K981" s="66" t="str">
        <f>IF(OR(L981="",Z981="",AA981="",AB981=""),"",IF(B981&lt;AA981,L981,IF(B981&gt;AB981,Z981,L981+(Z981-L981)*MIN(MAX((B981-AA981+1)/MAX(AB981-AA981+1,1),0),1))))</f>
      </c>
      <c r="L981" s="67" t="str">
        <f>IFERROR(INDEX('Cost_Components'!$S$2:$S$27,MATCH(E981,'Cost_Components'!$A$2:$A$27,0)),"")</f>
      </c>
      <c r="M981" s="68" t="str">
        <f>IFERROR(INDEX('Cost_Components'!$L$2:$L$27,MATCH(E981,'Cost_Components'!$A$2:$A$27,0)),"")</f>
      </c>
      <c r="N981" s="69" t="str">
        <f>IFERROR(INDEX('Cost_Components'!$P$2:$P$27,MATCH(E981,'Cost_Components'!$A$2:$A$27,0)),"")</f>
      </c>
      <c r="O981" s="70" t="str">
        <f>AF981*J981</f>
      </c>
      <c r="P981" s="71" t="str">
        <f>AG981*J981</f>
      </c>
      <c r="Q981" s="72" t="str">
        <f>P981*L981*M981*N981</f>
      </c>
      <c r="R981" s="73" t="str">
        <f>O981*K981*M981*N981</f>
      </c>
      <c r="S981" s="74" t="str">
        <f>R981-Q981</f>
      </c>
      <c r="T981" s="20" t="str">
        <f>IFERROR(INDEX('Cost_Components'!$R$2:$R$27,MATCH(E981,'Cost_Components'!$A$2:$A$27,0)),"")</f>
      </c>
      <c r="U981" s="75" t="str">
        <f>IFERROR(INDEX('Cost_Components'!$Q$2:$Q$27,MATCH(E981,'Cost_Components'!$A$2:$A$27,0)),"")</f>
      </c>
      <c r="V981" s="76" t="str">
        <f>1/(1+'Calculation_Assumptions'!$B$5)^(B981-'Calculation_Assumptions'!$B$2)</f>
      </c>
      <c r="W981" s="77" t="str">
        <f>Q981*V981</f>
      </c>
      <c r="X981" s="78" t="str">
        <f>R981*V981</f>
      </c>
      <c r="Y981" s="79" t="str">
        <f>S981*V981</f>
      </c>
      <c r="Z981" s="80" t="str">
        <f>IFERROR(INDEX('Cost_Components'!$T$2:$T$27,MATCH(E981,'Cost_Components'!$A$2:$A$27,0)),"")</f>
      </c>
      <c r="AA981" s="81" t="str">
        <f>IFERROR(INDEX('Cost_Components'!$U$2:$U$27,MATCH(E981,'Cost_Components'!$A$2:$A$27,0)),"")</f>
      </c>
      <c r="AB981" s="82" t="str">
        <f>IFERROR(INDEX('Cost_Components'!$V$2:$V$27,MATCH(E981,'Cost_Components'!$A$2:$A$27,0)),"")</f>
      </c>
      <c r="AC981" s="83" t="str">
        <f>IFERROR(INDEX('Cost_Components'!$M$2:$M$27,MATCH(E981,'Cost_Components'!$A$2:$A$27,0)),"")</f>
      </c>
      <c r="AD981" s="84" t="str">
        <f>IFERROR(INDEX('Cost_Components'!$N$2:$N$27,MATCH(E981,'Cost_Components'!$A$2:$A$27,0)),"")</f>
      </c>
      <c r="AE981" s="20" t="str">
        <f>IFERROR(INDEX('Cost_Components'!$O$2:$O$27,MATCH(E981,'Cost_Components'!$A$2:$A$27,0)),"")</f>
      </c>
      <c r="AF981" s="85" t="n">
        <v>6349736.76648282</v>
      </c>
      <c r="AG981" s="86" t="n">
        <v>6913099.8808547</v>
      </c>
      <c r="AH981" s="87" t="str">
        <f>IF(H981="shared-count-once",COUNTIFS($A$2:$A$1353,A981,$B$2:$B$1353,B981,$E$2:$E$1353,E981),1)</f>
      </c>
    </row>
    <row r="982">
      <c r="A982" t="s">
        <v>75</v>
      </c>
      <c r="B982" s="59" t="n">
        <v>2043</v>
      </c>
      <c r="C982" t="s">
        <v>200</v>
      </c>
      <c r="D982" t="s">
        <v>180</v>
      </c>
      <c r="E982" s="60" t="s">
        <v>287</v>
      </c>
      <c r="F982" s="61" t="s">
        <v>288</v>
      </c>
      <c r="G982" s="62" t="s">
        <v>204</v>
      </c>
      <c r="H982" s="63" t="s">
        <v>195</v>
      </c>
      <c r="I982" s="64" t="s">
        <v>267</v>
      </c>
      <c r="J982" s="65" t="str">
        <f>IFERROR(INDEX('Cost_Components'!$K$2:$K$27,MATCH(E982,'Cost_Components'!$A$2:$A$27,0)),"")</f>
      </c>
      <c r="K982" s="66" t="str">
        <f>IF(OR(L982="",Z982="",AA982="",AB982=""),"",IF(B982&lt;AA982,L982,IF(B982&gt;AB982,Z982,L982+(Z982-L982)*MIN(MAX((B982-AA982+1)/MAX(AB982-AA982+1,1),0),1))))</f>
      </c>
      <c r="L982" s="67" t="str">
        <f>IFERROR(INDEX('Cost_Components'!$S$2:$S$27,MATCH(E982,'Cost_Components'!$A$2:$A$27,0)),"")</f>
      </c>
      <c r="M982" s="68" t="str">
        <f>IFERROR(INDEX('Cost_Components'!$L$2:$L$27,MATCH(E982,'Cost_Components'!$A$2:$A$27,0)),"")</f>
      </c>
      <c r="N982" s="69" t="str">
        <f>IFERROR(INDEX('Cost_Components'!$P$2:$P$27,MATCH(E982,'Cost_Components'!$A$2:$A$27,0)),"")</f>
      </c>
      <c r="O982" s="70" t="str">
        <f>AF982*J982</f>
      </c>
      <c r="P982" s="71" t="str">
        <f>AG982*J982</f>
      </c>
      <c r="Q982" s="72" t="str">
        <f>P982*L982*M982*N982</f>
      </c>
      <c r="R982" s="73" t="str">
        <f>O982*K982*M982*N982</f>
      </c>
      <c r="S982" s="74" t="str">
        <f>R982-Q982</f>
      </c>
      <c r="T982" s="20" t="str">
        <f>IFERROR(INDEX('Cost_Components'!$R$2:$R$27,MATCH(E982,'Cost_Components'!$A$2:$A$27,0)),"")</f>
      </c>
      <c r="U982" s="75" t="str">
        <f>IFERROR(INDEX('Cost_Components'!$Q$2:$Q$27,MATCH(E982,'Cost_Components'!$A$2:$A$27,0)),"")</f>
      </c>
      <c r="V982" s="76" t="str">
        <f>1/(1+'Calculation_Assumptions'!$B$5)^(B982-'Calculation_Assumptions'!$B$2)</f>
      </c>
      <c r="W982" s="77" t="str">
        <f>Q982*V982</f>
      </c>
      <c r="X982" s="78" t="str">
        <f>R982*V982</f>
      </c>
      <c r="Y982" s="79" t="str">
        <f>S982*V982</f>
      </c>
      <c r="Z982" s="80" t="str">
        <f>IFERROR(INDEX('Cost_Components'!$T$2:$T$27,MATCH(E982,'Cost_Components'!$A$2:$A$27,0)),"")</f>
      </c>
      <c r="AA982" s="81" t="str">
        <f>IFERROR(INDEX('Cost_Components'!$U$2:$U$27,MATCH(E982,'Cost_Components'!$A$2:$A$27,0)),"")</f>
      </c>
      <c r="AB982" s="82" t="str">
        <f>IFERROR(INDEX('Cost_Components'!$V$2:$V$27,MATCH(E982,'Cost_Components'!$A$2:$A$27,0)),"")</f>
      </c>
      <c r="AC982" s="83" t="str">
        <f>IFERROR(INDEX('Cost_Components'!$M$2:$M$27,MATCH(E982,'Cost_Components'!$A$2:$A$27,0)),"")</f>
      </c>
      <c r="AD982" s="84" t="str">
        <f>IFERROR(INDEX('Cost_Components'!$N$2:$N$27,MATCH(E982,'Cost_Components'!$A$2:$A$27,0)),"")</f>
      </c>
      <c r="AE982" s="20" t="str">
        <f>IFERROR(INDEX('Cost_Components'!$O$2:$O$27,MATCH(E982,'Cost_Components'!$A$2:$A$27,0)),"")</f>
      </c>
      <c r="AF982" s="85" t="n">
        <v>6410935.29622537</v>
      </c>
      <c r="AG982" s="86" t="n">
        <v>7028320.53609466</v>
      </c>
      <c r="AH982" s="87" t="str">
        <f>IF(H982="shared-count-once",COUNTIFS($A$2:$A$1353,A982,$B$2:$B$1353,B982,$E$2:$E$1353,E982),1)</f>
      </c>
    </row>
    <row r="983">
      <c r="A983" t="s">
        <v>75</v>
      </c>
      <c r="B983" s="59" t="n">
        <v>2044</v>
      </c>
      <c r="C983" t="s">
        <v>200</v>
      </c>
      <c r="D983" t="s">
        <v>180</v>
      </c>
      <c r="E983" s="60" t="s">
        <v>287</v>
      </c>
      <c r="F983" s="61" t="s">
        <v>288</v>
      </c>
      <c r="G983" s="62" t="s">
        <v>204</v>
      </c>
      <c r="H983" s="63" t="s">
        <v>195</v>
      </c>
      <c r="I983" s="64" t="s">
        <v>267</v>
      </c>
      <c r="J983" s="65" t="str">
        <f>IFERROR(INDEX('Cost_Components'!$K$2:$K$27,MATCH(E983,'Cost_Components'!$A$2:$A$27,0)),"")</f>
      </c>
      <c r="K983" s="66" t="str">
        <f>IF(OR(L983="",Z983="",AA983="",AB983=""),"",IF(B983&lt;AA983,L983,IF(B983&gt;AB983,Z983,L983+(Z983-L983)*MIN(MAX((B983-AA983+1)/MAX(AB983-AA983+1,1),0),1))))</f>
      </c>
      <c r="L983" s="67" t="str">
        <f>IFERROR(INDEX('Cost_Components'!$S$2:$S$27,MATCH(E983,'Cost_Components'!$A$2:$A$27,0)),"")</f>
      </c>
      <c r="M983" s="68" t="str">
        <f>IFERROR(INDEX('Cost_Components'!$L$2:$L$27,MATCH(E983,'Cost_Components'!$A$2:$A$27,0)),"")</f>
      </c>
      <c r="N983" s="69" t="str">
        <f>IFERROR(INDEX('Cost_Components'!$P$2:$P$27,MATCH(E983,'Cost_Components'!$A$2:$A$27,0)),"")</f>
      </c>
      <c r="O983" s="70" t="str">
        <f>AF983*J983</f>
      </c>
      <c r="P983" s="71" t="str">
        <f>AG983*J983</f>
      </c>
      <c r="Q983" s="72" t="str">
        <f>P983*L983*M983*N983</f>
      </c>
      <c r="R983" s="73" t="str">
        <f>O983*K983*M983*N983</f>
      </c>
      <c r="S983" s="74" t="str">
        <f>R983-Q983</f>
      </c>
      <c r="T983" s="20" t="str">
        <f>IFERROR(INDEX('Cost_Components'!$R$2:$R$27,MATCH(E983,'Cost_Components'!$A$2:$A$27,0)),"")</f>
      </c>
      <c r="U983" s="75" t="str">
        <f>IFERROR(INDEX('Cost_Components'!$Q$2:$Q$27,MATCH(E983,'Cost_Components'!$A$2:$A$27,0)),"")</f>
      </c>
      <c r="V983" s="76" t="str">
        <f>1/(1+'Calculation_Assumptions'!$B$5)^(B983-'Calculation_Assumptions'!$B$2)</f>
      </c>
      <c r="W983" s="77" t="str">
        <f>Q983*V983</f>
      </c>
      <c r="X983" s="78" t="str">
        <f>R983*V983</f>
      </c>
      <c r="Y983" s="79" t="str">
        <f>S983*V983</f>
      </c>
      <c r="Z983" s="80" t="str">
        <f>IFERROR(INDEX('Cost_Components'!$T$2:$T$27,MATCH(E983,'Cost_Components'!$A$2:$A$27,0)),"")</f>
      </c>
      <c r="AA983" s="81" t="str">
        <f>IFERROR(INDEX('Cost_Components'!$U$2:$U$27,MATCH(E983,'Cost_Components'!$A$2:$A$27,0)),"")</f>
      </c>
      <c r="AB983" s="82" t="str">
        <f>IFERROR(INDEX('Cost_Components'!$V$2:$V$27,MATCH(E983,'Cost_Components'!$A$2:$A$27,0)),"")</f>
      </c>
      <c r="AC983" s="83" t="str">
        <f>IFERROR(INDEX('Cost_Components'!$M$2:$M$27,MATCH(E983,'Cost_Components'!$A$2:$A$27,0)),"")</f>
      </c>
      <c r="AD983" s="84" t="str">
        <f>IFERROR(INDEX('Cost_Components'!$N$2:$N$27,MATCH(E983,'Cost_Components'!$A$2:$A$27,0)),"")</f>
      </c>
      <c r="AE983" s="20" t="str">
        <f>IFERROR(INDEX('Cost_Components'!$O$2:$O$27,MATCH(E983,'Cost_Components'!$A$2:$A$27,0)),"")</f>
      </c>
      <c r="AF983" s="85" t="n">
        <v>6465946.00959925</v>
      </c>
      <c r="AG983" s="86" t="n">
        <v>7138623.97835749</v>
      </c>
      <c r="AH983" s="87" t="str">
        <f>IF(H983="shared-count-once",COUNTIFS($A$2:$A$1353,A983,$B$2:$B$1353,B983,$E$2:$E$1353,E983),1)</f>
      </c>
    </row>
    <row r="984">
      <c r="A984" t="s">
        <v>75</v>
      </c>
      <c r="B984" s="59" t="n">
        <v>2045</v>
      </c>
      <c r="C984" t="s">
        <v>200</v>
      </c>
      <c r="D984" t="s">
        <v>180</v>
      </c>
      <c r="E984" s="60" t="s">
        <v>287</v>
      </c>
      <c r="F984" s="61" t="s">
        <v>288</v>
      </c>
      <c r="G984" s="62" t="s">
        <v>204</v>
      </c>
      <c r="H984" s="63" t="s">
        <v>195</v>
      </c>
      <c r="I984" s="64" t="s">
        <v>267</v>
      </c>
      <c r="J984" s="65" t="str">
        <f>IFERROR(INDEX('Cost_Components'!$K$2:$K$27,MATCH(E984,'Cost_Components'!$A$2:$A$27,0)),"")</f>
      </c>
      <c r="K984" s="66" t="str">
        <f>IF(OR(L984="",Z984="",AA984="",AB984=""),"",IF(B984&lt;AA984,L984,IF(B984&gt;AB984,Z984,L984+(Z984-L984)*MIN(MAX((B984-AA984+1)/MAX(AB984-AA984+1,1),0),1))))</f>
      </c>
      <c r="L984" s="67" t="str">
        <f>IFERROR(INDEX('Cost_Components'!$S$2:$S$27,MATCH(E984,'Cost_Components'!$A$2:$A$27,0)),"")</f>
      </c>
      <c r="M984" s="68" t="str">
        <f>IFERROR(INDEX('Cost_Components'!$L$2:$L$27,MATCH(E984,'Cost_Components'!$A$2:$A$27,0)),"")</f>
      </c>
      <c r="N984" s="69" t="str">
        <f>IFERROR(INDEX('Cost_Components'!$P$2:$P$27,MATCH(E984,'Cost_Components'!$A$2:$A$27,0)),"")</f>
      </c>
      <c r="O984" s="70" t="str">
        <f>AF984*J984</f>
      </c>
      <c r="P984" s="71" t="str">
        <f>AG984*J984</f>
      </c>
      <c r="Q984" s="72" t="str">
        <f>P984*L984*M984*N984</f>
      </c>
      <c r="R984" s="73" t="str">
        <f>O984*K984*M984*N984</f>
      </c>
      <c r="S984" s="74" t="str">
        <f>R984-Q984</f>
      </c>
      <c r="T984" s="20" t="str">
        <f>IFERROR(INDEX('Cost_Components'!$R$2:$R$27,MATCH(E984,'Cost_Components'!$A$2:$A$27,0)),"")</f>
      </c>
      <c r="U984" s="75" t="str">
        <f>IFERROR(INDEX('Cost_Components'!$Q$2:$Q$27,MATCH(E984,'Cost_Components'!$A$2:$A$27,0)),"")</f>
      </c>
      <c r="V984" s="76" t="str">
        <f>1/(1+'Calculation_Assumptions'!$B$5)^(B984-'Calculation_Assumptions'!$B$2)</f>
      </c>
      <c r="W984" s="77" t="str">
        <f>Q984*V984</f>
      </c>
      <c r="X984" s="78" t="str">
        <f>R984*V984</f>
      </c>
      <c r="Y984" s="79" t="str">
        <f>S984*V984</f>
      </c>
      <c r="Z984" s="80" t="str">
        <f>IFERROR(INDEX('Cost_Components'!$T$2:$T$27,MATCH(E984,'Cost_Components'!$A$2:$A$27,0)),"")</f>
      </c>
      <c r="AA984" s="81" t="str">
        <f>IFERROR(INDEX('Cost_Components'!$U$2:$U$27,MATCH(E984,'Cost_Components'!$A$2:$A$27,0)),"")</f>
      </c>
      <c r="AB984" s="82" t="str">
        <f>IFERROR(INDEX('Cost_Components'!$V$2:$V$27,MATCH(E984,'Cost_Components'!$A$2:$A$27,0)),"")</f>
      </c>
      <c r="AC984" s="83" t="str">
        <f>IFERROR(INDEX('Cost_Components'!$M$2:$M$27,MATCH(E984,'Cost_Components'!$A$2:$A$27,0)),"")</f>
      </c>
      <c r="AD984" s="84" t="str">
        <f>IFERROR(INDEX('Cost_Components'!$N$2:$N$27,MATCH(E984,'Cost_Components'!$A$2:$A$27,0)),"")</f>
      </c>
      <c r="AE984" s="20" t="str">
        <f>IFERROR(INDEX('Cost_Components'!$O$2:$O$27,MATCH(E984,'Cost_Components'!$A$2:$A$27,0)),"")</f>
      </c>
      <c r="AF984" s="85" t="n">
        <v>6517225.77420429</v>
      </c>
      <c r="AG984" s="86" t="n">
        <v>7246779.83544231</v>
      </c>
      <c r="AH984" s="87" t="str">
        <f>IF(H984="shared-count-once",COUNTIFS($A$2:$A$1353,A984,$B$2:$B$1353,B984,$E$2:$E$1353,E984),1)</f>
      </c>
    </row>
    <row r="985">
      <c r="A985" t="s">
        <v>75</v>
      </c>
      <c r="B985" s="59" t="n">
        <v>2046</v>
      </c>
      <c r="C985" t="s">
        <v>200</v>
      </c>
      <c r="D985" t="s">
        <v>180</v>
      </c>
      <c r="E985" s="60" t="s">
        <v>287</v>
      </c>
      <c r="F985" s="61" t="s">
        <v>288</v>
      </c>
      <c r="G985" s="62" t="s">
        <v>204</v>
      </c>
      <c r="H985" s="63" t="s">
        <v>195</v>
      </c>
      <c r="I985" s="64" t="s">
        <v>267</v>
      </c>
      <c r="J985" s="65" t="str">
        <f>IFERROR(INDEX('Cost_Components'!$K$2:$K$27,MATCH(E985,'Cost_Components'!$A$2:$A$27,0)),"")</f>
      </c>
      <c r="K985" s="66" t="str">
        <f>IF(OR(L985="",Z985="",AA985="",AB985=""),"",IF(B985&lt;AA985,L985,IF(B985&gt;AB985,Z985,L985+(Z985-L985)*MIN(MAX((B985-AA985+1)/MAX(AB985-AA985+1,1),0),1))))</f>
      </c>
      <c r="L985" s="67" t="str">
        <f>IFERROR(INDEX('Cost_Components'!$S$2:$S$27,MATCH(E985,'Cost_Components'!$A$2:$A$27,0)),"")</f>
      </c>
      <c r="M985" s="68" t="str">
        <f>IFERROR(INDEX('Cost_Components'!$L$2:$L$27,MATCH(E985,'Cost_Components'!$A$2:$A$27,0)),"")</f>
      </c>
      <c r="N985" s="69" t="str">
        <f>IFERROR(INDEX('Cost_Components'!$P$2:$P$27,MATCH(E985,'Cost_Components'!$A$2:$A$27,0)),"")</f>
      </c>
      <c r="O985" s="70" t="str">
        <f>AF985*J985</f>
      </c>
      <c r="P985" s="71" t="str">
        <f>AG985*J985</f>
      </c>
      <c r="Q985" s="72" t="str">
        <f>P985*L985*M985*N985</f>
      </c>
      <c r="R985" s="73" t="str">
        <f>O985*K985*M985*N985</f>
      </c>
      <c r="S985" s="74" t="str">
        <f>R985-Q985</f>
      </c>
      <c r="T985" s="20" t="str">
        <f>IFERROR(INDEX('Cost_Components'!$R$2:$R$27,MATCH(E985,'Cost_Components'!$A$2:$A$27,0)),"")</f>
      </c>
      <c r="U985" s="75" t="str">
        <f>IFERROR(INDEX('Cost_Components'!$Q$2:$Q$27,MATCH(E985,'Cost_Components'!$A$2:$A$27,0)),"")</f>
      </c>
      <c r="V985" s="76" t="str">
        <f>1/(1+'Calculation_Assumptions'!$B$5)^(B985-'Calculation_Assumptions'!$B$2)</f>
      </c>
      <c r="W985" s="77" t="str">
        <f>Q985*V985</f>
      </c>
      <c r="X985" s="78" t="str">
        <f>R985*V985</f>
      </c>
      <c r="Y985" s="79" t="str">
        <f>S985*V985</f>
      </c>
      <c r="Z985" s="80" t="str">
        <f>IFERROR(INDEX('Cost_Components'!$T$2:$T$27,MATCH(E985,'Cost_Components'!$A$2:$A$27,0)),"")</f>
      </c>
      <c r="AA985" s="81" t="str">
        <f>IFERROR(INDEX('Cost_Components'!$U$2:$U$27,MATCH(E985,'Cost_Components'!$A$2:$A$27,0)),"")</f>
      </c>
      <c r="AB985" s="82" t="str">
        <f>IFERROR(INDEX('Cost_Components'!$V$2:$V$27,MATCH(E985,'Cost_Components'!$A$2:$A$27,0)),"")</f>
      </c>
      <c r="AC985" s="83" t="str">
        <f>IFERROR(INDEX('Cost_Components'!$M$2:$M$27,MATCH(E985,'Cost_Components'!$A$2:$A$27,0)),"")</f>
      </c>
      <c r="AD985" s="84" t="str">
        <f>IFERROR(INDEX('Cost_Components'!$N$2:$N$27,MATCH(E985,'Cost_Components'!$A$2:$A$27,0)),"")</f>
      </c>
      <c r="AE985" s="20" t="str">
        <f>IFERROR(INDEX('Cost_Components'!$O$2:$O$27,MATCH(E985,'Cost_Components'!$A$2:$A$27,0)),"")</f>
      </c>
      <c r="AF985" s="85" t="n">
        <v>6564611.39100195</v>
      </c>
      <c r="AG985" s="86" t="n">
        <v>7352671.00291986</v>
      </c>
      <c r="AH985" s="87" t="str">
        <f>IF(H985="shared-count-once",COUNTIFS($A$2:$A$1353,A985,$B$2:$B$1353,B985,$E$2:$E$1353,E985),1)</f>
      </c>
    </row>
    <row r="986">
      <c r="A986" t="s">
        <v>75</v>
      </c>
      <c r="B986" s="59" t="n">
        <v>2047</v>
      </c>
      <c r="C986" t="s">
        <v>200</v>
      </c>
      <c r="D986" t="s">
        <v>180</v>
      </c>
      <c r="E986" s="60" t="s">
        <v>287</v>
      </c>
      <c r="F986" s="61" t="s">
        <v>288</v>
      </c>
      <c r="G986" s="62" t="s">
        <v>204</v>
      </c>
      <c r="H986" s="63" t="s">
        <v>195</v>
      </c>
      <c r="I986" s="64" t="s">
        <v>267</v>
      </c>
      <c r="J986" s="65" t="str">
        <f>IFERROR(INDEX('Cost_Components'!$K$2:$K$27,MATCH(E986,'Cost_Components'!$A$2:$A$27,0)),"")</f>
      </c>
      <c r="K986" s="66" t="str">
        <f>IF(OR(L986="",Z986="",AA986="",AB986=""),"",IF(B986&lt;AA986,L986,IF(B986&gt;AB986,Z986,L986+(Z986-L986)*MIN(MAX((B986-AA986+1)/MAX(AB986-AA986+1,1),0),1))))</f>
      </c>
      <c r="L986" s="67" t="str">
        <f>IFERROR(INDEX('Cost_Components'!$S$2:$S$27,MATCH(E986,'Cost_Components'!$A$2:$A$27,0)),"")</f>
      </c>
      <c r="M986" s="68" t="str">
        <f>IFERROR(INDEX('Cost_Components'!$L$2:$L$27,MATCH(E986,'Cost_Components'!$A$2:$A$27,0)),"")</f>
      </c>
      <c r="N986" s="69" t="str">
        <f>IFERROR(INDEX('Cost_Components'!$P$2:$P$27,MATCH(E986,'Cost_Components'!$A$2:$A$27,0)),"")</f>
      </c>
      <c r="O986" s="70" t="str">
        <f>AF986*J986</f>
      </c>
      <c r="P986" s="71" t="str">
        <f>AG986*J986</f>
      </c>
      <c r="Q986" s="72" t="str">
        <f>P986*L986*M986*N986</f>
      </c>
      <c r="R986" s="73" t="str">
        <f>O986*K986*M986*N986</f>
      </c>
      <c r="S986" s="74" t="str">
        <f>R986-Q986</f>
      </c>
      <c r="T986" s="20" t="str">
        <f>IFERROR(INDEX('Cost_Components'!$R$2:$R$27,MATCH(E986,'Cost_Components'!$A$2:$A$27,0)),"")</f>
      </c>
      <c r="U986" s="75" t="str">
        <f>IFERROR(INDEX('Cost_Components'!$Q$2:$Q$27,MATCH(E986,'Cost_Components'!$A$2:$A$27,0)),"")</f>
      </c>
      <c r="V986" s="76" t="str">
        <f>1/(1+'Calculation_Assumptions'!$B$5)^(B986-'Calculation_Assumptions'!$B$2)</f>
      </c>
      <c r="W986" s="77" t="str">
        <f>Q986*V986</f>
      </c>
      <c r="X986" s="78" t="str">
        <f>R986*V986</f>
      </c>
      <c r="Y986" s="79" t="str">
        <f>S986*V986</f>
      </c>
      <c r="Z986" s="80" t="str">
        <f>IFERROR(INDEX('Cost_Components'!$T$2:$T$27,MATCH(E986,'Cost_Components'!$A$2:$A$27,0)),"")</f>
      </c>
      <c r="AA986" s="81" t="str">
        <f>IFERROR(INDEX('Cost_Components'!$U$2:$U$27,MATCH(E986,'Cost_Components'!$A$2:$A$27,0)),"")</f>
      </c>
      <c r="AB986" s="82" t="str">
        <f>IFERROR(INDEX('Cost_Components'!$V$2:$V$27,MATCH(E986,'Cost_Components'!$A$2:$A$27,0)),"")</f>
      </c>
      <c r="AC986" s="83" t="str">
        <f>IFERROR(INDEX('Cost_Components'!$M$2:$M$27,MATCH(E986,'Cost_Components'!$A$2:$A$27,0)),"")</f>
      </c>
      <c r="AD986" s="84" t="str">
        <f>IFERROR(INDEX('Cost_Components'!$N$2:$N$27,MATCH(E986,'Cost_Components'!$A$2:$A$27,0)),"")</f>
      </c>
      <c r="AE986" s="20" t="str">
        <f>IFERROR(INDEX('Cost_Components'!$O$2:$O$27,MATCH(E986,'Cost_Components'!$A$2:$A$27,0)),"")</f>
      </c>
      <c r="AF986" s="85" t="n">
        <v>6607210.84699514</v>
      </c>
      <c r="AG986" s="86" t="n">
        <v>7455494.40605094</v>
      </c>
      <c r="AH986" s="87" t="str">
        <f>IF(H986="shared-count-once",COUNTIFS($A$2:$A$1353,A986,$B$2:$B$1353,B986,$E$2:$E$1353,E986),1)</f>
      </c>
    </row>
    <row r="987">
      <c r="A987" t="s">
        <v>75</v>
      </c>
      <c r="B987" s="59" t="n">
        <v>2048</v>
      </c>
      <c r="C987" t="s">
        <v>200</v>
      </c>
      <c r="D987" t="s">
        <v>180</v>
      </c>
      <c r="E987" s="60" t="s">
        <v>287</v>
      </c>
      <c r="F987" s="61" t="s">
        <v>288</v>
      </c>
      <c r="G987" s="62" t="s">
        <v>204</v>
      </c>
      <c r="H987" s="63" t="s">
        <v>195</v>
      </c>
      <c r="I987" s="64" t="s">
        <v>267</v>
      </c>
      <c r="J987" s="65" t="str">
        <f>IFERROR(INDEX('Cost_Components'!$K$2:$K$27,MATCH(E987,'Cost_Components'!$A$2:$A$27,0)),"")</f>
      </c>
      <c r="K987" s="66" t="str">
        <f>IF(OR(L987="",Z987="",AA987="",AB987=""),"",IF(B987&lt;AA987,L987,IF(B987&gt;AB987,Z987,L987+(Z987-L987)*MIN(MAX((B987-AA987+1)/MAX(AB987-AA987+1,1),0),1))))</f>
      </c>
      <c r="L987" s="67" t="str">
        <f>IFERROR(INDEX('Cost_Components'!$S$2:$S$27,MATCH(E987,'Cost_Components'!$A$2:$A$27,0)),"")</f>
      </c>
      <c r="M987" s="68" t="str">
        <f>IFERROR(INDEX('Cost_Components'!$L$2:$L$27,MATCH(E987,'Cost_Components'!$A$2:$A$27,0)),"")</f>
      </c>
      <c r="N987" s="69" t="str">
        <f>IFERROR(INDEX('Cost_Components'!$P$2:$P$27,MATCH(E987,'Cost_Components'!$A$2:$A$27,0)),"")</f>
      </c>
      <c r="O987" s="70" t="str">
        <f>AF987*J987</f>
      </c>
      <c r="P987" s="71" t="str">
        <f>AG987*J987</f>
      </c>
      <c r="Q987" s="72" t="str">
        <f>P987*L987*M987*N987</f>
      </c>
      <c r="R987" s="73" t="str">
        <f>O987*K987*M987*N987</f>
      </c>
      <c r="S987" s="74" t="str">
        <f>R987-Q987</f>
      </c>
      <c r="T987" s="20" t="str">
        <f>IFERROR(INDEX('Cost_Components'!$R$2:$R$27,MATCH(E987,'Cost_Components'!$A$2:$A$27,0)),"")</f>
      </c>
      <c r="U987" s="75" t="str">
        <f>IFERROR(INDEX('Cost_Components'!$Q$2:$Q$27,MATCH(E987,'Cost_Components'!$A$2:$A$27,0)),"")</f>
      </c>
      <c r="V987" s="76" t="str">
        <f>1/(1+'Calculation_Assumptions'!$B$5)^(B987-'Calculation_Assumptions'!$B$2)</f>
      </c>
      <c r="W987" s="77" t="str">
        <f>Q987*V987</f>
      </c>
      <c r="X987" s="78" t="str">
        <f>R987*V987</f>
      </c>
      <c r="Y987" s="79" t="str">
        <f>S987*V987</f>
      </c>
      <c r="Z987" s="80" t="str">
        <f>IFERROR(INDEX('Cost_Components'!$T$2:$T$27,MATCH(E987,'Cost_Components'!$A$2:$A$27,0)),"")</f>
      </c>
      <c r="AA987" s="81" t="str">
        <f>IFERROR(INDEX('Cost_Components'!$U$2:$U$27,MATCH(E987,'Cost_Components'!$A$2:$A$27,0)),"")</f>
      </c>
      <c r="AB987" s="82" t="str">
        <f>IFERROR(INDEX('Cost_Components'!$V$2:$V$27,MATCH(E987,'Cost_Components'!$A$2:$A$27,0)),"")</f>
      </c>
      <c r="AC987" s="83" t="str">
        <f>IFERROR(INDEX('Cost_Components'!$M$2:$M$27,MATCH(E987,'Cost_Components'!$A$2:$A$27,0)),"")</f>
      </c>
      <c r="AD987" s="84" t="str">
        <f>IFERROR(INDEX('Cost_Components'!$N$2:$N$27,MATCH(E987,'Cost_Components'!$A$2:$A$27,0)),"")</f>
      </c>
      <c r="AE987" s="20" t="str">
        <f>IFERROR(INDEX('Cost_Components'!$O$2:$O$27,MATCH(E987,'Cost_Components'!$A$2:$A$27,0)),"")</f>
      </c>
      <c r="AF987" s="85" t="n">
        <v>6646324.94355658</v>
      </c>
      <c r="AG987" s="86" t="n">
        <v>7556459.2432584</v>
      </c>
      <c r="AH987" s="87" t="str">
        <f>IF(H987="shared-count-once",COUNTIFS($A$2:$A$1353,A987,$B$2:$B$1353,B987,$E$2:$E$1353,E987),1)</f>
      </c>
    </row>
    <row r="988">
      <c r="A988" t="s">
        <v>75</v>
      </c>
      <c r="B988" s="59" t="n">
        <v>2049</v>
      </c>
      <c r="C988" t="s">
        <v>200</v>
      </c>
      <c r="D988" t="s">
        <v>180</v>
      </c>
      <c r="E988" s="60" t="s">
        <v>287</v>
      </c>
      <c r="F988" s="61" t="s">
        <v>288</v>
      </c>
      <c r="G988" s="62" t="s">
        <v>204</v>
      </c>
      <c r="H988" s="63" t="s">
        <v>195</v>
      </c>
      <c r="I988" s="64" t="s">
        <v>267</v>
      </c>
      <c r="J988" s="65" t="str">
        <f>IFERROR(INDEX('Cost_Components'!$K$2:$K$27,MATCH(E988,'Cost_Components'!$A$2:$A$27,0)),"")</f>
      </c>
      <c r="K988" s="66" t="str">
        <f>IF(OR(L988="",Z988="",AA988="",AB988=""),"",IF(B988&lt;AA988,L988,IF(B988&gt;AB988,Z988,L988+(Z988-L988)*MIN(MAX((B988-AA988+1)/MAX(AB988-AA988+1,1),0),1))))</f>
      </c>
      <c r="L988" s="67" t="str">
        <f>IFERROR(INDEX('Cost_Components'!$S$2:$S$27,MATCH(E988,'Cost_Components'!$A$2:$A$27,0)),"")</f>
      </c>
      <c r="M988" s="68" t="str">
        <f>IFERROR(INDEX('Cost_Components'!$L$2:$L$27,MATCH(E988,'Cost_Components'!$A$2:$A$27,0)),"")</f>
      </c>
      <c r="N988" s="69" t="str">
        <f>IFERROR(INDEX('Cost_Components'!$P$2:$P$27,MATCH(E988,'Cost_Components'!$A$2:$A$27,0)),"")</f>
      </c>
      <c r="O988" s="70" t="str">
        <f>AF988*J988</f>
      </c>
      <c r="P988" s="71" t="str">
        <f>AG988*J988</f>
      </c>
      <c r="Q988" s="72" t="str">
        <f>P988*L988*M988*N988</f>
      </c>
      <c r="R988" s="73" t="str">
        <f>O988*K988*M988*N988</f>
      </c>
      <c r="S988" s="74" t="str">
        <f>R988-Q988</f>
      </c>
      <c r="T988" s="20" t="str">
        <f>IFERROR(INDEX('Cost_Components'!$R$2:$R$27,MATCH(E988,'Cost_Components'!$A$2:$A$27,0)),"")</f>
      </c>
      <c r="U988" s="75" t="str">
        <f>IFERROR(INDEX('Cost_Components'!$Q$2:$Q$27,MATCH(E988,'Cost_Components'!$A$2:$A$27,0)),"")</f>
      </c>
      <c r="V988" s="76" t="str">
        <f>1/(1+'Calculation_Assumptions'!$B$5)^(B988-'Calculation_Assumptions'!$B$2)</f>
      </c>
      <c r="W988" s="77" t="str">
        <f>Q988*V988</f>
      </c>
      <c r="X988" s="78" t="str">
        <f>R988*V988</f>
      </c>
      <c r="Y988" s="79" t="str">
        <f>S988*V988</f>
      </c>
      <c r="Z988" s="80" t="str">
        <f>IFERROR(INDEX('Cost_Components'!$T$2:$T$27,MATCH(E988,'Cost_Components'!$A$2:$A$27,0)),"")</f>
      </c>
      <c r="AA988" s="81" t="str">
        <f>IFERROR(INDEX('Cost_Components'!$U$2:$U$27,MATCH(E988,'Cost_Components'!$A$2:$A$27,0)),"")</f>
      </c>
      <c r="AB988" s="82" t="str">
        <f>IFERROR(INDEX('Cost_Components'!$V$2:$V$27,MATCH(E988,'Cost_Components'!$A$2:$A$27,0)),"")</f>
      </c>
      <c r="AC988" s="83" t="str">
        <f>IFERROR(INDEX('Cost_Components'!$M$2:$M$27,MATCH(E988,'Cost_Components'!$A$2:$A$27,0)),"")</f>
      </c>
      <c r="AD988" s="84" t="str">
        <f>IFERROR(INDEX('Cost_Components'!$N$2:$N$27,MATCH(E988,'Cost_Components'!$A$2:$A$27,0)),"")</f>
      </c>
      <c r="AE988" s="20" t="str">
        <f>IFERROR(INDEX('Cost_Components'!$O$2:$O$27,MATCH(E988,'Cost_Components'!$A$2:$A$27,0)),"")</f>
      </c>
      <c r="AF988" s="85" t="n">
        <v>6679757.6708429</v>
      </c>
      <c r="AG988" s="86" t="n">
        <v>7652544.64203908</v>
      </c>
      <c r="AH988" s="87" t="str">
        <f>IF(H988="shared-count-once",COUNTIFS($A$2:$A$1353,A988,$B$2:$B$1353,B988,$E$2:$E$1353,E988),1)</f>
      </c>
    </row>
    <row r="989">
      <c r="A989" t="s">
        <v>75</v>
      </c>
      <c r="B989" s="59" t="n">
        <v>2050</v>
      </c>
      <c r="C989" t="s">
        <v>200</v>
      </c>
      <c r="D989" t="s">
        <v>180</v>
      </c>
      <c r="E989" s="60" t="s">
        <v>287</v>
      </c>
      <c r="F989" s="61" t="s">
        <v>288</v>
      </c>
      <c r="G989" s="62" t="s">
        <v>204</v>
      </c>
      <c r="H989" s="63" t="s">
        <v>195</v>
      </c>
      <c r="I989" s="64" t="s">
        <v>267</v>
      </c>
      <c r="J989" s="65" t="str">
        <f>IFERROR(INDEX('Cost_Components'!$K$2:$K$27,MATCH(E989,'Cost_Components'!$A$2:$A$27,0)),"")</f>
      </c>
      <c r="K989" s="66" t="str">
        <f>IF(OR(L989="",Z989="",AA989="",AB989=""),"",IF(B989&lt;AA989,L989,IF(B989&gt;AB989,Z989,L989+(Z989-L989)*MIN(MAX((B989-AA989+1)/MAX(AB989-AA989+1,1),0),1))))</f>
      </c>
      <c r="L989" s="67" t="str">
        <f>IFERROR(INDEX('Cost_Components'!$S$2:$S$27,MATCH(E989,'Cost_Components'!$A$2:$A$27,0)),"")</f>
      </c>
      <c r="M989" s="68" t="str">
        <f>IFERROR(INDEX('Cost_Components'!$L$2:$L$27,MATCH(E989,'Cost_Components'!$A$2:$A$27,0)),"")</f>
      </c>
      <c r="N989" s="69" t="str">
        <f>IFERROR(INDEX('Cost_Components'!$P$2:$P$27,MATCH(E989,'Cost_Components'!$A$2:$A$27,0)),"")</f>
      </c>
      <c r="O989" s="70" t="str">
        <f>AF989*J989</f>
      </c>
      <c r="P989" s="71" t="str">
        <f>AG989*J989</f>
      </c>
      <c r="Q989" s="72" t="str">
        <f>P989*L989*M989*N989</f>
      </c>
      <c r="R989" s="73" t="str">
        <f>O989*K989*M989*N989</f>
      </c>
      <c r="S989" s="74" t="str">
        <f>R989-Q989</f>
      </c>
      <c r="T989" s="20" t="str">
        <f>IFERROR(INDEX('Cost_Components'!$R$2:$R$27,MATCH(E989,'Cost_Components'!$A$2:$A$27,0)),"")</f>
      </c>
      <c r="U989" s="75" t="str">
        <f>IFERROR(INDEX('Cost_Components'!$Q$2:$Q$27,MATCH(E989,'Cost_Components'!$A$2:$A$27,0)),"")</f>
      </c>
      <c r="V989" s="76" t="str">
        <f>1/(1+'Calculation_Assumptions'!$B$5)^(B989-'Calculation_Assumptions'!$B$2)</f>
      </c>
      <c r="W989" s="77" t="str">
        <f>Q989*V989</f>
      </c>
      <c r="X989" s="78" t="str">
        <f>R989*V989</f>
      </c>
      <c r="Y989" s="79" t="str">
        <f>S989*V989</f>
      </c>
      <c r="Z989" s="80" t="str">
        <f>IFERROR(INDEX('Cost_Components'!$T$2:$T$27,MATCH(E989,'Cost_Components'!$A$2:$A$27,0)),"")</f>
      </c>
      <c r="AA989" s="81" t="str">
        <f>IFERROR(INDEX('Cost_Components'!$U$2:$U$27,MATCH(E989,'Cost_Components'!$A$2:$A$27,0)),"")</f>
      </c>
      <c r="AB989" s="82" t="str">
        <f>IFERROR(INDEX('Cost_Components'!$V$2:$V$27,MATCH(E989,'Cost_Components'!$A$2:$A$27,0)),"")</f>
      </c>
      <c r="AC989" s="83" t="str">
        <f>IFERROR(INDEX('Cost_Components'!$M$2:$M$27,MATCH(E989,'Cost_Components'!$A$2:$A$27,0)),"")</f>
      </c>
      <c r="AD989" s="84" t="str">
        <f>IFERROR(INDEX('Cost_Components'!$N$2:$N$27,MATCH(E989,'Cost_Components'!$A$2:$A$27,0)),"")</f>
      </c>
      <c r="AE989" s="20" t="str">
        <f>IFERROR(INDEX('Cost_Components'!$O$2:$O$27,MATCH(E989,'Cost_Components'!$A$2:$A$27,0)),"")</f>
      </c>
      <c r="AF989" s="85" t="n">
        <v>6709718.49634776</v>
      </c>
      <c r="AG989" s="86" t="n">
        <v>7746332.78496876</v>
      </c>
      <c r="AH989" s="87" t="str">
        <f>IF(H989="shared-count-once",COUNTIFS($A$2:$A$1353,A989,$B$2:$B$1353,B989,$E$2:$E$1353,E989),1)</f>
      </c>
    </row>
    <row r="990">
      <c r="A990" t="s">
        <v>75</v>
      </c>
      <c r="B990" s="59" t="n">
        <v>2025</v>
      </c>
      <c r="C990" t="s">
        <v>200</v>
      </c>
      <c r="D990" t="s">
        <v>180</v>
      </c>
      <c r="E990" s="60" t="s">
        <v>289</v>
      </c>
      <c r="F990" s="61" t="s">
        <v>290</v>
      </c>
      <c r="G990" s="62" t="s">
        <v>204</v>
      </c>
      <c r="H990" s="63" t="s">
        <v>195</v>
      </c>
      <c r="I990" s="64" t="s">
        <v>267</v>
      </c>
      <c r="J990" s="65" t="str">
        <f>IFERROR(INDEX('Cost_Components'!$K$2:$K$27,MATCH(E990,'Cost_Components'!$A$2:$A$27,0)),"")</f>
      </c>
      <c r="K990" s="66" t="str">
        <f>IF(OR(L990="",Z990="",AA990="",AB990=""),"",IF(B990&lt;AA990,L990,IF(B990&gt;AB990,Z990,L990+(Z990-L990)*MIN(MAX((B990-AA990+1)/MAX(AB990-AA990+1,1),0),1))))</f>
      </c>
      <c r="L990" s="67" t="str">
        <f>IFERROR(INDEX('Cost_Components'!$S$2:$S$27,MATCH(E990,'Cost_Components'!$A$2:$A$27,0)),"")</f>
      </c>
      <c r="M990" s="68" t="str">
        <f>IFERROR(INDEX('Cost_Components'!$L$2:$L$27,MATCH(E990,'Cost_Components'!$A$2:$A$27,0)),"")</f>
      </c>
      <c r="N990" s="69" t="str">
        <f>IFERROR(INDEX('Cost_Components'!$P$2:$P$27,MATCH(E990,'Cost_Components'!$A$2:$A$27,0)),"")</f>
      </c>
      <c r="O990" s="70" t="str">
        <f>AF990*J990</f>
      </c>
      <c r="P990" s="71" t="str">
        <f>AG990*J990</f>
      </c>
      <c r="Q990" s="72" t="str">
        <f>P990*L990*M990*N990</f>
      </c>
      <c r="R990" s="73" t="str">
        <f>O990*K990*M990*N990</f>
      </c>
      <c r="S990" s="74" t="str">
        <f>R990-Q990</f>
      </c>
      <c r="T990" s="20" t="str">
        <f>IFERROR(INDEX('Cost_Components'!$R$2:$R$27,MATCH(E990,'Cost_Components'!$A$2:$A$27,0)),"")</f>
      </c>
      <c r="U990" s="75" t="str">
        <f>IFERROR(INDEX('Cost_Components'!$Q$2:$Q$27,MATCH(E990,'Cost_Components'!$A$2:$A$27,0)),"")</f>
      </c>
      <c r="V990" s="76" t="str">
        <f>1/(1+'Calculation_Assumptions'!$B$5)^(B990-'Calculation_Assumptions'!$B$2)</f>
      </c>
      <c r="W990" s="77" t="str">
        <f>Q990*V990</f>
      </c>
      <c r="X990" s="78" t="str">
        <f>R990*V990</f>
      </c>
      <c r="Y990" s="79" t="str">
        <f>S990*V990</f>
      </c>
      <c r="Z990" s="80" t="str">
        <f>IFERROR(INDEX('Cost_Components'!$T$2:$T$27,MATCH(E990,'Cost_Components'!$A$2:$A$27,0)),"")</f>
      </c>
      <c r="AA990" s="81" t="str">
        <f>IFERROR(INDEX('Cost_Components'!$U$2:$U$27,MATCH(E990,'Cost_Components'!$A$2:$A$27,0)),"")</f>
      </c>
      <c r="AB990" s="82" t="str">
        <f>IFERROR(INDEX('Cost_Components'!$V$2:$V$27,MATCH(E990,'Cost_Components'!$A$2:$A$27,0)),"")</f>
      </c>
      <c r="AC990" s="83" t="str">
        <f>IFERROR(INDEX('Cost_Components'!$M$2:$M$27,MATCH(E990,'Cost_Components'!$A$2:$A$27,0)),"")</f>
      </c>
      <c r="AD990" s="84" t="str">
        <f>IFERROR(INDEX('Cost_Components'!$N$2:$N$27,MATCH(E990,'Cost_Components'!$A$2:$A$27,0)),"")</f>
      </c>
      <c r="AE990" s="20" t="str">
        <f>IFERROR(INDEX('Cost_Components'!$O$2:$O$27,MATCH(E990,'Cost_Components'!$A$2:$A$27,0)),"")</f>
      </c>
      <c r="AF990" s="85" t="n">
        <v>4934208.81018054</v>
      </c>
      <c r="AG990" s="86" t="n">
        <v>4938586.08395776</v>
      </c>
      <c r="AH990" s="87" t="str">
        <f>IF(H990="shared-count-once",COUNTIFS($A$2:$A$1353,A990,$B$2:$B$1353,B990,$E$2:$E$1353,E990),1)</f>
      </c>
    </row>
    <row r="991">
      <c r="A991" t="s">
        <v>75</v>
      </c>
      <c r="B991" s="59" t="n">
        <v>2026</v>
      </c>
      <c r="C991" t="s">
        <v>200</v>
      </c>
      <c r="D991" t="s">
        <v>180</v>
      </c>
      <c r="E991" s="60" t="s">
        <v>289</v>
      </c>
      <c r="F991" s="61" t="s">
        <v>290</v>
      </c>
      <c r="G991" s="62" t="s">
        <v>204</v>
      </c>
      <c r="H991" s="63" t="s">
        <v>195</v>
      </c>
      <c r="I991" s="64" t="s">
        <v>267</v>
      </c>
      <c r="J991" s="65" t="str">
        <f>IFERROR(INDEX('Cost_Components'!$K$2:$K$27,MATCH(E991,'Cost_Components'!$A$2:$A$27,0)),"")</f>
      </c>
      <c r="K991" s="66" t="str">
        <f>IF(OR(L991="",Z991="",AA991="",AB991=""),"",IF(B991&lt;AA991,L991,IF(B991&gt;AB991,Z991,L991+(Z991-L991)*MIN(MAX((B991-AA991+1)/MAX(AB991-AA991+1,1),0),1))))</f>
      </c>
      <c r="L991" s="67" t="str">
        <f>IFERROR(INDEX('Cost_Components'!$S$2:$S$27,MATCH(E991,'Cost_Components'!$A$2:$A$27,0)),"")</f>
      </c>
      <c r="M991" s="68" t="str">
        <f>IFERROR(INDEX('Cost_Components'!$L$2:$L$27,MATCH(E991,'Cost_Components'!$A$2:$A$27,0)),"")</f>
      </c>
      <c r="N991" s="69" t="str">
        <f>IFERROR(INDEX('Cost_Components'!$P$2:$P$27,MATCH(E991,'Cost_Components'!$A$2:$A$27,0)),"")</f>
      </c>
      <c r="O991" s="70" t="str">
        <f>AF991*J991</f>
      </c>
      <c r="P991" s="71" t="str">
        <f>AG991*J991</f>
      </c>
      <c r="Q991" s="72" t="str">
        <f>P991*L991*M991*N991</f>
      </c>
      <c r="R991" s="73" t="str">
        <f>O991*K991*M991*N991</f>
      </c>
      <c r="S991" s="74" t="str">
        <f>R991-Q991</f>
      </c>
      <c r="T991" s="20" t="str">
        <f>IFERROR(INDEX('Cost_Components'!$R$2:$R$27,MATCH(E991,'Cost_Components'!$A$2:$A$27,0)),"")</f>
      </c>
      <c r="U991" s="75" t="str">
        <f>IFERROR(INDEX('Cost_Components'!$Q$2:$Q$27,MATCH(E991,'Cost_Components'!$A$2:$A$27,0)),"")</f>
      </c>
      <c r="V991" s="76" t="str">
        <f>1/(1+'Calculation_Assumptions'!$B$5)^(B991-'Calculation_Assumptions'!$B$2)</f>
      </c>
      <c r="W991" s="77" t="str">
        <f>Q991*V991</f>
      </c>
      <c r="X991" s="78" t="str">
        <f>R991*V991</f>
      </c>
      <c r="Y991" s="79" t="str">
        <f>S991*V991</f>
      </c>
      <c r="Z991" s="80" t="str">
        <f>IFERROR(INDEX('Cost_Components'!$T$2:$T$27,MATCH(E991,'Cost_Components'!$A$2:$A$27,0)),"")</f>
      </c>
      <c r="AA991" s="81" t="str">
        <f>IFERROR(INDEX('Cost_Components'!$U$2:$U$27,MATCH(E991,'Cost_Components'!$A$2:$A$27,0)),"")</f>
      </c>
      <c r="AB991" s="82" t="str">
        <f>IFERROR(INDEX('Cost_Components'!$V$2:$V$27,MATCH(E991,'Cost_Components'!$A$2:$A$27,0)),"")</f>
      </c>
      <c r="AC991" s="83" t="str">
        <f>IFERROR(INDEX('Cost_Components'!$M$2:$M$27,MATCH(E991,'Cost_Components'!$A$2:$A$27,0)),"")</f>
      </c>
      <c r="AD991" s="84" t="str">
        <f>IFERROR(INDEX('Cost_Components'!$N$2:$N$27,MATCH(E991,'Cost_Components'!$A$2:$A$27,0)),"")</f>
      </c>
      <c r="AE991" s="20" t="str">
        <f>IFERROR(INDEX('Cost_Components'!$O$2:$O$27,MATCH(E991,'Cost_Components'!$A$2:$A$27,0)),"")</f>
      </c>
      <c r="AF991" s="85" t="n">
        <v>5046970.66554862</v>
      </c>
      <c r="AG991" s="86" t="n">
        <v>5059876.23903272</v>
      </c>
      <c r="AH991" s="87" t="str">
        <f>IF(H991="shared-count-once",COUNTIFS($A$2:$A$1353,A991,$B$2:$B$1353,B991,$E$2:$E$1353,E991),1)</f>
      </c>
    </row>
    <row r="992">
      <c r="A992" t="s">
        <v>75</v>
      </c>
      <c r="B992" s="59" t="n">
        <v>2027</v>
      </c>
      <c r="C992" t="s">
        <v>200</v>
      </c>
      <c r="D992" t="s">
        <v>180</v>
      </c>
      <c r="E992" s="60" t="s">
        <v>289</v>
      </c>
      <c r="F992" s="61" t="s">
        <v>290</v>
      </c>
      <c r="G992" s="62" t="s">
        <v>204</v>
      </c>
      <c r="H992" s="63" t="s">
        <v>195</v>
      </c>
      <c r="I992" s="64" t="s">
        <v>267</v>
      </c>
      <c r="J992" s="65" t="str">
        <f>IFERROR(INDEX('Cost_Components'!$K$2:$K$27,MATCH(E992,'Cost_Components'!$A$2:$A$27,0)),"")</f>
      </c>
      <c r="K992" s="66" t="str">
        <f>IF(OR(L992="",Z992="",AA992="",AB992=""),"",IF(B992&lt;AA992,L992,IF(B992&gt;AB992,Z992,L992+(Z992-L992)*MIN(MAX((B992-AA992+1)/MAX(AB992-AA992+1,1),0),1))))</f>
      </c>
      <c r="L992" s="67" t="str">
        <f>IFERROR(INDEX('Cost_Components'!$S$2:$S$27,MATCH(E992,'Cost_Components'!$A$2:$A$27,0)),"")</f>
      </c>
      <c r="M992" s="68" t="str">
        <f>IFERROR(INDEX('Cost_Components'!$L$2:$L$27,MATCH(E992,'Cost_Components'!$A$2:$A$27,0)),"")</f>
      </c>
      <c r="N992" s="69" t="str">
        <f>IFERROR(INDEX('Cost_Components'!$P$2:$P$27,MATCH(E992,'Cost_Components'!$A$2:$A$27,0)),"")</f>
      </c>
      <c r="O992" s="70" t="str">
        <f>AF992*J992</f>
      </c>
      <c r="P992" s="71" t="str">
        <f>AG992*J992</f>
      </c>
      <c r="Q992" s="72" t="str">
        <f>P992*L992*M992*N992</f>
      </c>
      <c r="R992" s="73" t="str">
        <f>O992*K992*M992*N992</f>
      </c>
      <c r="S992" s="74" t="str">
        <f>R992-Q992</f>
      </c>
      <c r="T992" s="20" t="str">
        <f>IFERROR(INDEX('Cost_Components'!$R$2:$R$27,MATCH(E992,'Cost_Components'!$A$2:$A$27,0)),"")</f>
      </c>
      <c r="U992" s="75" t="str">
        <f>IFERROR(INDEX('Cost_Components'!$Q$2:$Q$27,MATCH(E992,'Cost_Components'!$A$2:$A$27,0)),"")</f>
      </c>
      <c r="V992" s="76" t="str">
        <f>1/(1+'Calculation_Assumptions'!$B$5)^(B992-'Calculation_Assumptions'!$B$2)</f>
      </c>
      <c r="W992" s="77" t="str">
        <f>Q992*V992</f>
      </c>
      <c r="X992" s="78" t="str">
        <f>R992*V992</f>
      </c>
      <c r="Y992" s="79" t="str">
        <f>S992*V992</f>
      </c>
      <c r="Z992" s="80" t="str">
        <f>IFERROR(INDEX('Cost_Components'!$T$2:$T$27,MATCH(E992,'Cost_Components'!$A$2:$A$27,0)),"")</f>
      </c>
      <c r="AA992" s="81" t="str">
        <f>IFERROR(INDEX('Cost_Components'!$U$2:$U$27,MATCH(E992,'Cost_Components'!$A$2:$A$27,0)),"")</f>
      </c>
      <c r="AB992" s="82" t="str">
        <f>IFERROR(INDEX('Cost_Components'!$V$2:$V$27,MATCH(E992,'Cost_Components'!$A$2:$A$27,0)),"")</f>
      </c>
      <c r="AC992" s="83" t="str">
        <f>IFERROR(INDEX('Cost_Components'!$M$2:$M$27,MATCH(E992,'Cost_Components'!$A$2:$A$27,0)),"")</f>
      </c>
      <c r="AD992" s="84" t="str">
        <f>IFERROR(INDEX('Cost_Components'!$N$2:$N$27,MATCH(E992,'Cost_Components'!$A$2:$A$27,0)),"")</f>
      </c>
      <c r="AE992" s="20" t="str">
        <f>IFERROR(INDEX('Cost_Components'!$O$2:$O$27,MATCH(E992,'Cost_Components'!$A$2:$A$27,0)),"")</f>
      </c>
      <c r="AF992" s="85" t="n">
        <v>5152582.21959081</v>
      </c>
      <c r="AG992" s="86" t="n">
        <v>5177908.34578341</v>
      </c>
      <c r="AH992" s="87" t="str">
        <f>IF(H992="shared-count-once",COUNTIFS($A$2:$A$1353,A992,$B$2:$B$1353,B992,$E$2:$E$1353,E992),1)</f>
      </c>
    </row>
    <row r="993">
      <c r="A993" t="s">
        <v>75</v>
      </c>
      <c r="B993" s="59" t="n">
        <v>2028</v>
      </c>
      <c r="C993" t="s">
        <v>200</v>
      </c>
      <c r="D993" t="s">
        <v>180</v>
      </c>
      <c r="E993" s="60" t="s">
        <v>289</v>
      </c>
      <c r="F993" s="61" t="s">
        <v>290</v>
      </c>
      <c r="G993" s="62" t="s">
        <v>204</v>
      </c>
      <c r="H993" s="63" t="s">
        <v>195</v>
      </c>
      <c r="I993" s="64" t="s">
        <v>267</v>
      </c>
      <c r="J993" s="65" t="str">
        <f>IFERROR(INDEX('Cost_Components'!$K$2:$K$27,MATCH(E993,'Cost_Components'!$A$2:$A$27,0)),"")</f>
      </c>
      <c r="K993" s="66" t="str">
        <f>IF(OR(L993="",Z993="",AA993="",AB993=""),"",IF(B993&lt;AA993,L993,IF(B993&gt;AB993,Z993,L993+(Z993-L993)*MIN(MAX((B993-AA993+1)/MAX(AB993-AA993+1,1),0),1))))</f>
      </c>
      <c r="L993" s="67" t="str">
        <f>IFERROR(INDEX('Cost_Components'!$S$2:$S$27,MATCH(E993,'Cost_Components'!$A$2:$A$27,0)),"")</f>
      </c>
      <c r="M993" s="68" t="str">
        <f>IFERROR(INDEX('Cost_Components'!$L$2:$L$27,MATCH(E993,'Cost_Components'!$A$2:$A$27,0)),"")</f>
      </c>
      <c r="N993" s="69" t="str">
        <f>IFERROR(INDEX('Cost_Components'!$P$2:$P$27,MATCH(E993,'Cost_Components'!$A$2:$A$27,0)),"")</f>
      </c>
      <c r="O993" s="70" t="str">
        <f>AF993*J993</f>
      </c>
      <c r="P993" s="71" t="str">
        <f>AG993*J993</f>
      </c>
      <c r="Q993" s="72" t="str">
        <f>P993*L993*M993*N993</f>
      </c>
      <c r="R993" s="73" t="str">
        <f>O993*K993*M993*N993</f>
      </c>
      <c r="S993" s="74" t="str">
        <f>R993-Q993</f>
      </c>
      <c r="T993" s="20" t="str">
        <f>IFERROR(INDEX('Cost_Components'!$R$2:$R$27,MATCH(E993,'Cost_Components'!$A$2:$A$27,0)),"")</f>
      </c>
      <c r="U993" s="75" t="str">
        <f>IFERROR(INDEX('Cost_Components'!$Q$2:$Q$27,MATCH(E993,'Cost_Components'!$A$2:$A$27,0)),"")</f>
      </c>
      <c r="V993" s="76" t="str">
        <f>1/(1+'Calculation_Assumptions'!$B$5)^(B993-'Calculation_Assumptions'!$B$2)</f>
      </c>
      <c r="W993" s="77" t="str">
        <f>Q993*V993</f>
      </c>
      <c r="X993" s="78" t="str">
        <f>R993*V993</f>
      </c>
      <c r="Y993" s="79" t="str">
        <f>S993*V993</f>
      </c>
      <c r="Z993" s="80" t="str">
        <f>IFERROR(INDEX('Cost_Components'!$T$2:$T$27,MATCH(E993,'Cost_Components'!$A$2:$A$27,0)),"")</f>
      </c>
      <c r="AA993" s="81" t="str">
        <f>IFERROR(INDEX('Cost_Components'!$U$2:$U$27,MATCH(E993,'Cost_Components'!$A$2:$A$27,0)),"")</f>
      </c>
      <c r="AB993" s="82" t="str">
        <f>IFERROR(INDEX('Cost_Components'!$V$2:$V$27,MATCH(E993,'Cost_Components'!$A$2:$A$27,0)),"")</f>
      </c>
      <c r="AC993" s="83" t="str">
        <f>IFERROR(INDEX('Cost_Components'!$M$2:$M$27,MATCH(E993,'Cost_Components'!$A$2:$A$27,0)),"")</f>
      </c>
      <c r="AD993" s="84" t="str">
        <f>IFERROR(INDEX('Cost_Components'!$N$2:$N$27,MATCH(E993,'Cost_Components'!$A$2:$A$27,0)),"")</f>
      </c>
      <c r="AE993" s="20" t="str">
        <f>IFERROR(INDEX('Cost_Components'!$O$2:$O$27,MATCH(E993,'Cost_Components'!$A$2:$A$27,0)),"")</f>
      </c>
      <c r="AF993" s="85" t="n">
        <v>5250905.8154041</v>
      </c>
      <c r="AG993" s="86" t="n">
        <v>5292362.05081189</v>
      </c>
      <c r="AH993" s="87" t="str">
        <f>IF(H993="shared-count-once",COUNTIFS($A$2:$A$1353,A993,$B$2:$B$1353,B993,$E$2:$E$1353,E993),1)</f>
      </c>
    </row>
    <row r="994">
      <c r="A994" t="s">
        <v>75</v>
      </c>
      <c r="B994" s="59" t="n">
        <v>2029</v>
      </c>
      <c r="C994" t="s">
        <v>200</v>
      </c>
      <c r="D994" t="s">
        <v>180</v>
      </c>
      <c r="E994" s="60" t="s">
        <v>289</v>
      </c>
      <c r="F994" s="61" t="s">
        <v>290</v>
      </c>
      <c r="G994" s="62" t="s">
        <v>204</v>
      </c>
      <c r="H994" s="63" t="s">
        <v>195</v>
      </c>
      <c r="I994" s="64" t="s">
        <v>267</v>
      </c>
      <c r="J994" s="65" t="str">
        <f>IFERROR(INDEX('Cost_Components'!$K$2:$K$27,MATCH(E994,'Cost_Components'!$A$2:$A$27,0)),"")</f>
      </c>
      <c r="K994" s="66" t="str">
        <f>IF(OR(L994="",Z994="",AA994="",AB994=""),"",IF(B994&lt;AA994,L994,IF(B994&gt;AB994,Z994,L994+(Z994-L994)*MIN(MAX((B994-AA994+1)/MAX(AB994-AA994+1,1),0),1))))</f>
      </c>
      <c r="L994" s="67" t="str">
        <f>IFERROR(INDEX('Cost_Components'!$S$2:$S$27,MATCH(E994,'Cost_Components'!$A$2:$A$27,0)),"")</f>
      </c>
      <c r="M994" s="68" t="str">
        <f>IFERROR(INDEX('Cost_Components'!$L$2:$L$27,MATCH(E994,'Cost_Components'!$A$2:$A$27,0)),"")</f>
      </c>
      <c r="N994" s="69" t="str">
        <f>IFERROR(INDEX('Cost_Components'!$P$2:$P$27,MATCH(E994,'Cost_Components'!$A$2:$A$27,0)),"")</f>
      </c>
      <c r="O994" s="70" t="str">
        <f>AF994*J994</f>
      </c>
      <c r="P994" s="71" t="str">
        <f>AG994*J994</f>
      </c>
      <c r="Q994" s="72" t="str">
        <f>P994*L994*M994*N994</f>
      </c>
      <c r="R994" s="73" t="str">
        <f>O994*K994*M994*N994</f>
      </c>
      <c r="S994" s="74" t="str">
        <f>R994-Q994</f>
      </c>
      <c r="T994" s="20" t="str">
        <f>IFERROR(INDEX('Cost_Components'!$R$2:$R$27,MATCH(E994,'Cost_Components'!$A$2:$A$27,0)),"")</f>
      </c>
      <c r="U994" s="75" t="str">
        <f>IFERROR(INDEX('Cost_Components'!$Q$2:$Q$27,MATCH(E994,'Cost_Components'!$A$2:$A$27,0)),"")</f>
      </c>
      <c r="V994" s="76" t="str">
        <f>1/(1+'Calculation_Assumptions'!$B$5)^(B994-'Calculation_Assumptions'!$B$2)</f>
      </c>
      <c r="W994" s="77" t="str">
        <f>Q994*V994</f>
      </c>
      <c r="X994" s="78" t="str">
        <f>R994*V994</f>
      </c>
      <c r="Y994" s="79" t="str">
        <f>S994*V994</f>
      </c>
      <c r="Z994" s="80" t="str">
        <f>IFERROR(INDEX('Cost_Components'!$T$2:$T$27,MATCH(E994,'Cost_Components'!$A$2:$A$27,0)),"")</f>
      </c>
      <c r="AA994" s="81" t="str">
        <f>IFERROR(INDEX('Cost_Components'!$U$2:$U$27,MATCH(E994,'Cost_Components'!$A$2:$A$27,0)),"")</f>
      </c>
      <c r="AB994" s="82" t="str">
        <f>IFERROR(INDEX('Cost_Components'!$V$2:$V$27,MATCH(E994,'Cost_Components'!$A$2:$A$27,0)),"")</f>
      </c>
      <c r="AC994" s="83" t="str">
        <f>IFERROR(INDEX('Cost_Components'!$M$2:$M$27,MATCH(E994,'Cost_Components'!$A$2:$A$27,0)),"")</f>
      </c>
      <c r="AD994" s="84" t="str">
        <f>IFERROR(INDEX('Cost_Components'!$N$2:$N$27,MATCH(E994,'Cost_Components'!$A$2:$A$27,0)),"")</f>
      </c>
      <c r="AE994" s="20" t="str">
        <f>IFERROR(INDEX('Cost_Components'!$O$2:$O$27,MATCH(E994,'Cost_Components'!$A$2:$A$27,0)),"")</f>
      </c>
      <c r="AF994" s="85" t="n">
        <v>5346734.10010038</v>
      </c>
      <c r="AG994" s="86" t="n">
        <v>5407624.20226317</v>
      </c>
      <c r="AH994" s="87" t="str">
        <f>IF(H994="shared-count-once",COUNTIFS($A$2:$A$1353,A994,$B$2:$B$1353,B994,$E$2:$E$1353,E994),1)</f>
      </c>
    </row>
    <row r="995">
      <c r="A995" t="s">
        <v>75</v>
      </c>
      <c r="B995" s="59" t="n">
        <v>2030</v>
      </c>
      <c r="C995" t="s">
        <v>200</v>
      </c>
      <c r="D995" t="s">
        <v>180</v>
      </c>
      <c r="E995" s="60" t="s">
        <v>289</v>
      </c>
      <c r="F995" s="61" t="s">
        <v>290</v>
      </c>
      <c r="G995" s="62" t="s">
        <v>204</v>
      </c>
      <c r="H995" s="63" t="s">
        <v>195</v>
      </c>
      <c r="I995" s="64" t="s">
        <v>267</v>
      </c>
      <c r="J995" s="65" t="str">
        <f>IFERROR(INDEX('Cost_Components'!$K$2:$K$27,MATCH(E995,'Cost_Components'!$A$2:$A$27,0)),"")</f>
      </c>
      <c r="K995" s="66" t="str">
        <f>IF(OR(L995="",Z995="",AA995="",AB995=""),"",IF(B995&lt;AA995,L995,IF(B995&gt;AB995,Z995,L995+(Z995-L995)*MIN(MAX((B995-AA995+1)/MAX(AB995-AA995+1,1),0),1))))</f>
      </c>
      <c r="L995" s="67" t="str">
        <f>IFERROR(INDEX('Cost_Components'!$S$2:$S$27,MATCH(E995,'Cost_Components'!$A$2:$A$27,0)),"")</f>
      </c>
      <c r="M995" s="68" t="str">
        <f>IFERROR(INDEX('Cost_Components'!$L$2:$L$27,MATCH(E995,'Cost_Components'!$A$2:$A$27,0)),"")</f>
      </c>
      <c r="N995" s="69" t="str">
        <f>IFERROR(INDEX('Cost_Components'!$P$2:$P$27,MATCH(E995,'Cost_Components'!$A$2:$A$27,0)),"")</f>
      </c>
      <c r="O995" s="70" t="str">
        <f>AF995*J995</f>
      </c>
      <c r="P995" s="71" t="str">
        <f>AG995*J995</f>
      </c>
      <c r="Q995" s="72" t="str">
        <f>P995*L995*M995*N995</f>
      </c>
      <c r="R995" s="73" t="str">
        <f>O995*K995*M995*N995</f>
      </c>
      <c r="S995" s="74" t="str">
        <f>R995-Q995</f>
      </c>
      <c r="T995" s="20" t="str">
        <f>IFERROR(INDEX('Cost_Components'!$R$2:$R$27,MATCH(E995,'Cost_Components'!$A$2:$A$27,0)),"")</f>
      </c>
      <c r="U995" s="75" t="str">
        <f>IFERROR(INDEX('Cost_Components'!$Q$2:$Q$27,MATCH(E995,'Cost_Components'!$A$2:$A$27,0)),"")</f>
      </c>
      <c r="V995" s="76" t="str">
        <f>1/(1+'Calculation_Assumptions'!$B$5)^(B995-'Calculation_Assumptions'!$B$2)</f>
      </c>
      <c r="W995" s="77" t="str">
        <f>Q995*V995</f>
      </c>
      <c r="X995" s="78" t="str">
        <f>R995*V995</f>
      </c>
      <c r="Y995" s="79" t="str">
        <f>S995*V995</f>
      </c>
      <c r="Z995" s="80" t="str">
        <f>IFERROR(INDEX('Cost_Components'!$T$2:$T$27,MATCH(E995,'Cost_Components'!$A$2:$A$27,0)),"")</f>
      </c>
      <c r="AA995" s="81" t="str">
        <f>IFERROR(INDEX('Cost_Components'!$U$2:$U$27,MATCH(E995,'Cost_Components'!$A$2:$A$27,0)),"")</f>
      </c>
      <c r="AB995" s="82" t="str">
        <f>IFERROR(INDEX('Cost_Components'!$V$2:$V$27,MATCH(E995,'Cost_Components'!$A$2:$A$27,0)),"")</f>
      </c>
      <c r="AC995" s="83" t="str">
        <f>IFERROR(INDEX('Cost_Components'!$M$2:$M$27,MATCH(E995,'Cost_Components'!$A$2:$A$27,0)),"")</f>
      </c>
      <c r="AD995" s="84" t="str">
        <f>IFERROR(INDEX('Cost_Components'!$N$2:$N$27,MATCH(E995,'Cost_Components'!$A$2:$A$27,0)),"")</f>
      </c>
      <c r="AE995" s="20" t="str">
        <f>IFERROR(INDEX('Cost_Components'!$O$2:$O$27,MATCH(E995,'Cost_Components'!$A$2:$A$27,0)),"")</f>
      </c>
      <c r="AF995" s="85" t="n">
        <v>5438237.07793204</v>
      </c>
      <c r="AG995" s="86" t="n">
        <v>5521846.50884352</v>
      </c>
      <c r="AH995" s="87" t="str">
        <f>IF(H995="shared-count-once",COUNTIFS($A$2:$A$1353,A995,$B$2:$B$1353,B995,$E$2:$E$1353,E995),1)</f>
      </c>
    </row>
    <row r="996">
      <c r="A996" t="s">
        <v>75</v>
      </c>
      <c r="B996" s="59" t="n">
        <v>2031</v>
      </c>
      <c r="C996" t="s">
        <v>200</v>
      </c>
      <c r="D996" t="s">
        <v>180</v>
      </c>
      <c r="E996" s="60" t="s">
        <v>289</v>
      </c>
      <c r="F996" s="61" t="s">
        <v>290</v>
      </c>
      <c r="G996" s="62" t="s">
        <v>204</v>
      </c>
      <c r="H996" s="63" t="s">
        <v>195</v>
      </c>
      <c r="I996" s="64" t="s">
        <v>267</v>
      </c>
      <c r="J996" s="65" t="str">
        <f>IFERROR(INDEX('Cost_Components'!$K$2:$K$27,MATCH(E996,'Cost_Components'!$A$2:$A$27,0)),"")</f>
      </c>
      <c r="K996" s="66" t="str">
        <f>IF(OR(L996="",Z996="",AA996="",AB996=""),"",IF(B996&lt;AA996,L996,IF(B996&gt;AB996,Z996,L996+(Z996-L996)*MIN(MAX((B996-AA996+1)/MAX(AB996-AA996+1,1),0),1))))</f>
      </c>
      <c r="L996" s="67" t="str">
        <f>IFERROR(INDEX('Cost_Components'!$S$2:$S$27,MATCH(E996,'Cost_Components'!$A$2:$A$27,0)),"")</f>
      </c>
      <c r="M996" s="68" t="str">
        <f>IFERROR(INDEX('Cost_Components'!$L$2:$L$27,MATCH(E996,'Cost_Components'!$A$2:$A$27,0)),"")</f>
      </c>
      <c r="N996" s="69" t="str">
        <f>IFERROR(INDEX('Cost_Components'!$P$2:$P$27,MATCH(E996,'Cost_Components'!$A$2:$A$27,0)),"")</f>
      </c>
      <c r="O996" s="70" t="str">
        <f>AF996*J996</f>
      </c>
      <c r="P996" s="71" t="str">
        <f>AG996*J996</f>
      </c>
      <c r="Q996" s="72" t="str">
        <f>P996*L996*M996*N996</f>
      </c>
      <c r="R996" s="73" t="str">
        <f>O996*K996*M996*N996</f>
      </c>
      <c r="S996" s="74" t="str">
        <f>R996-Q996</f>
      </c>
      <c r="T996" s="20" t="str">
        <f>IFERROR(INDEX('Cost_Components'!$R$2:$R$27,MATCH(E996,'Cost_Components'!$A$2:$A$27,0)),"")</f>
      </c>
      <c r="U996" s="75" t="str">
        <f>IFERROR(INDEX('Cost_Components'!$Q$2:$Q$27,MATCH(E996,'Cost_Components'!$A$2:$A$27,0)),"")</f>
      </c>
      <c r="V996" s="76" t="str">
        <f>1/(1+'Calculation_Assumptions'!$B$5)^(B996-'Calculation_Assumptions'!$B$2)</f>
      </c>
      <c r="W996" s="77" t="str">
        <f>Q996*V996</f>
      </c>
      <c r="X996" s="78" t="str">
        <f>R996*V996</f>
      </c>
      <c r="Y996" s="79" t="str">
        <f>S996*V996</f>
      </c>
      <c r="Z996" s="80" t="str">
        <f>IFERROR(INDEX('Cost_Components'!$T$2:$T$27,MATCH(E996,'Cost_Components'!$A$2:$A$27,0)),"")</f>
      </c>
      <c r="AA996" s="81" t="str">
        <f>IFERROR(INDEX('Cost_Components'!$U$2:$U$27,MATCH(E996,'Cost_Components'!$A$2:$A$27,0)),"")</f>
      </c>
      <c r="AB996" s="82" t="str">
        <f>IFERROR(INDEX('Cost_Components'!$V$2:$V$27,MATCH(E996,'Cost_Components'!$A$2:$A$27,0)),"")</f>
      </c>
      <c r="AC996" s="83" t="str">
        <f>IFERROR(INDEX('Cost_Components'!$M$2:$M$27,MATCH(E996,'Cost_Components'!$A$2:$A$27,0)),"")</f>
      </c>
      <c r="AD996" s="84" t="str">
        <f>IFERROR(INDEX('Cost_Components'!$N$2:$N$27,MATCH(E996,'Cost_Components'!$A$2:$A$27,0)),"")</f>
      </c>
      <c r="AE996" s="20" t="str">
        <f>IFERROR(INDEX('Cost_Components'!$O$2:$O$27,MATCH(E996,'Cost_Components'!$A$2:$A$27,0)),"")</f>
      </c>
      <c r="AF996" s="85" t="n">
        <v>5526389.41668622</v>
      </c>
      <c r="AG996" s="86" t="n">
        <v>5635894.28157856</v>
      </c>
      <c r="AH996" s="87" t="str">
        <f>IF(H996="shared-count-once",COUNTIFS($A$2:$A$1353,A996,$B$2:$B$1353,B996,$E$2:$E$1353,E996),1)</f>
      </c>
    </row>
    <row r="997">
      <c r="A997" t="s">
        <v>75</v>
      </c>
      <c r="B997" s="59" t="n">
        <v>2032</v>
      </c>
      <c r="C997" t="s">
        <v>200</v>
      </c>
      <c r="D997" t="s">
        <v>180</v>
      </c>
      <c r="E997" s="60" t="s">
        <v>289</v>
      </c>
      <c r="F997" s="61" t="s">
        <v>290</v>
      </c>
      <c r="G997" s="62" t="s">
        <v>204</v>
      </c>
      <c r="H997" s="63" t="s">
        <v>195</v>
      </c>
      <c r="I997" s="64" t="s">
        <v>267</v>
      </c>
      <c r="J997" s="65" t="str">
        <f>IFERROR(INDEX('Cost_Components'!$K$2:$K$27,MATCH(E997,'Cost_Components'!$A$2:$A$27,0)),"")</f>
      </c>
      <c r="K997" s="66" t="str">
        <f>IF(OR(L997="",Z997="",AA997="",AB997=""),"",IF(B997&lt;AA997,L997,IF(B997&gt;AB997,Z997,L997+(Z997-L997)*MIN(MAX((B997-AA997+1)/MAX(AB997-AA997+1,1),0),1))))</f>
      </c>
      <c r="L997" s="67" t="str">
        <f>IFERROR(INDEX('Cost_Components'!$S$2:$S$27,MATCH(E997,'Cost_Components'!$A$2:$A$27,0)),"")</f>
      </c>
      <c r="M997" s="68" t="str">
        <f>IFERROR(INDEX('Cost_Components'!$L$2:$L$27,MATCH(E997,'Cost_Components'!$A$2:$A$27,0)),"")</f>
      </c>
      <c r="N997" s="69" t="str">
        <f>IFERROR(INDEX('Cost_Components'!$P$2:$P$27,MATCH(E997,'Cost_Components'!$A$2:$A$27,0)),"")</f>
      </c>
      <c r="O997" s="70" t="str">
        <f>AF997*J997</f>
      </c>
      <c r="P997" s="71" t="str">
        <f>AG997*J997</f>
      </c>
      <c r="Q997" s="72" t="str">
        <f>P997*L997*M997*N997</f>
      </c>
      <c r="R997" s="73" t="str">
        <f>O997*K997*M997*N997</f>
      </c>
      <c r="S997" s="74" t="str">
        <f>R997-Q997</f>
      </c>
      <c r="T997" s="20" t="str">
        <f>IFERROR(INDEX('Cost_Components'!$R$2:$R$27,MATCH(E997,'Cost_Components'!$A$2:$A$27,0)),"")</f>
      </c>
      <c r="U997" s="75" t="str">
        <f>IFERROR(INDEX('Cost_Components'!$Q$2:$Q$27,MATCH(E997,'Cost_Components'!$A$2:$A$27,0)),"")</f>
      </c>
      <c r="V997" s="76" t="str">
        <f>1/(1+'Calculation_Assumptions'!$B$5)^(B997-'Calculation_Assumptions'!$B$2)</f>
      </c>
      <c r="W997" s="77" t="str">
        <f>Q997*V997</f>
      </c>
      <c r="X997" s="78" t="str">
        <f>R997*V997</f>
      </c>
      <c r="Y997" s="79" t="str">
        <f>S997*V997</f>
      </c>
      <c r="Z997" s="80" t="str">
        <f>IFERROR(INDEX('Cost_Components'!$T$2:$T$27,MATCH(E997,'Cost_Components'!$A$2:$A$27,0)),"")</f>
      </c>
      <c r="AA997" s="81" t="str">
        <f>IFERROR(INDEX('Cost_Components'!$U$2:$U$27,MATCH(E997,'Cost_Components'!$A$2:$A$27,0)),"")</f>
      </c>
      <c r="AB997" s="82" t="str">
        <f>IFERROR(INDEX('Cost_Components'!$V$2:$V$27,MATCH(E997,'Cost_Components'!$A$2:$A$27,0)),"")</f>
      </c>
      <c r="AC997" s="83" t="str">
        <f>IFERROR(INDEX('Cost_Components'!$M$2:$M$27,MATCH(E997,'Cost_Components'!$A$2:$A$27,0)),"")</f>
      </c>
      <c r="AD997" s="84" t="str">
        <f>IFERROR(INDEX('Cost_Components'!$N$2:$N$27,MATCH(E997,'Cost_Components'!$A$2:$A$27,0)),"")</f>
      </c>
      <c r="AE997" s="20" t="str">
        <f>IFERROR(INDEX('Cost_Components'!$O$2:$O$27,MATCH(E997,'Cost_Components'!$A$2:$A$27,0)),"")</f>
      </c>
      <c r="AF997" s="85" t="n">
        <v>5611303.56990719</v>
      </c>
      <c r="AG997" s="86" t="n">
        <v>5749760.92998007</v>
      </c>
      <c r="AH997" s="87" t="str">
        <f>IF(H997="shared-count-once",COUNTIFS($A$2:$A$1353,A997,$B$2:$B$1353,B997,$E$2:$E$1353,E997),1)</f>
      </c>
    </row>
    <row r="998">
      <c r="A998" t="s">
        <v>75</v>
      </c>
      <c r="B998" s="59" t="n">
        <v>2033</v>
      </c>
      <c r="C998" t="s">
        <v>200</v>
      </c>
      <c r="D998" t="s">
        <v>180</v>
      </c>
      <c r="E998" s="60" t="s">
        <v>289</v>
      </c>
      <c r="F998" s="61" t="s">
        <v>290</v>
      </c>
      <c r="G998" s="62" t="s">
        <v>204</v>
      </c>
      <c r="H998" s="63" t="s">
        <v>195</v>
      </c>
      <c r="I998" s="64" t="s">
        <v>267</v>
      </c>
      <c r="J998" s="65" t="str">
        <f>IFERROR(INDEX('Cost_Components'!$K$2:$K$27,MATCH(E998,'Cost_Components'!$A$2:$A$27,0)),"")</f>
      </c>
      <c r="K998" s="66" t="str">
        <f>IF(OR(L998="",Z998="",AA998="",AB998=""),"",IF(B998&lt;AA998,L998,IF(B998&gt;AB998,Z998,L998+(Z998-L998)*MIN(MAX((B998-AA998+1)/MAX(AB998-AA998+1,1),0),1))))</f>
      </c>
      <c r="L998" s="67" t="str">
        <f>IFERROR(INDEX('Cost_Components'!$S$2:$S$27,MATCH(E998,'Cost_Components'!$A$2:$A$27,0)),"")</f>
      </c>
      <c r="M998" s="68" t="str">
        <f>IFERROR(INDEX('Cost_Components'!$L$2:$L$27,MATCH(E998,'Cost_Components'!$A$2:$A$27,0)),"")</f>
      </c>
      <c r="N998" s="69" t="str">
        <f>IFERROR(INDEX('Cost_Components'!$P$2:$P$27,MATCH(E998,'Cost_Components'!$A$2:$A$27,0)),"")</f>
      </c>
      <c r="O998" s="70" t="str">
        <f>AF998*J998</f>
      </c>
      <c r="P998" s="71" t="str">
        <f>AG998*J998</f>
      </c>
      <c r="Q998" s="72" t="str">
        <f>P998*L998*M998*N998</f>
      </c>
      <c r="R998" s="73" t="str">
        <f>O998*K998*M998*N998</f>
      </c>
      <c r="S998" s="74" t="str">
        <f>R998-Q998</f>
      </c>
      <c r="T998" s="20" t="str">
        <f>IFERROR(INDEX('Cost_Components'!$R$2:$R$27,MATCH(E998,'Cost_Components'!$A$2:$A$27,0)),"")</f>
      </c>
      <c r="U998" s="75" t="str">
        <f>IFERROR(INDEX('Cost_Components'!$Q$2:$Q$27,MATCH(E998,'Cost_Components'!$A$2:$A$27,0)),"")</f>
      </c>
      <c r="V998" s="76" t="str">
        <f>1/(1+'Calculation_Assumptions'!$B$5)^(B998-'Calculation_Assumptions'!$B$2)</f>
      </c>
      <c r="W998" s="77" t="str">
        <f>Q998*V998</f>
      </c>
      <c r="X998" s="78" t="str">
        <f>R998*V998</f>
      </c>
      <c r="Y998" s="79" t="str">
        <f>S998*V998</f>
      </c>
      <c r="Z998" s="80" t="str">
        <f>IFERROR(INDEX('Cost_Components'!$T$2:$T$27,MATCH(E998,'Cost_Components'!$A$2:$A$27,0)),"")</f>
      </c>
      <c r="AA998" s="81" t="str">
        <f>IFERROR(INDEX('Cost_Components'!$U$2:$U$27,MATCH(E998,'Cost_Components'!$A$2:$A$27,0)),"")</f>
      </c>
      <c r="AB998" s="82" t="str">
        <f>IFERROR(INDEX('Cost_Components'!$V$2:$V$27,MATCH(E998,'Cost_Components'!$A$2:$A$27,0)),"")</f>
      </c>
      <c r="AC998" s="83" t="str">
        <f>IFERROR(INDEX('Cost_Components'!$M$2:$M$27,MATCH(E998,'Cost_Components'!$A$2:$A$27,0)),"")</f>
      </c>
      <c r="AD998" s="84" t="str">
        <f>IFERROR(INDEX('Cost_Components'!$N$2:$N$27,MATCH(E998,'Cost_Components'!$A$2:$A$27,0)),"")</f>
      </c>
      <c r="AE998" s="20" t="str">
        <f>IFERROR(INDEX('Cost_Components'!$O$2:$O$27,MATCH(E998,'Cost_Components'!$A$2:$A$27,0)),"")</f>
      </c>
      <c r="AF998" s="85" t="n">
        <v>5693742.79106781</v>
      </c>
      <c r="AG998" s="86" t="n">
        <v>5864146.54515379</v>
      </c>
      <c r="AH998" s="87" t="str">
        <f>IF(H998="shared-count-once",COUNTIFS($A$2:$A$1353,A998,$B$2:$B$1353,B998,$E$2:$E$1353,E998),1)</f>
      </c>
    </row>
    <row r="999">
      <c r="A999" t="s">
        <v>75</v>
      </c>
      <c r="B999" s="59" t="n">
        <v>2034</v>
      </c>
      <c r="C999" t="s">
        <v>200</v>
      </c>
      <c r="D999" t="s">
        <v>180</v>
      </c>
      <c r="E999" s="60" t="s">
        <v>289</v>
      </c>
      <c r="F999" s="61" t="s">
        <v>290</v>
      </c>
      <c r="G999" s="62" t="s">
        <v>204</v>
      </c>
      <c r="H999" s="63" t="s">
        <v>195</v>
      </c>
      <c r="I999" s="64" t="s">
        <v>267</v>
      </c>
      <c r="J999" s="65" t="str">
        <f>IFERROR(INDEX('Cost_Components'!$K$2:$K$27,MATCH(E999,'Cost_Components'!$A$2:$A$27,0)),"")</f>
      </c>
      <c r="K999" s="66" t="str">
        <f>IF(OR(L999="",Z999="",AA999="",AB999=""),"",IF(B999&lt;AA999,L999,IF(B999&gt;AB999,Z999,L999+(Z999-L999)*MIN(MAX((B999-AA999+1)/MAX(AB999-AA999+1,1),0),1))))</f>
      </c>
      <c r="L999" s="67" t="str">
        <f>IFERROR(INDEX('Cost_Components'!$S$2:$S$27,MATCH(E999,'Cost_Components'!$A$2:$A$27,0)),"")</f>
      </c>
      <c r="M999" s="68" t="str">
        <f>IFERROR(INDEX('Cost_Components'!$L$2:$L$27,MATCH(E999,'Cost_Components'!$A$2:$A$27,0)),"")</f>
      </c>
      <c r="N999" s="69" t="str">
        <f>IFERROR(INDEX('Cost_Components'!$P$2:$P$27,MATCH(E999,'Cost_Components'!$A$2:$A$27,0)),"")</f>
      </c>
      <c r="O999" s="70" t="str">
        <f>AF999*J999</f>
      </c>
      <c r="P999" s="71" t="str">
        <f>AG999*J999</f>
      </c>
      <c r="Q999" s="72" t="str">
        <f>P999*L999*M999*N999</f>
      </c>
      <c r="R999" s="73" t="str">
        <f>O999*K999*M999*N999</f>
      </c>
      <c r="S999" s="74" t="str">
        <f>R999-Q999</f>
      </c>
      <c r="T999" s="20" t="str">
        <f>IFERROR(INDEX('Cost_Components'!$R$2:$R$27,MATCH(E999,'Cost_Components'!$A$2:$A$27,0)),"")</f>
      </c>
      <c r="U999" s="75" t="str">
        <f>IFERROR(INDEX('Cost_Components'!$Q$2:$Q$27,MATCH(E999,'Cost_Components'!$A$2:$A$27,0)),"")</f>
      </c>
      <c r="V999" s="76" t="str">
        <f>1/(1+'Calculation_Assumptions'!$B$5)^(B999-'Calculation_Assumptions'!$B$2)</f>
      </c>
      <c r="W999" s="77" t="str">
        <f>Q999*V999</f>
      </c>
      <c r="X999" s="78" t="str">
        <f>R999*V999</f>
      </c>
      <c r="Y999" s="79" t="str">
        <f>S999*V999</f>
      </c>
      <c r="Z999" s="80" t="str">
        <f>IFERROR(INDEX('Cost_Components'!$T$2:$T$27,MATCH(E999,'Cost_Components'!$A$2:$A$27,0)),"")</f>
      </c>
      <c r="AA999" s="81" t="str">
        <f>IFERROR(INDEX('Cost_Components'!$U$2:$U$27,MATCH(E999,'Cost_Components'!$A$2:$A$27,0)),"")</f>
      </c>
      <c r="AB999" s="82" t="str">
        <f>IFERROR(INDEX('Cost_Components'!$V$2:$V$27,MATCH(E999,'Cost_Components'!$A$2:$A$27,0)),"")</f>
      </c>
      <c r="AC999" s="83" t="str">
        <f>IFERROR(INDEX('Cost_Components'!$M$2:$M$27,MATCH(E999,'Cost_Components'!$A$2:$A$27,0)),"")</f>
      </c>
      <c r="AD999" s="84" t="str">
        <f>IFERROR(INDEX('Cost_Components'!$N$2:$N$27,MATCH(E999,'Cost_Components'!$A$2:$A$27,0)),"")</f>
      </c>
      <c r="AE999" s="20" t="str">
        <f>IFERROR(INDEX('Cost_Components'!$O$2:$O$27,MATCH(E999,'Cost_Components'!$A$2:$A$27,0)),"")</f>
      </c>
      <c r="AF999" s="85" t="n">
        <v>5775056.5816114</v>
      </c>
      <c r="AG999" s="86" t="n">
        <v>5979832.51047759</v>
      </c>
      <c r="AH999" s="87" t="str">
        <f>IF(H999="shared-count-once",COUNTIFS($A$2:$A$1353,A999,$B$2:$B$1353,B999,$E$2:$E$1353,E999),1)</f>
      </c>
    </row>
    <row r="1000">
      <c r="A1000" t="s">
        <v>75</v>
      </c>
      <c r="B1000" s="59" t="n">
        <v>2035</v>
      </c>
      <c r="C1000" t="s">
        <v>200</v>
      </c>
      <c r="D1000" t="s">
        <v>180</v>
      </c>
      <c r="E1000" s="60" t="s">
        <v>289</v>
      </c>
      <c r="F1000" s="61" t="s">
        <v>290</v>
      </c>
      <c r="G1000" s="62" t="s">
        <v>204</v>
      </c>
      <c r="H1000" s="63" t="s">
        <v>195</v>
      </c>
      <c r="I1000" s="64" t="s">
        <v>267</v>
      </c>
      <c r="J1000" s="65" t="str">
        <f>IFERROR(INDEX('Cost_Components'!$K$2:$K$27,MATCH(E1000,'Cost_Components'!$A$2:$A$27,0)),"")</f>
      </c>
      <c r="K1000" s="66" t="str">
        <f>IF(OR(L1000="",Z1000="",AA1000="",AB1000=""),"",IF(B1000&lt;AA1000,L1000,IF(B1000&gt;AB1000,Z1000,L1000+(Z1000-L1000)*MIN(MAX((B1000-AA1000+1)/MAX(AB1000-AA1000+1,1),0),1))))</f>
      </c>
      <c r="L1000" s="67" t="str">
        <f>IFERROR(INDEX('Cost_Components'!$S$2:$S$27,MATCH(E1000,'Cost_Components'!$A$2:$A$27,0)),"")</f>
      </c>
      <c r="M1000" s="68" t="str">
        <f>IFERROR(INDEX('Cost_Components'!$L$2:$L$27,MATCH(E1000,'Cost_Components'!$A$2:$A$27,0)),"")</f>
      </c>
      <c r="N1000" s="69" t="str">
        <f>IFERROR(INDEX('Cost_Components'!$P$2:$P$27,MATCH(E1000,'Cost_Components'!$A$2:$A$27,0)),"")</f>
      </c>
      <c r="O1000" s="70" t="str">
        <f>AF1000*J1000</f>
      </c>
      <c r="P1000" s="71" t="str">
        <f>AG1000*J1000</f>
      </c>
      <c r="Q1000" s="72" t="str">
        <f>P1000*L1000*M1000*N1000</f>
      </c>
      <c r="R1000" s="73" t="str">
        <f>O1000*K1000*M1000*N1000</f>
      </c>
      <c r="S1000" s="74" t="str">
        <f>R1000-Q1000</f>
      </c>
      <c r="T1000" s="20" t="str">
        <f>IFERROR(INDEX('Cost_Components'!$R$2:$R$27,MATCH(E1000,'Cost_Components'!$A$2:$A$27,0)),"")</f>
      </c>
      <c r="U1000" s="75" t="str">
        <f>IFERROR(INDEX('Cost_Components'!$Q$2:$Q$27,MATCH(E1000,'Cost_Components'!$A$2:$A$27,0)),"")</f>
      </c>
      <c r="V1000" s="76" t="str">
        <f>1/(1+'Calculation_Assumptions'!$B$5)^(B1000-'Calculation_Assumptions'!$B$2)</f>
      </c>
      <c r="W1000" s="77" t="str">
        <f>Q1000*V1000</f>
      </c>
      <c r="X1000" s="78" t="str">
        <f>R1000*V1000</f>
      </c>
      <c r="Y1000" s="79" t="str">
        <f>S1000*V1000</f>
      </c>
      <c r="Z1000" s="80" t="str">
        <f>IFERROR(INDEX('Cost_Components'!$T$2:$T$27,MATCH(E1000,'Cost_Components'!$A$2:$A$27,0)),"")</f>
      </c>
      <c r="AA1000" s="81" t="str">
        <f>IFERROR(INDEX('Cost_Components'!$U$2:$U$27,MATCH(E1000,'Cost_Components'!$A$2:$A$27,0)),"")</f>
      </c>
      <c r="AB1000" s="82" t="str">
        <f>IFERROR(INDEX('Cost_Components'!$V$2:$V$27,MATCH(E1000,'Cost_Components'!$A$2:$A$27,0)),"")</f>
      </c>
      <c r="AC1000" s="83" t="str">
        <f>IFERROR(INDEX('Cost_Components'!$M$2:$M$27,MATCH(E1000,'Cost_Components'!$A$2:$A$27,0)),"")</f>
      </c>
      <c r="AD1000" s="84" t="str">
        <f>IFERROR(INDEX('Cost_Components'!$N$2:$N$27,MATCH(E1000,'Cost_Components'!$A$2:$A$27,0)),"")</f>
      </c>
      <c r="AE1000" s="20" t="str">
        <f>IFERROR(INDEX('Cost_Components'!$O$2:$O$27,MATCH(E1000,'Cost_Components'!$A$2:$A$27,0)),"")</f>
      </c>
      <c r="AF1000" s="85" t="n">
        <v>5854440.19524261</v>
      </c>
      <c r="AG1000" s="86" t="n">
        <v>6096161.90235007</v>
      </c>
      <c r="AH1000" s="87" t="str">
        <f>IF(H1000="shared-count-once",COUNTIFS($A$2:$A$1353,A1000,$B$2:$B$1353,B1000,$E$2:$E$1353,E1000),1)</f>
      </c>
    </row>
    <row r="1001">
      <c r="A1001" t="s">
        <v>75</v>
      </c>
      <c r="B1001" s="59" t="n">
        <v>2036</v>
      </c>
      <c r="C1001" t="s">
        <v>200</v>
      </c>
      <c r="D1001" t="s">
        <v>180</v>
      </c>
      <c r="E1001" s="60" t="s">
        <v>289</v>
      </c>
      <c r="F1001" s="61" t="s">
        <v>290</v>
      </c>
      <c r="G1001" s="62" t="s">
        <v>204</v>
      </c>
      <c r="H1001" s="63" t="s">
        <v>195</v>
      </c>
      <c r="I1001" s="64" t="s">
        <v>267</v>
      </c>
      <c r="J1001" s="65" t="str">
        <f>IFERROR(INDEX('Cost_Components'!$K$2:$K$27,MATCH(E1001,'Cost_Components'!$A$2:$A$27,0)),"")</f>
      </c>
      <c r="K1001" s="66" t="str">
        <f>IF(OR(L1001="",Z1001="",AA1001="",AB1001=""),"",IF(B1001&lt;AA1001,L1001,IF(B1001&gt;AB1001,Z1001,L1001+(Z1001-L1001)*MIN(MAX((B1001-AA1001+1)/MAX(AB1001-AA1001+1,1),0),1))))</f>
      </c>
      <c r="L1001" s="67" t="str">
        <f>IFERROR(INDEX('Cost_Components'!$S$2:$S$27,MATCH(E1001,'Cost_Components'!$A$2:$A$27,0)),"")</f>
      </c>
      <c r="M1001" s="68" t="str">
        <f>IFERROR(INDEX('Cost_Components'!$L$2:$L$27,MATCH(E1001,'Cost_Components'!$A$2:$A$27,0)),"")</f>
      </c>
      <c r="N1001" s="69" t="str">
        <f>IFERROR(INDEX('Cost_Components'!$P$2:$P$27,MATCH(E1001,'Cost_Components'!$A$2:$A$27,0)),"")</f>
      </c>
      <c r="O1001" s="70" t="str">
        <f>AF1001*J1001</f>
      </c>
      <c r="P1001" s="71" t="str">
        <f>AG1001*J1001</f>
      </c>
      <c r="Q1001" s="72" t="str">
        <f>P1001*L1001*M1001*N1001</f>
      </c>
      <c r="R1001" s="73" t="str">
        <f>O1001*K1001*M1001*N1001</f>
      </c>
      <c r="S1001" s="74" t="str">
        <f>R1001-Q1001</f>
      </c>
      <c r="T1001" s="20" t="str">
        <f>IFERROR(INDEX('Cost_Components'!$R$2:$R$27,MATCH(E1001,'Cost_Components'!$A$2:$A$27,0)),"")</f>
      </c>
      <c r="U1001" s="75" t="str">
        <f>IFERROR(INDEX('Cost_Components'!$Q$2:$Q$27,MATCH(E1001,'Cost_Components'!$A$2:$A$27,0)),"")</f>
      </c>
      <c r="V1001" s="76" t="str">
        <f>1/(1+'Calculation_Assumptions'!$B$5)^(B1001-'Calculation_Assumptions'!$B$2)</f>
      </c>
      <c r="W1001" s="77" t="str">
        <f>Q1001*V1001</f>
      </c>
      <c r="X1001" s="78" t="str">
        <f>R1001*V1001</f>
      </c>
      <c r="Y1001" s="79" t="str">
        <f>S1001*V1001</f>
      </c>
      <c r="Z1001" s="80" t="str">
        <f>IFERROR(INDEX('Cost_Components'!$T$2:$T$27,MATCH(E1001,'Cost_Components'!$A$2:$A$27,0)),"")</f>
      </c>
      <c r="AA1001" s="81" t="str">
        <f>IFERROR(INDEX('Cost_Components'!$U$2:$U$27,MATCH(E1001,'Cost_Components'!$A$2:$A$27,0)),"")</f>
      </c>
      <c r="AB1001" s="82" t="str">
        <f>IFERROR(INDEX('Cost_Components'!$V$2:$V$27,MATCH(E1001,'Cost_Components'!$A$2:$A$27,0)),"")</f>
      </c>
      <c r="AC1001" s="83" t="str">
        <f>IFERROR(INDEX('Cost_Components'!$M$2:$M$27,MATCH(E1001,'Cost_Components'!$A$2:$A$27,0)),"")</f>
      </c>
      <c r="AD1001" s="84" t="str">
        <f>IFERROR(INDEX('Cost_Components'!$N$2:$N$27,MATCH(E1001,'Cost_Components'!$A$2:$A$27,0)),"")</f>
      </c>
      <c r="AE1001" s="20" t="str">
        <f>IFERROR(INDEX('Cost_Components'!$O$2:$O$27,MATCH(E1001,'Cost_Components'!$A$2:$A$27,0)),"")</f>
      </c>
      <c r="AF1001" s="85" t="n">
        <v>5931780.74418408</v>
      </c>
      <c r="AG1001" s="86" t="n">
        <v>6212931.28695398</v>
      </c>
      <c r="AH1001" s="87" t="str">
        <f>IF(H1001="shared-count-once",COUNTIFS($A$2:$A$1353,A1001,$B$2:$B$1353,B1001,$E$2:$E$1353,E1001),1)</f>
      </c>
    </row>
    <row r="1002">
      <c r="A1002" t="s">
        <v>75</v>
      </c>
      <c r="B1002" s="59" t="n">
        <v>2037</v>
      </c>
      <c r="C1002" t="s">
        <v>200</v>
      </c>
      <c r="D1002" t="s">
        <v>180</v>
      </c>
      <c r="E1002" s="60" t="s">
        <v>289</v>
      </c>
      <c r="F1002" s="61" t="s">
        <v>290</v>
      </c>
      <c r="G1002" s="62" t="s">
        <v>204</v>
      </c>
      <c r="H1002" s="63" t="s">
        <v>195</v>
      </c>
      <c r="I1002" s="64" t="s">
        <v>267</v>
      </c>
      <c r="J1002" s="65" t="str">
        <f>IFERROR(INDEX('Cost_Components'!$K$2:$K$27,MATCH(E1002,'Cost_Components'!$A$2:$A$27,0)),"")</f>
      </c>
      <c r="K1002" s="66" t="str">
        <f>IF(OR(L1002="",Z1002="",AA1002="",AB1002=""),"",IF(B1002&lt;AA1002,L1002,IF(B1002&gt;AB1002,Z1002,L1002+(Z1002-L1002)*MIN(MAX((B1002-AA1002+1)/MAX(AB1002-AA1002+1,1),0),1))))</f>
      </c>
      <c r="L1002" s="67" t="str">
        <f>IFERROR(INDEX('Cost_Components'!$S$2:$S$27,MATCH(E1002,'Cost_Components'!$A$2:$A$27,0)),"")</f>
      </c>
      <c r="M1002" s="68" t="str">
        <f>IFERROR(INDEX('Cost_Components'!$L$2:$L$27,MATCH(E1002,'Cost_Components'!$A$2:$A$27,0)),"")</f>
      </c>
      <c r="N1002" s="69" t="str">
        <f>IFERROR(INDEX('Cost_Components'!$P$2:$P$27,MATCH(E1002,'Cost_Components'!$A$2:$A$27,0)),"")</f>
      </c>
      <c r="O1002" s="70" t="str">
        <f>AF1002*J1002</f>
      </c>
      <c r="P1002" s="71" t="str">
        <f>AG1002*J1002</f>
      </c>
      <c r="Q1002" s="72" t="str">
        <f>P1002*L1002*M1002*N1002</f>
      </c>
      <c r="R1002" s="73" t="str">
        <f>O1002*K1002*M1002*N1002</f>
      </c>
      <c r="S1002" s="74" t="str">
        <f>R1002-Q1002</f>
      </c>
      <c r="T1002" s="20" t="str">
        <f>IFERROR(INDEX('Cost_Components'!$R$2:$R$27,MATCH(E1002,'Cost_Components'!$A$2:$A$27,0)),"")</f>
      </c>
      <c r="U1002" s="75" t="str">
        <f>IFERROR(INDEX('Cost_Components'!$Q$2:$Q$27,MATCH(E1002,'Cost_Components'!$A$2:$A$27,0)),"")</f>
      </c>
      <c r="V1002" s="76" t="str">
        <f>1/(1+'Calculation_Assumptions'!$B$5)^(B1002-'Calculation_Assumptions'!$B$2)</f>
      </c>
      <c r="W1002" s="77" t="str">
        <f>Q1002*V1002</f>
      </c>
      <c r="X1002" s="78" t="str">
        <f>R1002*V1002</f>
      </c>
      <c r="Y1002" s="79" t="str">
        <f>S1002*V1002</f>
      </c>
      <c r="Z1002" s="80" t="str">
        <f>IFERROR(INDEX('Cost_Components'!$T$2:$T$27,MATCH(E1002,'Cost_Components'!$A$2:$A$27,0)),"")</f>
      </c>
      <c r="AA1002" s="81" t="str">
        <f>IFERROR(INDEX('Cost_Components'!$U$2:$U$27,MATCH(E1002,'Cost_Components'!$A$2:$A$27,0)),"")</f>
      </c>
      <c r="AB1002" s="82" t="str">
        <f>IFERROR(INDEX('Cost_Components'!$V$2:$V$27,MATCH(E1002,'Cost_Components'!$A$2:$A$27,0)),"")</f>
      </c>
      <c r="AC1002" s="83" t="str">
        <f>IFERROR(INDEX('Cost_Components'!$M$2:$M$27,MATCH(E1002,'Cost_Components'!$A$2:$A$27,0)),"")</f>
      </c>
      <c r="AD1002" s="84" t="str">
        <f>IFERROR(INDEX('Cost_Components'!$N$2:$N$27,MATCH(E1002,'Cost_Components'!$A$2:$A$27,0)),"")</f>
      </c>
      <c r="AE1002" s="20" t="str">
        <f>IFERROR(INDEX('Cost_Components'!$O$2:$O$27,MATCH(E1002,'Cost_Components'!$A$2:$A$27,0)),"")</f>
      </c>
      <c r="AF1002" s="85" t="n">
        <v>6007010.41300939</v>
      </c>
      <c r="AG1002" s="86" t="n">
        <v>6330015.78836299</v>
      </c>
      <c r="AH1002" s="87" t="str">
        <f>IF(H1002="shared-count-once",COUNTIFS($A$2:$A$1353,A1002,$B$2:$B$1353,B1002,$E$2:$E$1353,E1002),1)</f>
      </c>
    </row>
    <row r="1003">
      <c r="A1003" t="s">
        <v>75</v>
      </c>
      <c r="B1003" s="59" t="n">
        <v>2038</v>
      </c>
      <c r="C1003" t="s">
        <v>200</v>
      </c>
      <c r="D1003" t="s">
        <v>180</v>
      </c>
      <c r="E1003" s="60" t="s">
        <v>289</v>
      </c>
      <c r="F1003" s="61" t="s">
        <v>290</v>
      </c>
      <c r="G1003" s="62" t="s">
        <v>204</v>
      </c>
      <c r="H1003" s="63" t="s">
        <v>195</v>
      </c>
      <c r="I1003" s="64" t="s">
        <v>267</v>
      </c>
      <c r="J1003" s="65" t="str">
        <f>IFERROR(INDEX('Cost_Components'!$K$2:$K$27,MATCH(E1003,'Cost_Components'!$A$2:$A$27,0)),"")</f>
      </c>
      <c r="K1003" s="66" t="str">
        <f>IF(OR(L1003="",Z1003="",AA1003="",AB1003=""),"",IF(B1003&lt;AA1003,L1003,IF(B1003&gt;AB1003,Z1003,L1003+(Z1003-L1003)*MIN(MAX((B1003-AA1003+1)/MAX(AB1003-AA1003+1,1),0),1))))</f>
      </c>
      <c r="L1003" s="67" t="str">
        <f>IFERROR(INDEX('Cost_Components'!$S$2:$S$27,MATCH(E1003,'Cost_Components'!$A$2:$A$27,0)),"")</f>
      </c>
      <c r="M1003" s="68" t="str">
        <f>IFERROR(INDEX('Cost_Components'!$L$2:$L$27,MATCH(E1003,'Cost_Components'!$A$2:$A$27,0)),"")</f>
      </c>
      <c r="N1003" s="69" t="str">
        <f>IFERROR(INDEX('Cost_Components'!$P$2:$P$27,MATCH(E1003,'Cost_Components'!$A$2:$A$27,0)),"")</f>
      </c>
      <c r="O1003" s="70" t="str">
        <f>AF1003*J1003</f>
      </c>
      <c r="P1003" s="71" t="str">
        <f>AG1003*J1003</f>
      </c>
      <c r="Q1003" s="72" t="str">
        <f>P1003*L1003*M1003*N1003</f>
      </c>
      <c r="R1003" s="73" t="str">
        <f>O1003*K1003*M1003*N1003</f>
      </c>
      <c r="S1003" s="74" t="str">
        <f>R1003-Q1003</f>
      </c>
      <c r="T1003" s="20" t="str">
        <f>IFERROR(INDEX('Cost_Components'!$R$2:$R$27,MATCH(E1003,'Cost_Components'!$A$2:$A$27,0)),"")</f>
      </c>
      <c r="U1003" s="75" t="str">
        <f>IFERROR(INDEX('Cost_Components'!$Q$2:$Q$27,MATCH(E1003,'Cost_Components'!$A$2:$A$27,0)),"")</f>
      </c>
      <c r="V1003" s="76" t="str">
        <f>1/(1+'Calculation_Assumptions'!$B$5)^(B1003-'Calculation_Assumptions'!$B$2)</f>
      </c>
      <c r="W1003" s="77" t="str">
        <f>Q1003*V1003</f>
      </c>
      <c r="X1003" s="78" t="str">
        <f>R1003*V1003</f>
      </c>
      <c r="Y1003" s="79" t="str">
        <f>S1003*V1003</f>
      </c>
      <c r="Z1003" s="80" t="str">
        <f>IFERROR(INDEX('Cost_Components'!$T$2:$T$27,MATCH(E1003,'Cost_Components'!$A$2:$A$27,0)),"")</f>
      </c>
      <c r="AA1003" s="81" t="str">
        <f>IFERROR(INDEX('Cost_Components'!$U$2:$U$27,MATCH(E1003,'Cost_Components'!$A$2:$A$27,0)),"")</f>
      </c>
      <c r="AB1003" s="82" t="str">
        <f>IFERROR(INDEX('Cost_Components'!$V$2:$V$27,MATCH(E1003,'Cost_Components'!$A$2:$A$27,0)),"")</f>
      </c>
      <c r="AC1003" s="83" t="str">
        <f>IFERROR(INDEX('Cost_Components'!$M$2:$M$27,MATCH(E1003,'Cost_Components'!$A$2:$A$27,0)),"")</f>
      </c>
      <c r="AD1003" s="84" t="str">
        <f>IFERROR(INDEX('Cost_Components'!$N$2:$N$27,MATCH(E1003,'Cost_Components'!$A$2:$A$27,0)),"")</f>
      </c>
      <c r="AE1003" s="20" t="str">
        <f>IFERROR(INDEX('Cost_Components'!$O$2:$O$27,MATCH(E1003,'Cost_Components'!$A$2:$A$27,0)),"")</f>
      </c>
      <c r="AF1003" s="85" t="n">
        <v>6080227.03152789</v>
      </c>
      <c r="AG1003" s="86" t="n">
        <v>6447512.9889023</v>
      </c>
      <c r="AH1003" s="87" t="str">
        <f>IF(H1003="shared-count-once",COUNTIFS($A$2:$A$1353,A1003,$B$2:$B$1353,B1003,$E$2:$E$1353,E1003),1)</f>
      </c>
    </row>
    <row r="1004">
      <c r="A1004" t="s">
        <v>75</v>
      </c>
      <c r="B1004" s="59" t="n">
        <v>2039</v>
      </c>
      <c r="C1004" t="s">
        <v>200</v>
      </c>
      <c r="D1004" t="s">
        <v>180</v>
      </c>
      <c r="E1004" s="60" t="s">
        <v>289</v>
      </c>
      <c r="F1004" s="61" t="s">
        <v>290</v>
      </c>
      <c r="G1004" s="62" t="s">
        <v>204</v>
      </c>
      <c r="H1004" s="63" t="s">
        <v>195</v>
      </c>
      <c r="I1004" s="64" t="s">
        <v>267</v>
      </c>
      <c r="J1004" s="65" t="str">
        <f>IFERROR(INDEX('Cost_Components'!$K$2:$K$27,MATCH(E1004,'Cost_Components'!$A$2:$A$27,0)),"")</f>
      </c>
      <c r="K1004" s="66" t="str">
        <f>IF(OR(L1004="",Z1004="",AA1004="",AB1004=""),"",IF(B1004&lt;AA1004,L1004,IF(B1004&gt;AB1004,Z1004,L1004+(Z1004-L1004)*MIN(MAX((B1004-AA1004+1)/MAX(AB1004-AA1004+1,1),0),1))))</f>
      </c>
      <c r="L1004" s="67" t="str">
        <f>IFERROR(INDEX('Cost_Components'!$S$2:$S$27,MATCH(E1004,'Cost_Components'!$A$2:$A$27,0)),"")</f>
      </c>
      <c r="M1004" s="68" t="str">
        <f>IFERROR(INDEX('Cost_Components'!$L$2:$L$27,MATCH(E1004,'Cost_Components'!$A$2:$A$27,0)),"")</f>
      </c>
      <c r="N1004" s="69" t="str">
        <f>IFERROR(INDEX('Cost_Components'!$P$2:$P$27,MATCH(E1004,'Cost_Components'!$A$2:$A$27,0)),"")</f>
      </c>
      <c r="O1004" s="70" t="str">
        <f>AF1004*J1004</f>
      </c>
      <c r="P1004" s="71" t="str">
        <f>AG1004*J1004</f>
      </c>
      <c r="Q1004" s="72" t="str">
        <f>P1004*L1004*M1004*N1004</f>
      </c>
      <c r="R1004" s="73" t="str">
        <f>O1004*K1004*M1004*N1004</f>
      </c>
      <c r="S1004" s="74" t="str">
        <f>R1004-Q1004</f>
      </c>
      <c r="T1004" s="20" t="str">
        <f>IFERROR(INDEX('Cost_Components'!$R$2:$R$27,MATCH(E1004,'Cost_Components'!$A$2:$A$27,0)),"")</f>
      </c>
      <c r="U1004" s="75" t="str">
        <f>IFERROR(INDEX('Cost_Components'!$Q$2:$Q$27,MATCH(E1004,'Cost_Components'!$A$2:$A$27,0)),"")</f>
      </c>
      <c r="V1004" s="76" t="str">
        <f>1/(1+'Calculation_Assumptions'!$B$5)^(B1004-'Calculation_Assumptions'!$B$2)</f>
      </c>
      <c r="W1004" s="77" t="str">
        <f>Q1004*V1004</f>
      </c>
      <c r="X1004" s="78" t="str">
        <f>R1004*V1004</f>
      </c>
      <c r="Y1004" s="79" t="str">
        <f>S1004*V1004</f>
      </c>
      <c r="Z1004" s="80" t="str">
        <f>IFERROR(INDEX('Cost_Components'!$T$2:$T$27,MATCH(E1004,'Cost_Components'!$A$2:$A$27,0)),"")</f>
      </c>
      <c r="AA1004" s="81" t="str">
        <f>IFERROR(INDEX('Cost_Components'!$U$2:$U$27,MATCH(E1004,'Cost_Components'!$A$2:$A$27,0)),"")</f>
      </c>
      <c r="AB1004" s="82" t="str">
        <f>IFERROR(INDEX('Cost_Components'!$V$2:$V$27,MATCH(E1004,'Cost_Components'!$A$2:$A$27,0)),"")</f>
      </c>
      <c r="AC1004" s="83" t="str">
        <f>IFERROR(INDEX('Cost_Components'!$M$2:$M$27,MATCH(E1004,'Cost_Components'!$A$2:$A$27,0)),"")</f>
      </c>
      <c r="AD1004" s="84" t="str">
        <f>IFERROR(INDEX('Cost_Components'!$N$2:$N$27,MATCH(E1004,'Cost_Components'!$A$2:$A$27,0)),"")</f>
      </c>
      <c r="AE1004" s="20" t="str">
        <f>IFERROR(INDEX('Cost_Components'!$O$2:$O$27,MATCH(E1004,'Cost_Components'!$A$2:$A$27,0)),"")</f>
      </c>
      <c r="AF1004" s="85" t="n">
        <v>6150764.68663922</v>
      </c>
      <c r="AG1004" s="86" t="n">
        <v>6564073.62283021</v>
      </c>
      <c r="AH1004" s="87" t="str">
        <f>IF(H1004="shared-count-once",COUNTIFS($A$2:$A$1353,A1004,$B$2:$B$1353,B1004,$E$2:$E$1353,E1004),1)</f>
      </c>
    </row>
    <row r="1005">
      <c r="A1005" t="s">
        <v>75</v>
      </c>
      <c r="B1005" s="59" t="n">
        <v>2040</v>
      </c>
      <c r="C1005" t="s">
        <v>200</v>
      </c>
      <c r="D1005" t="s">
        <v>180</v>
      </c>
      <c r="E1005" s="60" t="s">
        <v>289</v>
      </c>
      <c r="F1005" s="61" t="s">
        <v>290</v>
      </c>
      <c r="G1005" s="62" t="s">
        <v>204</v>
      </c>
      <c r="H1005" s="63" t="s">
        <v>195</v>
      </c>
      <c r="I1005" s="64" t="s">
        <v>267</v>
      </c>
      <c r="J1005" s="65" t="str">
        <f>IFERROR(INDEX('Cost_Components'!$K$2:$K$27,MATCH(E1005,'Cost_Components'!$A$2:$A$27,0)),"")</f>
      </c>
      <c r="K1005" s="66" t="str">
        <f>IF(OR(L1005="",Z1005="",AA1005="",AB1005=""),"",IF(B1005&lt;AA1005,L1005,IF(B1005&gt;AB1005,Z1005,L1005+(Z1005-L1005)*MIN(MAX((B1005-AA1005+1)/MAX(AB1005-AA1005+1,1),0),1))))</f>
      </c>
      <c r="L1005" s="67" t="str">
        <f>IFERROR(INDEX('Cost_Components'!$S$2:$S$27,MATCH(E1005,'Cost_Components'!$A$2:$A$27,0)),"")</f>
      </c>
      <c r="M1005" s="68" t="str">
        <f>IFERROR(INDEX('Cost_Components'!$L$2:$L$27,MATCH(E1005,'Cost_Components'!$A$2:$A$27,0)),"")</f>
      </c>
      <c r="N1005" s="69" t="str">
        <f>IFERROR(INDEX('Cost_Components'!$P$2:$P$27,MATCH(E1005,'Cost_Components'!$A$2:$A$27,0)),"")</f>
      </c>
      <c r="O1005" s="70" t="str">
        <f>AF1005*J1005</f>
      </c>
      <c r="P1005" s="71" t="str">
        <f>AG1005*J1005</f>
      </c>
      <c r="Q1005" s="72" t="str">
        <f>P1005*L1005*M1005*N1005</f>
      </c>
      <c r="R1005" s="73" t="str">
        <f>O1005*K1005*M1005*N1005</f>
      </c>
      <c r="S1005" s="74" t="str">
        <f>R1005-Q1005</f>
      </c>
      <c r="T1005" s="20" t="str">
        <f>IFERROR(INDEX('Cost_Components'!$R$2:$R$27,MATCH(E1005,'Cost_Components'!$A$2:$A$27,0)),"")</f>
      </c>
      <c r="U1005" s="75" t="str">
        <f>IFERROR(INDEX('Cost_Components'!$Q$2:$Q$27,MATCH(E1005,'Cost_Components'!$A$2:$A$27,0)),"")</f>
      </c>
      <c r="V1005" s="76" t="str">
        <f>1/(1+'Calculation_Assumptions'!$B$5)^(B1005-'Calculation_Assumptions'!$B$2)</f>
      </c>
      <c r="W1005" s="77" t="str">
        <f>Q1005*V1005</f>
      </c>
      <c r="X1005" s="78" t="str">
        <f>R1005*V1005</f>
      </c>
      <c r="Y1005" s="79" t="str">
        <f>S1005*V1005</f>
      </c>
      <c r="Z1005" s="80" t="str">
        <f>IFERROR(INDEX('Cost_Components'!$T$2:$T$27,MATCH(E1005,'Cost_Components'!$A$2:$A$27,0)),"")</f>
      </c>
      <c r="AA1005" s="81" t="str">
        <f>IFERROR(INDEX('Cost_Components'!$U$2:$U$27,MATCH(E1005,'Cost_Components'!$A$2:$A$27,0)),"")</f>
      </c>
      <c r="AB1005" s="82" t="str">
        <f>IFERROR(INDEX('Cost_Components'!$V$2:$V$27,MATCH(E1005,'Cost_Components'!$A$2:$A$27,0)),"")</f>
      </c>
      <c r="AC1005" s="83" t="str">
        <f>IFERROR(INDEX('Cost_Components'!$M$2:$M$27,MATCH(E1005,'Cost_Components'!$A$2:$A$27,0)),"")</f>
      </c>
      <c r="AD1005" s="84" t="str">
        <f>IFERROR(INDEX('Cost_Components'!$N$2:$N$27,MATCH(E1005,'Cost_Components'!$A$2:$A$27,0)),"")</f>
      </c>
      <c r="AE1005" s="20" t="str">
        <f>IFERROR(INDEX('Cost_Components'!$O$2:$O$27,MATCH(E1005,'Cost_Components'!$A$2:$A$27,0)),"")</f>
      </c>
      <c r="AF1005" s="85" t="n">
        <v>6219295.51062842</v>
      </c>
      <c r="AG1005" s="86" t="n">
        <v>6680640.99764336</v>
      </c>
      <c r="AH1005" s="87" t="str">
        <f>IF(H1005="shared-count-once",COUNTIFS($A$2:$A$1353,A1005,$B$2:$B$1353,B1005,$E$2:$E$1353,E1005),1)</f>
      </c>
    </row>
    <row r="1006">
      <c r="A1006" t="s">
        <v>75</v>
      </c>
      <c r="B1006" s="59" t="n">
        <v>2041</v>
      </c>
      <c r="C1006" t="s">
        <v>200</v>
      </c>
      <c r="D1006" t="s">
        <v>180</v>
      </c>
      <c r="E1006" s="60" t="s">
        <v>289</v>
      </c>
      <c r="F1006" s="61" t="s">
        <v>290</v>
      </c>
      <c r="G1006" s="62" t="s">
        <v>204</v>
      </c>
      <c r="H1006" s="63" t="s">
        <v>195</v>
      </c>
      <c r="I1006" s="64" t="s">
        <v>267</v>
      </c>
      <c r="J1006" s="65" t="str">
        <f>IFERROR(INDEX('Cost_Components'!$K$2:$K$27,MATCH(E1006,'Cost_Components'!$A$2:$A$27,0)),"")</f>
      </c>
      <c r="K1006" s="66" t="str">
        <f>IF(OR(L1006="",Z1006="",AA1006="",AB1006=""),"",IF(B1006&lt;AA1006,L1006,IF(B1006&gt;AB1006,Z1006,L1006+(Z1006-L1006)*MIN(MAX((B1006-AA1006+1)/MAX(AB1006-AA1006+1,1),0),1))))</f>
      </c>
      <c r="L1006" s="67" t="str">
        <f>IFERROR(INDEX('Cost_Components'!$S$2:$S$27,MATCH(E1006,'Cost_Components'!$A$2:$A$27,0)),"")</f>
      </c>
      <c r="M1006" s="68" t="str">
        <f>IFERROR(INDEX('Cost_Components'!$L$2:$L$27,MATCH(E1006,'Cost_Components'!$A$2:$A$27,0)),"")</f>
      </c>
      <c r="N1006" s="69" t="str">
        <f>IFERROR(INDEX('Cost_Components'!$P$2:$P$27,MATCH(E1006,'Cost_Components'!$A$2:$A$27,0)),"")</f>
      </c>
      <c r="O1006" s="70" t="str">
        <f>AF1006*J1006</f>
      </c>
      <c r="P1006" s="71" t="str">
        <f>AG1006*J1006</f>
      </c>
      <c r="Q1006" s="72" t="str">
        <f>P1006*L1006*M1006*N1006</f>
      </c>
      <c r="R1006" s="73" t="str">
        <f>O1006*K1006*M1006*N1006</f>
      </c>
      <c r="S1006" s="74" t="str">
        <f>R1006-Q1006</f>
      </c>
      <c r="T1006" s="20" t="str">
        <f>IFERROR(INDEX('Cost_Components'!$R$2:$R$27,MATCH(E1006,'Cost_Components'!$A$2:$A$27,0)),"")</f>
      </c>
      <c r="U1006" s="75" t="str">
        <f>IFERROR(INDEX('Cost_Components'!$Q$2:$Q$27,MATCH(E1006,'Cost_Components'!$A$2:$A$27,0)),"")</f>
      </c>
      <c r="V1006" s="76" t="str">
        <f>1/(1+'Calculation_Assumptions'!$B$5)^(B1006-'Calculation_Assumptions'!$B$2)</f>
      </c>
      <c r="W1006" s="77" t="str">
        <f>Q1006*V1006</f>
      </c>
      <c r="X1006" s="78" t="str">
        <f>R1006*V1006</f>
      </c>
      <c r="Y1006" s="79" t="str">
        <f>S1006*V1006</f>
      </c>
      <c r="Z1006" s="80" t="str">
        <f>IFERROR(INDEX('Cost_Components'!$T$2:$T$27,MATCH(E1006,'Cost_Components'!$A$2:$A$27,0)),"")</f>
      </c>
      <c r="AA1006" s="81" t="str">
        <f>IFERROR(INDEX('Cost_Components'!$U$2:$U$27,MATCH(E1006,'Cost_Components'!$A$2:$A$27,0)),"")</f>
      </c>
      <c r="AB1006" s="82" t="str">
        <f>IFERROR(INDEX('Cost_Components'!$V$2:$V$27,MATCH(E1006,'Cost_Components'!$A$2:$A$27,0)),"")</f>
      </c>
      <c r="AC1006" s="83" t="str">
        <f>IFERROR(INDEX('Cost_Components'!$M$2:$M$27,MATCH(E1006,'Cost_Components'!$A$2:$A$27,0)),"")</f>
      </c>
      <c r="AD1006" s="84" t="str">
        <f>IFERROR(INDEX('Cost_Components'!$N$2:$N$27,MATCH(E1006,'Cost_Components'!$A$2:$A$27,0)),"")</f>
      </c>
      <c r="AE1006" s="20" t="str">
        <f>IFERROR(INDEX('Cost_Components'!$O$2:$O$27,MATCH(E1006,'Cost_Components'!$A$2:$A$27,0)),"")</f>
      </c>
      <c r="AF1006" s="85" t="n">
        <v>6285604.10132309</v>
      </c>
      <c r="AG1006" s="86" t="n">
        <v>6796959.57831694</v>
      </c>
      <c r="AH1006" s="87" t="str">
        <f>IF(H1006="shared-count-once",COUNTIFS($A$2:$A$1353,A1006,$B$2:$B$1353,B1006,$E$2:$E$1353,E1006),1)</f>
      </c>
    </row>
    <row r="1007">
      <c r="A1007" t="s">
        <v>75</v>
      </c>
      <c r="B1007" s="59" t="n">
        <v>2042</v>
      </c>
      <c r="C1007" t="s">
        <v>200</v>
      </c>
      <c r="D1007" t="s">
        <v>180</v>
      </c>
      <c r="E1007" s="60" t="s">
        <v>289</v>
      </c>
      <c r="F1007" s="61" t="s">
        <v>290</v>
      </c>
      <c r="G1007" s="62" t="s">
        <v>204</v>
      </c>
      <c r="H1007" s="63" t="s">
        <v>195</v>
      </c>
      <c r="I1007" s="64" t="s">
        <v>267</v>
      </c>
      <c r="J1007" s="65" t="str">
        <f>IFERROR(INDEX('Cost_Components'!$K$2:$K$27,MATCH(E1007,'Cost_Components'!$A$2:$A$27,0)),"")</f>
      </c>
      <c r="K1007" s="66" t="str">
        <f>IF(OR(L1007="",Z1007="",AA1007="",AB1007=""),"",IF(B1007&lt;AA1007,L1007,IF(B1007&gt;AB1007,Z1007,L1007+(Z1007-L1007)*MIN(MAX((B1007-AA1007+1)/MAX(AB1007-AA1007+1,1),0),1))))</f>
      </c>
      <c r="L1007" s="67" t="str">
        <f>IFERROR(INDEX('Cost_Components'!$S$2:$S$27,MATCH(E1007,'Cost_Components'!$A$2:$A$27,0)),"")</f>
      </c>
      <c r="M1007" s="68" t="str">
        <f>IFERROR(INDEX('Cost_Components'!$L$2:$L$27,MATCH(E1007,'Cost_Components'!$A$2:$A$27,0)),"")</f>
      </c>
      <c r="N1007" s="69" t="str">
        <f>IFERROR(INDEX('Cost_Components'!$P$2:$P$27,MATCH(E1007,'Cost_Components'!$A$2:$A$27,0)),"")</f>
      </c>
      <c r="O1007" s="70" t="str">
        <f>AF1007*J1007</f>
      </c>
      <c r="P1007" s="71" t="str">
        <f>AG1007*J1007</f>
      </c>
      <c r="Q1007" s="72" t="str">
        <f>P1007*L1007*M1007*N1007</f>
      </c>
      <c r="R1007" s="73" t="str">
        <f>O1007*K1007*M1007*N1007</f>
      </c>
      <c r="S1007" s="74" t="str">
        <f>R1007-Q1007</f>
      </c>
      <c r="T1007" s="20" t="str">
        <f>IFERROR(INDEX('Cost_Components'!$R$2:$R$27,MATCH(E1007,'Cost_Components'!$A$2:$A$27,0)),"")</f>
      </c>
      <c r="U1007" s="75" t="str">
        <f>IFERROR(INDEX('Cost_Components'!$Q$2:$Q$27,MATCH(E1007,'Cost_Components'!$A$2:$A$27,0)),"")</f>
      </c>
      <c r="V1007" s="76" t="str">
        <f>1/(1+'Calculation_Assumptions'!$B$5)^(B1007-'Calculation_Assumptions'!$B$2)</f>
      </c>
      <c r="W1007" s="77" t="str">
        <f>Q1007*V1007</f>
      </c>
      <c r="X1007" s="78" t="str">
        <f>R1007*V1007</f>
      </c>
      <c r="Y1007" s="79" t="str">
        <f>S1007*V1007</f>
      </c>
      <c r="Z1007" s="80" t="str">
        <f>IFERROR(INDEX('Cost_Components'!$T$2:$T$27,MATCH(E1007,'Cost_Components'!$A$2:$A$27,0)),"")</f>
      </c>
      <c r="AA1007" s="81" t="str">
        <f>IFERROR(INDEX('Cost_Components'!$U$2:$U$27,MATCH(E1007,'Cost_Components'!$A$2:$A$27,0)),"")</f>
      </c>
      <c r="AB1007" s="82" t="str">
        <f>IFERROR(INDEX('Cost_Components'!$V$2:$V$27,MATCH(E1007,'Cost_Components'!$A$2:$A$27,0)),"")</f>
      </c>
      <c r="AC1007" s="83" t="str">
        <f>IFERROR(INDEX('Cost_Components'!$M$2:$M$27,MATCH(E1007,'Cost_Components'!$A$2:$A$27,0)),"")</f>
      </c>
      <c r="AD1007" s="84" t="str">
        <f>IFERROR(INDEX('Cost_Components'!$N$2:$N$27,MATCH(E1007,'Cost_Components'!$A$2:$A$27,0)),"")</f>
      </c>
      <c r="AE1007" s="20" t="str">
        <f>IFERROR(INDEX('Cost_Components'!$O$2:$O$27,MATCH(E1007,'Cost_Components'!$A$2:$A$27,0)),"")</f>
      </c>
      <c r="AF1007" s="85" t="n">
        <v>6349736.76648282</v>
      </c>
      <c r="AG1007" s="86" t="n">
        <v>6913099.8808547</v>
      </c>
      <c r="AH1007" s="87" t="str">
        <f>IF(H1007="shared-count-once",COUNTIFS($A$2:$A$1353,A1007,$B$2:$B$1353,B1007,$E$2:$E$1353,E1007),1)</f>
      </c>
    </row>
    <row r="1008">
      <c r="A1008" t="s">
        <v>75</v>
      </c>
      <c r="B1008" s="59" t="n">
        <v>2043</v>
      </c>
      <c r="C1008" t="s">
        <v>200</v>
      </c>
      <c r="D1008" t="s">
        <v>180</v>
      </c>
      <c r="E1008" s="60" t="s">
        <v>289</v>
      </c>
      <c r="F1008" s="61" t="s">
        <v>290</v>
      </c>
      <c r="G1008" s="62" t="s">
        <v>204</v>
      </c>
      <c r="H1008" s="63" t="s">
        <v>195</v>
      </c>
      <c r="I1008" s="64" t="s">
        <v>267</v>
      </c>
      <c r="J1008" s="65" t="str">
        <f>IFERROR(INDEX('Cost_Components'!$K$2:$K$27,MATCH(E1008,'Cost_Components'!$A$2:$A$27,0)),"")</f>
      </c>
      <c r="K1008" s="66" t="str">
        <f>IF(OR(L1008="",Z1008="",AA1008="",AB1008=""),"",IF(B1008&lt;AA1008,L1008,IF(B1008&gt;AB1008,Z1008,L1008+(Z1008-L1008)*MIN(MAX((B1008-AA1008+1)/MAX(AB1008-AA1008+1,1),0),1))))</f>
      </c>
      <c r="L1008" s="67" t="str">
        <f>IFERROR(INDEX('Cost_Components'!$S$2:$S$27,MATCH(E1008,'Cost_Components'!$A$2:$A$27,0)),"")</f>
      </c>
      <c r="M1008" s="68" t="str">
        <f>IFERROR(INDEX('Cost_Components'!$L$2:$L$27,MATCH(E1008,'Cost_Components'!$A$2:$A$27,0)),"")</f>
      </c>
      <c r="N1008" s="69" t="str">
        <f>IFERROR(INDEX('Cost_Components'!$P$2:$P$27,MATCH(E1008,'Cost_Components'!$A$2:$A$27,0)),"")</f>
      </c>
      <c r="O1008" s="70" t="str">
        <f>AF1008*J1008</f>
      </c>
      <c r="P1008" s="71" t="str">
        <f>AG1008*J1008</f>
      </c>
      <c r="Q1008" s="72" t="str">
        <f>P1008*L1008*M1008*N1008</f>
      </c>
      <c r="R1008" s="73" t="str">
        <f>O1008*K1008*M1008*N1008</f>
      </c>
      <c r="S1008" s="74" t="str">
        <f>R1008-Q1008</f>
      </c>
      <c r="T1008" s="20" t="str">
        <f>IFERROR(INDEX('Cost_Components'!$R$2:$R$27,MATCH(E1008,'Cost_Components'!$A$2:$A$27,0)),"")</f>
      </c>
      <c r="U1008" s="75" t="str">
        <f>IFERROR(INDEX('Cost_Components'!$Q$2:$Q$27,MATCH(E1008,'Cost_Components'!$A$2:$A$27,0)),"")</f>
      </c>
      <c r="V1008" s="76" t="str">
        <f>1/(1+'Calculation_Assumptions'!$B$5)^(B1008-'Calculation_Assumptions'!$B$2)</f>
      </c>
      <c r="W1008" s="77" t="str">
        <f>Q1008*V1008</f>
      </c>
      <c r="X1008" s="78" t="str">
        <f>R1008*V1008</f>
      </c>
      <c r="Y1008" s="79" t="str">
        <f>S1008*V1008</f>
      </c>
      <c r="Z1008" s="80" t="str">
        <f>IFERROR(INDEX('Cost_Components'!$T$2:$T$27,MATCH(E1008,'Cost_Components'!$A$2:$A$27,0)),"")</f>
      </c>
      <c r="AA1008" s="81" t="str">
        <f>IFERROR(INDEX('Cost_Components'!$U$2:$U$27,MATCH(E1008,'Cost_Components'!$A$2:$A$27,0)),"")</f>
      </c>
      <c r="AB1008" s="82" t="str">
        <f>IFERROR(INDEX('Cost_Components'!$V$2:$V$27,MATCH(E1008,'Cost_Components'!$A$2:$A$27,0)),"")</f>
      </c>
      <c r="AC1008" s="83" t="str">
        <f>IFERROR(INDEX('Cost_Components'!$M$2:$M$27,MATCH(E1008,'Cost_Components'!$A$2:$A$27,0)),"")</f>
      </c>
      <c r="AD1008" s="84" t="str">
        <f>IFERROR(INDEX('Cost_Components'!$N$2:$N$27,MATCH(E1008,'Cost_Components'!$A$2:$A$27,0)),"")</f>
      </c>
      <c r="AE1008" s="20" t="str">
        <f>IFERROR(INDEX('Cost_Components'!$O$2:$O$27,MATCH(E1008,'Cost_Components'!$A$2:$A$27,0)),"")</f>
      </c>
      <c r="AF1008" s="85" t="n">
        <v>6410935.29622537</v>
      </c>
      <c r="AG1008" s="86" t="n">
        <v>7028320.53609466</v>
      </c>
      <c r="AH1008" s="87" t="str">
        <f>IF(H1008="shared-count-once",COUNTIFS($A$2:$A$1353,A1008,$B$2:$B$1353,B1008,$E$2:$E$1353,E1008),1)</f>
      </c>
    </row>
    <row r="1009">
      <c r="A1009" t="s">
        <v>75</v>
      </c>
      <c r="B1009" s="59" t="n">
        <v>2044</v>
      </c>
      <c r="C1009" t="s">
        <v>200</v>
      </c>
      <c r="D1009" t="s">
        <v>180</v>
      </c>
      <c r="E1009" s="60" t="s">
        <v>289</v>
      </c>
      <c r="F1009" s="61" t="s">
        <v>290</v>
      </c>
      <c r="G1009" s="62" t="s">
        <v>204</v>
      </c>
      <c r="H1009" s="63" t="s">
        <v>195</v>
      </c>
      <c r="I1009" s="64" t="s">
        <v>267</v>
      </c>
      <c r="J1009" s="65" t="str">
        <f>IFERROR(INDEX('Cost_Components'!$K$2:$K$27,MATCH(E1009,'Cost_Components'!$A$2:$A$27,0)),"")</f>
      </c>
      <c r="K1009" s="66" t="str">
        <f>IF(OR(L1009="",Z1009="",AA1009="",AB1009=""),"",IF(B1009&lt;AA1009,L1009,IF(B1009&gt;AB1009,Z1009,L1009+(Z1009-L1009)*MIN(MAX((B1009-AA1009+1)/MAX(AB1009-AA1009+1,1),0),1))))</f>
      </c>
      <c r="L1009" s="67" t="str">
        <f>IFERROR(INDEX('Cost_Components'!$S$2:$S$27,MATCH(E1009,'Cost_Components'!$A$2:$A$27,0)),"")</f>
      </c>
      <c r="M1009" s="68" t="str">
        <f>IFERROR(INDEX('Cost_Components'!$L$2:$L$27,MATCH(E1009,'Cost_Components'!$A$2:$A$27,0)),"")</f>
      </c>
      <c r="N1009" s="69" t="str">
        <f>IFERROR(INDEX('Cost_Components'!$P$2:$P$27,MATCH(E1009,'Cost_Components'!$A$2:$A$27,0)),"")</f>
      </c>
      <c r="O1009" s="70" t="str">
        <f>AF1009*J1009</f>
      </c>
      <c r="P1009" s="71" t="str">
        <f>AG1009*J1009</f>
      </c>
      <c r="Q1009" s="72" t="str">
        <f>P1009*L1009*M1009*N1009</f>
      </c>
      <c r="R1009" s="73" t="str">
        <f>O1009*K1009*M1009*N1009</f>
      </c>
      <c r="S1009" s="74" t="str">
        <f>R1009-Q1009</f>
      </c>
      <c r="T1009" s="20" t="str">
        <f>IFERROR(INDEX('Cost_Components'!$R$2:$R$27,MATCH(E1009,'Cost_Components'!$A$2:$A$27,0)),"")</f>
      </c>
      <c r="U1009" s="75" t="str">
        <f>IFERROR(INDEX('Cost_Components'!$Q$2:$Q$27,MATCH(E1009,'Cost_Components'!$A$2:$A$27,0)),"")</f>
      </c>
      <c r="V1009" s="76" t="str">
        <f>1/(1+'Calculation_Assumptions'!$B$5)^(B1009-'Calculation_Assumptions'!$B$2)</f>
      </c>
      <c r="W1009" s="77" t="str">
        <f>Q1009*V1009</f>
      </c>
      <c r="X1009" s="78" t="str">
        <f>R1009*V1009</f>
      </c>
      <c r="Y1009" s="79" t="str">
        <f>S1009*V1009</f>
      </c>
      <c r="Z1009" s="80" t="str">
        <f>IFERROR(INDEX('Cost_Components'!$T$2:$T$27,MATCH(E1009,'Cost_Components'!$A$2:$A$27,0)),"")</f>
      </c>
      <c r="AA1009" s="81" t="str">
        <f>IFERROR(INDEX('Cost_Components'!$U$2:$U$27,MATCH(E1009,'Cost_Components'!$A$2:$A$27,0)),"")</f>
      </c>
      <c r="AB1009" s="82" t="str">
        <f>IFERROR(INDEX('Cost_Components'!$V$2:$V$27,MATCH(E1009,'Cost_Components'!$A$2:$A$27,0)),"")</f>
      </c>
      <c r="AC1009" s="83" t="str">
        <f>IFERROR(INDEX('Cost_Components'!$M$2:$M$27,MATCH(E1009,'Cost_Components'!$A$2:$A$27,0)),"")</f>
      </c>
      <c r="AD1009" s="84" t="str">
        <f>IFERROR(INDEX('Cost_Components'!$N$2:$N$27,MATCH(E1009,'Cost_Components'!$A$2:$A$27,0)),"")</f>
      </c>
      <c r="AE1009" s="20" t="str">
        <f>IFERROR(INDEX('Cost_Components'!$O$2:$O$27,MATCH(E1009,'Cost_Components'!$A$2:$A$27,0)),"")</f>
      </c>
      <c r="AF1009" s="85" t="n">
        <v>6465946.00959925</v>
      </c>
      <c r="AG1009" s="86" t="n">
        <v>7138623.97835749</v>
      </c>
      <c r="AH1009" s="87" t="str">
        <f>IF(H1009="shared-count-once",COUNTIFS($A$2:$A$1353,A1009,$B$2:$B$1353,B1009,$E$2:$E$1353,E1009),1)</f>
      </c>
    </row>
    <row r="1010">
      <c r="A1010" t="s">
        <v>75</v>
      </c>
      <c r="B1010" s="59" t="n">
        <v>2045</v>
      </c>
      <c r="C1010" t="s">
        <v>200</v>
      </c>
      <c r="D1010" t="s">
        <v>180</v>
      </c>
      <c r="E1010" s="60" t="s">
        <v>289</v>
      </c>
      <c r="F1010" s="61" t="s">
        <v>290</v>
      </c>
      <c r="G1010" s="62" t="s">
        <v>204</v>
      </c>
      <c r="H1010" s="63" t="s">
        <v>195</v>
      </c>
      <c r="I1010" s="64" t="s">
        <v>267</v>
      </c>
      <c r="J1010" s="65" t="str">
        <f>IFERROR(INDEX('Cost_Components'!$K$2:$K$27,MATCH(E1010,'Cost_Components'!$A$2:$A$27,0)),"")</f>
      </c>
      <c r="K1010" s="66" t="str">
        <f>IF(OR(L1010="",Z1010="",AA1010="",AB1010=""),"",IF(B1010&lt;AA1010,L1010,IF(B1010&gt;AB1010,Z1010,L1010+(Z1010-L1010)*MIN(MAX((B1010-AA1010+1)/MAX(AB1010-AA1010+1,1),0),1))))</f>
      </c>
      <c r="L1010" s="67" t="str">
        <f>IFERROR(INDEX('Cost_Components'!$S$2:$S$27,MATCH(E1010,'Cost_Components'!$A$2:$A$27,0)),"")</f>
      </c>
      <c r="M1010" s="68" t="str">
        <f>IFERROR(INDEX('Cost_Components'!$L$2:$L$27,MATCH(E1010,'Cost_Components'!$A$2:$A$27,0)),"")</f>
      </c>
      <c r="N1010" s="69" t="str">
        <f>IFERROR(INDEX('Cost_Components'!$P$2:$P$27,MATCH(E1010,'Cost_Components'!$A$2:$A$27,0)),"")</f>
      </c>
      <c r="O1010" s="70" t="str">
        <f>AF1010*J1010</f>
      </c>
      <c r="P1010" s="71" t="str">
        <f>AG1010*J1010</f>
      </c>
      <c r="Q1010" s="72" t="str">
        <f>P1010*L1010*M1010*N1010</f>
      </c>
      <c r="R1010" s="73" t="str">
        <f>O1010*K1010*M1010*N1010</f>
      </c>
      <c r="S1010" s="74" t="str">
        <f>R1010-Q1010</f>
      </c>
      <c r="T1010" s="20" t="str">
        <f>IFERROR(INDEX('Cost_Components'!$R$2:$R$27,MATCH(E1010,'Cost_Components'!$A$2:$A$27,0)),"")</f>
      </c>
      <c r="U1010" s="75" t="str">
        <f>IFERROR(INDEX('Cost_Components'!$Q$2:$Q$27,MATCH(E1010,'Cost_Components'!$A$2:$A$27,0)),"")</f>
      </c>
      <c r="V1010" s="76" t="str">
        <f>1/(1+'Calculation_Assumptions'!$B$5)^(B1010-'Calculation_Assumptions'!$B$2)</f>
      </c>
      <c r="W1010" s="77" t="str">
        <f>Q1010*V1010</f>
      </c>
      <c r="X1010" s="78" t="str">
        <f>R1010*V1010</f>
      </c>
      <c r="Y1010" s="79" t="str">
        <f>S1010*V1010</f>
      </c>
      <c r="Z1010" s="80" t="str">
        <f>IFERROR(INDEX('Cost_Components'!$T$2:$T$27,MATCH(E1010,'Cost_Components'!$A$2:$A$27,0)),"")</f>
      </c>
      <c r="AA1010" s="81" t="str">
        <f>IFERROR(INDEX('Cost_Components'!$U$2:$U$27,MATCH(E1010,'Cost_Components'!$A$2:$A$27,0)),"")</f>
      </c>
      <c r="AB1010" s="82" t="str">
        <f>IFERROR(INDEX('Cost_Components'!$V$2:$V$27,MATCH(E1010,'Cost_Components'!$A$2:$A$27,0)),"")</f>
      </c>
      <c r="AC1010" s="83" t="str">
        <f>IFERROR(INDEX('Cost_Components'!$M$2:$M$27,MATCH(E1010,'Cost_Components'!$A$2:$A$27,0)),"")</f>
      </c>
      <c r="AD1010" s="84" t="str">
        <f>IFERROR(INDEX('Cost_Components'!$N$2:$N$27,MATCH(E1010,'Cost_Components'!$A$2:$A$27,0)),"")</f>
      </c>
      <c r="AE1010" s="20" t="str">
        <f>IFERROR(INDEX('Cost_Components'!$O$2:$O$27,MATCH(E1010,'Cost_Components'!$A$2:$A$27,0)),"")</f>
      </c>
      <c r="AF1010" s="85" t="n">
        <v>6517225.77420429</v>
      </c>
      <c r="AG1010" s="86" t="n">
        <v>7246779.83544231</v>
      </c>
      <c r="AH1010" s="87" t="str">
        <f>IF(H1010="shared-count-once",COUNTIFS($A$2:$A$1353,A1010,$B$2:$B$1353,B1010,$E$2:$E$1353,E1010),1)</f>
      </c>
    </row>
    <row r="1011">
      <c r="A1011" t="s">
        <v>75</v>
      </c>
      <c r="B1011" s="59" t="n">
        <v>2046</v>
      </c>
      <c r="C1011" t="s">
        <v>200</v>
      </c>
      <c r="D1011" t="s">
        <v>180</v>
      </c>
      <c r="E1011" s="60" t="s">
        <v>289</v>
      </c>
      <c r="F1011" s="61" t="s">
        <v>290</v>
      </c>
      <c r="G1011" s="62" t="s">
        <v>204</v>
      </c>
      <c r="H1011" s="63" t="s">
        <v>195</v>
      </c>
      <c r="I1011" s="64" t="s">
        <v>267</v>
      </c>
      <c r="J1011" s="65" t="str">
        <f>IFERROR(INDEX('Cost_Components'!$K$2:$K$27,MATCH(E1011,'Cost_Components'!$A$2:$A$27,0)),"")</f>
      </c>
      <c r="K1011" s="66" t="str">
        <f>IF(OR(L1011="",Z1011="",AA1011="",AB1011=""),"",IF(B1011&lt;AA1011,L1011,IF(B1011&gt;AB1011,Z1011,L1011+(Z1011-L1011)*MIN(MAX((B1011-AA1011+1)/MAX(AB1011-AA1011+1,1),0),1))))</f>
      </c>
      <c r="L1011" s="67" t="str">
        <f>IFERROR(INDEX('Cost_Components'!$S$2:$S$27,MATCH(E1011,'Cost_Components'!$A$2:$A$27,0)),"")</f>
      </c>
      <c r="M1011" s="68" t="str">
        <f>IFERROR(INDEX('Cost_Components'!$L$2:$L$27,MATCH(E1011,'Cost_Components'!$A$2:$A$27,0)),"")</f>
      </c>
      <c r="N1011" s="69" t="str">
        <f>IFERROR(INDEX('Cost_Components'!$P$2:$P$27,MATCH(E1011,'Cost_Components'!$A$2:$A$27,0)),"")</f>
      </c>
      <c r="O1011" s="70" t="str">
        <f>AF1011*J1011</f>
      </c>
      <c r="P1011" s="71" t="str">
        <f>AG1011*J1011</f>
      </c>
      <c r="Q1011" s="72" t="str">
        <f>P1011*L1011*M1011*N1011</f>
      </c>
      <c r="R1011" s="73" t="str">
        <f>O1011*K1011*M1011*N1011</f>
      </c>
      <c r="S1011" s="74" t="str">
        <f>R1011-Q1011</f>
      </c>
      <c r="T1011" s="20" t="str">
        <f>IFERROR(INDEX('Cost_Components'!$R$2:$R$27,MATCH(E1011,'Cost_Components'!$A$2:$A$27,0)),"")</f>
      </c>
      <c r="U1011" s="75" t="str">
        <f>IFERROR(INDEX('Cost_Components'!$Q$2:$Q$27,MATCH(E1011,'Cost_Components'!$A$2:$A$27,0)),"")</f>
      </c>
      <c r="V1011" s="76" t="str">
        <f>1/(1+'Calculation_Assumptions'!$B$5)^(B1011-'Calculation_Assumptions'!$B$2)</f>
      </c>
      <c r="W1011" s="77" t="str">
        <f>Q1011*V1011</f>
      </c>
      <c r="X1011" s="78" t="str">
        <f>R1011*V1011</f>
      </c>
      <c r="Y1011" s="79" t="str">
        <f>S1011*V1011</f>
      </c>
      <c r="Z1011" s="80" t="str">
        <f>IFERROR(INDEX('Cost_Components'!$T$2:$T$27,MATCH(E1011,'Cost_Components'!$A$2:$A$27,0)),"")</f>
      </c>
      <c r="AA1011" s="81" t="str">
        <f>IFERROR(INDEX('Cost_Components'!$U$2:$U$27,MATCH(E1011,'Cost_Components'!$A$2:$A$27,0)),"")</f>
      </c>
      <c r="AB1011" s="82" t="str">
        <f>IFERROR(INDEX('Cost_Components'!$V$2:$V$27,MATCH(E1011,'Cost_Components'!$A$2:$A$27,0)),"")</f>
      </c>
      <c r="AC1011" s="83" t="str">
        <f>IFERROR(INDEX('Cost_Components'!$M$2:$M$27,MATCH(E1011,'Cost_Components'!$A$2:$A$27,0)),"")</f>
      </c>
      <c r="AD1011" s="84" t="str">
        <f>IFERROR(INDEX('Cost_Components'!$N$2:$N$27,MATCH(E1011,'Cost_Components'!$A$2:$A$27,0)),"")</f>
      </c>
      <c r="AE1011" s="20" t="str">
        <f>IFERROR(INDEX('Cost_Components'!$O$2:$O$27,MATCH(E1011,'Cost_Components'!$A$2:$A$27,0)),"")</f>
      </c>
      <c r="AF1011" s="85" t="n">
        <v>6564611.39100195</v>
      </c>
      <c r="AG1011" s="86" t="n">
        <v>7352671.00291986</v>
      </c>
      <c r="AH1011" s="87" t="str">
        <f>IF(H1011="shared-count-once",COUNTIFS($A$2:$A$1353,A1011,$B$2:$B$1353,B1011,$E$2:$E$1353,E1011),1)</f>
      </c>
    </row>
    <row r="1012">
      <c r="A1012" t="s">
        <v>75</v>
      </c>
      <c r="B1012" s="59" t="n">
        <v>2047</v>
      </c>
      <c r="C1012" t="s">
        <v>200</v>
      </c>
      <c r="D1012" t="s">
        <v>180</v>
      </c>
      <c r="E1012" s="60" t="s">
        <v>289</v>
      </c>
      <c r="F1012" s="61" t="s">
        <v>290</v>
      </c>
      <c r="G1012" s="62" t="s">
        <v>204</v>
      </c>
      <c r="H1012" s="63" t="s">
        <v>195</v>
      </c>
      <c r="I1012" s="64" t="s">
        <v>267</v>
      </c>
      <c r="J1012" s="65" t="str">
        <f>IFERROR(INDEX('Cost_Components'!$K$2:$K$27,MATCH(E1012,'Cost_Components'!$A$2:$A$27,0)),"")</f>
      </c>
      <c r="K1012" s="66" t="str">
        <f>IF(OR(L1012="",Z1012="",AA1012="",AB1012=""),"",IF(B1012&lt;AA1012,L1012,IF(B1012&gt;AB1012,Z1012,L1012+(Z1012-L1012)*MIN(MAX((B1012-AA1012+1)/MAX(AB1012-AA1012+1,1),0),1))))</f>
      </c>
      <c r="L1012" s="67" t="str">
        <f>IFERROR(INDEX('Cost_Components'!$S$2:$S$27,MATCH(E1012,'Cost_Components'!$A$2:$A$27,0)),"")</f>
      </c>
      <c r="M1012" s="68" t="str">
        <f>IFERROR(INDEX('Cost_Components'!$L$2:$L$27,MATCH(E1012,'Cost_Components'!$A$2:$A$27,0)),"")</f>
      </c>
      <c r="N1012" s="69" t="str">
        <f>IFERROR(INDEX('Cost_Components'!$P$2:$P$27,MATCH(E1012,'Cost_Components'!$A$2:$A$27,0)),"")</f>
      </c>
      <c r="O1012" s="70" t="str">
        <f>AF1012*J1012</f>
      </c>
      <c r="P1012" s="71" t="str">
        <f>AG1012*J1012</f>
      </c>
      <c r="Q1012" s="72" t="str">
        <f>P1012*L1012*M1012*N1012</f>
      </c>
      <c r="R1012" s="73" t="str">
        <f>O1012*K1012*M1012*N1012</f>
      </c>
      <c r="S1012" s="74" t="str">
        <f>R1012-Q1012</f>
      </c>
      <c r="T1012" s="20" t="str">
        <f>IFERROR(INDEX('Cost_Components'!$R$2:$R$27,MATCH(E1012,'Cost_Components'!$A$2:$A$27,0)),"")</f>
      </c>
      <c r="U1012" s="75" t="str">
        <f>IFERROR(INDEX('Cost_Components'!$Q$2:$Q$27,MATCH(E1012,'Cost_Components'!$A$2:$A$27,0)),"")</f>
      </c>
      <c r="V1012" s="76" t="str">
        <f>1/(1+'Calculation_Assumptions'!$B$5)^(B1012-'Calculation_Assumptions'!$B$2)</f>
      </c>
      <c r="W1012" s="77" t="str">
        <f>Q1012*V1012</f>
      </c>
      <c r="X1012" s="78" t="str">
        <f>R1012*V1012</f>
      </c>
      <c r="Y1012" s="79" t="str">
        <f>S1012*V1012</f>
      </c>
      <c r="Z1012" s="80" t="str">
        <f>IFERROR(INDEX('Cost_Components'!$T$2:$T$27,MATCH(E1012,'Cost_Components'!$A$2:$A$27,0)),"")</f>
      </c>
      <c r="AA1012" s="81" t="str">
        <f>IFERROR(INDEX('Cost_Components'!$U$2:$U$27,MATCH(E1012,'Cost_Components'!$A$2:$A$27,0)),"")</f>
      </c>
      <c r="AB1012" s="82" t="str">
        <f>IFERROR(INDEX('Cost_Components'!$V$2:$V$27,MATCH(E1012,'Cost_Components'!$A$2:$A$27,0)),"")</f>
      </c>
      <c r="AC1012" s="83" t="str">
        <f>IFERROR(INDEX('Cost_Components'!$M$2:$M$27,MATCH(E1012,'Cost_Components'!$A$2:$A$27,0)),"")</f>
      </c>
      <c r="AD1012" s="84" t="str">
        <f>IFERROR(INDEX('Cost_Components'!$N$2:$N$27,MATCH(E1012,'Cost_Components'!$A$2:$A$27,0)),"")</f>
      </c>
      <c r="AE1012" s="20" t="str">
        <f>IFERROR(INDEX('Cost_Components'!$O$2:$O$27,MATCH(E1012,'Cost_Components'!$A$2:$A$27,0)),"")</f>
      </c>
      <c r="AF1012" s="85" t="n">
        <v>6607210.84699514</v>
      </c>
      <c r="AG1012" s="86" t="n">
        <v>7455494.40605094</v>
      </c>
      <c r="AH1012" s="87" t="str">
        <f>IF(H1012="shared-count-once",COUNTIFS($A$2:$A$1353,A1012,$B$2:$B$1353,B1012,$E$2:$E$1353,E1012),1)</f>
      </c>
    </row>
    <row r="1013">
      <c r="A1013" t="s">
        <v>75</v>
      </c>
      <c r="B1013" s="59" t="n">
        <v>2048</v>
      </c>
      <c r="C1013" t="s">
        <v>200</v>
      </c>
      <c r="D1013" t="s">
        <v>180</v>
      </c>
      <c r="E1013" s="60" t="s">
        <v>289</v>
      </c>
      <c r="F1013" s="61" t="s">
        <v>290</v>
      </c>
      <c r="G1013" s="62" t="s">
        <v>204</v>
      </c>
      <c r="H1013" s="63" t="s">
        <v>195</v>
      </c>
      <c r="I1013" s="64" t="s">
        <v>267</v>
      </c>
      <c r="J1013" s="65" t="str">
        <f>IFERROR(INDEX('Cost_Components'!$K$2:$K$27,MATCH(E1013,'Cost_Components'!$A$2:$A$27,0)),"")</f>
      </c>
      <c r="K1013" s="66" t="str">
        <f>IF(OR(L1013="",Z1013="",AA1013="",AB1013=""),"",IF(B1013&lt;AA1013,L1013,IF(B1013&gt;AB1013,Z1013,L1013+(Z1013-L1013)*MIN(MAX((B1013-AA1013+1)/MAX(AB1013-AA1013+1,1),0),1))))</f>
      </c>
      <c r="L1013" s="67" t="str">
        <f>IFERROR(INDEX('Cost_Components'!$S$2:$S$27,MATCH(E1013,'Cost_Components'!$A$2:$A$27,0)),"")</f>
      </c>
      <c r="M1013" s="68" t="str">
        <f>IFERROR(INDEX('Cost_Components'!$L$2:$L$27,MATCH(E1013,'Cost_Components'!$A$2:$A$27,0)),"")</f>
      </c>
      <c r="N1013" s="69" t="str">
        <f>IFERROR(INDEX('Cost_Components'!$P$2:$P$27,MATCH(E1013,'Cost_Components'!$A$2:$A$27,0)),"")</f>
      </c>
      <c r="O1013" s="70" t="str">
        <f>AF1013*J1013</f>
      </c>
      <c r="P1013" s="71" t="str">
        <f>AG1013*J1013</f>
      </c>
      <c r="Q1013" s="72" t="str">
        <f>P1013*L1013*M1013*N1013</f>
      </c>
      <c r="R1013" s="73" t="str">
        <f>O1013*K1013*M1013*N1013</f>
      </c>
      <c r="S1013" s="74" t="str">
        <f>R1013-Q1013</f>
      </c>
      <c r="T1013" s="20" t="str">
        <f>IFERROR(INDEX('Cost_Components'!$R$2:$R$27,MATCH(E1013,'Cost_Components'!$A$2:$A$27,0)),"")</f>
      </c>
      <c r="U1013" s="75" t="str">
        <f>IFERROR(INDEX('Cost_Components'!$Q$2:$Q$27,MATCH(E1013,'Cost_Components'!$A$2:$A$27,0)),"")</f>
      </c>
      <c r="V1013" s="76" t="str">
        <f>1/(1+'Calculation_Assumptions'!$B$5)^(B1013-'Calculation_Assumptions'!$B$2)</f>
      </c>
      <c r="W1013" s="77" t="str">
        <f>Q1013*V1013</f>
      </c>
      <c r="X1013" s="78" t="str">
        <f>R1013*V1013</f>
      </c>
      <c r="Y1013" s="79" t="str">
        <f>S1013*V1013</f>
      </c>
      <c r="Z1013" s="80" t="str">
        <f>IFERROR(INDEX('Cost_Components'!$T$2:$T$27,MATCH(E1013,'Cost_Components'!$A$2:$A$27,0)),"")</f>
      </c>
      <c r="AA1013" s="81" t="str">
        <f>IFERROR(INDEX('Cost_Components'!$U$2:$U$27,MATCH(E1013,'Cost_Components'!$A$2:$A$27,0)),"")</f>
      </c>
      <c r="AB1013" s="82" t="str">
        <f>IFERROR(INDEX('Cost_Components'!$V$2:$V$27,MATCH(E1013,'Cost_Components'!$A$2:$A$27,0)),"")</f>
      </c>
      <c r="AC1013" s="83" t="str">
        <f>IFERROR(INDEX('Cost_Components'!$M$2:$M$27,MATCH(E1013,'Cost_Components'!$A$2:$A$27,0)),"")</f>
      </c>
      <c r="AD1013" s="84" t="str">
        <f>IFERROR(INDEX('Cost_Components'!$N$2:$N$27,MATCH(E1013,'Cost_Components'!$A$2:$A$27,0)),"")</f>
      </c>
      <c r="AE1013" s="20" t="str">
        <f>IFERROR(INDEX('Cost_Components'!$O$2:$O$27,MATCH(E1013,'Cost_Components'!$A$2:$A$27,0)),"")</f>
      </c>
      <c r="AF1013" s="85" t="n">
        <v>6646324.94355658</v>
      </c>
      <c r="AG1013" s="86" t="n">
        <v>7556459.2432584</v>
      </c>
      <c r="AH1013" s="87" t="str">
        <f>IF(H1013="shared-count-once",COUNTIFS($A$2:$A$1353,A1013,$B$2:$B$1353,B1013,$E$2:$E$1353,E1013),1)</f>
      </c>
    </row>
    <row r="1014">
      <c r="A1014" t="s">
        <v>75</v>
      </c>
      <c r="B1014" s="59" t="n">
        <v>2049</v>
      </c>
      <c r="C1014" t="s">
        <v>200</v>
      </c>
      <c r="D1014" t="s">
        <v>180</v>
      </c>
      <c r="E1014" s="60" t="s">
        <v>289</v>
      </c>
      <c r="F1014" s="61" t="s">
        <v>290</v>
      </c>
      <c r="G1014" s="62" t="s">
        <v>204</v>
      </c>
      <c r="H1014" s="63" t="s">
        <v>195</v>
      </c>
      <c r="I1014" s="64" t="s">
        <v>267</v>
      </c>
      <c r="J1014" s="65" t="str">
        <f>IFERROR(INDEX('Cost_Components'!$K$2:$K$27,MATCH(E1014,'Cost_Components'!$A$2:$A$27,0)),"")</f>
      </c>
      <c r="K1014" s="66" t="str">
        <f>IF(OR(L1014="",Z1014="",AA1014="",AB1014=""),"",IF(B1014&lt;AA1014,L1014,IF(B1014&gt;AB1014,Z1014,L1014+(Z1014-L1014)*MIN(MAX((B1014-AA1014+1)/MAX(AB1014-AA1014+1,1),0),1))))</f>
      </c>
      <c r="L1014" s="67" t="str">
        <f>IFERROR(INDEX('Cost_Components'!$S$2:$S$27,MATCH(E1014,'Cost_Components'!$A$2:$A$27,0)),"")</f>
      </c>
      <c r="M1014" s="68" t="str">
        <f>IFERROR(INDEX('Cost_Components'!$L$2:$L$27,MATCH(E1014,'Cost_Components'!$A$2:$A$27,0)),"")</f>
      </c>
      <c r="N1014" s="69" t="str">
        <f>IFERROR(INDEX('Cost_Components'!$P$2:$P$27,MATCH(E1014,'Cost_Components'!$A$2:$A$27,0)),"")</f>
      </c>
      <c r="O1014" s="70" t="str">
        <f>AF1014*J1014</f>
      </c>
      <c r="P1014" s="71" t="str">
        <f>AG1014*J1014</f>
      </c>
      <c r="Q1014" s="72" t="str">
        <f>P1014*L1014*M1014*N1014</f>
      </c>
      <c r="R1014" s="73" t="str">
        <f>O1014*K1014*M1014*N1014</f>
      </c>
      <c r="S1014" s="74" t="str">
        <f>R1014-Q1014</f>
      </c>
      <c r="T1014" s="20" t="str">
        <f>IFERROR(INDEX('Cost_Components'!$R$2:$R$27,MATCH(E1014,'Cost_Components'!$A$2:$A$27,0)),"")</f>
      </c>
      <c r="U1014" s="75" t="str">
        <f>IFERROR(INDEX('Cost_Components'!$Q$2:$Q$27,MATCH(E1014,'Cost_Components'!$A$2:$A$27,0)),"")</f>
      </c>
      <c r="V1014" s="76" t="str">
        <f>1/(1+'Calculation_Assumptions'!$B$5)^(B1014-'Calculation_Assumptions'!$B$2)</f>
      </c>
      <c r="W1014" s="77" t="str">
        <f>Q1014*V1014</f>
      </c>
      <c r="X1014" s="78" t="str">
        <f>R1014*V1014</f>
      </c>
      <c r="Y1014" s="79" t="str">
        <f>S1014*V1014</f>
      </c>
      <c r="Z1014" s="80" t="str">
        <f>IFERROR(INDEX('Cost_Components'!$T$2:$T$27,MATCH(E1014,'Cost_Components'!$A$2:$A$27,0)),"")</f>
      </c>
      <c r="AA1014" s="81" t="str">
        <f>IFERROR(INDEX('Cost_Components'!$U$2:$U$27,MATCH(E1014,'Cost_Components'!$A$2:$A$27,0)),"")</f>
      </c>
      <c r="AB1014" s="82" t="str">
        <f>IFERROR(INDEX('Cost_Components'!$V$2:$V$27,MATCH(E1014,'Cost_Components'!$A$2:$A$27,0)),"")</f>
      </c>
      <c r="AC1014" s="83" t="str">
        <f>IFERROR(INDEX('Cost_Components'!$M$2:$M$27,MATCH(E1014,'Cost_Components'!$A$2:$A$27,0)),"")</f>
      </c>
      <c r="AD1014" s="84" t="str">
        <f>IFERROR(INDEX('Cost_Components'!$N$2:$N$27,MATCH(E1014,'Cost_Components'!$A$2:$A$27,0)),"")</f>
      </c>
      <c r="AE1014" s="20" t="str">
        <f>IFERROR(INDEX('Cost_Components'!$O$2:$O$27,MATCH(E1014,'Cost_Components'!$A$2:$A$27,0)),"")</f>
      </c>
      <c r="AF1014" s="85" t="n">
        <v>6679757.6708429</v>
      </c>
      <c r="AG1014" s="86" t="n">
        <v>7652544.64203908</v>
      </c>
      <c r="AH1014" s="87" t="str">
        <f>IF(H1014="shared-count-once",COUNTIFS($A$2:$A$1353,A1014,$B$2:$B$1353,B1014,$E$2:$E$1353,E1014),1)</f>
      </c>
    </row>
    <row r="1015">
      <c r="A1015" t="s">
        <v>75</v>
      </c>
      <c r="B1015" s="59" t="n">
        <v>2050</v>
      </c>
      <c r="C1015" t="s">
        <v>200</v>
      </c>
      <c r="D1015" t="s">
        <v>180</v>
      </c>
      <c r="E1015" s="60" t="s">
        <v>289</v>
      </c>
      <c r="F1015" s="61" t="s">
        <v>290</v>
      </c>
      <c r="G1015" s="62" t="s">
        <v>204</v>
      </c>
      <c r="H1015" s="63" t="s">
        <v>195</v>
      </c>
      <c r="I1015" s="64" t="s">
        <v>267</v>
      </c>
      <c r="J1015" s="65" t="str">
        <f>IFERROR(INDEX('Cost_Components'!$K$2:$K$27,MATCH(E1015,'Cost_Components'!$A$2:$A$27,0)),"")</f>
      </c>
      <c r="K1015" s="66" t="str">
        <f>IF(OR(L1015="",Z1015="",AA1015="",AB1015=""),"",IF(B1015&lt;AA1015,L1015,IF(B1015&gt;AB1015,Z1015,L1015+(Z1015-L1015)*MIN(MAX((B1015-AA1015+1)/MAX(AB1015-AA1015+1,1),0),1))))</f>
      </c>
      <c r="L1015" s="67" t="str">
        <f>IFERROR(INDEX('Cost_Components'!$S$2:$S$27,MATCH(E1015,'Cost_Components'!$A$2:$A$27,0)),"")</f>
      </c>
      <c r="M1015" s="68" t="str">
        <f>IFERROR(INDEX('Cost_Components'!$L$2:$L$27,MATCH(E1015,'Cost_Components'!$A$2:$A$27,0)),"")</f>
      </c>
      <c r="N1015" s="69" t="str">
        <f>IFERROR(INDEX('Cost_Components'!$P$2:$P$27,MATCH(E1015,'Cost_Components'!$A$2:$A$27,0)),"")</f>
      </c>
      <c r="O1015" s="70" t="str">
        <f>AF1015*J1015</f>
      </c>
      <c r="P1015" s="71" t="str">
        <f>AG1015*J1015</f>
      </c>
      <c r="Q1015" s="72" t="str">
        <f>P1015*L1015*M1015*N1015</f>
      </c>
      <c r="R1015" s="73" t="str">
        <f>O1015*K1015*M1015*N1015</f>
      </c>
      <c r="S1015" s="74" t="str">
        <f>R1015-Q1015</f>
      </c>
      <c r="T1015" s="20" t="str">
        <f>IFERROR(INDEX('Cost_Components'!$R$2:$R$27,MATCH(E1015,'Cost_Components'!$A$2:$A$27,0)),"")</f>
      </c>
      <c r="U1015" s="75" t="str">
        <f>IFERROR(INDEX('Cost_Components'!$Q$2:$Q$27,MATCH(E1015,'Cost_Components'!$A$2:$A$27,0)),"")</f>
      </c>
      <c r="V1015" s="76" t="str">
        <f>1/(1+'Calculation_Assumptions'!$B$5)^(B1015-'Calculation_Assumptions'!$B$2)</f>
      </c>
      <c r="W1015" s="77" t="str">
        <f>Q1015*V1015</f>
      </c>
      <c r="X1015" s="78" t="str">
        <f>R1015*V1015</f>
      </c>
      <c r="Y1015" s="79" t="str">
        <f>S1015*V1015</f>
      </c>
      <c r="Z1015" s="80" t="str">
        <f>IFERROR(INDEX('Cost_Components'!$T$2:$T$27,MATCH(E1015,'Cost_Components'!$A$2:$A$27,0)),"")</f>
      </c>
      <c r="AA1015" s="81" t="str">
        <f>IFERROR(INDEX('Cost_Components'!$U$2:$U$27,MATCH(E1015,'Cost_Components'!$A$2:$A$27,0)),"")</f>
      </c>
      <c r="AB1015" s="82" t="str">
        <f>IFERROR(INDEX('Cost_Components'!$V$2:$V$27,MATCH(E1015,'Cost_Components'!$A$2:$A$27,0)),"")</f>
      </c>
      <c r="AC1015" s="83" t="str">
        <f>IFERROR(INDEX('Cost_Components'!$M$2:$M$27,MATCH(E1015,'Cost_Components'!$A$2:$A$27,0)),"")</f>
      </c>
      <c r="AD1015" s="84" t="str">
        <f>IFERROR(INDEX('Cost_Components'!$N$2:$N$27,MATCH(E1015,'Cost_Components'!$A$2:$A$27,0)),"")</f>
      </c>
      <c r="AE1015" s="20" t="str">
        <f>IFERROR(INDEX('Cost_Components'!$O$2:$O$27,MATCH(E1015,'Cost_Components'!$A$2:$A$27,0)),"")</f>
      </c>
      <c r="AF1015" s="85" t="n">
        <v>6709718.49634776</v>
      </c>
      <c r="AG1015" s="86" t="n">
        <v>7746332.78496876</v>
      </c>
      <c r="AH1015" s="87" t="str">
        <f>IF(H1015="shared-count-once",COUNTIFS($A$2:$A$1353,A1015,$B$2:$B$1353,B1015,$E$2:$E$1353,E1015),1)</f>
      </c>
    </row>
    <row r="1016">
      <c r="A1016" t="s">
        <v>75</v>
      </c>
      <c r="B1016" s="59" t="n">
        <v>2025</v>
      </c>
      <c r="C1016" t="s">
        <v>200</v>
      </c>
      <c r="D1016" t="s">
        <v>180</v>
      </c>
      <c r="E1016" s="60" t="s">
        <v>292</v>
      </c>
      <c r="F1016" s="61" t="s">
        <v>293</v>
      </c>
      <c r="G1016" s="62" t="s">
        <v>204</v>
      </c>
      <c r="H1016" s="63" t="s">
        <v>195</v>
      </c>
      <c r="I1016" s="64" t="s">
        <v>267</v>
      </c>
      <c r="J1016" s="65" t="str">
        <f>IFERROR(INDEX('Cost_Components'!$K$2:$K$27,MATCH(E1016,'Cost_Components'!$A$2:$A$27,0)),"")</f>
      </c>
      <c r="K1016" s="66" t="str">
        <f>IF(OR(L1016="",Z1016="",AA1016="",AB1016=""),"",IF(B1016&lt;AA1016,L1016,IF(B1016&gt;AB1016,Z1016,L1016+(Z1016-L1016)*MIN(MAX((B1016-AA1016+1)/MAX(AB1016-AA1016+1,1),0),1))))</f>
      </c>
      <c r="L1016" s="67" t="str">
        <f>IFERROR(INDEX('Cost_Components'!$S$2:$S$27,MATCH(E1016,'Cost_Components'!$A$2:$A$27,0)),"")</f>
      </c>
      <c r="M1016" s="68" t="str">
        <f>IFERROR(INDEX('Cost_Components'!$L$2:$L$27,MATCH(E1016,'Cost_Components'!$A$2:$A$27,0)),"")</f>
      </c>
      <c r="N1016" s="69" t="str">
        <f>IFERROR(INDEX('Cost_Components'!$P$2:$P$27,MATCH(E1016,'Cost_Components'!$A$2:$A$27,0)),"")</f>
      </c>
      <c r="O1016" s="70" t="str">
        <f>AF1016*J1016</f>
      </c>
      <c r="P1016" s="71" t="str">
        <f>AG1016*J1016</f>
      </c>
      <c r="Q1016" s="72" t="str">
        <f>P1016*L1016*M1016*N1016</f>
      </c>
      <c r="R1016" s="73" t="str">
        <f>O1016*K1016*M1016*N1016</f>
      </c>
      <c r="S1016" s="74" t="str">
        <f>R1016-Q1016</f>
      </c>
      <c r="T1016" s="20" t="str">
        <f>IFERROR(INDEX('Cost_Components'!$R$2:$R$27,MATCH(E1016,'Cost_Components'!$A$2:$A$27,0)),"")</f>
      </c>
      <c r="U1016" s="75" t="str">
        <f>IFERROR(INDEX('Cost_Components'!$Q$2:$Q$27,MATCH(E1016,'Cost_Components'!$A$2:$A$27,0)),"")</f>
      </c>
      <c r="V1016" s="76" t="str">
        <f>1/(1+'Calculation_Assumptions'!$B$5)^(B1016-'Calculation_Assumptions'!$B$2)</f>
      </c>
      <c r="W1016" s="77" t="str">
        <f>Q1016*V1016</f>
      </c>
      <c r="X1016" s="78" t="str">
        <f>R1016*V1016</f>
      </c>
      <c r="Y1016" s="79" t="str">
        <f>S1016*V1016</f>
      </c>
      <c r="Z1016" s="80" t="str">
        <f>IFERROR(INDEX('Cost_Components'!$T$2:$T$27,MATCH(E1016,'Cost_Components'!$A$2:$A$27,0)),"")</f>
      </c>
      <c r="AA1016" s="81" t="str">
        <f>IFERROR(INDEX('Cost_Components'!$U$2:$U$27,MATCH(E1016,'Cost_Components'!$A$2:$A$27,0)),"")</f>
      </c>
      <c r="AB1016" s="82" t="str">
        <f>IFERROR(INDEX('Cost_Components'!$V$2:$V$27,MATCH(E1016,'Cost_Components'!$A$2:$A$27,0)),"")</f>
      </c>
      <c r="AC1016" s="83" t="str">
        <f>IFERROR(INDEX('Cost_Components'!$M$2:$M$27,MATCH(E1016,'Cost_Components'!$A$2:$A$27,0)),"")</f>
      </c>
      <c r="AD1016" s="84" t="str">
        <f>IFERROR(INDEX('Cost_Components'!$N$2:$N$27,MATCH(E1016,'Cost_Components'!$A$2:$A$27,0)),"")</f>
      </c>
      <c r="AE1016" s="20" t="str">
        <f>IFERROR(INDEX('Cost_Components'!$O$2:$O$27,MATCH(E1016,'Cost_Components'!$A$2:$A$27,0)),"")</f>
      </c>
      <c r="AF1016" s="85" t="n">
        <v>4934208.81018054</v>
      </c>
      <c r="AG1016" s="86" t="n">
        <v>4938586.08395776</v>
      </c>
      <c r="AH1016" s="87" t="str">
        <f>IF(H1016="shared-count-once",COUNTIFS($A$2:$A$1353,A1016,$B$2:$B$1353,B1016,$E$2:$E$1353,E1016),1)</f>
      </c>
    </row>
    <row r="1017">
      <c r="A1017" t="s">
        <v>75</v>
      </c>
      <c r="B1017" s="59" t="n">
        <v>2026</v>
      </c>
      <c r="C1017" t="s">
        <v>200</v>
      </c>
      <c r="D1017" t="s">
        <v>180</v>
      </c>
      <c r="E1017" s="60" t="s">
        <v>292</v>
      </c>
      <c r="F1017" s="61" t="s">
        <v>293</v>
      </c>
      <c r="G1017" s="62" t="s">
        <v>204</v>
      </c>
      <c r="H1017" s="63" t="s">
        <v>195</v>
      </c>
      <c r="I1017" s="64" t="s">
        <v>267</v>
      </c>
      <c r="J1017" s="65" t="str">
        <f>IFERROR(INDEX('Cost_Components'!$K$2:$K$27,MATCH(E1017,'Cost_Components'!$A$2:$A$27,0)),"")</f>
      </c>
      <c r="K1017" s="66" t="str">
        <f>IF(OR(L1017="",Z1017="",AA1017="",AB1017=""),"",IF(B1017&lt;AA1017,L1017,IF(B1017&gt;AB1017,Z1017,L1017+(Z1017-L1017)*MIN(MAX((B1017-AA1017+1)/MAX(AB1017-AA1017+1,1),0),1))))</f>
      </c>
      <c r="L1017" s="67" t="str">
        <f>IFERROR(INDEX('Cost_Components'!$S$2:$S$27,MATCH(E1017,'Cost_Components'!$A$2:$A$27,0)),"")</f>
      </c>
      <c r="M1017" s="68" t="str">
        <f>IFERROR(INDEX('Cost_Components'!$L$2:$L$27,MATCH(E1017,'Cost_Components'!$A$2:$A$27,0)),"")</f>
      </c>
      <c r="N1017" s="69" t="str">
        <f>IFERROR(INDEX('Cost_Components'!$P$2:$P$27,MATCH(E1017,'Cost_Components'!$A$2:$A$27,0)),"")</f>
      </c>
      <c r="O1017" s="70" t="str">
        <f>AF1017*J1017</f>
      </c>
      <c r="P1017" s="71" t="str">
        <f>AG1017*J1017</f>
      </c>
      <c r="Q1017" s="72" t="str">
        <f>P1017*L1017*M1017*N1017</f>
      </c>
      <c r="R1017" s="73" t="str">
        <f>O1017*K1017*M1017*N1017</f>
      </c>
      <c r="S1017" s="74" t="str">
        <f>R1017-Q1017</f>
      </c>
      <c r="T1017" s="20" t="str">
        <f>IFERROR(INDEX('Cost_Components'!$R$2:$R$27,MATCH(E1017,'Cost_Components'!$A$2:$A$27,0)),"")</f>
      </c>
      <c r="U1017" s="75" t="str">
        <f>IFERROR(INDEX('Cost_Components'!$Q$2:$Q$27,MATCH(E1017,'Cost_Components'!$A$2:$A$27,0)),"")</f>
      </c>
      <c r="V1017" s="76" t="str">
        <f>1/(1+'Calculation_Assumptions'!$B$5)^(B1017-'Calculation_Assumptions'!$B$2)</f>
      </c>
      <c r="W1017" s="77" t="str">
        <f>Q1017*V1017</f>
      </c>
      <c r="X1017" s="78" t="str">
        <f>R1017*V1017</f>
      </c>
      <c r="Y1017" s="79" t="str">
        <f>S1017*V1017</f>
      </c>
      <c r="Z1017" s="80" t="str">
        <f>IFERROR(INDEX('Cost_Components'!$T$2:$T$27,MATCH(E1017,'Cost_Components'!$A$2:$A$27,0)),"")</f>
      </c>
      <c r="AA1017" s="81" t="str">
        <f>IFERROR(INDEX('Cost_Components'!$U$2:$U$27,MATCH(E1017,'Cost_Components'!$A$2:$A$27,0)),"")</f>
      </c>
      <c r="AB1017" s="82" t="str">
        <f>IFERROR(INDEX('Cost_Components'!$V$2:$V$27,MATCH(E1017,'Cost_Components'!$A$2:$A$27,0)),"")</f>
      </c>
      <c r="AC1017" s="83" t="str">
        <f>IFERROR(INDEX('Cost_Components'!$M$2:$M$27,MATCH(E1017,'Cost_Components'!$A$2:$A$27,0)),"")</f>
      </c>
      <c r="AD1017" s="84" t="str">
        <f>IFERROR(INDEX('Cost_Components'!$N$2:$N$27,MATCH(E1017,'Cost_Components'!$A$2:$A$27,0)),"")</f>
      </c>
      <c r="AE1017" s="20" t="str">
        <f>IFERROR(INDEX('Cost_Components'!$O$2:$O$27,MATCH(E1017,'Cost_Components'!$A$2:$A$27,0)),"")</f>
      </c>
      <c r="AF1017" s="85" t="n">
        <v>5046970.66554862</v>
      </c>
      <c r="AG1017" s="86" t="n">
        <v>5059876.23903272</v>
      </c>
      <c r="AH1017" s="87" t="str">
        <f>IF(H1017="shared-count-once",COUNTIFS($A$2:$A$1353,A1017,$B$2:$B$1353,B1017,$E$2:$E$1353,E1017),1)</f>
      </c>
    </row>
    <row r="1018">
      <c r="A1018" t="s">
        <v>75</v>
      </c>
      <c r="B1018" s="59" t="n">
        <v>2027</v>
      </c>
      <c r="C1018" t="s">
        <v>200</v>
      </c>
      <c r="D1018" t="s">
        <v>180</v>
      </c>
      <c r="E1018" s="60" t="s">
        <v>292</v>
      </c>
      <c r="F1018" s="61" t="s">
        <v>293</v>
      </c>
      <c r="G1018" s="62" t="s">
        <v>204</v>
      </c>
      <c r="H1018" s="63" t="s">
        <v>195</v>
      </c>
      <c r="I1018" s="64" t="s">
        <v>267</v>
      </c>
      <c r="J1018" s="65" t="str">
        <f>IFERROR(INDEX('Cost_Components'!$K$2:$K$27,MATCH(E1018,'Cost_Components'!$A$2:$A$27,0)),"")</f>
      </c>
      <c r="K1018" s="66" t="str">
        <f>IF(OR(L1018="",Z1018="",AA1018="",AB1018=""),"",IF(B1018&lt;AA1018,L1018,IF(B1018&gt;AB1018,Z1018,L1018+(Z1018-L1018)*MIN(MAX((B1018-AA1018+1)/MAX(AB1018-AA1018+1,1),0),1))))</f>
      </c>
      <c r="L1018" s="67" t="str">
        <f>IFERROR(INDEX('Cost_Components'!$S$2:$S$27,MATCH(E1018,'Cost_Components'!$A$2:$A$27,0)),"")</f>
      </c>
      <c r="M1018" s="68" t="str">
        <f>IFERROR(INDEX('Cost_Components'!$L$2:$L$27,MATCH(E1018,'Cost_Components'!$A$2:$A$27,0)),"")</f>
      </c>
      <c r="N1018" s="69" t="str">
        <f>IFERROR(INDEX('Cost_Components'!$P$2:$P$27,MATCH(E1018,'Cost_Components'!$A$2:$A$27,0)),"")</f>
      </c>
      <c r="O1018" s="70" t="str">
        <f>AF1018*J1018</f>
      </c>
      <c r="P1018" s="71" t="str">
        <f>AG1018*J1018</f>
      </c>
      <c r="Q1018" s="72" t="str">
        <f>P1018*L1018*M1018*N1018</f>
      </c>
      <c r="R1018" s="73" t="str">
        <f>O1018*K1018*M1018*N1018</f>
      </c>
      <c r="S1018" s="74" t="str">
        <f>R1018-Q1018</f>
      </c>
      <c r="T1018" s="20" t="str">
        <f>IFERROR(INDEX('Cost_Components'!$R$2:$R$27,MATCH(E1018,'Cost_Components'!$A$2:$A$27,0)),"")</f>
      </c>
      <c r="U1018" s="75" t="str">
        <f>IFERROR(INDEX('Cost_Components'!$Q$2:$Q$27,MATCH(E1018,'Cost_Components'!$A$2:$A$27,0)),"")</f>
      </c>
      <c r="V1018" s="76" t="str">
        <f>1/(1+'Calculation_Assumptions'!$B$5)^(B1018-'Calculation_Assumptions'!$B$2)</f>
      </c>
      <c r="W1018" s="77" t="str">
        <f>Q1018*V1018</f>
      </c>
      <c r="X1018" s="78" t="str">
        <f>R1018*V1018</f>
      </c>
      <c r="Y1018" s="79" t="str">
        <f>S1018*V1018</f>
      </c>
      <c r="Z1018" s="80" t="str">
        <f>IFERROR(INDEX('Cost_Components'!$T$2:$T$27,MATCH(E1018,'Cost_Components'!$A$2:$A$27,0)),"")</f>
      </c>
      <c r="AA1018" s="81" t="str">
        <f>IFERROR(INDEX('Cost_Components'!$U$2:$U$27,MATCH(E1018,'Cost_Components'!$A$2:$A$27,0)),"")</f>
      </c>
      <c r="AB1018" s="82" t="str">
        <f>IFERROR(INDEX('Cost_Components'!$V$2:$V$27,MATCH(E1018,'Cost_Components'!$A$2:$A$27,0)),"")</f>
      </c>
      <c r="AC1018" s="83" t="str">
        <f>IFERROR(INDEX('Cost_Components'!$M$2:$M$27,MATCH(E1018,'Cost_Components'!$A$2:$A$27,0)),"")</f>
      </c>
      <c r="AD1018" s="84" t="str">
        <f>IFERROR(INDEX('Cost_Components'!$N$2:$N$27,MATCH(E1018,'Cost_Components'!$A$2:$A$27,0)),"")</f>
      </c>
      <c r="AE1018" s="20" t="str">
        <f>IFERROR(INDEX('Cost_Components'!$O$2:$O$27,MATCH(E1018,'Cost_Components'!$A$2:$A$27,0)),"")</f>
      </c>
      <c r="AF1018" s="85" t="n">
        <v>5152582.21959081</v>
      </c>
      <c r="AG1018" s="86" t="n">
        <v>5177908.34578341</v>
      </c>
      <c r="AH1018" s="87" t="str">
        <f>IF(H1018="shared-count-once",COUNTIFS($A$2:$A$1353,A1018,$B$2:$B$1353,B1018,$E$2:$E$1353,E1018),1)</f>
      </c>
    </row>
    <row r="1019">
      <c r="A1019" t="s">
        <v>75</v>
      </c>
      <c r="B1019" s="59" t="n">
        <v>2028</v>
      </c>
      <c r="C1019" t="s">
        <v>200</v>
      </c>
      <c r="D1019" t="s">
        <v>180</v>
      </c>
      <c r="E1019" s="60" t="s">
        <v>292</v>
      </c>
      <c r="F1019" s="61" t="s">
        <v>293</v>
      </c>
      <c r="G1019" s="62" t="s">
        <v>204</v>
      </c>
      <c r="H1019" s="63" t="s">
        <v>195</v>
      </c>
      <c r="I1019" s="64" t="s">
        <v>267</v>
      </c>
      <c r="J1019" s="65" t="str">
        <f>IFERROR(INDEX('Cost_Components'!$K$2:$K$27,MATCH(E1019,'Cost_Components'!$A$2:$A$27,0)),"")</f>
      </c>
      <c r="K1019" s="66" t="str">
        <f>IF(OR(L1019="",Z1019="",AA1019="",AB1019=""),"",IF(B1019&lt;AA1019,L1019,IF(B1019&gt;AB1019,Z1019,L1019+(Z1019-L1019)*MIN(MAX((B1019-AA1019+1)/MAX(AB1019-AA1019+1,1),0),1))))</f>
      </c>
      <c r="L1019" s="67" t="str">
        <f>IFERROR(INDEX('Cost_Components'!$S$2:$S$27,MATCH(E1019,'Cost_Components'!$A$2:$A$27,0)),"")</f>
      </c>
      <c r="M1019" s="68" t="str">
        <f>IFERROR(INDEX('Cost_Components'!$L$2:$L$27,MATCH(E1019,'Cost_Components'!$A$2:$A$27,0)),"")</f>
      </c>
      <c r="N1019" s="69" t="str">
        <f>IFERROR(INDEX('Cost_Components'!$P$2:$P$27,MATCH(E1019,'Cost_Components'!$A$2:$A$27,0)),"")</f>
      </c>
      <c r="O1019" s="70" t="str">
        <f>AF1019*J1019</f>
      </c>
      <c r="P1019" s="71" t="str">
        <f>AG1019*J1019</f>
      </c>
      <c r="Q1019" s="72" t="str">
        <f>P1019*L1019*M1019*N1019</f>
      </c>
      <c r="R1019" s="73" t="str">
        <f>O1019*K1019*M1019*N1019</f>
      </c>
      <c r="S1019" s="74" t="str">
        <f>R1019-Q1019</f>
      </c>
      <c r="T1019" s="20" t="str">
        <f>IFERROR(INDEX('Cost_Components'!$R$2:$R$27,MATCH(E1019,'Cost_Components'!$A$2:$A$27,0)),"")</f>
      </c>
      <c r="U1019" s="75" t="str">
        <f>IFERROR(INDEX('Cost_Components'!$Q$2:$Q$27,MATCH(E1019,'Cost_Components'!$A$2:$A$27,0)),"")</f>
      </c>
      <c r="V1019" s="76" t="str">
        <f>1/(1+'Calculation_Assumptions'!$B$5)^(B1019-'Calculation_Assumptions'!$B$2)</f>
      </c>
      <c r="W1019" s="77" t="str">
        <f>Q1019*V1019</f>
      </c>
      <c r="X1019" s="78" t="str">
        <f>R1019*V1019</f>
      </c>
      <c r="Y1019" s="79" t="str">
        <f>S1019*V1019</f>
      </c>
      <c r="Z1019" s="80" t="str">
        <f>IFERROR(INDEX('Cost_Components'!$T$2:$T$27,MATCH(E1019,'Cost_Components'!$A$2:$A$27,0)),"")</f>
      </c>
      <c r="AA1019" s="81" t="str">
        <f>IFERROR(INDEX('Cost_Components'!$U$2:$U$27,MATCH(E1019,'Cost_Components'!$A$2:$A$27,0)),"")</f>
      </c>
      <c r="AB1019" s="82" t="str">
        <f>IFERROR(INDEX('Cost_Components'!$V$2:$V$27,MATCH(E1019,'Cost_Components'!$A$2:$A$27,0)),"")</f>
      </c>
      <c r="AC1019" s="83" t="str">
        <f>IFERROR(INDEX('Cost_Components'!$M$2:$M$27,MATCH(E1019,'Cost_Components'!$A$2:$A$27,0)),"")</f>
      </c>
      <c r="AD1019" s="84" t="str">
        <f>IFERROR(INDEX('Cost_Components'!$N$2:$N$27,MATCH(E1019,'Cost_Components'!$A$2:$A$27,0)),"")</f>
      </c>
      <c r="AE1019" s="20" t="str">
        <f>IFERROR(INDEX('Cost_Components'!$O$2:$O$27,MATCH(E1019,'Cost_Components'!$A$2:$A$27,0)),"")</f>
      </c>
      <c r="AF1019" s="85" t="n">
        <v>5250905.8154041</v>
      </c>
      <c r="AG1019" s="86" t="n">
        <v>5292362.05081189</v>
      </c>
      <c r="AH1019" s="87" t="str">
        <f>IF(H1019="shared-count-once",COUNTIFS($A$2:$A$1353,A1019,$B$2:$B$1353,B1019,$E$2:$E$1353,E1019),1)</f>
      </c>
    </row>
    <row r="1020">
      <c r="A1020" t="s">
        <v>75</v>
      </c>
      <c r="B1020" s="59" t="n">
        <v>2029</v>
      </c>
      <c r="C1020" t="s">
        <v>200</v>
      </c>
      <c r="D1020" t="s">
        <v>180</v>
      </c>
      <c r="E1020" s="60" t="s">
        <v>292</v>
      </c>
      <c r="F1020" s="61" t="s">
        <v>293</v>
      </c>
      <c r="G1020" s="62" t="s">
        <v>204</v>
      </c>
      <c r="H1020" s="63" t="s">
        <v>195</v>
      </c>
      <c r="I1020" s="64" t="s">
        <v>267</v>
      </c>
      <c r="J1020" s="65" t="str">
        <f>IFERROR(INDEX('Cost_Components'!$K$2:$K$27,MATCH(E1020,'Cost_Components'!$A$2:$A$27,0)),"")</f>
      </c>
      <c r="K1020" s="66" t="str">
        <f>IF(OR(L1020="",Z1020="",AA1020="",AB1020=""),"",IF(B1020&lt;AA1020,L1020,IF(B1020&gt;AB1020,Z1020,L1020+(Z1020-L1020)*MIN(MAX((B1020-AA1020+1)/MAX(AB1020-AA1020+1,1),0),1))))</f>
      </c>
      <c r="L1020" s="67" t="str">
        <f>IFERROR(INDEX('Cost_Components'!$S$2:$S$27,MATCH(E1020,'Cost_Components'!$A$2:$A$27,0)),"")</f>
      </c>
      <c r="M1020" s="68" t="str">
        <f>IFERROR(INDEX('Cost_Components'!$L$2:$L$27,MATCH(E1020,'Cost_Components'!$A$2:$A$27,0)),"")</f>
      </c>
      <c r="N1020" s="69" t="str">
        <f>IFERROR(INDEX('Cost_Components'!$P$2:$P$27,MATCH(E1020,'Cost_Components'!$A$2:$A$27,0)),"")</f>
      </c>
      <c r="O1020" s="70" t="str">
        <f>AF1020*J1020</f>
      </c>
      <c r="P1020" s="71" t="str">
        <f>AG1020*J1020</f>
      </c>
      <c r="Q1020" s="72" t="str">
        <f>P1020*L1020*M1020*N1020</f>
      </c>
      <c r="R1020" s="73" t="str">
        <f>O1020*K1020*M1020*N1020</f>
      </c>
      <c r="S1020" s="74" t="str">
        <f>R1020-Q1020</f>
      </c>
      <c r="T1020" s="20" t="str">
        <f>IFERROR(INDEX('Cost_Components'!$R$2:$R$27,MATCH(E1020,'Cost_Components'!$A$2:$A$27,0)),"")</f>
      </c>
      <c r="U1020" s="75" t="str">
        <f>IFERROR(INDEX('Cost_Components'!$Q$2:$Q$27,MATCH(E1020,'Cost_Components'!$A$2:$A$27,0)),"")</f>
      </c>
      <c r="V1020" s="76" t="str">
        <f>1/(1+'Calculation_Assumptions'!$B$5)^(B1020-'Calculation_Assumptions'!$B$2)</f>
      </c>
      <c r="W1020" s="77" t="str">
        <f>Q1020*V1020</f>
      </c>
      <c r="X1020" s="78" t="str">
        <f>R1020*V1020</f>
      </c>
      <c r="Y1020" s="79" t="str">
        <f>S1020*V1020</f>
      </c>
      <c r="Z1020" s="80" t="str">
        <f>IFERROR(INDEX('Cost_Components'!$T$2:$T$27,MATCH(E1020,'Cost_Components'!$A$2:$A$27,0)),"")</f>
      </c>
      <c r="AA1020" s="81" t="str">
        <f>IFERROR(INDEX('Cost_Components'!$U$2:$U$27,MATCH(E1020,'Cost_Components'!$A$2:$A$27,0)),"")</f>
      </c>
      <c r="AB1020" s="82" t="str">
        <f>IFERROR(INDEX('Cost_Components'!$V$2:$V$27,MATCH(E1020,'Cost_Components'!$A$2:$A$27,0)),"")</f>
      </c>
      <c r="AC1020" s="83" t="str">
        <f>IFERROR(INDEX('Cost_Components'!$M$2:$M$27,MATCH(E1020,'Cost_Components'!$A$2:$A$27,0)),"")</f>
      </c>
      <c r="AD1020" s="84" t="str">
        <f>IFERROR(INDEX('Cost_Components'!$N$2:$N$27,MATCH(E1020,'Cost_Components'!$A$2:$A$27,0)),"")</f>
      </c>
      <c r="AE1020" s="20" t="str">
        <f>IFERROR(INDEX('Cost_Components'!$O$2:$O$27,MATCH(E1020,'Cost_Components'!$A$2:$A$27,0)),"")</f>
      </c>
      <c r="AF1020" s="85" t="n">
        <v>5346734.10010038</v>
      </c>
      <c r="AG1020" s="86" t="n">
        <v>5407624.20226317</v>
      </c>
      <c r="AH1020" s="87" t="str">
        <f>IF(H1020="shared-count-once",COUNTIFS($A$2:$A$1353,A1020,$B$2:$B$1353,B1020,$E$2:$E$1353,E1020),1)</f>
      </c>
    </row>
    <row r="1021">
      <c r="A1021" t="s">
        <v>75</v>
      </c>
      <c r="B1021" s="59" t="n">
        <v>2030</v>
      </c>
      <c r="C1021" t="s">
        <v>200</v>
      </c>
      <c r="D1021" t="s">
        <v>180</v>
      </c>
      <c r="E1021" s="60" t="s">
        <v>292</v>
      </c>
      <c r="F1021" s="61" t="s">
        <v>293</v>
      </c>
      <c r="G1021" s="62" t="s">
        <v>204</v>
      </c>
      <c r="H1021" s="63" t="s">
        <v>195</v>
      </c>
      <c r="I1021" s="64" t="s">
        <v>267</v>
      </c>
      <c r="J1021" s="65" t="str">
        <f>IFERROR(INDEX('Cost_Components'!$K$2:$K$27,MATCH(E1021,'Cost_Components'!$A$2:$A$27,0)),"")</f>
      </c>
      <c r="K1021" s="66" t="str">
        <f>IF(OR(L1021="",Z1021="",AA1021="",AB1021=""),"",IF(B1021&lt;AA1021,L1021,IF(B1021&gt;AB1021,Z1021,L1021+(Z1021-L1021)*MIN(MAX((B1021-AA1021+1)/MAX(AB1021-AA1021+1,1),0),1))))</f>
      </c>
      <c r="L1021" s="67" t="str">
        <f>IFERROR(INDEX('Cost_Components'!$S$2:$S$27,MATCH(E1021,'Cost_Components'!$A$2:$A$27,0)),"")</f>
      </c>
      <c r="M1021" s="68" t="str">
        <f>IFERROR(INDEX('Cost_Components'!$L$2:$L$27,MATCH(E1021,'Cost_Components'!$A$2:$A$27,0)),"")</f>
      </c>
      <c r="N1021" s="69" t="str">
        <f>IFERROR(INDEX('Cost_Components'!$P$2:$P$27,MATCH(E1021,'Cost_Components'!$A$2:$A$27,0)),"")</f>
      </c>
      <c r="O1021" s="70" t="str">
        <f>AF1021*J1021</f>
      </c>
      <c r="P1021" s="71" t="str">
        <f>AG1021*J1021</f>
      </c>
      <c r="Q1021" s="72" t="str">
        <f>P1021*L1021*M1021*N1021</f>
      </c>
      <c r="R1021" s="73" t="str">
        <f>O1021*K1021*M1021*N1021</f>
      </c>
      <c r="S1021" s="74" t="str">
        <f>R1021-Q1021</f>
      </c>
      <c r="T1021" s="20" t="str">
        <f>IFERROR(INDEX('Cost_Components'!$R$2:$R$27,MATCH(E1021,'Cost_Components'!$A$2:$A$27,0)),"")</f>
      </c>
      <c r="U1021" s="75" t="str">
        <f>IFERROR(INDEX('Cost_Components'!$Q$2:$Q$27,MATCH(E1021,'Cost_Components'!$A$2:$A$27,0)),"")</f>
      </c>
      <c r="V1021" s="76" t="str">
        <f>1/(1+'Calculation_Assumptions'!$B$5)^(B1021-'Calculation_Assumptions'!$B$2)</f>
      </c>
      <c r="W1021" s="77" t="str">
        <f>Q1021*V1021</f>
      </c>
      <c r="X1021" s="78" t="str">
        <f>R1021*V1021</f>
      </c>
      <c r="Y1021" s="79" t="str">
        <f>S1021*V1021</f>
      </c>
      <c r="Z1021" s="80" t="str">
        <f>IFERROR(INDEX('Cost_Components'!$T$2:$T$27,MATCH(E1021,'Cost_Components'!$A$2:$A$27,0)),"")</f>
      </c>
      <c r="AA1021" s="81" t="str">
        <f>IFERROR(INDEX('Cost_Components'!$U$2:$U$27,MATCH(E1021,'Cost_Components'!$A$2:$A$27,0)),"")</f>
      </c>
      <c r="AB1021" s="82" t="str">
        <f>IFERROR(INDEX('Cost_Components'!$V$2:$V$27,MATCH(E1021,'Cost_Components'!$A$2:$A$27,0)),"")</f>
      </c>
      <c r="AC1021" s="83" t="str">
        <f>IFERROR(INDEX('Cost_Components'!$M$2:$M$27,MATCH(E1021,'Cost_Components'!$A$2:$A$27,0)),"")</f>
      </c>
      <c r="AD1021" s="84" t="str">
        <f>IFERROR(INDEX('Cost_Components'!$N$2:$N$27,MATCH(E1021,'Cost_Components'!$A$2:$A$27,0)),"")</f>
      </c>
      <c r="AE1021" s="20" t="str">
        <f>IFERROR(INDEX('Cost_Components'!$O$2:$O$27,MATCH(E1021,'Cost_Components'!$A$2:$A$27,0)),"")</f>
      </c>
      <c r="AF1021" s="85" t="n">
        <v>5438237.07793204</v>
      </c>
      <c r="AG1021" s="86" t="n">
        <v>5521846.50884352</v>
      </c>
      <c r="AH1021" s="87" t="str">
        <f>IF(H1021="shared-count-once",COUNTIFS($A$2:$A$1353,A1021,$B$2:$B$1353,B1021,$E$2:$E$1353,E1021),1)</f>
      </c>
    </row>
    <row r="1022">
      <c r="A1022" t="s">
        <v>75</v>
      </c>
      <c r="B1022" s="59" t="n">
        <v>2031</v>
      </c>
      <c r="C1022" t="s">
        <v>200</v>
      </c>
      <c r="D1022" t="s">
        <v>180</v>
      </c>
      <c r="E1022" s="60" t="s">
        <v>292</v>
      </c>
      <c r="F1022" s="61" t="s">
        <v>293</v>
      </c>
      <c r="G1022" s="62" t="s">
        <v>204</v>
      </c>
      <c r="H1022" s="63" t="s">
        <v>195</v>
      </c>
      <c r="I1022" s="64" t="s">
        <v>267</v>
      </c>
      <c r="J1022" s="65" t="str">
        <f>IFERROR(INDEX('Cost_Components'!$K$2:$K$27,MATCH(E1022,'Cost_Components'!$A$2:$A$27,0)),"")</f>
      </c>
      <c r="K1022" s="66" t="str">
        <f>IF(OR(L1022="",Z1022="",AA1022="",AB1022=""),"",IF(B1022&lt;AA1022,L1022,IF(B1022&gt;AB1022,Z1022,L1022+(Z1022-L1022)*MIN(MAX((B1022-AA1022+1)/MAX(AB1022-AA1022+1,1),0),1))))</f>
      </c>
      <c r="L1022" s="67" t="str">
        <f>IFERROR(INDEX('Cost_Components'!$S$2:$S$27,MATCH(E1022,'Cost_Components'!$A$2:$A$27,0)),"")</f>
      </c>
      <c r="M1022" s="68" t="str">
        <f>IFERROR(INDEX('Cost_Components'!$L$2:$L$27,MATCH(E1022,'Cost_Components'!$A$2:$A$27,0)),"")</f>
      </c>
      <c r="N1022" s="69" t="str">
        <f>IFERROR(INDEX('Cost_Components'!$P$2:$P$27,MATCH(E1022,'Cost_Components'!$A$2:$A$27,0)),"")</f>
      </c>
      <c r="O1022" s="70" t="str">
        <f>AF1022*J1022</f>
      </c>
      <c r="P1022" s="71" t="str">
        <f>AG1022*J1022</f>
      </c>
      <c r="Q1022" s="72" t="str">
        <f>P1022*L1022*M1022*N1022</f>
      </c>
      <c r="R1022" s="73" t="str">
        <f>O1022*K1022*M1022*N1022</f>
      </c>
      <c r="S1022" s="74" t="str">
        <f>R1022-Q1022</f>
      </c>
      <c r="T1022" s="20" t="str">
        <f>IFERROR(INDEX('Cost_Components'!$R$2:$R$27,MATCH(E1022,'Cost_Components'!$A$2:$A$27,0)),"")</f>
      </c>
      <c r="U1022" s="75" t="str">
        <f>IFERROR(INDEX('Cost_Components'!$Q$2:$Q$27,MATCH(E1022,'Cost_Components'!$A$2:$A$27,0)),"")</f>
      </c>
      <c r="V1022" s="76" t="str">
        <f>1/(1+'Calculation_Assumptions'!$B$5)^(B1022-'Calculation_Assumptions'!$B$2)</f>
      </c>
      <c r="W1022" s="77" t="str">
        <f>Q1022*V1022</f>
      </c>
      <c r="X1022" s="78" t="str">
        <f>R1022*V1022</f>
      </c>
      <c r="Y1022" s="79" t="str">
        <f>S1022*V1022</f>
      </c>
      <c r="Z1022" s="80" t="str">
        <f>IFERROR(INDEX('Cost_Components'!$T$2:$T$27,MATCH(E1022,'Cost_Components'!$A$2:$A$27,0)),"")</f>
      </c>
      <c r="AA1022" s="81" t="str">
        <f>IFERROR(INDEX('Cost_Components'!$U$2:$U$27,MATCH(E1022,'Cost_Components'!$A$2:$A$27,0)),"")</f>
      </c>
      <c r="AB1022" s="82" t="str">
        <f>IFERROR(INDEX('Cost_Components'!$V$2:$V$27,MATCH(E1022,'Cost_Components'!$A$2:$A$27,0)),"")</f>
      </c>
      <c r="AC1022" s="83" t="str">
        <f>IFERROR(INDEX('Cost_Components'!$M$2:$M$27,MATCH(E1022,'Cost_Components'!$A$2:$A$27,0)),"")</f>
      </c>
      <c r="AD1022" s="84" t="str">
        <f>IFERROR(INDEX('Cost_Components'!$N$2:$N$27,MATCH(E1022,'Cost_Components'!$A$2:$A$27,0)),"")</f>
      </c>
      <c r="AE1022" s="20" t="str">
        <f>IFERROR(INDEX('Cost_Components'!$O$2:$O$27,MATCH(E1022,'Cost_Components'!$A$2:$A$27,0)),"")</f>
      </c>
      <c r="AF1022" s="85" t="n">
        <v>5526389.41668622</v>
      </c>
      <c r="AG1022" s="86" t="n">
        <v>5635894.28157856</v>
      </c>
      <c r="AH1022" s="87" t="str">
        <f>IF(H1022="shared-count-once",COUNTIFS($A$2:$A$1353,A1022,$B$2:$B$1353,B1022,$E$2:$E$1353,E1022),1)</f>
      </c>
    </row>
    <row r="1023">
      <c r="A1023" t="s">
        <v>75</v>
      </c>
      <c r="B1023" s="59" t="n">
        <v>2032</v>
      </c>
      <c r="C1023" t="s">
        <v>200</v>
      </c>
      <c r="D1023" t="s">
        <v>180</v>
      </c>
      <c r="E1023" s="60" t="s">
        <v>292</v>
      </c>
      <c r="F1023" s="61" t="s">
        <v>293</v>
      </c>
      <c r="G1023" s="62" t="s">
        <v>204</v>
      </c>
      <c r="H1023" s="63" t="s">
        <v>195</v>
      </c>
      <c r="I1023" s="64" t="s">
        <v>267</v>
      </c>
      <c r="J1023" s="65" t="str">
        <f>IFERROR(INDEX('Cost_Components'!$K$2:$K$27,MATCH(E1023,'Cost_Components'!$A$2:$A$27,0)),"")</f>
      </c>
      <c r="K1023" s="66" t="str">
        <f>IF(OR(L1023="",Z1023="",AA1023="",AB1023=""),"",IF(B1023&lt;AA1023,L1023,IF(B1023&gt;AB1023,Z1023,L1023+(Z1023-L1023)*MIN(MAX((B1023-AA1023+1)/MAX(AB1023-AA1023+1,1),0),1))))</f>
      </c>
      <c r="L1023" s="67" t="str">
        <f>IFERROR(INDEX('Cost_Components'!$S$2:$S$27,MATCH(E1023,'Cost_Components'!$A$2:$A$27,0)),"")</f>
      </c>
      <c r="M1023" s="68" t="str">
        <f>IFERROR(INDEX('Cost_Components'!$L$2:$L$27,MATCH(E1023,'Cost_Components'!$A$2:$A$27,0)),"")</f>
      </c>
      <c r="N1023" s="69" t="str">
        <f>IFERROR(INDEX('Cost_Components'!$P$2:$P$27,MATCH(E1023,'Cost_Components'!$A$2:$A$27,0)),"")</f>
      </c>
      <c r="O1023" s="70" t="str">
        <f>AF1023*J1023</f>
      </c>
      <c r="P1023" s="71" t="str">
        <f>AG1023*J1023</f>
      </c>
      <c r="Q1023" s="72" t="str">
        <f>P1023*L1023*M1023*N1023</f>
      </c>
      <c r="R1023" s="73" t="str">
        <f>O1023*K1023*M1023*N1023</f>
      </c>
      <c r="S1023" s="74" t="str">
        <f>R1023-Q1023</f>
      </c>
      <c r="T1023" s="20" t="str">
        <f>IFERROR(INDEX('Cost_Components'!$R$2:$R$27,MATCH(E1023,'Cost_Components'!$A$2:$A$27,0)),"")</f>
      </c>
      <c r="U1023" s="75" t="str">
        <f>IFERROR(INDEX('Cost_Components'!$Q$2:$Q$27,MATCH(E1023,'Cost_Components'!$A$2:$A$27,0)),"")</f>
      </c>
      <c r="V1023" s="76" t="str">
        <f>1/(1+'Calculation_Assumptions'!$B$5)^(B1023-'Calculation_Assumptions'!$B$2)</f>
      </c>
      <c r="W1023" s="77" t="str">
        <f>Q1023*V1023</f>
      </c>
      <c r="X1023" s="78" t="str">
        <f>R1023*V1023</f>
      </c>
      <c r="Y1023" s="79" t="str">
        <f>S1023*V1023</f>
      </c>
      <c r="Z1023" s="80" t="str">
        <f>IFERROR(INDEX('Cost_Components'!$T$2:$T$27,MATCH(E1023,'Cost_Components'!$A$2:$A$27,0)),"")</f>
      </c>
      <c r="AA1023" s="81" t="str">
        <f>IFERROR(INDEX('Cost_Components'!$U$2:$U$27,MATCH(E1023,'Cost_Components'!$A$2:$A$27,0)),"")</f>
      </c>
      <c r="AB1023" s="82" t="str">
        <f>IFERROR(INDEX('Cost_Components'!$V$2:$V$27,MATCH(E1023,'Cost_Components'!$A$2:$A$27,0)),"")</f>
      </c>
      <c r="AC1023" s="83" t="str">
        <f>IFERROR(INDEX('Cost_Components'!$M$2:$M$27,MATCH(E1023,'Cost_Components'!$A$2:$A$27,0)),"")</f>
      </c>
      <c r="AD1023" s="84" t="str">
        <f>IFERROR(INDEX('Cost_Components'!$N$2:$N$27,MATCH(E1023,'Cost_Components'!$A$2:$A$27,0)),"")</f>
      </c>
      <c r="AE1023" s="20" t="str">
        <f>IFERROR(INDEX('Cost_Components'!$O$2:$O$27,MATCH(E1023,'Cost_Components'!$A$2:$A$27,0)),"")</f>
      </c>
      <c r="AF1023" s="85" t="n">
        <v>5611303.56990719</v>
      </c>
      <c r="AG1023" s="86" t="n">
        <v>5749760.92998007</v>
      </c>
      <c r="AH1023" s="87" t="str">
        <f>IF(H1023="shared-count-once",COUNTIFS($A$2:$A$1353,A1023,$B$2:$B$1353,B1023,$E$2:$E$1353,E1023),1)</f>
      </c>
    </row>
    <row r="1024">
      <c r="A1024" t="s">
        <v>75</v>
      </c>
      <c r="B1024" s="59" t="n">
        <v>2033</v>
      </c>
      <c r="C1024" t="s">
        <v>200</v>
      </c>
      <c r="D1024" t="s">
        <v>180</v>
      </c>
      <c r="E1024" s="60" t="s">
        <v>292</v>
      </c>
      <c r="F1024" s="61" t="s">
        <v>293</v>
      </c>
      <c r="G1024" s="62" t="s">
        <v>204</v>
      </c>
      <c r="H1024" s="63" t="s">
        <v>195</v>
      </c>
      <c r="I1024" s="64" t="s">
        <v>267</v>
      </c>
      <c r="J1024" s="65" t="str">
        <f>IFERROR(INDEX('Cost_Components'!$K$2:$K$27,MATCH(E1024,'Cost_Components'!$A$2:$A$27,0)),"")</f>
      </c>
      <c r="K1024" s="66" t="str">
        <f>IF(OR(L1024="",Z1024="",AA1024="",AB1024=""),"",IF(B1024&lt;AA1024,L1024,IF(B1024&gt;AB1024,Z1024,L1024+(Z1024-L1024)*MIN(MAX((B1024-AA1024+1)/MAX(AB1024-AA1024+1,1),0),1))))</f>
      </c>
      <c r="L1024" s="67" t="str">
        <f>IFERROR(INDEX('Cost_Components'!$S$2:$S$27,MATCH(E1024,'Cost_Components'!$A$2:$A$27,0)),"")</f>
      </c>
      <c r="M1024" s="68" t="str">
        <f>IFERROR(INDEX('Cost_Components'!$L$2:$L$27,MATCH(E1024,'Cost_Components'!$A$2:$A$27,0)),"")</f>
      </c>
      <c r="N1024" s="69" t="str">
        <f>IFERROR(INDEX('Cost_Components'!$P$2:$P$27,MATCH(E1024,'Cost_Components'!$A$2:$A$27,0)),"")</f>
      </c>
      <c r="O1024" s="70" t="str">
        <f>AF1024*J1024</f>
      </c>
      <c r="P1024" s="71" t="str">
        <f>AG1024*J1024</f>
      </c>
      <c r="Q1024" s="72" t="str">
        <f>P1024*L1024*M1024*N1024</f>
      </c>
      <c r="R1024" s="73" t="str">
        <f>O1024*K1024*M1024*N1024</f>
      </c>
      <c r="S1024" s="74" t="str">
        <f>R1024-Q1024</f>
      </c>
      <c r="T1024" s="20" t="str">
        <f>IFERROR(INDEX('Cost_Components'!$R$2:$R$27,MATCH(E1024,'Cost_Components'!$A$2:$A$27,0)),"")</f>
      </c>
      <c r="U1024" s="75" t="str">
        <f>IFERROR(INDEX('Cost_Components'!$Q$2:$Q$27,MATCH(E1024,'Cost_Components'!$A$2:$A$27,0)),"")</f>
      </c>
      <c r="V1024" s="76" t="str">
        <f>1/(1+'Calculation_Assumptions'!$B$5)^(B1024-'Calculation_Assumptions'!$B$2)</f>
      </c>
      <c r="W1024" s="77" t="str">
        <f>Q1024*V1024</f>
      </c>
      <c r="X1024" s="78" t="str">
        <f>R1024*V1024</f>
      </c>
      <c r="Y1024" s="79" t="str">
        <f>S1024*V1024</f>
      </c>
      <c r="Z1024" s="80" t="str">
        <f>IFERROR(INDEX('Cost_Components'!$T$2:$T$27,MATCH(E1024,'Cost_Components'!$A$2:$A$27,0)),"")</f>
      </c>
      <c r="AA1024" s="81" t="str">
        <f>IFERROR(INDEX('Cost_Components'!$U$2:$U$27,MATCH(E1024,'Cost_Components'!$A$2:$A$27,0)),"")</f>
      </c>
      <c r="AB1024" s="82" t="str">
        <f>IFERROR(INDEX('Cost_Components'!$V$2:$V$27,MATCH(E1024,'Cost_Components'!$A$2:$A$27,0)),"")</f>
      </c>
      <c r="AC1024" s="83" t="str">
        <f>IFERROR(INDEX('Cost_Components'!$M$2:$M$27,MATCH(E1024,'Cost_Components'!$A$2:$A$27,0)),"")</f>
      </c>
      <c r="AD1024" s="84" t="str">
        <f>IFERROR(INDEX('Cost_Components'!$N$2:$N$27,MATCH(E1024,'Cost_Components'!$A$2:$A$27,0)),"")</f>
      </c>
      <c r="AE1024" s="20" t="str">
        <f>IFERROR(INDEX('Cost_Components'!$O$2:$O$27,MATCH(E1024,'Cost_Components'!$A$2:$A$27,0)),"")</f>
      </c>
      <c r="AF1024" s="85" t="n">
        <v>5693742.79106781</v>
      </c>
      <c r="AG1024" s="86" t="n">
        <v>5864146.54515379</v>
      </c>
      <c r="AH1024" s="87" t="str">
        <f>IF(H1024="shared-count-once",COUNTIFS($A$2:$A$1353,A1024,$B$2:$B$1353,B1024,$E$2:$E$1353,E1024),1)</f>
      </c>
    </row>
    <row r="1025">
      <c r="A1025" t="s">
        <v>75</v>
      </c>
      <c r="B1025" s="59" t="n">
        <v>2034</v>
      </c>
      <c r="C1025" t="s">
        <v>200</v>
      </c>
      <c r="D1025" t="s">
        <v>180</v>
      </c>
      <c r="E1025" s="60" t="s">
        <v>292</v>
      </c>
      <c r="F1025" s="61" t="s">
        <v>293</v>
      </c>
      <c r="G1025" s="62" t="s">
        <v>204</v>
      </c>
      <c r="H1025" s="63" t="s">
        <v>195</v>
      </c>
      <c r="I1025" s="64" t="s">
        <v>267</v>
      </c>
      <c r="J1025" s="65" t="str">
        <f>IFERROR(INDEX('Cost_Components'!$K$2:$K$27,MATCH(E1025,'Cost_Components'!$A$2:$A$27,0)),"")</f>
      </c>
      <c r="K1025" s="66" t="str">
        <f>IF(OR(L1025="",Z1025="",AA1025="",AB1025=""),"",IF(B1025&lt;AA1025,L1025,IF(B1025&gt;AB1025,Z1025,L1025+(Z1025-L1025)*MIN(MAX((B1025-AA1025+1)/MAX(AB1025-AA1025+1,1),0),1))))</f>
      </c>
      <c r="L1025" s="67" t="str">
        <f>IFERROR(INDEX('Cost_Components'!$S$2:$S$27,MATCH(E1025,'Cost_Components'!$A$2:$A$27,0)),"")</f>
      </c>
      <c r="M1025" s="68" t="str">
        <f>IFERROR(INDEX('Cost_Components'!$L$2:$L$27,MATCH(E1025,'Cost_Components'!$A$2:$A$27,0)),"")</f>
      </c>
      <c r="N1025" s="69" t="str">
        <f>IFERROR(INDEX('Cost_Components'!$P$2:$P$27,MATCH(E1025,'Cost_Components'!$A$2:$A$27,0)),"")</f>
      </c>
      <c r="O1025" s="70" t="str">
        <f>AF1025*J1025</f>
      </c>
      <c r="P1025" s="71" t="str">
        <f>AG1025*J1025</f>
      </c>
      <c r="Q1025" s="72" t="str">
        <f>P1025*L1025*M1025*N1025</f>
      </c>
      <c r="R1025" s="73" t="str">
        <f>O1025*K1025*M1025*N1025</f>
      </c>
      <c r="S1025" s="74" t="str">
        <f>R1025-Q1025</f>
      </c>
      <c r="T1025" s="20" t="str">
        <f>IFERROR(INDEX('Cost_Components'!$R$2:$R$27,MATCH(E1025,'Cost_Components'!$A$2:$A$27,0)),"")</f>
      </c>
      <c r="U1025" s="75" t="str">
        <f>IFERROR(INDEX('Cost_Components'!$Q$2:$Q$27,MATCH(E1025,'Cost_Components'!$A$2:$A$27,0)),"")</f>
      </c>
      <c r="V1025" s="76" t="str">
        <f>1/(1+'Calculation_Assumptions'!$B$5)^(B1025-'Calculation_Assumptions'!$B$2)</f>
      </c>
      <c r="W1025" s="77" t="str">
        <f>Q1025*V1025</f>
      </c>
      <c r="X1025" s="78" t="str">
        <f>R1025*V1025</f>
      </c>
      <c r="Y1025" s="79" t="str">
        <f>S1025*V1025</f>
      </c>
      <c r="Z1025" s="80" t="str">
        <f>IFERROR(INDEX('Cost_Components'!$T$2:$T$27,MATCH(E1025,'Cost_Components'!$A$2:$A$27,0)),"")</f>
      </c>
      <c r="AA1025" s="81" t="str">
        <f>IFERROR(INDEX('Cost_Components'!$U$2:$U$27,MATCH(E1025,'Cost_Components'!$A$2:$A$27,0)),"")</f>
      </c>
      <c r="AB1025" s="82" t="str">
        <f>IFERROR(INDEX('Cost_Components'!$V$2:$V$27,MATCH(E1025,'Cost_Components'!$A$2:$A$27,0)),"")</f>
      </c>
      <c r="AC1025" s="83" t="str">
        <f>IFERROR(INDEX('Cost_Components'!$M$2:$M$27,MATCH(E1025,'Cost_Components'!$A$2:$A$27,0)),"")</f>
      </c>
      <c r="AD1025" s="84" t="str">
        <f>IFERROR(INDEX('Cost_Components'!$N$2:$N$27,MATCH(E1025,'Cost_Components'!$A$2:$A$27,0)),"")</f>
      </c>
      <c r="AE1025" s="20" t="str">
        <f>IFERROR(INDEX('Cost_Components'!$O$2:$O$27,MATCH(E1025,'Cost_Components'!$A$2:$A$27,0)),"")</f>
      </c>
      <c r="AF1025" s="85" t="n">
        <v>5775056.5816114</v>
      </c>
      <c r="AG1025" s="86" t="n">
        <v>5979832.51047759</v>
      </c>
      <c r="AH1025" s="87" t="str">
        <f>IF(H1025="shared-count-once",COUNTIFS($A$2:$A$1353,A1025,$B$2:$B$1353,B1025,$E$2:$E$1353,E1025),1)</f>
      </c>
    </row>
    <row r="1026">
      <c r="A1026" t="s">
        <v>75</v>
      </c>
      <c r="B1026" s="59" t="n">
        <v>2035</v>
      </c>
      <c r="C1026" t="s">
        <v>200</v>
      </c>
      <c r="D1026" t="s">
        <v>180</v>
      </c>
      <c r="E1026" s="60" t="s">
        <v>292</v>
      </c>
      <c r="F1026" s="61" t="s">
        <v>293</v>
      </c>
      <c r="G1026" s="62" t="s">
        <v>204</v>
      </c>
      <c r="H1026" s="63" t="s">
        <v>195</v>
      </c>
      <c r="I1026" s="64" t="s">
        <v>267</v>
      </c>
      <c r="J1026" s="65" t="str">
        <f>IFERROR(INDEX('Cost_Components'!$K$2:$K$27,MATCH(E1026,'Cost_Components'!$A$2:$A$27,0)),"")</f>
      </c>
      <c r="K1026" s="66" t="str">
        <f>IF(OR(L1026="",Z1026="",AA1026="",AB1026=""),"",IF(B1026&lt;AA1026,L1026,IF(B1026&gt;AB1026,Z1026,L1026+(Z1026-L1026)*MIN(MAX((B1026-AA1026+1)/MAX(AB1026-AA1026+1,1),0),1))))</f>
      </c>
      <c r="L1026" s="67" t="str">
        <f>IFERROR(INDEX('Cost_Components'!$S$2:$S$27,MATCH(E1026,'Cost_Components'!$A$2:$A$27,0)),"")</f>
      </c>
      <c r="M1026" s="68" t="str">
        <f>IFERROR(INDEX('Cost_Components'!$L$2:$L$27,MATCH(E1026,'Cost_Components'!$A$2:$A$27,0)),"")</f>
      </c>
      <c r="N1026" s="69" t="str">
        <f>IFERROR(INDEX('Cost_Components'!$P$2:$P$27,MATCH(E1026,'Cost_Components'!$A$2:$A$27,0)),"")</f>
      </c>
      <c r="O1026" s="70" t="str">
        <f>AF1026*J1026</f>
      </c>
      <c r="P1026" s="71" t="str">
        <f>AG1026*J1026</f>
      </c>
      <c r="Q1026" s="72" t="str">
        <f>P1026*L1026*M1026*N1026</f>
      </c>
      <c r="R1026" s="73" t="str">
        <f>O1026*K1026*M1026*N1026</f>
      </c>
      <c r="S1026" s="74" t="str">
        <f>R1026-Q1026</f>
      </c>
      <c r="T1026" s="20" t="str">
        <f>IFERROR(INDEX('Cost_Components'!$R$2:$R$27,MATCH(E1026,'Cost_Components'!$A$2:$A$27,0)),"")</f>
      </c>
      <c r="U1026" s="75" t="str">
        <f>IFERROR(INDEX('Cost_Components'!$Q$2:$Q$27,MATCH(E1026,'Cost_Components'!$A$2:$A$27,0)),"")</f>
      </c>
      <c r="V1026" s="76" t="str">
        <f>1/(1+'Calculation_Assumptions'!$B$5)^(B1026-'Calculation_Assumptions'!$B$2)</f>
      </c>
      <c r="W1026" s="77" t="str">
        <f>Q1026*V1026</f>
      </c>
      <c r="X1026" s="78" t="str">
        <f>R1026*V1026</f>
      </c>
      <c r="Y1026" s="79" t="str">
        <f>S1026*V1026</f>
      </c>
      <c r="Z1026" s="80" t="str">
        <f>IFERROR(INDEX('Cost_Components'!$T$2:$T$27,MATCH(E1026,'Cost_Components'!$A$2:$A$27,0)),"")</f>
      </c>
      <c r="AA1026" s="81" t="str">
        <f>IFERROR(INDEX('Cost_Components'!$U$2:$U$27,MATCH(E1026,'Cost_Components'!$A$2:$A$27,0)),"")</f>
      </c>
      <c r="AB1026" s="82" t="str">
        <f>IFERROR(INDEX('Cost_Components'!$V$2:$V$27,MATCH(E1026,'Cost_Components'!$A$2:$A$27,0)),"")</f>
      </c>
      <c r="AC1026" s="83" t="str">
        <f>IFERROR(INDEX('Cost_Components'!$M$2:$M$27,MATCH(E1026,'Cost_Components'!$A$2:$A$27,0)),"")</f>
      </c>
      <c r="AD1026" s="84" t="str">
        <f>IFERROR(INDEX('Cost_Components'!$N$2:$N$27,MATCH(E1026,'Cost_Components'!$A$2:$A$27,0)),"")</f>
      </c>
      <c r="AE1026" s="20" t="str">
        <f>IFERROR(INDEX('Cost_Components'!$O$2:$O$27,MATCH(E1026,'Cost_Components'!$A$2:$A$27,0)),"")</f>
      </c>
      <c r="AF1026" s="85" t="n">
        <v>5854440.19524261</v>
      </c>
      <c r="AG1026" s="86" t="n">
        <v>6096161.90235007</v>
      </c>
      <c r="AH1026" s="87" t="str">
        <f>IF(H1026="shared-count-once",COUNTIFS($A$2:$A$1353,A1026,$B$2:$B$1353,B1026,$E$2:$E$1353,E1026),1)</f>
      </c>
    </row>
    <row r="1027">
      <c r="A1027" t="s">
        <v>75</v>
      </c>
      <c r="B1027" s="59" t="n">
        <v>2036</v>
      </c>
      <c r="C1027" t="s">
        <v>200</v>
      </c>
      <c r="D1027" t="s">
        <v>180</v>
      </c>
      <c r="E1027" s="60" t="s">
        <v>292</v>
      </c>
      <c r="F1027" s="61" t="s">
        <v>293</v>
      </c>
      <c r="G1027" s="62" t="s">
        <v>204</v>
      </c>
      <c r="H1027" s="63" t="s">
        <v>195</v>
      </c>
      <c r="I1027" s="64" t="s">
        <v>267</v>
      </c>
      <c r="J1027" s="65" t="str">
        <f>IFERROR(INDEX('Cost_Components'!$K$2:$K$27,MATCH(E1027,'Cost_Components'!$A$2:$A$27,0)),"")</f>
      </c>
      <c r="K1027" s="66" t="str">
        <f>IF(OR(L1027="",Z1027="",AA1027="",AB1027=""),"",IF(B1027&lt;AA1027,L1027,IF(B1027&gt;AB1027,Z1027,L1027+(Z1027-L1027)*MIN(MAX((B1027-AA1027+1)/MAX(AB1027-AA1027+1,1),0),1))))</f>
      </c>
      <c r="L1027" s="67" t="str">
        <f>IFERROR(INDEX('Cost_Components'!$S$2:$S$27,MATCH(E1027,'Cost_Components'!$A$2:$A$27,0)),"")</f>
      </c>
      <c r="M1027" s="68" t="str">
        <f>IFERROR(INDEX('Cost_Components'!$L$2:$L$27,MATCH(E1027,'Cost_Components'!$A$2:$A$27,0)),"")</f>
      </c>
      <c r="N1027" s="69" t="str">
        <f>IFERROR(INDEX('Cost_Components'!$P$2:$P$27,MATCH(E1027,'Cost_Components'!$A$2:$A$27,0)),"")</f>
      </c>
      <c r="O1027" s="70" t="str">
        <f>AF1027*J1027</f>
      </c>
      <c r="P1027" s="71" t="str">
        <f>AG1027*J1027</f>
      </c>
      <c r="Q1027" s="72" t="str">
        <f>P1027*L1027*M1027*N1027</f>
      </c>
      <c r="R1027" s="73" t="str">
        <f>O1027*K1027*M1027*N1027</f>
      </c>
      <c r="S1027" s="74" t="str">
        <f>R1027-Q1027</f>
      </c>
      <c r="T1027" s="20" t="str">
        <f>IFERROR(INDEX('Cost_Components'!$R$2:$R$27,MATCH(E1027,'Cost_Components'!$A$2:$A$27,0)),"")</f>
      </c>
      <c r="U1027" s="75" t="str">
        <f>IFERROR(INDEX('Cost_Components'!$Q$2:$Q$27,MATCH(E1027,'Cost_Components'!$A$2:$A$27,0)),"")</f>
      </c>
      <c r="V1027" s="76" t="str">
        <f>1/(1+'Calculation_Assumptions'!$B$5)^(B1027-'Calculation_Assumptions'!$B$2)</f>
      </c>
      <c r="W1027" s="77" t="str">
        <f>Q1027*V1027</f>
      </c>
      <c r="X1027" s="78" t="str">
        <f>R1027*V1027</f>
      </c>
      <c r="Y1027" s="79" t="str">
        <f>S1027*V1027</f>
      </c>
      <c r="Z1027" s="80" t="str">
        <f>IFERROR(INDEX('Cost_Components'!$T$2:$T$27,MATCH(E1027,'Cost_Components'!$A$2:$A$27,0)),"")</f>
      </c>
      <c r="AA1027" s="81" t="str">
        <f>IFERROR(INDEX('Cost_Components'!$U$2:$U$27,MATCH(E1027,'Cost_Components'!$A$2:$A$27,0)),"")</f>
      </c>
      <c r="AB1027" s="82" t="str">
        <f>IFERROR(INDEX('Cost_Components'!$V$2:$V$27,MATCH(E1027,'Cost_Components'!$A$2:$A$27,0)),"")</f>
      </c>
      <c r="AC1027" s="83" t="str">
        <f>IFERROR(INDEX('Cost_Components'!$M$2:$M$27,MATCH(E1027,'Cost_Components'!$A$2:$A$27,0)),"")</f>
      </c>
      <c r="AD1027" s="84" t="str">
        <f>IFERROR(INDEX('Cost_Components'!$N$2:$N$27,MATCH(E1027,'Cost_Components'!$A$2:$A$27,0)),"")</f>
      </c>
      <c r="AE1027" s="20" t="str">
        <f>IFERROR(INDEX('Cost_Components'!$O$2:$O$27,MATCH(E1027,'Cost_Components'!$A$2:$A$27,0)),"")</f>
      </c>
      <c r="AF1027" s="85" t="n">
        <v>5931780.74418408</v>
      </c>
      <c r="AG1027" s="86" t="n">
        <v>6212931.28695398</v>
      </c>
      <c r="AH1027" s="87" t="str">
        <f>IF(H1027="shared-count-once",COUNTIFS($A$2:$A$1353,A1027,$B$2:$B$1353,B1027,$E$2:$E$1353,E1027),1)</f>
      </c>
    </row>
    <row r="1028">
      <c r="A1028" t="s">
        <v>75</v>
      </c>
      <c r="B1028" s="59" t="n">
        <v>2037</v>
      </c>
      <c r="C1028" t="s">
        <v>200</v>
      </c>
      <c r="D1028" t="s">
        <v>180</v>
      </c>
      <c r="E1028" s="60" t="s">
        <v>292</v>
      </c>
      <c r="F1028" s="61" t="s">
        <v>293</v>
      </c>
      <c r="G1028" s="62" t="s">
        <v>204</v>
      </c>
      <c r="H1028" s="63" t="s">
        <v>195</v>
      </c>
      <c r="I1028" s="64" t="s">
        <v>267</v>
      </c>
      <c r="J1028" s="65" t="str">
        <f>IFERROR(INDEX('Cost_Components'!$K$2:$K$27,MATCH(E1028,'Cost_Components'!$A$2:$A$27,0)),"")</f>
      </c>
      <c r="K1028" s="66" t="str">
        <f>IF(OR(L1028="",Z1028="",AA1028="",AB1028=""),"",IF(B1028&lt;AA1028,L1028,IF(B1028&gt;AB1028,Z1028,L1028+(Z1028-L1028)*MIN(MAX((B1028-AA1028+1)/MAX(AB1028-AA1028+1,1),0),1))))</f>
      </c>
      <c r="L1028" s="67" t="str">
        <f>IFERROR(INDEX('Cost_Components'!$S$2:$S$27,MATCH(E1028,'Cost_Components'!$A$2:$A$27,0)),"")</f>
      </c>
      <c r="M1028" s="68" t="str">
        <f>IFERROR(INDEX('Cost_Components'!$L$2:$L$27,MATCH(E1028,'Cost_Components'!$A$2:$A$27,0)),"")</f>
      </c>
      <c r="N1028" s="69" t="str">
        <f>IFERROR(INDEX('Cost_Components'!$P$2:$P$27,MATCH(E1028,'Cost_Components'!$A$2:$A$27,0)),"")</f>
      </c>
      <c r="O1028" s="70" t="str">
        <f>AF1028*J1028</f>
      </c>
      <c r="P1028" s="71" t="str">
        <f>AG1028*J1028</f>
      </c>
      <c r="Q1028" s="72" t="str">
        <f>P1028*L1028*M1028*N1028</f>
      </c>
      <c r="R1028" s="73" t="str">
        <f>O1028*K1028*M1028*N1028</f>
      </c>
      <c r="S1028" s="74" t="str">
        <f>R1028-Q1028</f>
      </c>
      <c r="T1028" s="20" t="str">
        <f>IFERROR(INDEX('Cost_Components'!$R$2:$R$27,MATCH(E1028,'Cost_Components'!$A$2:$A$27,0)),"")</f>
      </c>
      <c r="U1028" s="75" t="str">
        <f>IFERROR(INDEX('Cost_Components'!$Q$2:$Q$27,MATCH(E1028,'Cost_Components'!$A$2:$A$27,0)),"")</f>
      </c>
      <c r="V1028" s="76" t="str">
        <f>1/(1+'Calculation_Assumptions'!$B$5)^(B1028-'Calculation_Assumptions'!$B$2)</f>
      </c>
      <c r="W1028" s="77" t="str">
        <f>Q1028*V1028</f>
      </c>
      <c r="X1028" s="78" t="str">
        <f>R1028*V1028</f>
      </c>
      <c r="Y1028" s="79" t="str">
        <f>S1028*V1028</f>
      </c>
      <c r="Z1028" s="80" t="str">
        <f>IFERROR(INDEX('Cost_Components'!$T$2:$T$27,MATCH(E1028,'Cost_Components'!$A$2:$A$27,0)),"")</f>
      </c>
      <c r="AA1028" s="81" t="str">
        <f>IFERROR(INDEX('Cost_Components'!$U$2:$U$27,MATCH(E1028,'Cost_Components'!$A$2:$A$27,0)),"")</f>
      </c>
      <c r="AB1028" s="82" t="str">
        <f>IFERROR(INDEX('Cost_Components'!$V$2:$V$27,MATCH(E1028,'Cost_Components'!$A$2:$A$27,0)),"")</f>
      </c>
      <c r="AC1028" s="83" t="str">
        <f>IFERROR(INDEX('Cost_Components'!$M$2:$M$27,MATCH(E1028,'Cost_Components'!$A$2:$A$27,0)),"")</f>
      </c>
      <c r="AD1028" s="84" t="str">
        <f>IFERROR(INDEX('Cost_Components'!$N$2:$N$27,MATCH(E1028,'Cost_Components'!$A$2:$A$27,0)),"")</f>
      </c>
      <c r="AE1028" s="20" t="str">
        <f>IFERROR(INDEX('Cost_Components'!$O$2:$O$27,MATCH(E1028,'Cost_Components'!$A$2:$A$27,0)),"")</f>
      </c>
      <c r="AF1028" s="85" t="n">
        <v>6007010.41300939</v>
      </c>
      <c r="AG1028" s="86" t="n">
        <v>6330015.78836299</v>
      </c>
      <c r="AH1028" s="87" t="str">
        <f>IF(H1028="shared-count-once",COUNTIFS($A$2:$A$1353,A1028,$B$2:$B$1353,B1028,$E$2:$E$1353,E1028),1)</f>
      </c>
    </row>
    <row r="1029">
      <c r="A1029" t="s">
        <v>75</v>
      </c>
      <c r="B1029" s="59" t="n">
        <v>2038</v>
      </c>
      <c r="C1029" t="s">
        <v>200</v>
      </c>
      <c r="D1029" t="s">
        <v>180</v>
      </c>
      <c r="E1029" s="60" t="s">
        <v>292</v>
      </c>
      <c r="F1029" s="61" t="s">
        <v>293</v>
      </c>
      <c r="G1029" s="62" t="s">
        <v>204</v>
      </c>
      <c r="H1029" s="63" t="s">
        <v>195</v>
      </c>
      <c r="I1029" s="64" t="s">
        <v>267</v>
      </c>
      <c r="J1029" s="65" t="str">
        <f>IFERROR(INDEX('Cost_Components'!$K$2:$K$27,MATCH(E1029,'Cost_Components'!$A$2:$A$27,0)),"")</f>
      </c>
      <c r="K1029" s="66" t="str">
        <f>IF(OR(L1029="",Z1029="",AA1029="",AB1029=""),"",IF(B1029&lt;AA1029,L1029,IF(B1029&gt;AB1029,Z1029,L1029+(Z1029-L1029)*MIN(MAX((B1029-AA1029+1)/MAX(AB1029-AA1029+1,1),0),1))))</f>
      </c>
      <c r="L1029" s="67" t="str">
        <f>IFERROR(INDEX('Cost_Components'!$S$2:$S$27,MATCH(E1029,'Cost_Components'!$A$2:$A$27,0)),"")</f>
      </c>
      <c r="M1029" s="68" t="str">
        <f>IFERROR(INDEX('Cost_Components'!$L$2:$L$27,MATCH(E1029,'Cost_Components'!$A$2:$A$27,0)),"")</f>
      </c>
      <c r="N1029" s="69" t="str">
        <f>IFERROR(INDEX('Cost_Components'!$P$2:$P$27,MATCH(E1029,'Cost_Components'!$A$2:$A$27,0)),"")</f>
      </c>
      <c r="O1029" s="70" t="str">
        <f>AF1029*J1029</f>
      </c>
      <c r="P1029" s="71" t="str">
        <f>AG1029*J1029</f>
      </c>
      <c r="Q1029" s="72" t="str">
        <f>P1029*L1029*M1029*N1029</f>
      </c>
      <c r="R1029" s="73" t="str">
        <f>O1029*K1029*M1029*N1029</f>
      </c>
      <c r="S1029" s="74" t="str">
        <f>R1029-Q1029</f>
      </c>
      <c r="T1029" s="20" t="str">
        <f>IFERROR(INDEX('Cost_Components'!$R$2:$R$27,MATCH(E1029,'Cost_Components'!$A$2:$A$27,0)),"")</f>
      </c>
      <c r="U1029" s="75" t="str">
        <f>IFERROR(INDEX('Cost_Components'!$Q$2:$Q$27,MATCH(E1029,'Cost_Components'!$A$2:$A$27,0)),"")</f>
      </c>
      <c r="V1029" s="76" t="str">
        <f>1/(1+'Calculation_Assumptions'!$B$5)^(B1029-'Calculation_Assumptions'!$B$2)</f>
      </c>
      <c r="W1029" s="77" t="str">
        <f>Q1029*V1029</f>
      </c>
      <c r="X1029" s="78" t="str">
        <f>R1029*V1029</f>
      </c>
      <c r="Y1029" s="79" t="str">
        <f>S1029*V1029</f>
      </c>
      <c r="Z1029" s="80" t="str">
        <f>IFERROR(INDEX('Cost_Components'!$T$2:$T$27,MATCH(E1029,'Cost_Components'!$A$2:$A$27,0)),"")</f>
      </c>
      <c r="AA1029" s="81" t="str">
        <f>IFERROR(INDEX('Cost_Components'!$U$2:$U$27,MATCH(E1029,'Cost_Components'!$A$2:$A$27,0)),"")</f>
      </c>
      <c r="AB1029" s="82" t="str">
        <f>IFERROR(INDEX('Cost_Components'!$V$2:$V$27,MATCH(E1029,'Cost_Components'!$A$2:$A$27,0)),"")</f>
      </c>
      <c r="AC1029" s="83" t="str">
        <f>IFERROR(INDEX('Cost_Components'!$M$2:$M$27,MATCH(E1029,'Cost_Components'!$A$2:$A$27,0)),"")</f>
      </c>
      <c r="AD1029" s="84" t="str">
        <f>IFERROR(INDEX('Cost_Components'!$N$2:$N$27,MATCH(E1029,'Cost_Components'!$A$2:$A$27,0)),"")</f>
      </c>
      <c r="AE1029" s="20" t="str">
        <f>IFERROR(INDEX('Cost_Components'!$O$2:$O$27,MATCH(E1029,'Cost_Components'!$A$2:$A$27,0)),"")</f>
      </c>
      <c r="AF1029" s="85" t="n">
        <v>6080227.03152789</v>
      </c>
      <c r="AG1029" s="86" t="n">
        <v>6447512.9889023</v>
      </c>
      <c r="AH1029" s="87" t="str">
        <f>IF(H1029="shared-count-once",COUNTIFS($A$2:$A$1353,A1029,$B$2:$B$1353,B1029,$E$2:$E$1353,E1029),1)</f>
      </c>
    </row>
    <row r="1030">
      <c r="A1030" t="s">
        <v>75</v>
      </c>
      <c r="B1030" s="59" t="n">
        <v>2039</v>
      </c>
      <c r="C1030" t="s">
        <v>200</v>
      </c>
      <c r="D1030" t="s">
        <v>180</v>
      </c>
      <c r="E1030" s="60" t="s">
        <v>292</v>
      </c>
      <c r="F1030" s="61" t="s">
        <v>293</v>
      </c>
      <c r="G1030" s="62" t="s">
        <v>204</v>
      </c>
      <c r="H1030" s="63" t="s">
        <v>195</v>
      </c>
      <c r="I1030" s="64" t="s">
        <v>267</v>
      </c>
      <c r="J1030" s="65" t="str">
        <f>IFERROR(INDEX('Cost_Components'!$K$2:$K$27,MATCH(E1030,'Cost_Components'!$A$2:$A$27,0)),"")</f>
      </c>
      <c r="K1030" s="66" t="str">
        <f>IF(OR(L1030="",Z1030="",AA1030="",AB1030=""),"",IF(B1030&lt;AA1030,L1030,IF(B1030&gt;AB1030,Z1030,L1030+(Z1030-L1030)*MIN(MAX((B1030-AA1030+1)/MAX(AB1030-AA1030+1,1),0),1))))</f>
      </c>
      <c r="L1030" s="67" t="str">
        <f>IFERROR(INDEX('Cost_Components'!$S$2:$S$27,MATCH(E1030,'Cost_Components'!$A$2:$A$27,0)),"")</f>
      </c>
      <c r="M1030" s="68" t="str">
        <f>IFERROR(INDEX('Cost_Components'!$L$2:$L$27,MATCH(E1030,'Cost_Components'!$A$2:$A$27,0)),"")</f>
      </c>
      <c r="N1030" s="69" t="str">
        <f>IFERROR(INDEX('Cost_Components'!$P$2:$P$27,MATCH(E1030,'Cost_Components'!$A$2:$A$27,0)),"")</f>
      </c>
      <c r="O1030" s="70" t="str">
        <f>AF1030*J1030</f>
      </c>
      <c r="P1030" s="71" t="str">
        <f>AG1030*J1030</f>
      </c>
      <c r="Q1030" s="72" t="str">
        <f>P1030*L1030*M1030*N1030</f>
      </c>
      <c r="R1030" s="73" t="str">
        <f>O1030*K1030*M1030*N1030</f>
      </c>
      <c r="S1030" s="74" t="str">
        <f>R1030-Q1030</f>
      </c>
      <c r="T1030" s="20" t="str">
        <f>IFERROR(INDEX('Cost_Components'!$R$2:$R$27,MATCH(E1030,'Cost_Components'!$A$2:$A$27,0)),"")</f>
      </c>
      <c r="U1030" s="75" t="str">
        <f>IFERROR(INDEX('Cost_Components'!$Q$2:$Q$27,MATCH(E1030,'Cost_Components'!$A$2:$A$27,0)),"")</f>
      </c>
      <c r="V1030" s="76" t="str">
        <f>1/(1+'Calculation_Assumptions'!$B$5)^(B1030-'Calculation_Assumptions'!$B$2)</f>
      </c>
      <c r="W1030" s="77" t="str">
        <f>Q1030*V1030</f>
      </c>
      <c r="X1030" s="78" t="str">
        <f>R1030*V1030</f>
      </c>
      <c r="Y1030" s="79" t="str">
        <f>S1030*V1030</f>
      </c>
      <c r="Z1030" s="80" t="str">
        <f>IFERROR(INDEX('Cost_Components'!$T$2:$T$27,MATCH(E1030,'Cost_Components'!$A$2:$A$27,0)),"")</f>
      </c>
      <c r="AA1030" s="81" t="str">
        <f>IFERROR(INDEX('Cost_Components'!$U$2:$U$27,MATCH(E1030,'Cost_Components'!$A$2:$A$27,0)),"")</f>
      </c>
      <c r="AB1030" s="82" t="str">
        <f>IFERROR(INDEX('Cost_Components'!$V$2:$V$27,MATCH(E1030,'Cost_Components'!$A$2:$A$27,0)),"")</f>
      </c>
      <c r="AC1030" s="83" t="str">
        <f>IFERROR(INDEX('Cost_Components'!$M$2:$M$27,MATCH(E1030,'Cost_Components'!$A$2:$A$27,0)),"")</f>
      </c>
      <c r="AD1030" s="84" t="str">
        <f>IFERROR(INDEX('Cost_Components'!$N$2:$N$27,MATCH(E1030,'Cost_Components'!$A$2:$A$27,0)),"")</f>
      </c>
      <c r="AE1030" s="20" t="str">
        <f>IFERROR(INDEX('Cost_Components'!$O$2:$O$27,MATCH(E1030,'Cost_Components'!$A$2:$A$27,0)),"")</f>
      </c>
      <c r="AF1030" s="85" t="n">
        <v>6150764.68663922</v>
      </c>
      <c r="AG1030" s="86" t="n">
        <v>6564073.62283021</v>
      </c>
      <c r="AH1030" s="87" t="str">
        <f>IF(H1030="shared-count-once",COUNTIFS($A$2:$A$1353,A1030,$B$2:$B$1353,B1030,$E$2:$E$1353,E1030),1)</f>
      </c>
    </row>
    <row r="1031">
      <c r="A1031" t="s">
        <v>75</v>
      </c>
      <c r="B1031" s="59" t="n">
        <v>2040</v>
      </c>
      <c r="C1031" t="s">
        <v>200</v>
      </c>
      <c r="D1031" t="s">
        <v>180</v>
      </c>
      <c r="E1031" s="60" t="s">
        <v>292</v>
      </c>
      <c r="F1031" s="61" t="s">
        <v>293</v>
      </c>
      <c r="G1031" s="62" t="s">
        <v>204</v>
      </c>
      <c r="H1031" s="63" t="s">
        <v>195</v>
      </c>
      <c r="I1031" s="64" t="s">
        <v>267</v>
      </c>
      <c r="J1031" s="65" t="str">
        <f>IFERROR(INDEX('Cost_Components'!$K$2:$K$27,MATCH(E1031,'Cost_Components'!$A$2:$A$27,0)),"")</f>
      </c>
      <c r="K1031" s="66" t="str">
        <f>IF(OR(L1031="",Z1031="",AA1031="",AB1031=""),"",IF(B1031&lt;AA1031,L1031,IF(B1031&gt;AB1031,Z1031,L1031+(Z1031-L1031)*MIN(MAX((B1031-AA1031+1)/MAX(AB1031-AA1031+1,1),0),1))))</f>
      </c>
      <c r="L1031" s="67" t="str">
        <f>IFERROR(INDEX('Cost_Components'!$S$2:$S$27,MATCH(E1031,'Cost_Components'!$A$2:$A$27,0)),"")</f>
      </c>
      <c r="M1031" s="68" t="str">
        <f>IFERROR(INDEX('Cost_Components'!$L$2:$L$27,MATCH(E1031,'Cost_Components'!$A$2:$A$27,0)),"")</f>
      </c>
      <c r="N1031" s="69" t="str">
        <f>IFERROR(INDEX('Cost_Components'!$P$2:$P$27,MATCH(E1031,'Cost_Components'!$A$2:$A$27,0)),"")</f>
      </c>
      <c r="O1031" s="70" t="str">
        <f>AF1031*J1031</f>
      </c>
      <c r="P1031" s="71" t="str">
        <f>AG1031*J1031</f>
      </c>
      <c r="Q1031" s="72" t="str">
        <f>P1031*L1031*M1031*N1031</f>
      </c>
      <c r="R1031" s="73" t="str">
        <f>O1031*K1031*M1031*N1031</f>
      </c>
      <c r="S1031" s="74" t="str">
        <f>R1031-Q1031</f>
      </c>
      <c r="T1031" s="20" t="str">
        <f>IFERROR(INDEX('Cost_Components'!$R$2:$R$27,MATCH(E1031,'Cost_Components'!$A$2:$A$27,0)),"")</f>
      </c>
      <c r="U1031" s="75" t="str">
        <f>IFERROR(INDEX('Cost_Components'!$Q$2:$Q$27,MATCH(E1031,'Cost_Components'!$A$2:$A$27,0)),"")</f>
      </c>
      <c r="V1031" s="76" t="str">
        <f>1/(1+'Calculation_Assumptions'!$B$5)^(B1031-'Calculation_Assumptions'!$B$2)</f>
      </c>
      <c r="W1031" s="77" t="str">
        <f>Q1031*V1031</f>
      </c>
      <c r="X1031" s="78" t="str">
        <f>R1031*V1031</f>
      </c>
      <c r="Y1031" s="79" t="str">
        <f>S1031*V1031</f>
      </c>
      <c r="Z1031" s="80" t="str">
        <f>IFERROR(INDEX('Cost_Components'!$T$2:$T$27,MATCH(E1031,'Cost_Components'!$A$2:$A$27,0)),"")</f>
      </c>
      <c r="AA1031" s="81" t="str">
        <f>IFERROR(INDEX('Cost_Components'!$U$2:$U$27,MATCH(E1031,'Cost_Components'!$A$2:$A$27,0)),"")</f>
      </c>
      <c r="AB1031" s="82" t="str">
        <f>IFERROR(INDEX('Cost_Components'!$V$2:$V$27,MATCH(E1031,'Cost_Components'!$A$2:$A$27,0)),"")</f>
      </c>
      <c r="AC1031" s="83" t="str">
        <f>IFERROR(INDEX('Cost_Components'!$M$2:$M$27,MATCH(E1031,'Cost_Components'!$A$2:$A$27,0)),"")</f>
      </c>
      <c r="AD1031" s="84" t="str">
        <f>IFERROR(INDEX('Cost_Components'!$N$2:$N$27,MATCH(E1031,'Cost_Components'!$A$2:$A$27,0)),"")</f>
      </c>
      <c r="AE1031" s="20" t="str">
        <f>IFERROR(INDEX('Cost_Components'!$O$2:$O$27,MATCH(E1031,'Cost_Components'!$A$2:$A$27,0)),"")</f>
      </c>
      <c r="AF1031" s="85" t="n">
        <v>6219295.51062842</v>
      </c>
      <c r="AG1031" s="86" t="n">
        <v>6680640.99764336</v>
      </c>
      <c r="AH1031" s="87" t="str">
        <f>IF(H1031="shared-count-once",COUNTIFS($A$2:$A$1353,A1031,$B$2:$B$1353,B1031,$E$2:$E$1353,E1031),1)</f>
      </c>
    </row>
    <row r="1032">
      <c r="A1032" t="s">
        <v>75</v>
      </c>
      <c r="B1032" s="59" t="n">
        <v>2041</v>
      </c>
      <c r="C1032" t="s">
        <v>200</v>
      </c>
      <c r="D1032" t="s">
        <v>180</v>
      </c>
      <c r="E1032" s="60" t="s">
        <v>292</v>
      </c>
      <c r="F1032" s="61" t="s">
        <v>293</v>
      </c>
      <c r="G1032" s="62" t="s">
        <v>204</v>
      </c>
      <c r="H1032" s="63" t="s">
        <v>195</v>
      </c>
      <c r="I1032" s="64" t="s">
        <v>267</v>
      </c>
      <c r="J1032" s="65" t="str">
        <f>IFERROR(INDEX('Cost_Components'!$K$2:$K$27,MATCH(E1032,'Cost_Components'!$A$2:$A$27,0)),"")</f>
      </c>
      <c r="K1032" s="66" t="str">
        <f>IF(OR(L1032="",Z1032="",AA1032="",AB1032=""),"",IF(B1032&lt;AA1032,L1032,IF(B1032&gt;AB1032,Z1032,L1032+(Z1032-L1032)*MIN(MAX((B1032-AA1032+1)/MAX(AB1032-AA1032+1,1),0),1))))</f>
      </c>
      <c r="L1032" s="67" t="str">
        <f>IFERROR(INDEX('Cost_Components'!$S$2:$S$27,MATCH(E1032,'Cost_Components'!$A$2:$A$27,0)),"")</f>
      </c>
      <c r="M1032" s="68" t="str">
        <f>IFERROR(INDEX('Cost_Components'!$L$2:$L$27,MATCH(E1032,'Cost_Components'!$A$2:$A$27,0)),"")</f>
      </c>
      <c r="N1032" s="69" t="str">
        <f>IFERROR(INDEX('Cost_Components'!$P$2:$P$27,MATCH(E1032,'Cost_Components'!$A$2:$A$27,0)),"")</f>
      </c>
      <c r="O1032" s="70" t="str">
        <f>AF1032*J1032</f>
      </c>
      <c r="P1032" s="71" t="str">
        <f>AG1032*J1032</f>
      </c>
      <c r="Q1032" s="72" t="str">
        <f>P1032*L1032*M1032*N1032</f>
      </c>
      <c r="R1032" s="73" t="str">
        <f>O1032*K1032*M1032*N1032</f>
      </c>
      <c r="S1032" s="74" t="str">
        <f>R1032-Q1032</f>
      </c>
      <c r="T1032" s="20" t="str">
        <f>IFERROR(INDEX('Cost_Components'!$R$2:$R$27,MATCH(E1032,'Cost_Components'!$A$2:$A$27,0)),"")</f>
      </c>
      <c r="U1032" s="75" t="str">
        <f>IFERROR(INDEX('Cost_Components'!$Q$2:$Q$27,MATCH(E1032,'Cost_Components'!$A$2:$A$27,0)),"")</f>
      </c>
      <c r="V1032" s="76" t="str">
        <f>1/(1+'Calculation_Assumptions'!$B$5)^(B1032-'Calculation_Assumptions'!$B$2)</f>
      </c>
      <c r="W1032" s="77" t="str">
        <f>Q1032*V1032</f>
      </c>
      <c r="X1032" s="78" t="str">
        <f>R1032*V1032</f>
      </c>
      <c r="Y1032" s="79" t="str">
        <f>S1032*V1032</f>
      </c>
      <c r="Z1032" s="80" t="str">
        <f>IFERROR(INDEX('Cost_Components'!$T$2:$T$27,MATCH(E1032,'Cost_Components'!$A$2:$A$27,0)),"")</f>
      </c>
      <c r="AA1032" s="81" t="str">
        <f>IFERROR(INDEX('Cost_Components'!$U$2:$U$27,MATCH(E1032,'Cost_Components'!$A$2:$A$27,0)),"")</f>
      </c>
      <c r="AB1032" s="82" t="str">
        <f>IFERROR(INDEX('Cost_Components'!$V$2:$V$27,MATCH(E1032,'Cost_Components'!$A$2:$A$27,0)),"")</f>
      </c>
      <c r="AC1032" s="83" t="str">
        <f>IFERROR(INDEX('Cost_Components'!$M$2:$M$27,MATCH(E1032,'Cost_Components'!$A$2:$A$27,0)),"")</f>
      </c>
      <c r="AD1032" s="84" t="str">
        <f>IFERROR(INDEX('Cost_Components'!$N$2:$N$27,MATCH(E1032,'Cost_Components'!$A$2:$A$27,0)),"")</f>
      </c>
      <c r="AE1032" s="20" t="str">
        <f>IFERROR(INDEX('Cost_Components'!$O$2:$O$27,MATCH(E1032,'Cost_Components'!$A$2:$A$27,0)),"")</f>
      </c>
      <c r="AF1032" s="85" t="n">
        <v>6285604.10132309</v>
      </c>
      <c r="AG1032" s="86" t="n">
        <v>6796959.57831694</v>
      </c>
      <c r="AH1032" s="87" t="str">
        <f>IF(H1032="shared-count-once",COUNTIFS($A$2:$A$1353,A1032,$B$2:$B$1353,B1032,$E$2:$E$1353,E1032),1)</f>
      </c>
    </row>
    <row r="1033">
      <c r="A1033" t="s">
        <v>75</v>
      </c>
      <c r="B1033" s="59" t="n">
        <v>2042</v>
      </c>
      <c r="C1033" t="s">
        <v>200</v>
      </c>
      <c r="D1033" t="s">
        <v>180</v>
      </c>
      <c r="E1033" s="60" t="s">
        <v>292</v>
      </c>
      <c r="F1033" s="61" t="s">
        <v>293</v>
      </c>
      <c r="G1033" s="62" t="s">
        <v>204</v>
      </c>
      <c r="H1033" s="63" t="s">
        <v>195</v>
      </c>
      <c r="I1033" s="64" t="s">
        <v>267</v>
      </c>
      <c r="J1033" s="65" t="str">
        <f>IFERROR(INDEX('Cost_Components'!$K$2:$K$27,MATCH(E1033,'Cost_Components'!$A$2:$A$27,0)),"")</f>
      </c>
      <c r="K1033" s="66" t="str">
        <f>IF(OR(L1033="",Z1033="",AA1033="",AB1033=""),"",IF(B1033&lt;AA1033,L1033,IF(B1033&gt;AB1033,Z1033,L1033+(Z1033-L1033)*MIN(MAX((B1033-AA1033+1)/MAX(AB1033-AA1033+1,1),0),1))))</f>
      </c>
      <c r="L1033" s="67" t="str">
        <f>IFERROR(INDEX('Cost_Components'!$S$2:$S$27,MATCH(E1033,'Cost_Components'!$A$2:$A$27,0)),"")</f>
      </c>
      <c r="M1033" s="68" t="str">
        <f>IFERROR(INDEX('Cost_Components'!$L$2:$L$27,MATCH(E1033,'Cost_Components'!$A$2:$A$27,0)),"")</f>
      </c>
      <c r="N1033" s="69" t="str">
        <f>IFERROR(INDEX('Cost_Components'!$P$2:$P$27,MATCH(E1033,'Cost_Components'!$A$2:$A$27,0)),"")</f>
      </c>
      <c r="O1033" s="70" t="str">
        <f>AF1033*J1033</f>
      </c>
      <c r="P1033" s="71" t="str">
        <f>AG1033*J1033</f>
      </c>
      <c r="Q1033" s="72" t="str">
        <f>P1033*L1033*M1033*N1033</f>
      </c>
      <c r="R1033" s="73" t="str">
        <f>O1033*K1033*M1033*N1033</f>
      </c>
      <c r="S1033" s="74" t="str">
        <f>R1033-Q1033</f>
      </c>
      <c r="T1033" s="20" t="str">
        <f>IFERROR(INDEX('Cost_Components'!$R$2:$R$27,MATCH(E1033,'Cost_Components'!$A$2:$A$27,0)),"")</f>
      </c>
      <c r="U1033" s="75" t="str">
        <f>IFERROR(INDEX('Cost_Components'!$Q$2:$Q$27,MATCH(E1033,'Cost_Components'!$A$2:$A$27,0)),"")</f>
      </c>
      <c r="V1033" s="76" t="str">
        <f>1/(1+'Calculation_Assumptions'!$B$5)^(B1033-'Calculation_Assumptions'!$B$2)</f>
      </c>
      <c r="W1033" s="77" t="str">
        <f>Q1033*V1033</f>
      </c>
      <c r="X1033" s="78" t="str">
        <f>R1033*V1033</f>
      </c>
      <c r="Y1033" s="79" t="str">
        <f>S1033*V1033</f>
      </c>
      <c r="Z1033" s="80" t="str">
        <f>IFERROR(INDEX('Cost_Components'!$T$2:$T$27,MATCH(E1033,'Cost_Components'!$A$2:$A$27,0)),"")</f>
      </c>
      <c r="AA1033" s="81" t="str">
        <f>IFERROR(INDEX('Cost_Components'!$U$2:$U$27,MATCH(E1033,'Cost_Components'!$A$2:$A$27,0)),"")</f>
      </c>
      <c r="AB1033" s="82" t="str">
        <f>IFERROR(INDEX('Cost_Components'!$V$2:$V$27,MATCH(E1033,'Cost_Components'!$A$2:$A$27,0)),"")</f>
      </c>
      <c r="AC1033" s="83" t="str">
        <f>IFERROR(INDEX('Cost_Components'!$M$2:$M$27,MATCH(E1033,'Cost_Components'!$A$2:$A$27,0)),"")</f>
      </c>
      <c r="AD1033" s="84" t="str">
        <f>IFERROR(INDEX('Cost_Components'!$N$2:$N$27,MATCH(E1033,'Cost_Components'!$A$2:$A$27,0)),"")</f>
      </c>
      <c r="AE1033" s="20" t="str">
        <f>IFERROR(INDEX('Cost_Components'!$O$2:$O$27,MATCH(E1033,'Cost_Components'!$A$2:$A$27,0)),"")</f>
      </c>
      <c r="AF1033" s="85" t="n">
        <v>6349736.76648282</v>
      </c>
      <c r="AG1033" s="86" t="n">
        <v>6913099.8808547</v>
      </c>
      <c r="AH1033" s="87" t="str">
        <f>IF(H1033="shared-count-once",COUNTIFS($A$2:$A$1353,A1033,$B$2:$B$1353,B1033,$E$2:$E$1353,E1033),1)</f>
      </c>
    </row>
    <row r="1034">
      <c r="A1034" t="s">
        <v>75</v>
      </c>
      <c r="B1034" s="59" t="n">
        <v>2043</v>
      </c>
      <c r="C1034" t="s">
        <v>200</v>
      </c>
      <c r="D1034" t="s">
        <v>180</v>
      </c>
      <c r="E1034" s="60" t="s">
        <v>292</v>
      </c>
      <c r="F1034" s="61" t="s">
        <v>293</v>
      </c>
      <c r="G1034" s="62" t="s">
        <v>204</v>
      </c>
      <c r="H1034" s="63" t="s">
        <v>195</v>
      </c>
      <c r="I1034" s="64" t="s">
        <v>267</v>
      </c>
      <c r="J1034" s="65" t="str">
        <f>IFERROR(INDEX('Cost_Components'!$K$2:$K$27,MATCH(E1034,'Cost_Components'!$A$2:$A$27,0)),"")</f>
      </c>
      <c r="K1034" s="66" t="str">
        <f>IF(OR(L1034="",Z1034="",AA1034="",AB1034=""),"",IF(B1034&lt;AA1034,L1034,IF(B1034&gt;AB1034,Z1034,L1034+(Z1034-L1034)*MIN(MAX((B1034-AA1034+1)/MAX(AB1034-AA1034+1,1),0),1))))</f>
      </c>
      <c r="L1034" s="67" t="str">
        <f>IFERROR(INDEX('Cost_Components'!$S$2:$S$27,MATCH(E1034,'Cost_Components'!$A$2:$A$27,0)),"")</f>
      </c>
      <c r="M1034" s="68" t="str">
        <f>IFERROR(INDEX('Cost_Components'!$L$2:$L$27,MATCH(E1034,'Cost_Components'!$A$2:$A$27,0)),"")</f>
      </c>
      <c r="N1034" s="69" t="str">
        <f>IFERROR(INDEX('Cost_Components'!$P$2:$P$27,MATCH(E1034,'Cost_Components'!$A$2:$A$27,0)),"")</f>
      </c>
      <c r="O1034" s="70" t="str">
        <f>AF1034*J1034</f>
      </c>
      <c r="P1034" s="71" t="str">
        <f>AG1034*J1034</f>
      </c>
      <c r="Q1034" s="72" t="str">
        <f>P1034*L1034*M1034*N1034</f>
      </c>
      <c r="R1034" s="73" t="str">
        <f>O1034*K1034*M1034*N1034</f>
      </c>
      <c r="S1034" s="74" t="str">
        <f>R1034-Q1034</f>
      </c>
      <c r="T1034" s="20" t="str">
        <f>IFERROR(INDEX('Cost_Components'!$R$2:$R$27,MATCH(E1034,'Cost_Components'!$A$2:$A$27,0)),"")</f>
      </c>
      <c r="U1034" s="75" t="str">
        <f>IFERROR(INDEX('Cost_Components'!$Q$2:$Q$27,MATCH(E1034,'Cost_Components'!$A$2:$A$27,0)),"")</f>
      </c>
      <c r="V1034" s="76" t="str">
        <f>1/(1+'Calculation_Assumptions'!$B$5)^(B1034-'Calculation_Assumptions'!$B$2)</f>
      </c>
      <c r="W1034" s="77" t="str">
        <f>Q1034*V1034</f>
      </c>
      <c r="X1034" s="78" t="str">
        <f>R1034*V1034</f>
      </c>
      <c r="Y1034" s="79" t="str">
        <f>S1034*V1034</f>
      </c>
      <c r="Z1034" s="80" t="str">
        <f>IFERROR(INDEX('Cost_Components'!$T$2:$T$27,MATCH(E1034,'Cost_Components'!$A$2:$A$27,0)),"")</f>
      </c>
      <c r="AA1034" s="81" t="str">
        <f>IFERROR(INDEX('Cost_Components'!$U$2:$U$27,MATCH(E1034,'Cost_Components'!$A$2:$A$27,0)),"")</f>
      </c>
      <c r="AB1034" s="82" t="str">
        <f>IFERROR(INDEX('Cost_Components'!$V$2:$V$27,MATCH(E1034,'Cost_Components'!$A$2:$A$27,0)),"")</f>
      </c>
      <c r="AC1034" s="83" t="str">
        <f>IFERROR(INDEX('Cost_Components'!$M$2:$M$27,MATCH(E1034,'Cost_Components'!$A$2:$A$27,0)),"")</f>
      </c>
      <c r="AD1034" s="84" t="str">
        <f>IFERROR(INDEX('Cost_Components'!$N$2:$N$27,MATCH(E1034,'Cost_Components'!$A$2:$A$27,0)),"")</f>
      </c>
      <c r="AE1034" s="20" t="str">
        <f>IFERROR(INDEX('Cost_Components'!$O$2:$O$27,MATCH(E1034,'Cost_Components'!$A$2:$A$27,0)),"")</f>
      </c>
      <c r="AF1034" s="85" t="n">
        <v>6410935.29622537</v>
      </c>
      <c r="AG1034" s="86" t="n">
        <v>7028320.53609466</v>
      </c>
      <c r="AH1034" s="87" t="str">
        <f>IF(H1034="shared-count-once",COUNTIFS($A$2:$A$1353,A1034,$B$2:$B$1353,B1034,$E$2:$E$1353,E1034),1)</f>
      </c>
    </row>
    <row r="1035">
      <c r="A1035" t="s">
        <v>75</v>
      </c>
      <c r="B1035" s="59" t="n">
        <v>2044</v>
      </c>
      <c r="C1035" t="s">
        <v>200</v>
      </c>
      <c r="D1035" t="s">
        <v>180</v>
      </c>
      <c r="E1035" s="60" t="s">
        <v>292</v>
      </c>
      <c r="F1035" s="61" t="s">
        <v>293</v>
      </c>
      <c r="G1035" s="62" t="s">
        <v>204</v>
      </c>
      <c r="H1035" s="63" t="s">
        <v>195</v>
      </c>
      <c r="I1035" s="64" t="s">
        <v>267</v>
      </c>
      <c r="J1035" s="65" t="str">
        <f>IFERROR(INDEX('Cost_Components'!$K$2:$K$27,MATCH(E1035,'Cost_Components'!$A$2:$A$27,0)),"")</f>
      </c>
      <c r="K1035" s="66" t="str">
        <f>IF(OR(L1035="",Z1035="",AA1035="",AB1035=""),"",IF(B1035&lt;AA1035,L1035,IF(B1035&gt;AB1035,Z1035,L1035+(Z1035-L1035)*MIN(MAX((B1035-AA1035+1)/MAX(AB1035-AA1035+1,1),0),1))))</f>
      </c>
      <c r="L1035" s="67" t="str">
        <f>IFERROR(INDEX('Cost_Components'!$S$2:$S$27,MATCH(E1035,'Cost_Components'!$A$2:$A$27,0)),"")</f>
      </c>
      <c r="M1035" s="68" t="str">
        <f>IFERROR(INDEX('Cost_Components'!$L$2:$L$27,MATCH(E1035,'Cost_Components'!$A$2:$A$27,0)),"")</f>
      </c>
      <c r="N1035" s="69" t="str">
        <f>IFERROR(INDEX('Cost_Components'!$P$2:$P$27,MATCH(E1035,'Cost_Components'!$A$2:$A$27,0)),"")</f>
      </c>
      <c r="O1035" s="70" t="str">
        <f>AF1035*J1035</f>
      </c>
      <c r="P1035" s="71" t="str">
        <f>AG1035*J1035</f>
      </c>
      <c r="Q1035" s="72" t="str">
        <f>P1035*L1035*M1035*N1035</f>
      </c>
      <c r="R1035" s="73" t="str">
        <f>O1035*K1035*M1035*N1035</f>
      </c>
      <c r="S1035" s="74" t="str">
        <f>R1035-Q1035</f>
      </c>
      <c r="T1035" s="20" t="str">
        <f>IFERROR(INDEX('Cost_Components'!$R$2:$R$27,MATCH(E1035,'Cost_Components'!$A$2:$A$27,0)),"")</f>
      </c>
      <c r="U1035" s="75" t="str">
        <f>IFERROR(INDEX('Cost_Components'!$Q$2:$Q$27,MATCH(E1035,'Cost_Components'!$A$2:$A$27,0)),"")</f>
      </c>
      <c r="V1035" s="76" t="str">
        <f>1/(1+'Calculation_Assumptions'!$B$5)^(B1035-'Calculation_Assumptions'!$B$2)</f>
      </c>
      <c r="W1035" s="77" t="str">
        <f>Q1035*V1035</f>
      </c>
      <c r="X1035" s="78" t="str">
        <f>R1035*V1035</f>
      </c>
      <c r="Y1035" s="79" t="str">
        <f>S1035*V1035</f>
      </c>
      <c r="Z1035" s="80" t="str">
        <f>IFERROR(INDEX('Cost_Components'!$T$2:$T$27,MATCH(E1035,'Cost_Components'!$A$2:$A$27,0)),"")</f>
      </c>
      <c r="AA1035" s="81" t="str">
        <f>IFERROR(INDEX('Cost_Components'!$U$2:$U$27,MATCH(E1035,'Cost_Components'!$A$2:$A$27,0)),"")</f>
      </c>
      <c r="AB1035" s="82" t="str">
        <f>IFERROR(INDEX('Cost_Components'!$V$2:$V$27,MATCH(E1035,'Cost_Components'!$A$2:$A$27,0)),"")</f>
      </c>
      <c r="AC1035" s="83" t="str">
        <f>IFERROR(INDEX('Cost_Components'!$M$2:$M$27,MATCH(E1035,'Cost_Components'!$A$2:$A$27,0)),"")</f>
      </c>
      <c r="AD1035" s="84" t="str">
        <f>IFERROR(INDEX('Cost_Components'!$N$2:$N$27,MATCH(E1035,'Cost_Components'!$A$2:$A$27,0)),"")</f>
      </c>
      <c r="AE1035" s="20" t="str">
        <f>IFERROR(INDEX('Cost_Components'!$O$2:$O$27,MATCH(E1035,'Cost_Components'!$A$2:$A$27,0)),"")</f>
      </c>
      <c r="AF1035" s="85" t="n">
        <v>6465946.00959925</v>
      </c>
      <c r="AG1035" s="86" t="n">
        <v>7138623.97835749</v>
      </c>
      <c r="AH1035" s="87" t="str">
        <f>IF(H1035="shared-count-once",COUNTIFS($A$2:$A$1353,A1035,$B$2:$B$1353,B1035,$E$2:$E$1353,E1035),1)</f>
      </c>
    </row>
    <row r="1036">
      <c r="A1036" t="s">
        <v>75</v>
      </c>
      <c r="B1036" s="59" t="n">
        <v>2045</v>
      </c>
      <c r="C1036" t="s">
        <v>200</v>
      </c>
      <c r="D1036" t="s">
        <v>180</v>
      </c>
      <c r="E1036" s="60" t="s">
        <v>292</v>
      </c>
      <c r="F1036" s="61" t="s">
        <v>293</v>
      </c>
      <c r="G1036" s="62" t="s">
        <v>204</v>
      </c>
      <c r="H1036" s="63" t="s">
        <v>195</v>
      </c>
      <c r="I1036" s="64" t="s">
        <v>267</v>
      </c>
      <c r="J1036" s="65" t="str">
        <f>IFERROR(INDEX('Cost_Components'!$K$2:$K$27,MATCH(E1036,'Cost_Components'!$A$2:$A$27,0)),"")</f>
      </c>
      <c r="K1036" s="66" t="str">
        <f>IF(OR(L1036="",Z1036="",AA1036="",AB1036=""),"",IF(B1036&lt;AA1036,L1036,IF(B1036&gt;AB1036,Z1036,L1036+(Z1036-L1036)*MIN(MAX((B1036-AA1036+1)/MAX(AB1036-AA1036+1,1),0),1))))</f>
      </c>
      <c r="L1036" s="67" t="str">
        <f>IFERROR(INDEX('Cost_Components'!$S$2:$S$27,MATCH(E1036,'Cost_Components'!$A$2:$A$27,0)),"")</f>
      </c>
      <c r="M1036" s="68" t="str">
        <f>IFERROR(INDEX('Cost_Components'!$L$2:$L$27,MATCH(E1036,'Cost_Components'!$A$2:$A$27,0)),"")</f>
      </c>
      <c r="N1036" s="69" t="str">
        <f>IFERROR(INDEX('Cost_Components'!$P$2:$P$27,MATCH(E1036,'Cost_Components'!$A$2:$A$27,0)),"")</f>
      </c>
      <c r="O1036" s="70" t="str">
        <f>AF1036*J1036</f>
      </c>
      <c r="P1036" s="71" t="str">
        <f>AG1036*J1036</f>
      </c>
      <c r="Q1036" s="72" t="str">
        <f>P1036*L1036*M1036*N1036</f>
      </c>
      <c r="R1036" s="73" t="str">
        <f>O1036*K1036*M1036*N1036</f>
      </c>
      <c r="S1036" s="74" t="str">
        <f>R1036-Q1036</f>
      </c>
      <c r="T1036" s="20" t="str">
        <f>IFERROR(INDEX('Cost_Components'!$R$2:$R$27,MATCH(E1036,'Cost_Components'!$A$2:$A$27,0)),"")</f>
      </c>
      <c r="U1036" s="75" t="str">
        <f>IFERROR(INDEX('Cost_Components'!$Q$2:$Q$27,MATCH(E1036,'Cost_Components'!$A$2:$A$27,0)),"")</f>
      </c>
      <c r="V1036" s="76" t="str">
        <f>1/(1+'Calculation_Assumptions'!$B$5)^(B1036-'Calculation_Assumptions'!$B$2)</f>
      </c>
      <c r="W1036" s="77" t="str">
        <f>Q1036*V1036</f>
      </c>
      <c r="X1036" s="78" t="str">
        <f>R1036*V1036</f>
      </c>
      <c r="Y1036" s="79" t="str">
        <f>S1036*V1036</f>
      </c>
      <c r="Z1036" s="80" t="str">
        <f>IFERROR(INDEX('Cost_Components'!$T$2:$T$27,MATCH(E1036,'Cost_Components'!$A$2:$A$27,0)),"")</f>
      </c>
      <c r="AA1036" s="81" t="str">
        <f>IFERROR(INDEX('Cost_Components'!$U$2:$U$27,MATCH(E1036,'Cost_Components'!$A$2:$A$27,0)),"")</f>
      </c>
      <c r="AB1036" s="82" t="str">
        <f>IFERROR(INDEX('Cost_Components'!$V$2:$V$27,MATCH(E1036,'Cost_Components'!$A$2:$A$27,0)),"")</f>
      </c>
      <c r="AC1036" s="83" t="str">
        <f>IFERROR(INDEX('Cost_Components'!$M$2:$M$27,MATCH(E1036,'Cost_Components'!$A$2:$A$27,0)),"")</f>
      </c>
      <c r="AD1036" s="84" t="str">
        <f>IFERROR(INDEX('Cost_Components'!$N$2:$N$27,MATCH(E1036,'Cost_Components'!$A$2:$A$27,0)),"")</f>
      </c>
      <c r="AE1036" s="20" t="str">
        <f>IFERROR(INDEX('Cost_Components'!$O$2:$O$27,MATCH(E1036,'Cost_Components'!$A$2:$A$27,0)),"")</f>
      </c>
      <c r="AF1036" s="85" t="n">
        <v>6517225.77420429</v>
      </c>
      <c r="AG1036" s="86" t="n">
        <v>7246779.83544231</v>
      </c>
      <c r="AH1036" s="87" t="str">
        <f>IF(H1036="shared-count-once",COUNTIFS($A$2:$A$1353,A1036,$B$2:$B$1353,B1036,$E$2:$E$1353,E1036),1)</f>
      </c>
    </row>
    <row r="1037">
      <c r="A1037" t="s">
        <v>75</v>
      </c>
      <c r="B1037" s="59" t="n">
        <v>2046</v>
      </c>
      <c r="C1037" t="s">
        <v>200</v>
      </c>
      <c r="D1037" t="s">
        <v>180</v>
      </c>
      <c r="E1037" s="60" t="s">
        <v>292</v>
      </c>
      <c r="F1037" s="61" t="s">
        <v>293</v>
      </c>
      <c r="G1037" s="62" t="s">
        <v>204</v>
      </c>
      <c r="H1037" s="63" t="s">
        <v>195</v>
      </c>
      <c r="I1037" s="64" t="s">
        <v>267</v>
      </c>
      <c r="J1037" s="65" t="str">
        <f>IFERROR(INDEX('Cost_Components'!$K$2:$K$27,MATCH(E1037,'Cost_Components'!$A$2:$A$27,0)),"")</f>
      </c>
      <c r="K1037" s="66" t="str">
        <f>IF(OR(L1037="",Z1037="",AA1037="",AB1037=""),"",IF(B1037&lt;AA1037,L1037,IF(B1037&gt;AB1037,Z1037,L1037+(Z1037-L1037)*MIN(MAX((B1037-AA1037+1)/MAX(AB1037-AA1037+1,1),0),1))))</f>
      </c>
      <c r="L1037" s="67" t="str">
        <f>IFERROR(INDEX('Cost_Components'!$S$2:$S$27,MATCH(E1037,'Cost_Components'!$A$2:$A$27,0)),"")</f>
      </c>
      <c r="M1037" s="68" t="str">
        <f>IFERROR(INDEX('Cost_Components'!$L$2:$L$27,MATCH(E1037,'Cost_Components'!$A$2:$A$27,0)),"")</f>
      </c>
      <c r="N1037" s="69" t="str">
        <f>IFERROR(INDEX('Cost_Components'!$P$2:$P$27,MATCH(E1037,'Cost_Components'!$A$2:$A$27,0)),"")</f>
      </c>
      <c r="O1037" s="70" t="str">
        <f>AF1037*J1037</f>
      </c>
      <c r="P1037" s="71" t="str">
        <f>AG1037*J1037</f>
      </c>
      <c r="Q1037" s="72" t="str">
        <f>P1037*L1037*M1037*N1037</f>
      </c>
      <c r="R1037" s="73" t="str">
        <f>O1037*K1037*M1037*N1037</f>
      </c>
      <c r="S1037" s="74" t="str">
        <f>R1037-Q1037</f>
      </c>
      <c r="T1037" s="20" t="str">
        <f>IFERROR(INDEX('Cost_Components'!$R$2:$R$27,MATCH(E1037,'Cost_Components'!$A$2:$A$27,0)),"")</f>
      </c>
      <c r="U1037" s="75" t="str">
        <f>IFERROR(INDEX('Cost_Components'!$Q$2:$Q$27,MATCH(E1037,'Cost_Components'!$A$2:$A$27,0)),"")</f>
      </c>
      <c r="V1037" s="76" t="str">
        <f>1/(1+'Calculation_Assumptions'!$B$5)^(B1037-'Calculation_Assumptions'!$B$2)</f>
      </c>
      <c r="W1037" s="77" t="str">
        <f>Q1037*V1037</f>
      </c>
      <c r="X1037" s="78" t="str">
        <f>R1037*V1037</f>
      </c>
      <c r="Y1037" s="79" t="str">
        <f>S1037*V1037</f>
      </c>
      <c r="Z1037" s="80" t="str">
        <f>IFERROR(INDEX('Cost_Components'!$T$2:$T$27,MATCH(E1037,'Cost_Components'!$A$2:$A$27,0)),"")</f>
      </c>
      <c r="AA1037" s="81" t="str">
        <f>IFERROR(INDEX('Cost_Components'!$U$2:$U$27,MATCH(E1037,'Cost_Components'!$A$2:$A$27,0)),"")</f>
      </c>
      <c r="AB1037" s="82" t="str">
        <f>IFERROR(INDEX('Cost_Components'!$V$2:$V$27,MATCH(E1037,'Cost_Components'!$A$2:$A$27,0)),"")</f>
      </c>
      <c r="AC1037" s="83" t="str">
        <f>IFERROR(INDEX('Cost_Components'!$M$2:$M$27,MATCH(E1037,'Cost_Components'!$A$2:$A$27,0)),"")</f>
      </c>
      <c r="AD1037" s="84" t="str">
        <f>IFERROR(INDEX('Cost_Components'!$N$2:$N$27,MATCH(E1037,'Cost_Components'!$A$2:$A$27,0)),"")</f>
      </c>
      <c r="AE1037" s="20" t="str">
        <f>IFERROR(INDEX('Cost_Components'!$O$2:$O$27,MATCH(E1037,'Cost_Components'!$A$2:$A$27,0)),"")</f>
      </c>
      <c r="AF1037" s="85" t="n">
        <v>6564611.39100195</v>
      </c>
      <c r="AG1037" s="86" t="n">
        <v>7352671.00291986</v>
      </c>
      <c r="AH1037" s="87" t="str">
        <f>IF(H1037="shared-count-once",COUNTIFS($A$2:$A$1353,A1037,$B$2:$B$1353,B1037,$E$2:$E$1353,E1037),1)</f>
      </c>
    </row>
    <row r="1038">
      <c r="A1038" t="s">
        <v>75</v>
      </c>
      <c r="B1038" s="59" t="n">
        <v>2047</v>
      </c>
      <c r="C1038" t="s">
        <v>200</v>
      </c>
      <c r="D1038" t="s">
        <v>180</v>
      </c>
      <c r="E1038" s="60" t="s">
        <v>292</v>
      </c>
      <c r="F1038" s="61" t="s">
        <v>293</v>
      </c>
      <c r="G1038" s="62" t="s">
        <v>204</v>
      </c>
      <c r="H1038" s="63" t="s">
        <v>195</v>
      </c>
      <c r="I1038" s="64" t="s">
        <v>267</v>
      </c>
      <c r="J1038" s="65" t="str">
        <f>IFERROR(INDEX('Cost_Components'!$K$2:$K$27,MATCH(E1038,'Cost_Components'!$A$2:$A$27,0)),"")</f>
      </c>
      <c r="K1038" s="66" t="str">
        <f>IF(OR(L1038="",Z1038="",AA1038="",AB1038=""),"",IF(B1038&lt;AA1038,L1038,IF(B1038&gt;AB1038,Z1038,L1038+(Z1038-L1038)*MIN(MAX((B1038-AA1038+1)/MAX(AB1038-AA1038+1,1),0),1))))</f>
      </c>
      <c r="L1038" s="67" t="str">
        <f>IFERROR(INDEX('Cost_Components'!$S$2:$S$27,MATCH(E1038,'Cost_Components'!$A$2:$A$27,0)),"")</f>
      </c>
      <c r="M1038" s="68" t="str">
        <f>IFERROR(INDEX('Cost_Components'!$L$2:$L$27,MATCH(E1038,'Cost_Components'!$A$2:$A$27,0)),"")</f>
      </c>
      <c r="N1038" s="69" t="str">
        <f>IFERROR(INDEX('Cost_Components'!$P$2:$P$27,MATCH(E1038,'Cost_Components'!$A$2:$A$27,0)),"")</f>
      </c>
      <c r="O1038" s="70" t="str">
        <f>AF1038*J1038</f>
      </c>
      <c r="P1038" s="71" t="str">
        <f>AG1038*J1038</f>
      </c>
      <c r="Q1038" s="72" t="str">
        <f>P1038*L1038*M1038*N1038</f>
      </c>
      <c r="R1038" s="73" t="str">
        <f>O1038*K1038*M1038*N1038</f>
      </c>
      <c r="S1038" s="74" t="str">
        <f>R1038-Q1038</f>
      </c>
      <c r="T1038" s="20" t="str">
        <f>IFERROR(INDEX('Cost_Components'!$R$2:$R$27,MATCH(E1038,'Cost_Components'!$A$2:$A$27,0)),"")</f>
      </c>
      <c r="U1038" s="75" t="str">
        <f>IFERROR(INDEX('Cost_Components'!$Q$2:$Q$27,MATCH(E1038,'Cost_Components'!$A$2:$A$27,0)),"")</f>
      </c>
      <c r="V1038" s="76" t="str">
        <f>1/(1+'Calculation_Assumptions'!$B$5)^(B1038-'Calculation_Assumptions'!$B$2)</f>
      </c>
      <c r="W1038" s="77" t="str">
        <f>Q1038*V1038</f>
      </c>
      <c r="X1038" s="78" t="str">
        <f>R1038*V1038</f>
      </c>
      <c r="Y1038" s="79" t="str">
        <f>S1038*V1038</f>
      </c>
      <c r="Z1038" s="80" t="str">
        <f>IFERROR(INDEX('Cost_Components'!$T$2:$T$27,MATCH(E1038,'Cost_Components'!$A$2:$A$27,0)),"")</f>
      </c>
      <c r="AA1038" s="81" t="str">
        <f>IFERROR(INDEX('Cost_Components'!$U$2:$U$27,MATCH(E1038,'Cost_Components'!$A$2:$A$27,0)),"")</f>
      </c>
      <c r="AB1038" s="82" t="str">
        <f>IFERROR(INDEX('Cost_Components'!$V$2:$V$27,MATCH(E1038,'Cost_Components'!$A$2:$A$27,0)),"")</f>
      </c>
      <c r="AC1038" s="83" t="str">
        <f>IFERROR(INDEX('Cost_Components'!$M$2:$M$27,MATCH(E1038,'Cost_Components'!$A$2:$A$27,0)),"")</f>
      </c>
      <c r="AD1038" s="84" t="str">
        <f>IFERROR(INDEX('Cost_Components'!$N$2:$N$27,MATCH(E1038,'Cost_Components'!$A$2:$A$27,0)),"")</f>
      </c>
      <c r="AE1038" s="20" t="str">
        <f>IFERROR(INDEX('Cost_Components'!$O$2:$O$27,MATCH(E1038,'Cost_Components'!$A$2:$A$27,0)),"")</f>
      </c>
      <c r="AF1038" s="85" t="n">
        <v>6607210.84699514</v>
      </c>
      <c r="AG1038" s="86" t="n">
        <v>7455494.40605094</v>
      </c>
      <c r="AH1038" s="87" t="str">
        <f>IF(H1038="shared-count-once",COUNTIFS($A$2:$A$1353,A1038,$B$2:$B$1353,B1038,$E$2:$E$1353,E1038),1)</f>
      </c>
    </row>
    <row r="1039">
      <c r="A1039" t="s">
        <v>75</v>
      </c>
      <c r="B1039" s="59" t="n">
        <v>2048</v>
      </c>
      <c r="C1039" t="s">
        <v>200</v>
      </c>
      <c r="D1039" t="s">
        <v>180</v>
      </c>
      <c r="E1039" s="60" t="s">
        <v>292</v>
      </c>
      <c r="F1039" s="61" t="s">
        <v>293</v>
      </c>
      <c r="G1039" s="62" t="s">
        <v>204</v>
      </c>
      <c r="H1039" s="63" t="s">
        <v>195</v>
      </c>
      <c r="I1039" s="64" t="s">
        <v>267</v>
      </c>
      <c r="J1039" s="65" t="str">
        <f>IFERROR(INDEX('Cost_Components'!$K$2:$K$27,MATCH(E1039,'Cost_Components'!$A$2:$A$27,0)),"")</f>
      </c>
      <c r="K1039" s="66" t="str">
        <f>IF(OR(L1039="",Z1039="",AA1039="",AB1039=""),"",IF(B1039&lt;AA1039,L1039,IF(B1039&gt;AB1039,Z1039,L1039+(Z1039-L1039)*MIN(MAX((B1039-AA1039+1)/MAX(AB1039-AA1039+1,1),0),1))))</f>
      </c>
      <c r="L1039" s="67" t="str">
        <f>IFERROR(INDEX('Cost_Components'!$S$2:$S$27,MATCH(E1039,'Cost_Components'!$A$2:$A$27,0)),"")</f>
      </c>
      <c r="M1039" s="68" t="str">
        <f>IFERROR(INDEX('Cost_Components'!$L$2:$L$27,MATCH(E1039,'Cost_Components'!$A$2:$A$27,0)),"")</f>
      </c>
      <c r="N1039" s="69" t="str">
        <f>IFERROR(INDEX('Cost_Components'!$P$2:$P$27,MATCH(E1039,'Cost_Components'!$A$2:$A$27,0)),"")</f>
      </c>
      <c r="O1039" s="70" t="str">
        <f>AF1039*J1039</f>
      </c>
      <c r="P1039" s="71" t="str">
        <f>AG1039*J1039</f>
      </c>
      <c r="Q1039" s="72" t="str">
        <f>P1039*L1039*M1039*N1039</f>
      </c>
      <c r="R1039" s="73" t="str">
        <f>O1039*K1039*M1039*N1039</f>
      </c>
      <c r="S1039" s="74" t="str">
        <f>R1039-Q1039</f>
      </c>
      <c r="T1039" s="20" t="str">
        <f>IFERROR(INDEX('Cost_Components'!$R$2:$R$27,MATCH(E1039,'Cost_Components'!$A$2:$A$27,0)),"")</f>
      </c>
      <c r="U1039" s="75" t="str">
        <f>IFERROR(INDEX('Cost_Components'!$Q$2:$Q$27,MATCH(E1039,'Cost_Components'!$A$2:$A$27,0)),"")</f>
      </c>
      <c r="V1039" s="76" t="str">
        <f>1/(1+'Calculation_Assumptions'!$B$5)^(B1039-'Calculation_Assumptions'!$B$2)</f>
      </c>
      <c r="W1039" s="77" t="str">
        <f>Q1039*V1039</f>
      </c>
      <c r="X1039" s="78" t="str">
        <f>R1039*V1039</f>
      </c>
      <c r="Y1039" s="79" t="str">
        <f>S1039*V1039</f>
      </c>
      <c r="Z1039" s="80" t="str">
        <f>IFERROR(INDEX('Cost_Components'!$T$2:$T$27,MATCH(E1039,'Cost_Components'!$A$2:$A$27,0)),"")</f>
      </c>
      <c r="AA1039" s="81" t="str">
        <f>IFERROR(INDEX('Cost_Components'!$U$2:$U$27,MATCH(E1039,'Cost_Components'!$A$2:$A$27,0)),"")</f>
      </c>
      <c r="AB1039" s="82" t="str">
        <f>IFERROR(INDEX('Cost_Components'!$V$2:$V$27,MATCH(E1039,'Cost_Components'!$A$2:$A$27,0)),"")</f>
      </c>
      <c r="AC1039" s="83" t="str">
        <f>IFERROR(INDEX('Cost_Components'!$M$2:$M$27,MATCH(E1039,'Cost_Components'!$A$2:$A$27,0)),"")</f>
      </c>
      <c r="AD1039" s="84" t="str">
        <f>IFERROR(INDEX('Cost_Components'!$N$2:$N$27,MATCH(E1039,'Cost_Components'!$A$2:$A$27,0)),"")</f>
      </c>
      <c r="AE1039" s="20" t="str">
        <f>IFERROR(INDEX('Cost_Components'!$O$2:$O$27,MATCH(E1039,'Cost_Components'!$A$2:$A$27,0)),"")</f>
      </c>
      <c r="AF1039" s="85" t="n">
        <v>6646324.94355658</v>
      </c>
      <c r="AG1039" s="86" t="n">
        <v>7556459.2432584</v>
      </c>
      <c r="AH1039" s="87" t="str">
        <f>IF(H1039="shared-count-once",COUNTIFS($A$2:$A$1353,A1039,$B$2:$B$1353,B1039,$E$2:$E$1353,E1039),1)</f>
      </c>
    </row>
    <row r="1040">
      <c r="A1040" t="s">
        <v>75</v>
      </c>
      <c r="B1040" s="59" t="n">
        <v>2049</v>
      </c>
      <c r="C1040" t="s">
        <v>200</v>
      </c>
      <c r="D1040" t="s">
        <v>180</v>
      </c>
      <c r="E1040" s="60" t="s">
        <v>292</v>
      </c>
      <c r="F1040" s="61" t="s">
        <v>293</v>
      </c>
      <c r="G1040" s="62" t="s">
        <v>204</v>
      </c>
      <c r="H1040" s="63" t="s">
        <v>195</v>
      </c>
      <c r="I1040" s="64" t="s">
        <v>267</v>
      </c>
      <c r="J1040" s="65" t="str">
        <f>IFERROR(INDEX('Cost_Components'!$K$2:$K$27,MATCH(E1040,'Cost_Components'!$A$2:$A$27,0)),"")</f>
      </c>
      <c r="K1040" s="66" t="str">
        <f>IF(OR(L1040="",Z1040="",AA1040="",AB1040=""),"",IF(B1040&lt;AA1040,L1040,IF(B1040&gt;AB1040,Z1040,L1040+(Z1040-L1040)*MIN(MAX((B1040-AA1040+1)/MAX(AB1040-AA1040+1,1),0),1))))</f>
      </c>
      <c r="L1040" s="67" t="str">
        <f>IFERROR(INDEX('Cost_Components'!$S$2:$S$27,MATCH(E1040,'Cost_Components'!$A$2:$A$27,0)),"")</f>
      </c>
      <c r="M1040" s="68" t="str">
        <f>IFERROR(INDEX('Cost_Components'!$L$2:$L$27,MATCH(E1040,'Cost_Components'!$A$2:$A$27,0)),"")</f>
      </c>
      <c r="N1040" s="69" t="str">
        <f>IFERROR(INDEX('Cost_Components'!$P$2:$P$27,MATCH(E1040,'Cost_Components'!$A$2:$A$27,0)),"")</f>
      </c>
      <c r="O1040" s="70" t="str">
        <f>AF1040*J1040</f>
      </c>
      <c r="P1040" s="71" t="str">
        <f>AG1040*J1040</f>
      </c>
      <c r="Q1040" s="72" t="str">
        <f>P1040*L1040*M1040*N1040</f>
      </c>
      <c r="R1040" s="73" t="str">
        <f>O1040*K1040*M1040*N1040</f>
      </c>
      <c r="S1040" s="74" t="str">
        <f>R1040-Q1040</f>
      </c>
      <c r="T1040" s="20" t="str">
        <f>IFERROR(INDEX('Cost_Components'!$R$2:$R$27,MATCH(E1040,'Cost_Components'!$A$2:$A$27,0)),"")</f>
      </c>
      <c r="U1040" s="75" t="str">
        <f>IFERROR(INDEX('Cost_Components'!$Q$2:$Q$27,MATCH(E1040,'Cost_Components'!$A$2:$A$27,0)),"")</f>
      </c>
      <c r="V1040" s="76" t="str">
        <f>1/(1+'Calculation_Assumptions'!$B$5)^(B1040-'Calculation_Assumptions'!$B$2)</f>
      </c>
      <c r="W1040" s="77" t="str">
        <f>Q1040*V1040</f>
      </c>
      <c r="X1040" s="78" t="str">
        <f>R1040*V1040</f>
      </c>
      <c r="Y1040" s="79" t="str">
        <f>S1040*V1040</f>
      </c>
      <c r="Z1040" s="80" t="str">
        <f>IFERROR(INDEX('Cost_Components'!$T$2:$T$27,MATCH(E1040,'Cost_Components'!$A$2:$A$27,0)),"")</f>
      </c>
      <c r="AA1040" s="81" t="str">
        <f>IFERROR(INDEX('Cost_Components'!$U$2:$U$27,MATCH(E1040,'Cost_Components'!$A$2:$A$27,0)),"")</f>
      </c>
      <c r="AB1040" s="82" t="str">
        <f>IFERROR(INDEX('Cost_Components'!$V$2:$V$27,MATCH(E1040,'Cost_Components'!$A$2:$A$27,0)),"")</f>
      </c>
      <c r="AC1040" s="83" t="str">
        <f>IFERROR(INDEX('Cost_Components'!$M$2:$M$27,MATCH(E1040,'Cost_Components'!$A$2:$A$27,0)),"")</f>
      </c>
      <c r="AD1040" s="84" t="str">
        <f>IFERROR(INDEX('Cost_Components'!$N$2:$N$27,MATCH(E1040,'Cost_Components'!$A$2:$A$27,0)),"")</f>
      </c>
      <c r="AE1040" s="20" t="str">
        <f>IFERROR(INDEX('Cost_Components'!$O$2:$O$27,MATCH(E1040,'Cost_Components'!$A$2:$A$27,0)),"")</f>
      </c>
      <c r="AF1040" s="85" t="n">
        <v>6679757.6708429</v>
      </c>
      <c r="AG1040" s="86" t="n">
        <v>7652544.64203908</v>
      </c>
      <c r="AH1040" s="87" t="str">
        <f>IF(H1040="shared-count-once",COUNTIFS($A$2:$A$1353,A1040,$B$2:$B$1353,B1040,$E$2:$E$1353,E1040),1)</f>
      </c>
    </row>
    <row r="1041">
      <c r="A1041" t="s">
        <v>75</v>
      </c>
      <c r="B1041" s="59" t="n">
        <v>2050</v>
      </c>
      <c r="C1041" t="s">
        <v>200</v>
      </c>
      <c r="D1041" t="s">
        <v>180</v>
      </c>
      <c r="E1041" s="60" t="s">
        <v>292</v>
      </c>
      <c r="F1041" s="61" t="s">
        <v>293</v>
      </c>
      <c r="G1041" s="62" t="s">
        <v>204</v>
      </c>
      <c r="H1041" s="63" t="s">
        <v>195</v>
      </c>
      <c r="I1041" s="64" t="s">
        <v>267</v>
      </c>
      <c r="J1041" s="65" t="str">
        <f>IFERROR(INDEX('Cost_Components'!$K$2:$K$27,MATCH(E1041,'Cost_Components'!$A$2:$A$27,0)),"")</f>
      </c>
      <c r="K1041" s="66" t="str">
        <f>IF(OR(L1041="",Z1041="",AA1041="",AB1041=""),"",IF(B1041&lt;AA1041,L1041,IF(B1041&gt;AB1041,Z1041,L1041+(Z1041-L1041)*MIN(MAX((B1041-AA1041+1)/MAX(AB1041-AA1041+1,1),0),1))))</f>
      </c>
      <c r="L1041" s="67" t="str">
        <f>IFERROR(INDEX('Cost_Components'!$S$2:$S$27,MATCH(E1041,'Cost_Components'!$A$2:$A$27,0)),"")</f>
      </c>
      <c r="M1041" s="68" t="str">
        <f>IFERROR(INDEX('Cost_Components'!$L$2:$L$27,MATCH(E1041,'Cost_Components'!$A$2:$A$27,0)),"")</f>
      </c>
      <c r="N1041" s="69" t="str">
        <f>IFERROR(INDEX('Cost_Components'!$P$2:$P$27,MATCH(E1041,'Cost_Components'!$A$2:$A$27,0)),"")</f>
      </c>
      <c r="O1041" s="70" t="str">
        <f>AF1041*J1041</f>
      </c>
      <c r="P1041" s="71" t="str">
        <f>AG1041*J1041</f>
      </c>
      <c r="Q1041" s="72" t="str">
        <f>P1041*L1041*M1041*N1041</f>
      </c>
      <c r="R1041" s="73" t="str">
        <f>O1041*K1041*M1041*N1041</f>
      </c>
      <c r="S1041" s="74" t="str">
        <f>R1041-Q1041</f>
      </c>
      <c r="T1041" s="20" t="str">
        <f>IFERROR(INDEX('Cost_Components'!$R$2:$R$27,MATCH(E1041,'Cost_Components'!$A$2:$A$27,0)),"")</f>
      </c>
      <c r="U1041" s="75" t="str">
        <f>IFERROR(INDEX('Cost_Components'!$Q$2:$Q$27,MATCH(E1041,'Cost_Components'!$A$2:$A$27,0)),"")</f>
      </c>
      <c r="V1041" s="76" t="str">
        <f>1/(1+'Calculation_Assumptions'!$B$5)^(B1041-'Calculation_Assumptions'!$B$2)</f>
      </c>
      <c r="W1041" s="77" t="str">
        <f>Q1041*V1041</f>
      </c>
      <c r="X1041" s="78" t="str">
        <f>R1041*V1041</f>
      </c>
      <c r="Y1041" s="79" t="str">
        <f>S1041*V1041</f>
      </c>
      <c r="Z1041" s="80" t="str">
        <f>IFERROR(INDEX('Cost_Components'!$T$2:$T$27,MATCH(E1041,'Cost_Components'!$A$2:$A$27,0)),"")</f>
      </c>
      <c r="AA1041" s="81" t="str">
        <f>IFERROR(INDEX('Cost_Components'!$U$2:$U$27,MATCH(E1041,'Cost_Components'!$A$2:$A$27,0)),"")</f>
      </c>
      <c r="AB1041" s="82" t="str">
        <f>IFERROR(INDEX('Cost_Components'!$V$2:$V$27,MATCH(E1041,'Cost_Components'!$A$2:$A$27,0)),"")</f>
      </c>
      <c r="AC1041" s="83" t="str">
        <f>IFERROR(INDEX('Cost_Components'!$M$2:$M$27,MATCH(E1041,'Cost_Components'!$A$2:$A$27,0)),"")</f>
      </c>
      <c r="AD1041" s="84" t="str">
        <f>IFERROR(INDEX('Cost_Components'!$N$2:$N$27,MATCH(E1041,'Cost_Components'!$A$2:$A$27,0)),"")</f>
      </c>
      <c r="AE1041" s="20" t="str">
        <f>IFERROR(INDEX('Cost_Components'!$O$2:$O$27,MATCH(E1041,'Cost_Components'!$A$2:$A$27,0)),"")</f>
      </c>
      <c r="AF1041" s="85" t="n">
        <v>6709718.49634776</v>
      </c>
      <c r="AG1041" s="86" t="n">
        <v>7746332.78496876</v>
      </c>
      <c r="AH1041" s="87" t="str">
        <f>IF(H1041="shared-count-once",COUNTIFS($A$2:$A$1353,A1041,$B$2:$B$1353,B1041,$E$2:$E$1353,E1041),1)</f>
      </c>
    </row>
    <row r="1042">
      <c r="A1042" t="s">
        <v>75</v>
      </c>
      <c r="B1042" s="59" t="n">
        <v>2025</v>
      </c>
      <c r="C1042" t="s">
        <v>205</v>
      </c>
      <c r="D1042" t="s">
        <v>180</v>
      </c>
      <c r="E1042" s="60" t="s">
        <v>294</v>
      </c>
      <c r="F1042" s="61" t="s">
        <v>295</v>
      </c>
      <c r="G1042" s="62" t="s">
        <v>206</v>
      </c>
      <c r="H1042" s="63" t="s">
        <v>195</v>
      </c>
      <c r="I1042" s="64" t="s">
        <v>170</v>
      </c>
      <c r="J1042" s="65" t="str">
        <f>IFERROR(INDEX('Cost_Components'!$K$2:$K$27,MATCH(E1042,'Cost_Components'!$A$2:$A$27,0)),"")</f>
      </c>
      <c r="K1042" s="66" t="str">
        <f>IF(OR(L1042="",Z1042="",AA1042="",AB1042=""),"",IF(B1042&lt;AA1042,L1042,IF(B1042&gt;AB1042,Z1042,L1042+(Z1042-L1042)*MIN(MAX((B1042-AA1042+1)/MAX(AB1042-AA1042+1,1),0),1))))</f>
      </c>
      <c r="L1042" s="67" t="str">
        <f>IFERROR(INDEX('Cost_Components'!$S$2:$S$27,MATCH(E1042,'Cost_Components'!$A$2:$A$27,0)),"")</f>
      </c>
      <c r="M1042" s="68" t="str">
        <f>IFERROR(INDEX('Cost_Components'!$L$2:$L$27,MATCH(E1042,'Cost_Components'!$A$2:$A$27,0)),"")</f>
      </c>
      <c r="N1042" s="69" t="str">
        <f>IFERROR(INDEX('Cost_Components'!$P$2:$P$27,MATCH(E1042,'Cost_Components'!$A$2:$A$27,0)),"")</f>
      </c>
      <c r="O1042" s="70" t="str">
        <f>AF1042*J1042</f>
      </c>
      <c r="P1042" s="71" t="str">
        <f>AG1042*J1042</f>
      </c>
      <c r="Q1042" s="72" t="str">
        <f>P1042*L1042*M1042*N1042</f>
      </c>
      <c r="R1042" s="73" t="str">
        <f>O1042*K1042*M1042*N1042</f>
      </c>
      <c r="S1042" s="74" t="str">
        <f>R1042-Q1042</f>
      </c>
      <c r="T1042" s="20" t="str">
        <f>IFERROR(INDEX('Cost_Components'!$R$2:$R$27,MATCH(E1042,'Cost_Components'!$A$2:$A$27,0)),"")</f>
      </c>
      <c r="U1042" s="75" t="str">
        <f>IFERROR(INDEX('Cost_Components'!$Q$2:$Q$27,MATCH(E1042,'Cost_Components'!$A$2:$A$27,0)),"")</f>
      </c>
      <c r="V1042" s="76" t="str">
        <f>1/(1+'Calculation_Assumptions'!$B$5)^(B1042-'Calculation_Assumptions'!$B$2)</f>
      </c>
      <c r="W1042" s="77" t="str">
        <f>Q1042*V1042</f>
      </c>
      <c r="X1042" s="78" t="str">
        <f>R1042*V1042</f>
      </c>
      <c r="Y1042" s="79" t="str">
        <f>S1042*V1042</f>
      </c>
      <c r="Z1042" s="80" t="str">
        <f>IFERROR(INDEX('Cost_Components'!$T$2:$T$27,MATCH(E1042,'Cost_Components'!$A$2:$A$27,0)),"")</f>
      </c>
      <c r="AA1042" s="81" t="str">
        <f>IFERROR(INDEX('Cost_Components'!$U$2:$U$27,MATCH(E1042,'Cost_Components'!$A$2:$A$27,0)),"")</f>
      </c>
      <c r="AB1042" s="82" t="str">
        <f>IFERROR(INDEX('Cost_Components'!$V$2:$V$27,MATCH(E1042,'Cost_Components'!$A$2:$A$27,0)),"")</f>
      </c>
      <c r="AC1042" s="83" t="str">
        <f>IFERROR(INDEX('Cost_Components'!$M$2:$M$27,MATCH(E1042,'Cost_Components'!$A$2:$A$27,0)),"")</f>
      </c>
      <c r="AD1042" s="84" t="str">
        <f>IFERROR(INDEX('Cost_Components'!$N$2:$N$27,MATCH(E1042,'Cost_Components'!$A$2:$A$27,0)),"")</f>
      </c>
      <c r="AE1042" s="20" t="str">
        <f>IFERROR(INDEX('Cost_Components'!$O$2:$O$27,MATCH(E1042,'Cost_Components'!$A$2:$A$27,0)),"")</f>
      </c>
      <c r="AF1042" s="85" t="n">
        <v>606792.129929831</v>
      </c>
      <c r="AG1042" s="86" t="n">
        <v>612171.634776233</v>
      </c>
      <c r="AH1042" s="87" t="str">
        <f>IF(H1042="shared-count-once",COUNTIFS($A$2:$A$1353,A1042,$B$2:$B$1353,B1042,$E$2:$E$1353,E1042),1)</f>
      </c>
    </row>
    <row r="1043">
      <c r="A1043" t="s">
        <v>75</v>
      </c>
      <c r="B1043" s="59" t="n">
        <v>2026</v>
      </c>
      <c r="C1043" t="s">
        <v>205</v>
      </c>
      <c r="D1043" t="s">
        <v>180</v>
      </c>
      <c r="E1043" s="60" t="s">
        <v>294</v>
      </c>
      <c r="F1043" s="61" t="s">
        <v>295</v>
      </c>
      <c r="G1043" s="62" t="s">
        <v>206</v>
      </c>
      <c r="H1043" s="63" t="s">
        <v>195</v>
      </c>
      <c r="I1043" s="64" t="s">
        <v>170</v>
      </c>
      <c r="J1043" s="65" t="str">
        <f>IFERROR(INDEX('Cost_Components'!$K$2:$K$27,MATCH(E1043,'Cost_Components'!$A$2:$A$27,0)),"")</f>
      </c>
      <c r="K1043" s="66" t="str">
        <f>IF(OR(L1043="",Z1043="",AA1043="",AB1043=""),"",IF(B1043&lt;AA1043,L1043,IF(B1043&gt;AB1043,Z1043,L1043+(Z1043-L1043)*MIN(MAX((B1043-AA1043+1)/MAX(AB1043-AA1043+1,1),0),1))))</f>
      </c>
      <c r="L1043" s="67" t="str">
        <f>IFERROR(INDEX('Cost_Components'!$S$2:$S$27,MATCH(E1043,'Cost_Components'!$A$2:$A$27,0)),"")</f>
      </c>
      <c r="M1043" s="68" t="str">
        <f>IFERROR(INDEX('Cost_Components'!$L$2:$L$27,MATCH(E1043,'Cost_Components'!$A$2:$A$27,0)),"")</f>
      </c>
      <c r="N1043" s="69" t="str">
        <f>IFERROR(INDEX('Cost_Components'!$P$2:$P$27,MATCH(E1043,'Cost_Components'!$A$2:$A$27,0)),"")</f>
      </c>
      <c r="O1043" s="70" t="str">
        <f>AF1043*J1043</f>
      </c>
      <c r="P1043" s="71" t="str">
        <f>AG1043*J1043</f>
      </c>
      <c r="Q1043" s="72" t="str">
        <f>P1043*L1043*M1043*N1043</f>
      </c>
      <c r="R1043" s="73" t="str">
        <f>O1043*K1043*M1043*N1043</f>
      </c>
      <c r="S1043" s="74" t="str">
        <f>R1043-Q1043</f>
      </c>
      <c r="T1043" s="20" t="str">
        <f>IFERROR(INDEX('Cost_Components'!$R$2:$R$27,MATCH(E1043,'Cost_Components'!$A$2:$A$27,0)),"")</f>
      </c>
      <c r="U1043" s="75" t="str">
        <f>IFERROR(INDEX('Cost_Components'!$Q$2:$Q$27,MATCH(E1043,'Cost_Components'!$A$2:$A$27,0)),"")</f>
      </c>
      <c r="V1043" s="76" t="str">
        <f>1/(1+'Calculation_Assumptions'!$B$5)^(B1043-'Calculation_Assumptions'!$B$2)</f>
      </c>
      <c r="W1043" s="77" t="str">
        <f>Q1043*V1043</f>
      </c>
      <c r="X1043" s="78" t="str">
        <f>R1043*V1043</f>
      </c>
      <c r="Y1043" s="79" t="str">
        <f>S1043*V1043</f>
      </c>
      <c r="Z1043" s="80" t="str">
        <f>IFERROR(INDEX('Cost_Components'!$T$2:$T$27,MATCH(E1043,'Cost_Components'!$A$2:$A$27,0)),"")</f>
      </c>
      <c r="AA1043" s="81" t="str">
        <f>IFERROR(INDEX('Cost_Components'!$U$2:$U$27,MATCH(E1043,'Cost_Components'!$A$2:$A$27,0)),"")</f>
      </c>
      <c r="AB1043" s="82" t="str">
        <f>IFERROR(INDEX('Cost_Components'!$V$2:$V$27,MATCH(E1043,'Cost_Components'!$A$2:$A$27,0)),"")</f>
      </c>
      <c r="AC1043" s="83" t="str">
        <f>IFERROR(INDEX('Cost_Components'!$M$2:$M$27,MATCH(E1043,'Cost_Components'!$A$2:$A$27,0)),"")</f>
      </c>
      <c r="AD1043" s="84" t="str">
        <f>IFERROR(INDEX('Cost_Components'!$N$2:$N$27,MATCH(E1043,'Cost_Components'!$A$2:$A$27,0)),"")</f>
      </c>
      <c r="AE1043" s="20" t="str">
        <f>IFERROR(INDEX('Cost_Components'!$O$2:$O$27,MATCH(E1043,'Cost_Components'!$A$2:$A$27,0)),"")</f>
      </c>
      <c r="AF1043" s="85" t="n">
        <v>605887.966885531</v>
      </c>
      <c r="AG1043" s="86" t="n">
        <v>616790.029155756</v>
      </c>
      <c r="AH1043" s="87" t="str">
        <f>IF(H1043="shared-count-once",COUNTIFS($A$2:$A$1353,A1043,$B$2:$B$1353,B1043,$E$2:$E$1353,E1043),1)</f>
      </c>
    </row>
    <row r="1044">
      <c r="A1044" t="s">
        <v>75</v>
      </c>
      <c r="B1044" s="59" t="n">
        <v>2027</v>
      </c>
      <c r="C1044" t="s">
        <v>205</v>
      </c>
      <c r="D1044" t="s">
        <v>180</v>
      </c>
      <c r="E1044" s="60" t="s">
        <v>294</v>
      </c>
      <c r="F1044" s="61" t="s">
        <v>295</v>
      </c>
      <c r="G1044" s="62" t="s">
        <v>206</v>
      </c>
      <c r="H1044" s="63" t="s">
        <v>195</v>
      </c>
      <c r="I1044" s="64" t="s">
        <v>170</v>
      </c>
      <c r="J1044" s="65" t="str">
        <f>IFERROR(INDEX('Cost_Components'!$K$2:$K$27,MATCH(E1044,'Cost_Components'!$A$2:$A$27,0)),"")</f>
      </c>
      <c r="K1044" s="66" t="str">
        <f>IF(OR(L1044="",Z1044="",AA1044="",AB1044=""),"",IF(B1044&lt;AA1044,L1044,IF(B1044&gt;AB1044,Z1044,L1044+(Z1044-L1044)*MIN(MAX((B1044-AA1044+1)/MAX(AB1044-AA1044+1,1),0),1))))</f>
      </c>
      <c r="L1044" s="67" t="str">
        <f>IFERROR(INDEX('Cost_Components'!$S$2:$S$27,MATCH(E1044,'Cost_Components'!$A$2:$A$27,0)),"")</f>
      </c>
      <c r="M1044" s="68" t="str">
        <f>IFERROR(INDEX('Cost_Components'!$L$2:$L$27,MATCH(E1044,'Cost_Components'!$A$2:$A$27,0)),"")</f>
      </c>
      <c r="N1044" s="69" t="str">
        <f>IFERROR(INDEX('Cost_Components'!$P$2:$P$27,MATCH(E1044,'Cost_Components'!$A$2:$A$27,0)),"")</f>
      </c>
      <c r="O1044" s="70" t="str">
        <f>AF1044*J1044</f>
      </c>
      <c r="P1044" s="71" t="str">
        <f>AG1044*J1044</f>
      </c>
      <c r="Q1044" s="72" t="str">
        <f>P1044*L1044*M1044*N1044</f>
      </c>
      <c r="R1044" s="73" t="str">
        <f>O1044*K1044*M1044*N1044</f>
      </c>
      <c r="S1044" s="74" t="str">
        <f>R1044-Q1044</f>
      </c>
      <c r="T1044" s="20" t="str">
        <f>IFERROR(INDEX('Cost_Components'!$R$2:$R$27,MATCH(E1044,'Cost_Components'!$A$2:$A$27,0)),"")</f>
      </c>
      <c r="U1044" s="75" t="str">
        <f>IFERROR(INDEX('Cost_Components'!$Q$2:$Q$27,MATCH(E1044,'Cost_Components'!$A$2:$A$27,0)),"")</f>
      </c>
      <c r="V1044" s="76" t="str">
        <f>1/(1+'Calculation_Assumptions'!$B$5)^(B1044-'Calculation_Assumptions'!$B$2)</f>
      </c>
      <c r="W1044" s="77" t="str">
        <f>Q1044*V1044</f>
      </c>
      <c r="X1044" s="78" t="str">
        <f>R1044*V1044</f>
      </c>
      <c r="Y1044" s="79" t="str">
        <f>S1044*V1044</f>
      </c>
      <c r="Z1044" s="80" t="str">
        <f>IFERROR(INDEX('Cost_Components'!$T$2:$T$27,MATCH(E1044,'Cost_Components'!$A$2:$A$27,0)),"")</f>
      </c>
      <c r="AA1044" s="81" t="str">
        <f>IFERROR(INDEX('Cost_Components'!$U$2:$U$27,MATCH(E1044,'Cost_Components'!$A$2:$A$27,0)),"")</f>
      </c>
      <c r="AB1044" s="82" t="str">
        <f>IFERROR(INDEX('Cost_Components'!$V$2:$V$27,MATCH(E1044,'Cost_Components'!$A$2:$A$27,0)),"")</f>
      </c>
      <c r="AC1044" s="83" t="str">
        <f>IFERROR(INDEX('Cost_Components'!$M$2:$M$27,MATCH(E1044,'Cost_Components'!$A$2:$A$27,0)),"")</f>
      </c>
      <c r="AD1044" s="84" t="str">
        <f>IFERROR(INDEX('Cost_Components'!$N$2:$N$27,MATCH(E1044,'Cost_Components'!$A$2:$A$27,0)),"")</f>
      </c>
      <c r="AE1044" s="20" t="str">
        <f>IFERROR(INDEX('Cost_Components'!$O$2:$O$27,MATCH(E1044,'Cost_Components'!$A$2:$A$27,0)),"")</f>
      </c>
      <c r="AF1044" s="85" t="n">
        <v>604900.182185749</v>
      </c>
      <c r="AG1044" s="86" t="n">
        <v>621430.902801161</v>
      </c>
      <c r="AH1044" s="87" t="str">
        <f>IF(H1044="shared-count-once",COUNTIFS($A$2:$A$1353,A1044,$B$2:$B$1353,B1044,$E$2:$E$1353,E1044),1)</f>
      </c>
    </row>
    <row r="1045">
      <c r="A1045" t="s">
        <v>75</v>
      </c>
      <c r="B1045" s="59" t="n">
        <v>2028</v>
      </c>
      <c r="C1045" t="s">
        <v>205</v>
      </c>
      <c r="D1045" t="s">
        <v>180</v>
      </c>
      <c r="E1045" s="60" t="s">
        <v>294</v>
      </c>
      <c r="F1045" s="61" t="s">
        <v>295</v>
      </c>
      <c r="G1045" s="62" t="s">
        <v>206</v>
      </c>
      <c r="H1045" s="63" t="s">
        <v>195</v>
      </c>
      <c r="I1045" s="64" t="s">
        <v>170</v>
      </c>
      <c r="J1045" s="65" t="str">
        <f>IFERROR(INDEX('Cost_Components'!$K$2:$K$27,MATCH(E1045,'Cost_Components'!$A$2:$A$27,0)),"")</f>
      </c>
      <c r="K1045" s="66" t="str">
        <f>IF(OR(L1045="",Z1045="",AA1045="",AB1045=""),"",IF(B1045&lt;AA1045,L1045,IF(B1045&gt;AB1045,Z1045,L1045+(Z1045-L1045)*MIN(MAX((B1045-AA1045+1)/MAX(AB1045-AA1045+1,1),0),1))))</f>
      </c>
      <c r="L1045" s="67" t="str">
        <f>IFERROR(INDEX('Cost_Components'!$S$2:$S$27,MATCH(E1045,'Cost_Components'!$A$2:$A$27,0)),"")</f>
      </c>
      <c r="M1045" s="68" t="str">
        <f>IFERROR(INDEX('Cost_Components'!$L$2:$L$27,MATCH(E1045,'Cost_Components'!$A$2:$A$27,0)),"")</f>
      </c>
      <c r="N1045" s="69" t="str">
        <f>IFERROR(INDEX('Cost_Components'!$P$2:$P$27,MATCH(E1045,'Cost_Components'!$A$2:$A$27,0)),"")</f>
      </c>
      <c r="O1045" s="70" t="str">
        <f>AF1045*J1045</f>
      </c>
      <c r="P1045" s="71" t="str">
        <f>AG1045*J1045</f>
      </c>
      <c r="Q1045" s="72" t="str">
        <f>P1045*L1045*M1045*N1045</f>
      </c>
      <c r="R1045" s="73" t="str">
        <f>O1045*K1045*M1045*N1045</f>
      </c>
      <c r="S1045" s="74" t="str">
        <f>R1045-Q1045</f>
      </c>
      <c r="T1045" s="20" t="str">
        <f>IFERROR(INDEX('Cost_Components'!$R$2:$R$27,MATCH(E1045,'Cost_Components'!$A$2:$A$27,0)),"")</f>
      </c>
      <c r="U1045" s="75" t="str">
        <f>IFERROR(INDEX('Cost_Components'!$Q$2:$Q$27,MATCH(E1045,'Cost_Components'!$A$2:$A$27,0)),"")</f>
      </c>
      <c r="V1045" s="76" t="str">
        <f>1/(1+'Calculation_Assumptions'!$B$5)^(B1045-'Calculation_Assumptions'!$B$2)</f>
      </c>
      <c r="W1045" s="77" t="str">
        <f>Q1045*V1045</f>
      </c>
      <c r="X1045" s="78" t="str">
        <f>R1045*V1045</f>
      </c>
      <c r="Y1045" s="79" t="str">
        <f>S1045*V1045</f>
      </c>
      <c r="Z1045" s="80" t="str">
        <f>IFERROR(INDEX('Cost_Components'!$T$2:$T$27,MATCH(E1045,'Cost_Components'!$A$2:$A$27,0)),"")</f>
      </c>
      <c r="AA1045" s="81" t="str">
        <f>IFERROR(INDEX('Cost_Components'!$U$2:$U$27,MATCH(E1045,'Cost_Components'!$A$2:$A$27,0)),"")</f>
      </c>
      <c r="AB1045" s="82" t="str">
        <f>IFERROR(INDEX('Cost_Components'!$V$2:$V$27,MATCH(E1045,'Cost_Components'!$A$2:$A$27,0)),"")</f>
      </c>
      <c r="AC1045" s="83" t="str">
        <f>IFERROR(INDEX('Cost_Components'!$M$2:$M$27,MATCH(E1045,'Cost_Components'!$A$2:$A$27,0)),"")</f>
      </c>
      <c r="AD1045" s="84" t="str">
        <f>IFERROR(INDEX('Cost_Components'!$N$2:$N$27,MATCH(E1045,'Cost_Components'!$A$2:$A$27,0)),"")</f>
      </c>
      <c r="AE1045" s="20" t="str">
        <f>IFERROR(INDEX('Cost_Components'!$O$2:$O$27,MATCH(E1045,'Cost_Components'!$A$2:$A$27,0)),"")</f>
      </c>
      <c r="AF1045" s="85" t="n">
        <v>605389.039854843</v>
      </c>
      <c r="AG1045" s="86" t="n">
        <v>627723.844155296</v>
      </c>
      <c r="AH1045" s="87" t="str">
        <f>IF(H1045="shared-count-once",COUNTIFS($A$2:$A$1353,A1045,$B$2:$B$1353,B1045,$E$2:$E$1353,E1045),1)</f>
      </c>
    </row>
    <row r="1046">
      <c r="A1046" t="s">
        <v>75</v>
      </c>
      <c r="B1046" s="59" t="n">
        <v>2029</v>
      </c>
      <c r="C1046" t="s">
        <v>205</v>
      </c>
      <c r="D1046" t="s">
        <v>180</v>
      </c>
      <c r="E1046" s="60" t="s">
        <v>294</v>
      </c>
      <c r="F1046" s="61" t="s">
        <v>295</v>
      </c>
      <c r="G1046" s="62" t="s">
        <v>206</v>
      </c>
      <c r="H1046" s="63" t="s">
        <v>195</v>
      </c>
      <c r="I1046" s="64" t="s">
        <v>170</v>
      </c>
      <c r="J1046" s="65" t="str">
        <f>IFERROR(INDEX('Cost_Components'!$K$2:$K$27,MATCH(E1046,'Cost_Components'!$A$2:$A$27,0)),"")</f>
      </c>
      <c r="K1046" s="66" t="str">
        <f>IF(OR(L1046="",Z1046="",AA1046="",AB1046=""),"",IF(B1046&lt;AA1046,L1046,IF(B1046&gt;AB1046,Z1046,L1046+(Z1046-L1046)*MIN(MAX((B1046-AA1046+1)/MAX(AB1046-AA1046+1,1),0),1))))</f>
      </c>
      <c r="L1046" s="67" t="str">
        <f>IFERROR(INDEX('Cost_Components'!$S$2:$S$27,MATCH(E1046,'Cost_Components'!$A$2:$A$27,0)),"")</f>
      </c>
      <c r="M1046" s="68" t="str">
        <f>IFERROR(INDEX('Cost_Components'!$L$2:$L$27,MATCH(E1046,'Cost_Components'!$A$2:$A$27,0)),"")</f>
      </c>
      <c r="N1046" s="69" t="str">
        <f>IFERROR(INDEX('Cost_Components'!$P$2:$P$27,MATCH(E1046,'Cost_Components'!$A$2:$A$27,0)),"")</f>
      </c>
      <c r="O1046" s="70" t="str">
        <f>AF1046*J1046</f>
      </c>
      <c r="P1046" s="71" t="str">
        <f>AG1046*J1046</f>
      </c>
      <c r="Q1046" s="72" t="str">
        <f>P1046*L1046*M1046*N1046</f>
      </c>
      <c r="R1046" s="73" t="str">
        <f>O1046*K1046*M1046*N1046</f>
      </c>
      <c r="S1046" s="74" t="str">
        <f>R1046-Q1046</f>
      </c>
      <c r="T1046" s="20" t="str">
        <f>IFERROR(INDEX('Cost_Components'!$R$2:$R$27,MATCH(E1046,'Cost_Components'!$A$2:$A$27,0)),"")</f>
      </c>
      <c r="U1046" s="75" t="str">
        <f>IFERROR(INDEX('Cost_Components'!$Q$2:$Q$27,MATCH(E1046,'Cost_Components'!$A$2:$A$27,0)),"")</f>
      </c>
      <c r="V1046" s="76" t="str">
        <f>1/(1+'Calculation_Assumptions'!$B$5)^(B1046-'Calculation_Assumptions'!$B$2)</f>
      </c>
      <c r="W1046" s="77" t="str">
        <f>Q1046*V1046</f>
      </c>
      <c r="X1046" s="78" t="str">
        <f>R1046*V1046</f>
      </c>
      <c r="Y1046" s="79" t="str">
        <f>S1046*V1046</f>
      </c>
      <c r="Z1046" s="80" t="str">
        <f>IFERROR(INDEX('Cost_Components'!$T$2:$T$27,MATCH(E1046,'Cost_Components'!$A$2:$A$27,0)),"")</f>
      </c>
      <c r="AA1046" s="81" t="str">
        <f>IFERROR(INDEX('Cost_Components'!$U$2:$U$27,MATCH(E1046,'Cost_Components'!$A$2:$A$27,0)),"")</f>
      </c>
      <c r="AB1046" s="82" t="str">
        <f>IFERROR(INDEX('Cost_Components'!$V$2:$V$27,MATCH(E1046,'Cost_Components'!$A$2:$A$27,0)),"")</f>
      </c>
      <c r="AC1046" s="83" t="str">
        <f>IFERROR(INDEX('Cost_Components'!$M$2:$M$27,MATCH(E1046,'Cost_Components'!$A$2:$A$27,0)),"")</f>
      </c>
      <c r="AD1046" s="84" t="str">
        <f>IFERROR(INDEX('Cost_Components'!$N$2:$N$27,MATCH(E1046,'Cost_Components'!$A$2:$A$27,0)),"")</f>
      </c>
      <c r="AE1046" s="20" t="str">
        <f>IFERROR(INDEX('Cost_Components'!$O$2:$O$27,MATCH(E1046,'Cost_Components'!$A$2:$A$27,0)),"")</f>
      </c>
      <c r="AF1046" s="85" t="n">
        <v>602683.652965254</v>
      </c>
      <c r="AG1046" s="86" t="n">
        <v>630779.369985079</v>
      </c>
      <c r="AH1046" s="87" t="str">
        <f>IF(H1046="shared-count-once",COUNTIFS($A$2:$A$1353,A1046,$B$2:$B$1353,B1046,$E$2:$E$1353,E1046),1)</f>
      </c>
    </row>
    <row r="1047">
      <c r="A1047" t="s">
        <v>75</v>
      </c>
      <c r="B1047" s="59" t="n">
        <v>2030</v>
      </c>
      <c r="C1047" t="s">
        <v>205</v>
      </c>
      <c r="D1047" t="s">
        <v>180</v>
      </c>
      <c r="E1047" s="60" t="s">
        <v>294</v>
      </c>
      <c r="F1047" s="61" t="s">
        <v>295</v>
      </c>
      <c r="G1047" s="62" t="s">
        <v>206</v>
      </c>
      <c r="H1047" s="63" t="s">
        <v>195</v>
      </c>
      <c r="I1047" s="64" t="s">
        <v>170</v>
      </c>
      <c r="J1047" s="65" t="str">
        <f>IFERROR(INDEX('Cost_Components'!$K$2:$K$27,MATCH(E1047,'Cost_Components'!$A$2:$A$27,0)),"")</f>
      </c>
      <c r="K1047" s="66" t="str">
        <f>IF(OR(L1047="",Z1047="",AA1047="",AB1047=""),"",IF(B1047&lt;AA1047,L1047,IF(B1047&gt;AB1047,Z1047,L1047+(Z1047-L1047)*MIN(MAX((B1047-AA1047+1)/MAX(AB1047-AA1047+1,1),0),1))))</f>
      </c>
      <c r="L1047" s="67" t="str">
        <f>IFERROR(INDEX('Cost_Components'!$S$2:$S$27,MATCH(E1047,'Cost_Components'!$A$2:$A$27,0)),"")</f>
      </c>
      <c r="M1047" s="68" t="str">
        <f>IFERROR(INDEX('Cost_Components'!$L$2:$L$27,MATCH(E1047,'Cost_Components'!$A$2:$A$27,0)),"")</f>
      </c>
      <c r="N1047" s="69" t="str">
        <f>IFERROR(INDEX('Cost_Components'!$P$2:$P$27,MATCH(E1047,'Cost_Components'!$A$2:$A$27,0)),"")</f>
      </c>
      <c r="O1047" s="70" t="str">
        <f>AF1047*J1047</f>
      </c>
      <c r="P1047" s="71" t="str">
        <f>AG1047*J1047</f>
      </c>
      <c r="Q1047" s="72" t="str">
        <f>P1047*L1047*M1047*N1047</f>
      </c>
      <c r="R1047" s="73" t="str">
        <f>O1047*K1047*M1047*N1047</f>
      </c>
      <c r="S1047" s="74" t="str">
        <f>R1047-Q1047</f>
      </c>
      <c r="T1047" s="20" t="str">
        <f>IFERROR(INDEX('Cost_Components'!$R$2:$R$27,MATCH(E1047,'Cost_Components'!$A$2:$A$27,0)),"")</f>
      </c>
      <c r="U1047" s="75" t="str">
        <f>IFERROR(INDEX('Cost_Components'!$Q$2:$Q$27,MATCH(E1047,'Cost_Components'!$A$2:$A$27,0)),"")</f>
      </c>
      <c r="V1047" s="76" t="str">
        <f>1/(1+'Calculation_Assumptions'!$B$5)^(B1047-'Calculation_Assumptions'!$B$2)</f>
      </c>
      <c r="W1047" s="77" t="str">
        <f>Q1047*V1047</f>
      </c>
      <c r="X1047" s="78" t="str">
        <f>R1047*V1047</f>
      </c>
      <c r="Y1047" s="79" t="str">
        <f>S1047*V1047</f>
      </c>
      <c r="Z1047" s="80" t="str">
        <f>IFERROR(INDEX('Cost_Components'!$T$2:$T$27,MATCH(E1047,'Cost_Components'!$A$2:$A$27,0)),"")</f>
      </c>
      <c r="AA1047" s="81" t="str">
        <f>IFERROR(INDEX('Cost_Components'!$U$2:$U$27,MATCH(E1047,'Cost_Components'!$A$2:$A$27,0)),"")</f>
      </c>
      <c r="AB1047" s="82" t="str">
        <f>IFERROR(INDEX('Cost_Components'!$V$2:$V$27,MATCH(E1047,'Cost_Components'!$A$2:$A$27,0)),"")</f>
      </c>
      <c r="AC1047" s="83" t="str">
        <f>IFERROR(INDEX('Cost_Components'!$M$2:$M$27,MATCH(E1047,'Cost_Components'!$A$2:$A$27,0)),"")</f>
      </c>
      <c r="AD1047" s="84" t="str">
        <f>IFERROR(INDEX('Cost_Components'!$N$2:$N$27,MATCH(E1047,'Cost_Components'!$A$2:$A$27,0)),"")</f>
      </c>
      <c r="AE1047" s="20" t="str">
        <f>IFERROR(INDEX('Cost_Components'!$O$2:$O$27,MATCH(E1047,'Cost_Components'!$A$2:$A$27,0)),"")</f>
      </c>
      <c r="AF1047" s="85" t="n">
        <v>604079.357560998</v>
      </c>
      <c r="AG1047" s="86" t="n">
        <v>638199.367226914</v>
      </c>
      <c r="AH1047" s="87" t="str">
        <f>IF(H1047="shared-count-once",COUNTIFS($A$2:$A$1353,A1047,$B$2:$B$1353,B1047,$E$2:$E$1353,E1047),1)</f>
      </c>
    </row>
    <row r="1048">
      <c r="A1048" t="s">
        <v>75</v>
      </c>
      <c r="B1048" s="59" t="n">
        <v>2031</v>
      </c>
      <c r="C1048" t="s">
        <v>205</v>
      </c>
      <c r="D1048" t="s">
        <v>180</v>
      </c>
      <c r="E1048" s="60" t="s">
        <v>294</v>
      </c>
      <c r="F1048" s="61" t="s">
        <v>295</v>
      </c>
      <c r="G1048" s="62" t="s">
        <v>206</v>
      </c>
      <c r="H1048" s="63" t="s">
        <v>195</v>
      </c>
      <c r="I1048" s="64" t="s">
        <v>170</v>
      </c>
      <c r="J1048" s="65" t="str">
        <f>IFERROR(INDEX('Cost_Components'!$K$2:$K$27,MATCH(E1048,'Cost_Components'!$A$2:$A$27,0)),"")</f>
      </c>
      <c r="K1048" s="66" t="str">
        <f>IF(OR(L1048="",Z1048="",AA1048="",AB1048=""),"",IF(B1048&lt;AA1048,L1048,IF(B1048&gt;AB1048,Z1048,L1048+(Z1048-L1048)*MIN(MAX((B1048-AA1048+1)/MAX(AB1048-AA1048+1,1),0),1))))</f>
      </c>
      <c r="L1048" s="67" t="str">
        <f>IFERROR(INDEX('Cost_Components'!$S$2:$S$27,MATCH(E1048,'Cost_Components'!$A$2:$A$27,0)),"")</f>
      </c>
      <c r="M1048" s="68" t="str">
        <f>IFERROR(INDEX('Cost_Components'!$L$2:$L$27,MATCH(E1048,'Cost_Components'!$A$2:$A$27,0)),"")</f>
      </c>
      <c r="N1048" s="69" t="str">
        <f>IFERROR(INDEX('Cost_Components'!$P$2:$P$27,MATCH(E1048,'Cost_Components'!$A$2:$A$27,0)),"")</f>
      </c>
      <c r="O1048" s="70" t="str">
        <f>AF1048*J1048</f>
      </c>
      <c r="P1048" s="71" t="str">
        <f>AG1048*J1048</f>
      </c>
      <c r="Q1048" s="72" t="str">
        <f>P1048*L1048*M1048*N1048</f>
      </c>
      <c r="R1048" s="73" t="str">
        <f>O1048*K1048*M1048*N1048</f>
      </c>
      <c r="S1048" s="74" t="str">
        <f>R1048-Q1048</f>
      </c>
      <c r="T1048" s="20" t="str">
        <f>IFERROR(INDEX('Cost_Components'!$R$2:$R$27,MATCH(E1048,'Cost_Components'!$A$2:$A$27,0)),"")</f>
      </c>
      <c r="U1048" s="75" t="str">
        <f>IFERROR(INDEX('Cost_Components'!$Q$2:$Q$27,MATCH(E1048,'Cost_Components'!$A$2:$A$27,0)),"")</f>
      </c>
      <c r="V1048" s="76" t="str">
        <f>1/(1+'Calculation_Assumptions'!$B$5)^(B1048-'Calculation_Assumptions'!$B$2)</f>
      </c>
      <c r="W1048" s="77" t="str">
        <f>Q1048*V1048</f>
      </c>
      <c r="X1048" s="78" t="str">
        <f>R1048*V1048</f>
      </c>
      <c r="Y1048" s="79" t="str">
        <f>S1048*V1048</f>
      </c>
      <c r="Z1048" s="80" t="str">
        <f>IFERROR(INDEX('Cost_Components'!$T$2:$T$27,MATCH(E1048,'Cost_Components'!$A$2:$A$27,0)),"")</f>
      </c>
      <c r="AA1048" s="81" t="str">
        <f>IFERROR(INDEX('Cost_Components'!$U$2:$U$27,MATCH(E1048,'Cost_Components'!$A$2:$A$27,0)),"")</f>
      </c>
      <c r="AB1048" s="82" t="str">
        <f>IFERROR(INDEX('Cost_Components'!$V$2:$V$27,MATCH(E1048,'Cost_Components'!$A$2:$A$27,0)),"")</f>
      </c>
      <c r="AC1048" s="83" t="str">
        <f>IFERROR(INDEX('Cost_Components'!$M$2:$M$27,MATCH(E1048,'Cost_Components'!$A$2:$A$27,0)),"")</f>
      </c>
      <c r="AD1048" s="84" t="str">
        <f>IFERROR(INDEX('Cost_Components'!$N$2:$N$27,MATCH(E1048,'Cost_Components'!$A$2:$A$27,0)),"")</f>
      </c>
      <c r="AE1048" s="20" t="str">
        <f>IFERROR(INDEX('Cost_Components'!$O$2:$O$27,MATCH(E1048,'Cost_Components'!$A$2:$A$27,0)),"")</f>
      </c>
      <c r="AF1048" s="85" t="n">
        <v>605803.494542213</v>
      </c>
      <c r="AG1048" s="86" t="n">
        <v>646110.864169859</v>
      </c>
      <c r="AH1048" s="87" t="str">
        <f>IF(H1048="shared-count-once",COUNTIFS($A$2:$A$1353,A1048,$B$2:$B$1353,B1048,$E$2:$E$1353,E1048),1)</f>
      </c>
    </row>
    <row r="1049">
      <c r="A1049" t="s">
        <v>75</v>
      </c>
      <c r="B1049" s="59" t="n">
        <v>2032</v>
      </c>
      <c r="C1049" t="s">
        <v>205</v>
      </c>
      <c r="D1049" t="s">
        <v>180</v>
      </c>
      <c r="E1049" s="60" t="s">
        <v>294</v>
      </c>
      <c r="F1049" s="61" t="s">
        <v>295</v>
      </c>
      <c r="G1049" s="62" t="s">
        <v>206</v>
      </c>
      <c r="H1049" s="63" t="s">
        <v>195</v>
      </c>
      <c r="I1049" s="64" t="s">
        <v>170</v>
      </c>
      <c r="J1049" s="65" t="str">
        <f>IFERROR(INDEX('Cost_Components'!$K$2:$K$27,MATCH(E1049,'Cost_Components'!$A$2:$A$27,0)),"")</f>
      </c>
      <c r="K1049" s="66" t="str">
        <f>IF(OR(L1049="",Z1049="",AA1049="",AB1049=""),"",IF(B1049&lt;AA1049,L1049,IF(B1049&gt;AB1049,Z1049,L1049+(Z1049-L1049)*MIN(MAX((B1049-AA1049+1)/MAX(AB1049-AA1049+1,1),0),1))))</f>
      </c>
      <c r="L1049" s="67" t="str">
        <f>IFERROR(INDEX('Cost_Components'!$S$2:$S$27,MATCH(E1049,'Cost_Components'!$A$2:$A$27,0)),"")</f>
      </c>
      <c r="M1049" s="68" t="str">
        <f>IFERROR(INDEX('Cost_Components'!$L$2:$L$27,MATCH(E1049,'Cost_Components'!$A$2:$A$27,0)),"")</f>
      </c>
      <c r="N1049" s="69" t="str">
        <f>IFERROR(INDEX('Cost_Components'!$P$2:$P$27,MATCH(E1049,'Cost_Components'!$A$2:$A$27,0)),"")</f>
      </c>
      <c r="O1049" s="70" t="str">
        <f>AF1049*J1049</f>
      </c>
      <c r="P1049" s="71" t="str">
        <f>AG1049*J1049</f>
      </c>
      <c r="Q1049" s="72" t="str">
        <f>P1049*L1049*M1049*N1049</f>
      </c>
      <c r="R1049" s="73" t="str">
        <f>O1049*K1049*M1049*N1049</f>
      </c>
      <c r="S1049" s="74" t="str">
        <f>R1049-Q1049</f>
      </c>
      <c r="T1049" s="20" t="str">
        <f>IFERROR(INDEX('Cost_Components'!$R$2:$R$27,MATCH(E1049,'Cost_Components'!$A$2:$A$27,0)),"")</f>
      </c>
      <c r="U1049" s="75" t="str">
        <f>IFERROR(INDEX('Cost_Components'!$Q$2:$Q$27,MATCH(E1049,'Cost_Components'!$A$2:$A$27,0)),"")</f>
      </c>
      <c r="V1049" s="76" t="str">
        <f>1/(1+'Calculation_Assumptions'!$B$5)^(B1049-'Calculation_Assumptions'!$B$2)</f>
      </c>
      <c r="W1049" s="77" t="str">
        <f>Q1049*V1049</f>
      </c>
      <c r="X1049" s="78" t="str">
        <f>R1049*V1049</f>
      </c>
      <c r="Y1049" s="79" t="str">
        <f>S1049*V1049</f>
      </c>
      <c r="Z1049" s="80" t="str">
        <f>IFERROR(INDEX('Cost_Components'!$T$2:$T$27,MATCH(E1049,'Cost_Components'!$A$2:$A$27,0)),"")</f>
      </c>
      <c r="AA1049" s="81" t="str">
        <f>IFERROR(INDEX('Cost_Components'!$U$2:$U$27,MATCH(E1049,'Cost_Components'!$A$2:$A$27,0)),"")</f>
      </c>
      <c r="AB1049" s="82" t="str">
        <f>IFERROR(INDEX('Cost_Components'!$V$2:$V$27,MATCH(E1049,'Cost_Components'!$A$2:$A$27,0)),"")</f>
      </c>
      <c r="AC1049" s="83" t="str">
        <f>IFERROR(INDEX('Cost_Components'!$M$2:$M$27,MATCH(E1049,'Cost_Components'!$A$2:$A$27,0)),"")</f>
      </c>
      <c r="AD1049" s="84" t="str">
        <f>IFERROR(INDEX('Cost_Components'!$N$2:$N$27,MATCH(E1049,'Cost_Components'!$A$2:$A$27,0)),"")</f>
      </c>
      <c r="AE1049" s="20" t="str">
        <f>IFERROR(INDEX('Cost_Components'!$O$2:$O$27,MATCH(E1049,'Cost_Components'!$A$2:$A$27,0)),"")</f>
      </c>
      <c r="AF1049" s="85" t="n">
        <v>607852.041143684</v>
      </c>
      <c r="AG1049" s="86" t="n">
        <v>654519.811420389</v>
      </c>
      <c r="AH1049" s="87" t="str">
        <f>IF(H1049="shared-count-once",COUNTIFS($A$2:$A$1353,A1049,$B$2:$B$1353,B1049,$E$2:$E$1353,E1049),1)</f>
      </c>
    </row>
    <row r="1050">
      <c r="A1050" t="s">
        <v>75</v>
      </c>
      <c r="B1050" s="59" t="n">
        <v>2033</v>
      </c>
      <c r="C1050" t="s">
        <v>205</v>
      </c>
      <c r="D1050" t="s">
        <v>180</v>
      </c>
      <c r="E1050" s="60" t="s">
        <v>294</v>
      </c>
      <c r="F1050" s="61" t="s">
        <v>295</v>
      </c>
      <c r="G1050" s="62" t="s">
        <v>206</v>
      </c>
      <c r="H1050" s="63" t="s">
        <v>195</v>
      </c>
      <c r="I1050" s="64" t="s">
        <v>170</v>
      </c>
      <c r="J1050" s="65" t="str">
        <f>IFERROR(INDEX('Cost_Components'!$K$2:$K$27,MATCH(E1050,'Cost_Components'!$A$2:$A$27,0)),"")</f>
      </c>
      <c r="K1050" s="66" t="str">
        <f>IF(OR(L1050="",Z1050="",AA1050="",AB1050=""),"",IF(B1050&lt;AA1050,L1050,IF(B1050&gt;AB1050,Z1050,L1050+(Z1050-L1050)*MIN(MAX((B1050-AA1050+1)/MAX(AB1050-AA1050+1,1),0),1))))</f>
      </c>
      <c r="L1050" s="67" t="str">
        <f>IFERROR(INDEX('Cost_Components'!$S$2:$S$27,MATCH(E1050,'Cost_Components'!$A$2:$A$27,0)),"")</f>
      </c>
      <c r="M1050" s="68" t="str">
        <f>IFERROR(INDEX('Cost_Components'!$L$2:$L$27,MATCH(E1050,'Cost_Components'!$A$2:$A$27,0)),"")</f>
      </c>
      <c r="N1050" s="69" t="str">
        <f>IFERROR(INDEX('Cost_Components'!$P$2:$P$27,MATCH(E1050,'Cost_Components'!$A$2:$A$27,0)),"")</f>
      </c>
      <c r="O1050" s="70" t="str">
        <f>AF1050*J1050</f>
      </c>
      <c r="P1050" s="71" t="str">
        <f>AG1050*J1050</f>
      </c>
      <c r="Q1050" s="72" t="str">
        <f>P1050*L1050*M1050*N1050</f>
      </c>
      <c r="R1050" s="73" t="str">
        <f>O1050*K1050*M1050*N1050</f>
      </c>
      <c r="S1050" s="74" t="str">
        <f>R1050-Q1050</f>
      </c>
      <c r="T1050" s="20" t="str">
        <f>IFERROR(INDEX('Cost_Components'!$R$2:$R$27,MATCH(E1050,'Cost_Components'!$A$2:$A$27,0)),"")</f>
      </c>
      <c r="U1050" s="75" t="str">
        <f>IFERROR(INDEX('Cost_Components'!$Q$2:$Q$27,MATCH(E1050,'Cost_Components'!$A$2:$A$27,0)),"")</f>
      </c>
      <c r="V1050" s="76" t="str">
        <f>1/(1+'Calculation_Assumptions'!$B$5)^(B1050-'Calculation_Assumptions'!$B$2)</f>
      </c>
      <c r="W1050" s="77" t="str">
        <f>Q1050*V1050</f>
      </c>
      <c r="X1050" s="78" t="str">
        <f>R1050*V1050</f>
      </c>
      <c r="Y1050" s="79" t="str">
        <f>S1050*V1050</f>
      </c>
      <c r="Z1050" s="80" t="str">
        <f>IFERROR(INDEX('Cost_Components'!$T$2:$T$27,MATCH(E1050,'Cost_Components'!$A$2:$A$27,0)),"")</f>
      </c>
      <c r="AA1050" s="81" t="str">
        <f>IFERROR(INDEX('Cost_Components'!$U$2:$U$27,MATCH(E1050,'Cost_Components'!$A$2:$A$27,0)),"")</f>
      </c>
      <c r="AB1050" s="82" t="str">
        <f>IFERROR(INDEX('Cost_Components'!$V$2:$V$27,MATCH(E1050,'Cost_Components'!$A$2:$A$27,0)),"")</f>
      </c>
      <c r="AC1050" s="83" t="str">
        <f>IFERROR(INDEX('Cost_Components'!$M$2:$M$27,MATCH(E1050,'Cost_Components'!$A$2:$A$27,0)),"")</f>
      </c>
      <c r="AD1050" s="84" t="str">
        <f>IFERROR(INDEX('Cost_Components'!$N$2:$N$27,MATCH(E1050,'Cost_Components'!$A$2:$A$27,0)),"")</f>
      </c>
      <c r="AE1050" s="20" t="str">
        <f>IFERROR(INDEX('Cost_Components'!$O$2:$O$27,MATCH(E1050,'Cost_Components'!$A$2:$A$27,0)),"")</f>
      </c>
      <c r="AF1050" s="85" t="n">
        <v>610771.557971396</v>
      </c>
      <c r="AG1050" s="86" t="n">
        <v>664009.138744924</v>
      </c>
      <c r="AH1050" s="87" t="str">
        <f>IF(H1050="shared-count-once",COUNTIFS($A$2:$A$1353,A1050,$B$2:$B$1353,B1050,$E$2:$E$1353,E1050),1)</f>
      </c>
    </row>
    <row r="1051">
      <c r="A1051" t="s">
        <v>75</v>
      </c>
      <c r="B1051" s="59" t="n">
        <v>2034</v>
      </c>
      <c r="C1051" t="s">
        <v>205</v>
      </c>
      <c r="D1051" t="s">
        <v>180</v>
      </c>
      <c r="E1051" s="60" t="s">
        <v>294</v>
      </c>
      <c r="F1051" s="61" t="s">
        <v>295</v>
      </c>
      <c r="G1051" s="62" t="s">
        <v>206</v>
      </c>
      <c r="H1051" s="63" t="s">
        <v>195</v>
      </c>
      <c r="I1051" s="64" t="s">
        <v>170</v>
      </c>
      <c r="J1051" s="65" t="str">
        <f>IFERROR(INDEX('Cost_Components'!$K$2:$K$27,MATCH(E1051,'Cost_Components'!$A$2:$A$27,0)),"")</f>
      </c>
      <c r="K1051" s="66" t="str">
        <f>IF(OR(L1051="",Z1051="",AA1051="",AB1051=""),"",IF(B1051&lt;AA1051,L1051,IF(B1051&gt;AB1051,Z1051,L1051+(Z1051-L1051)*MIN(MAX((B1051-AA1051+1)/MAX(AB1051-AA1051+1,1),0),1))))</f>
      </c>
      <c r="L1051" s="67" t="str">
        <f>IFERROR(INDEX('Cost_Components'!$S$2:$S$27,MATCH(E1051,'Cost_Components'!$A$2:$A$27,0)),"")</f>
      </c>
      <c r="M1051" s="68" t="str">
        <f>IFERROR(INDEX('Cost_Components'!$L$2:$L$27,MATCH(E1051,'Cost_Components'!$A$2:$A$27,0)),"")</f>
      </c>
      <c r="N1051" s="69" t="str">
        <f>IFERROR(INDEX('Cost_Components'!$P$2:$P$27,MATCH(E1051,'Cost_Components'!$A$2:$A$27,0)),"")</f>
      </c>
      <c r="O1051" s="70" t="str">
        <f>AF1051*J1051</f>
      </c>
      <c r="P1051" s="71" t="str">
        <f>AG1051*J1051</f>
      </c>
      <c r="Q1051" s="72" t="str">
        <f>P1051*L1051*M1051*N1051</f>
      </c>
      <c r="R1051" s="73" t="str">
        <f>O1051*K1051*M1051*N1051</f>
      </c>
      <c r="S1051" s="74" t="str">
        <f>R1051-Q1051</f>
      </c>
      <c r="T1051" s="20" t="str">
        <f>IFERROR(INDEX('Cost_Components'!$R$2:$R$27,MATCH(E1051,'Cost_Components'!$A$2:$A$27,0)),"")</f>
      </c>
      <c r="U1051" s="75" t="str">
        <f>IFERROR(INDEX('Cost_Components'!$Q$2:$Q$27,MATCH(E1051,'Cost_Components'!$A$2:$A$27,0)),"")</f>
      </c>
      <c r="V1051" s="76" t="str">
        <f>1/(1+'Calculation_Assumptions'!$B$5)^(B1051-'Calculation_Assumptions'!$B$2)</f>
      </c>
      <c r="W1051" s="77" t="str">
        <f>Q1051*V1051</f>
      </c>
      <c r="X1051" s="78" t="str">
        <f>R1051*V1051</f>
      </c>
      <c r="Y1051" s="79" t="str">
        <f>S1051*V1051</f>
      </c>
      <c r="Z1051" s="80" t="str">
        <f>IFERROR(INDEX('Cost_Components'!$T$2:$T$27,MATCH(E1051,'Cost_Components'!$A$2:$A$27,0)),"")</f>
      </c>
      <c r="AA1051" s="81" t="str">
        <f>IFERROR(INDEX('Cost_Components'!$U$2:$U$27,MATCH(E1051,'Cost_Components'!$A$2:$A$27,0)),"")</f>
      </c>
      <c r="AB1051" s="82" t="str">
        <f>IFERROR(INDEX('Cost_Components'!$V$2:$V$27,MATCH(E1051,'Cost_Components'!$A$2:$A$27,0)),"")</f>
      </c>
      <c r="AC1051" s="83" t="str">
        <f>IFERROR(INDEX('Cost_Components'!$M$2:$M$27,MATCH(E1051,'Cost_Components'!$A$2:$A$27,0)),"")</f>
      </c>
      <c r="AD1051" s="84" t="str">
        <f>IFERROR(INDEX('Cost_Components'!$N$2:$N$27,MATCH(E1051,'Cost_Components'!$A$2:$A$27,0)),"")</f>
      </c>
      <c r="AE1051" s="20" t="str">
        <f>IFERROR(INDEX('Cost_Components'!$O$2:$O$27,MATCH(E1051,'Cost_Components'!$A$2:$A$27,0)),"")</f>
      </c>
      <c r="AF1051" s="85" t="n">
        <v>610041.016127782</v>
      </c>
      <c r="AG1051" s="86" t="n">
        <v>669565.091865969</v>
      </c>
      <c r="AH1051" s="87" t="str">
        <f>IF(H1051="shared-count-once",COUNTIFS($A$2:$A$1353,A1051,$B$2:$B$1353,B1051,$E$2:$E$1353,E1051),1)</f>
      </c>
    </row>
    <row r="1052">
      <c r="A1052" t="s">
        <v>75</v>
      </c>
      <c r="B1052" s="59" t="n">
        <v>2035</v>
      </c>
      <c r="C1052" t="s">
        <v>205</v>
      </c>
      <c r="D1052" t="s">
        <v>180</v>
      </c>
      <c r="E1052" s="60" t="s">
        <v>294</v>
      </c>
      <c r="F1052" s="61" t="s">
        <v>295</v>
      </c>
      <c r="G1052" s="62" t="s">
        <v>206</v>
      </c>
      <c r="H1052" s="63" t="s">
        <v>195</v>
      </c>
      <c r="I1052" s="64" t="s">
        <v>170</v>
      </c>
      <c r="J1052" s="65" t="str">
        <f>IFERROR(INDEX('Cost_Components'!$K$2:$K$27,MATCH(E1052,'Cost_Components'!$A$2:$A$27,0)),"")</f>
      </c>
      <c r="K1052" s="66" t="str">
        <f>IF(OR(L1052="",Z1052="",AA1052="",AB1052=""),"",IF(B1052&lt;AA1052,L1052,IF(B1052&gt;AB1052,Z1052,L1052+(Z1052-L1052)*MIN(MAX((B1052-AA1052+1)/MAX(AB1052-AA1052+1,1),0),1))))</f>
      </c>
      <c r="L1052" s="67" t="str">
        <f>IFERROR(INDEX('Cost_Components'!$S$2:$S$27,MATCH(E1052,'Cost_Components'!$A$2:$A$27,0)),"")</f>
      </c>
      <c r="M1052" s="68" t="str">
        <f>IFERROR(INDEX('Cost_Components'!$L$2:$L$27,MATCH(E1052,'Cost_Components'!$A$2:$A$27,0)),"")</f>
      </c>
      <c r="N1052" s="69" t="str">
        <f>IFERROR(INDEX('Cost_Components'!$P$2:$P$27,MATCH(E1052,'Cost_Components'!$A$2:$A$27,0)),"")</f>
      </c>
      <c r="O1052" s="70" t="str">
        <f>AF1052*J1052</f>
      </c>
      <c r="P1052" s="71" t="str">
        <f>AG1052*J1052</f>
      </c>
      <c r="Q1052" s="72" t="str">
        <f>P1052*L1052*M1052*N1052</f>
      </c>
      <c r="R1052" s="73" t="str">
        <f>O1052*K1052*M1052*N1052</f>
      </c>
      <c r="S1052" s="74" t="str">
        <f>R1052-Q1052</f>
      </c>
      <c r="T1052" s="20" t="str">
        <f>IFERROR(INDEX('Cost_Components'!$R$2:$R$27,MATCH(E1052,'Cost_Components'!$A$2:$A$27,0)),"")</f>
      </c>
      <c r="U1052" s="75" t="str">
        <f>IFERROR(INDEX('Cost_Components'!$Q$2:$Q$27,MATCH(E1052,'Cost_Components'!$A$2:$A$27,0)),"")</f>
      </c>
      <c r="V1052" s="76" t="str">
        <f>1/(1+'Calculation_Assumptions'!$B$5)^(B1052-'Calculation_Assumptions'!$B$2)</f>
      </c>
      <c r="W1052" s="77" t="str">
        <f>Q1052*V1052</f>
      </c>
      <c r="X1052" s="78" t="str">
        <f>R1052*V1052</f>
      </c>
      <c r="Y1052" s="79" t="str">
        <f>S1052*V1052</f>
      </c>
      <c r="Z1052" s="80" t="str">
        <f>IFERROR(INDEX('Cost_Components'!$T$2:$T$27,MATCH(E1052,'Cost_Components'!$A$2:$A$27,0)),"")</f>
      </c>
      <c r="AA1052" s="81" t="str">
        <f>IFERROR(INDEX('Cost_Components'!$U$2:$U$27,MATCH(E1052,'Cost_Components'!$A$2:$A$27,0)),"")</f>
      </c>
      <c r="AB1052" s="82" t="str">
        <f>IFERROR(INDEX('Cost_Components'!$V$2:$V$27,MATCH(E1052,'Cost_Components'!$A$2:$A$27,0)),"")</f>
      </c>
      <c r="AC1052" s="83" t="str">
        <f>IFERROR(INDEX('Cost_Components'!$M$2:$M$27,MATCH(E1052,'Cost_Components'!$A$2:$A$27,0)),"")</f>
      </c>
      <c r="AD1052" s="84" t="str">
        <f>IFERROR(INDEX('Cost_Components'!$N$2:$N$27,MATCH(E1052,'Cost_Components'!$A$2:$A$27,0)),"")</f>
      </c>
      <c r="AE1052" s="20" t="str">
        <f>IFERROR(INDEX('Cost_Components'!$O$2:$O$27,MATCH(E1052,'Cost_Components'!$A$2:$A$27,0)),"")</f>
      </c>
      <c r="AF1052" s="85" t="n">
        <v>612497.12265071</v>
      </c>
      <c r="AG1052" s="86" t="n">
        <v>678638.434521443</v>
      </c>
      <c r="AH1052" s="87" t="str">
        <f>IF(H1052="shared-count-once",COUNTIFS($A$2:$A$1353,A1052,$B$2:$B$1353,B1052,$E$2:$E$1353,E1052),1)</f>
      </c>
    </row>
    <row r="1053">
      <c r="A1053" t="s">
        <v>75</v>
      </c>
      <c r="B1053" s="59" t="n">
        <v>2036</v>
      </c>
      <c r="C1053" t="s">
        <v>205</v>
      </c>
      <c r="D1053" t="s">
        <v>180</v>
      </c>
      <c r="E1053" s="60" t="s">
        <v>294</v>
      </c>
      <c r="F1053" s="61" t="s">
        <v>295</v>
      </c>
      <c r="G1053" s="62" t="s">
        <v>206</v>
      </c>
      <c r="H1053" s="63" t="s">
        <v>195</v>
      </c>
      <c r="I1053" s="64" t="s">
        <v>170</v>
      </c>
      <c r="J1053" s="65" t="str">
        <f>IFERROR(INDEX('Cost_Components'!$K$2:$K$27,MATCH(E1053,'Cost_Components'!$A$2:$A$27,0)),"")</f>
      </c>
      <c r="K1053" s="66" t="str">
        <f>IF(OR(L1053="",Z1053="",AA1053="",AB1053=""),"",IF(B1053&lt;AA1053,L1053,IF(B1053&gt;AB1053,Z1053,L1053+(Z1053-L1053)*MIN(MAX((B1053-AA1053+1)/MAX(AB1053-AA1053+1,1),0),1))))</f>
      </c>
      <c r="L1053" s="67" t="str">
        <f>IFERROR(INDEX('Cost_Components'!$S$2:$S$27,MATCH(E1053,'Cost_Components'!$A$2:$A$27,0)),"")</f>
      </c>
      <c r="M1053" s="68" t="str">
        <f>IFERROR(INDEX('Cost_Components'!$L$2:$L$27,MATCH(E1053,'Cost_Components'!$A$2:$A$27,0)),"")</f>
      </c>
      <c r="N1053" s="69" t="str">
        <f>IFERROR(INDEX('Cost_Components'!$P$2:$P$27,MATCH(E1053,'Cost_Components'!$A$2:$A$27,0)),"")</f>
      </c>
      <c r="O1053" s="70" t="str">
        <f>AF1053*J1053</f>
      </c>
      <c r="P1053" s="71" t="str">
        <f>AG1053*J1053</f>
      </c>
      <c r="Q1053" s="72" t="str">
        <f>P1053*L1053*M1053*N1053</f>
      </c>
      <c r="R1053" s="73" t="str">
        <f>O1053*K1053*M1053*N1053</f>
      </c>
      <c r="S1053" s="74" t="str">
        <f>R1053-Q1053</f>
      </c>
      <c r="T1053" s="20" t="str">
        <f>IFERROR(INDEX('Cost_Components'!$R$2:$R$27,MATCH(E1053,'Cost_Components'!$A$2:$A$27,0)),"")</f>
      </c>
      <c r="U1053" s="75" t="str">
        <f>IFERROR(INDEX('Cost_Components'!$Q$2:$Q$27,MATCH(E1053,'Cost_Components'!$A$2:$A$27,0)),"")</f>
      </c>
      <c r="V1053" s="76" t="str">
        <f>1/(1+'Calculation_Assumptions'!$B$5)^(B1053-'Calculation_Assumptions'!$B$2)</f>
      </c>
      <c r="W1053" s="77" t="str">
        <f>Q1053*V1053</f>
      </c>
      <c r="X1053" s="78" t="str">
        <f>R1053*V1053</f>
      </c>
      <c r="Y1053" s="79" t="str">
        <f>S1053*V1053</f>
      </c>
      <c r="Z1053" s="80" t="str">
        <f>IFERROR(INDEX('Cost_Components'!$T$2:$T$27,MATCH(E1053,'Cost_Components'!$A$2:$A$27,0)),"")</f>
      </c>
      <c r="AA1053" s="81" t="str">
        <f>IFERROR(INDEX('Cost_Components'!$U$2:$U$27,MATCH(E1053,'Cost_Components'!$A$2:$A$27,0)),"")</f>
      </c>
      <c r="AB1053" s="82" t="str">
        <f>IFERROR(INDEX('Cost_Components'!$V$2:$V$27,MATCH(E1053,'Cost_Components'!$A$2:$A$27,0)),"")</f>
      </c>
      <c r="AC1053" s="83" t="str">
        <f>IFERROR(INDEX('Cost_Components'!$M$2:$M$27,MATCH(E1053,'Cost_Components'!$A$2:$A$27,0)),"")</f>
      </c>
      <c r="AD1053" s="84" t="str">
        <f>IFERROR(INDEX('Cost_Components'!$N$2:$N$27,MATCH(E1053,'Cost_Components'!$A$2:$A$27,0)),"")</f>
      </c>
      <c r="AE1053" s="20" t="str">
        <f>IFERROR(INDEX('Cost_Components'!$O$2:$O$27,MATCH(E1053,'Cost_Components'!$A$2:$A$27,0)),"")</f>
      </c>
      <c r="AF1053" s="85" t="n">
        <v>615291.804565168</v>
      </c>
      <c r="AG1053" s="86" t="n">
        <v>688194.684475592</v>
      </c>
      <c r="AH1053" s="87" t="str">
        <f>IF(H1053="shared-count-once",COUNTIFS($A$2:$A$1353,A1053,$B$2:$B$1353,B1053,$E$2:$E$1353,E1053),1)</f>
      </c>
    </row>
    <row r="1054">
      <c r="A1054" t="s">
        <v>75</v>
      </c>
      <c r="B1054" s="59" t="n">
        <v>2037</v>
      </c>
      <c r="C1054" t="s">
        <v>205</v>
      </c>
      <c r="D1054" t="s">
        <v>180</v>
      </c>
      <c r="E1054" s="60" t="s">
        <v>294</v>
      </c>
      <c r="F1054" s="61" t="s">
        <v>295</v>
      </c>
      <c r="G1054" s="62" t="s">
        <v>206</v>
      </c>
      <c r="H1054" s="63" t="s">
        <v>195</v>
      </c>
      <c r="I1054" s="64" t="s">
        <v>170</v>
      </c>
      <c r="J1054" s="65" t="str">
        <f>IFERROR(INDEX('Cost_Components'!$K$2:$K$27,MATCH(E1054,'Cost_Components'!$A$2:$A$27,0)),"")</f>
      </c>
      <c r="K1054" s="66" t="str">
        <f>IF(OR(L1054="",Z1054="",AA1054="",AB1054=""),"",IF(B1054&lt;AA1054,L1054,IF(B1054&gt;AB1054,Z1054,L1054+(Z1054-L1054)*MIN(MAX((B1054-AA1054+1)/MAX(AB1054-AA1054+1,1),0),1))))</f>
      </c>
      <c r="L1054" s="67" t="str">
        <f>IFERROR(INDEX('Cost_Components'!$S$2:$S$27,MATCH(E1054,'Cost_Components'!$A$2:$A$27,0)),"")</f>
      </c>
      <c r="M1054" s="68" t="str">
        <f>IFERROR(INDEX('Cost_Components'!$L$2:$L$27,MATCH(E1054,'Cost_Components'!$A$2:$A$27,0)),"")</f>
      </c>
      <c r="N1054" s="69" t="str">
        <f>IFERROR(INDEX('Cost_Components'!$P$2:$P$27,MATCH(E1054,'Cost_Components'!$A$2:$A$27,0)),"")</f>
      </c>
      <c r="O1054" s="70" t="str">
        <f>AF1054*J1054</f>
      </c>
      <c r="P1054" s="71" t="str">
        <f>AG1054*J1054</f>
      </c>
      <c r="Q1054" s="72" t="str">
        <f>P1054*L1054*M1054*N1054</f>
      </c>
      <c r="R1054" s="73" t="str">
        <f>O1054*K1054*M1054*N1054</f>
      </c>
      <c r="S1054" s="74" t="str">
        <f>R1054-Q1054</f>
      </c>
      <c r="T1054" s="20" t="str">
        <f>IFERROR(INDEX('Cost_Components'!$R$2:$R$27,MATCH(E1054,'Cost_Components'!$A$2:$A$27,0)),"")</f>
      </c>
      <c r="U1054" s="75" t="str">
        <f>IFERROR(INDEX('Cost_Components'!$Q$2:$Q$27,MATCH(E1054,'Cost_Components'!$A$2:$A$27,0)),"")</f>
      </c>
      <c r="V1054" s="76" t="str">
        <f>1/(1+'Calculation_Assumptions'!$B$5)^(B1054-'Calculation_Assumptions'!$B$2)</f>
      </c>
      <c r="W1054" s="77" t="str">
        <f>Q1054*V1054</f>
      </c>
      <c r="X1054" s="78" t="str">
        <f>R1054*V1054</f>
      </c>
      <c r="Y1054" s="79" t="str">
        <f>S1054*V1054</f>
      </c>
      <c r="Z1054" s="80" t="str">
        <f>IFERROR(INDEX('Cost_Components'!$T$2:$T$27,MATCH(E1054,'Cost_Components'!$A$2:$A$27,0)),"")</f>
      </c>
      <c r="AA1054" s="81" t="str">
        <f>IFERROR(INDEX('Cost_Components'!$U$2:$U$27,MATCH(E1054,'Cost_Components'!$A$2:$A$27,0)),"")</f>
      </c>
      <c r="AB1054" s="82" t="str">
        <f>IFERROR(INDEX('Cost_Components'!$V$2:$V$27,MATCH(E1054,'Cost_Components'!$A$2:$A$27,0)),"")</f>
      </c>
      <c r="AC1054" s="83" t="str">
        <f>IFERROR(INDEX('Cost_Components'!$M$2:$M$27,MATCH(E1054,'Cost_Components'!$A$2:$A$27,0)),"")</f>
      </c>
      <c r="AD1054" s="84" t="str">
        <f>IFERROR(INDEX('Cost_Components'!$N$2:$N$27,MATCH(E1054,'Cost_Components'!$A$2:$A$27,0)),"")</f>
      </c>
      <c r="AE1054" s="20" t="str">
        <f>IFERROR(INDEX('Cost_Components'!$O$2:$O$27,MATCH(E1054,'Cost_Components'!$A$2:$A$27,0)),"")</f>
      </c>
      <c r="AF1054" s="85" t="n">
        <v>618225.227654902</v>
      </c>
      <c r="AG1054" s="86" t="n">
        <v>698060.502126947</v>
      </c>
      <c r="AH1054" s="87" t="str">
        <f>IF(H1054="shared-count-once",COUNTIFS($A$2:$A$1353,A1054,$B$2:$B$1353,B1054,$E$2:$E$1353,E1054),1)</f>
      </c>
    </row>
    <row r="1055">
      <c r="A1055" t="s">
        <v>75</v>
      </c>
      <c r="B1055" s="59" t="n">
        <v>2038</v>
      </c>
      <c r="C1055" t="s">
        <v>205</v>
      </c>
      <c r="D1055" t="s">
        <v>180</v>
      </c>
      <c r="E1055" s="60" t="s">
        <v>294</v>
      </c>
      <c r="F1055" s="61" t="s">
        <v>295</v>
      </c>
      <c r="G1055" s="62" t="s">
        <v>206</v>
      </c>
      <c r="H1055" s="63" t="s">
        <v>195</v>
      </c>
      <c r="I1055" s="64" t="s">
        <v>170</v>
      </c>
      <c r="J1055" s="65" t="str">
        <f>IFERROR(INDEX('Cost_Components'!$K$2:$K$27,MATCH(E1055,'Cost_Components'!$A$2:$A$27,0)),"")</f>
      </c>
      <c r="K1055" s="66" t="str">
        <f>IF(OR(L1055="",Z1055="",AA1055="",AB1055=""),"",IF(B1055&lt;AA1055,L1055,IF(B1055&gt;AB1055,Z1055,L1055+(Z1055-L1055)*MIN(MAX((B1055-AA1055+1)/MAX(AB1055-AA1055+1,1),0),1))))</f>
      </c>
      <c r="L1055" s="67" t="str">
        <f>IFERROR(INDEX('Cost_Components'!$S$2:$S$27,MATCH(E1055,'Cost_Components'!$A$2:$A$27,0)),"")</f>
      </c>
      <c r="M1055" s="68" t="str">
        <f>IFERROR(INDEX('Cost_Components'!$L$2:$L$27,MATCH(E1055,'Cost_Components'!$A$2:$A$27,0)),"")</f>
      </c>
      <c r="N1055" s="69" t="str">
        <f>IFERROR(INDEX('Cost_Components'!$P$2:$P$27,MATCH(E1055,'Cost_Components'!$A$2:$A$27,0)),"")</f>
      </c>
      <c r="O1055" s="70" t="str">
        <f>AF1055*J1055</f>
      </c>
      <c r="P1055" s="71" t="str">
        <f>AG1055*J1055</f>
      </c>
      <c r="Q1055" s="72" t="str">
        <f>P1055*L1055*M1055*N1055</f>
      </c>
      <c r="R1055" s="73" t="str">
        <f>O1055*K1055*M1055*N1055</f>
      </c>
      <c r="S1055" s="74" t="str">
        <f>R1055-Q1055</f>
      </c>
      <c r="T1055" s="20" t="str">
        <f>IFERROR(INDEX('Cost_Components'!$R$2:$R$27,MATCH(E1055,'Cost_Components'!$A$2:$A$27,0)),"")</f>
      </c>
      <c r="U1055" s="75" t="str">
        <f>IFERROR(INDEX('Cost_Components'!$Q$2:$Q$27,MATCH(E1055,'Cost_Components'!$A$2:$A$27,0)),"")</f>
      </c>
      <c r="V1055" s="76" t="str">
        <f>1/(1+'Calculation_Assumptions'!$B$5)^(B1055-'Calculation_Assumptions'!$B$2)</f>
      </c>
      <c r="W1055" s="77" t="str">
        <f>Q1055*V1055</f>
      </c>
      <c r="X1055" s="78" t="str">
        <f>R1055*V1055</f>
      </c>
      <c r="Y1055" s="79" t="str">
        <f>S1055*V1055</f>
      </c>
      <c r="Z1055" s="80" t="str">
        <f>IFERROR(INDEX('Cost_Components'!$T$2:$T$27,MATCH(E1055,'Cost_Components'!$A$2:$A$27,0)),"")</f>
      </c>
      <c r="AA1055" s="81" t="str">
        <f>IFERROR(INDEX('Cost_Components'!$U$2:$U$27,MATCH(E1055,'Cost_Components'!$A$2:$A$27,0)),"")</f>
      </c>
      <c r="AB1055" s="82" t="str">
        <f>IFERROR(INDEX('Cost_Components'!$V$2:$V$27,MATCH(E1055,'Cost_Components'!$A$2:$A$27,0)),"")</f>
      </c>
      <c r="AC1055" s="83" t="str">
        <f>IFERROR(INDEX('Cost_Components'!$M$2:$M$27,MATCH(E1055,'Cost_Components'!$A$2:$A$27,0)),"")</f>
      </c>
      <c r="AD1055" s="84" t="str">
        <f>IFERROR(INDEX('Cost_Components'!$N$2:$N$27,MATCH(E1055,'Cost_Components'!$A$2:$A$27,0)),"")</f>
      </c>
      <c r="AE1055" s="20" t="str">
        <f>IFERROR(INDEX('Cost_Components'!$O$2:$O$27,MATCH(E1055,'Cost_Components'!$A$2:$A$27,0)),"")</f>
      </c>
      <c r="AF1055" s="85" t="n">
        <v>621698.506148951</v>
      </c>
      <c r="AG1055" s="86" t="n">
        <v>708674.574961299</v>
      </c>
      <c r="AH1055" s="87" t="str">
        <f>IF(H1055="shared-count-once",COUNTIFS($A$2:$A$1353,A1055,$B$2:$B$1353,B1055,$E$2:$E$1353,E1055),1)</f>
      </c>
    </row>
    <row r="1056">
      <c r="A1056" t="s">
        <v>75</v>
      </c>
      <c r="B1056" s="59" t="n">
        <v>2039</v>
      </c>
      <c r="C1056" t="s">
        <v>205</v>
      </c>
      <c r="D1056" t="s">
        <v>180</v>
      </c>
      <c r="E1056" s="60" t="s">
        <v>294</v>
      </c>
      <c r="F1056" s="61" t="s">
        <v>295</v>
      </c>
      <c r="G1056" s="62" t="s">
        <v>206</v>
      </c>
      <c r="H1056" s="63" t="s">
        <v>195</v>
      </c>
      <c r="I1056" s="64" t="s">
        <v>170</v>
      </c>
      <c r="J1056" s="65" t="str">
        <f>IFERROR(INDEX('Cost_Components'!$K$2:$K$27,MATCH(E1056,'Cost_Components'!$A$2:$A$27,0)),"")</f>
      </c>
      <c r="K1056" s="66" t="str">
        <f>IF(OR(L1056="",Z1056="",AA1056="",AB1056=""),"",IF(B1056&lt;AA1056,L1056,IF(B1056&gt;AB1056,Z1056,L1056+(Z1056-L1056)*MIN(MAX((B1056-AA1056+1)/MAX(AB1056-AA1056+1,1),0),1))))</f>
      </c>
      <c r="L1056" s="67" t="str">
        <f>IFERROR(INDEX('Cost_Components'!$S$2:$S$27,MATCH(E1056,'Cost_Components'!$A$2:$A$27,0)),"")</f>
      </c>
      <c r="M1056" s="68" t="str">
        <f>IFERROR(INDEX('Cost_Components'!$L$2:$L$27,MATCH(E1056,'Cost_Components'!$A$2:$A$27,0)),"")</f>
      </c>
      <c r="N1056" s="69" t="str">
        <f>IFERROR(INDEX('Cost_Components'!$P$2:$P$27,MATCH(E1056,'Cost_Components'!$A$2:$A$27,0)),"")</f>
      </c>
      <c r="O1056" s="70" t="str">
        <f>AF1056*J1056</f>
      </c>
      <c r="P1056" s="71" t="str">
        <f>AG1056*J1056</f>
      </c>
      <c r="Q1056" s="72" t="str">
        <f>P1056*L1056*M1056*N1056</f>
      </c>
      <c r="R1056" s="73" t="str">
        <f>O1056*K1056*M1056*N1056</f>
      </c>
      <c r="S1056" s="74" t="str">
        <f>R1056-Q1056</f>
      </c>
      <c r="T1056" s="20" t="str">
        <f>IFERROR(INDEX('Cost_Components'!$R$2:$R$27,MATCH(E1056,'Cost_Components'!$A$2:$A$27,0)),"")</f>
      </c>
      <c r="U1056" s="75" t="str">
        <f>IFERROR(INDEX('Cost_Components'!$Q$2:$Q$27,MATCH(E1056,'Cost_Components'!$A$2:$A$27,0)),"")</f>
      </c>
      <c r="V1056" s="76" t="str">
        <f>1/(1+'Calculation_Assumptions'!$B$5)^(B1056-'Calculation_Assumptions'!$B$2)</f>
      </c>
      <c r="W1056" s="77" t="str">
        <f>Q1056*V1056</f>
      </c>
      <c r="X1056" s="78" t="str">
        <f>R1056*V1056</f>
      </c>
      <c r="Y1056" s="79" t="str">
        <f>S1056*V1056</f>
      </c>
      <c r="Z1056" s="80" t="str">
        <f>IFERROR(INDEX('Cost_Components'!$T$2:$T$27,MATCH(E1056,'Cost_Components'!$A$2:$A$27,0)),"")</f>
      </c>
      <c r="AA1056" s="81" t="str">
        <f>IFERROR(INDEX('Cost_Components'!$U$2:$U$27,MATCH(E1056,'Cost_Components'!$A$2:$A$27,0)),"")</f>
      </c>
      <c r="AB1056" s="82" t="str">
        <f>IFERROR(INDEX('Cost_Components'!$V$2:$V$27,MATCH(E1056,'Cost_Components'!$A$2:$A$27,0)),"")</f>
      </c>
      <c r="AC1056" s="83" t="str">
        <f>IFERROR(INDEX('Cost_Components'!$M$2:$M$27,MATCH(E1056,'Cost_Components'!$A$2:$A$27,0)),"")</f>
      </c>
      <c r="AD1056" s="84" t="str">
        <f>IFERROR(INDEX('Cost_Components'!$N$2:$N$27,MATCH(E1056,'Cost_Components'!$A$2:$A$27,0)),"")</f>
      </c>
      <c r="AE1056" s="20" t="str">
        <f>IFERROR(INDEX('Cost_Components'!$O$2:$O$27,MATCH(E1056,'Cost_Components'!$A$2:$A$27,0)),"")</f>
      </c>
      <c r="AF1056" s="85" t="n">
        <v>621909.317687512</v>
      </c>
      <c r="AG1056" s="86" t="n">
        <v>715580.887085385</v>
      </c>
      <c r="AH1056" s="87" t="str">
        <f>IF(H1056="shared-count-once",COUNTIFS($A$2:$A$1353,A1056,$B$2:$B$1353,B1056,$E$2:$E$1353,E1056),1)</f>
      </c>
    </row>
    <row r="1057">
      <c r="A1057" t="s">
        <v>75</v>
      </c>
      <c r="B1057" s="59" t="n">
        <v>2040</v>
      </c>
      <c r="C1057" t="s">
        <v>205</v>
      </c>
      <c r="D1057" t="s">
        <v>180</v>
      </c>
      <c r="E1057" s="60" t="s">
        <v>294</v>
      </c>
      <c r="F1057" s="61" t="s">
        <v>295</v>
      </c>
      <c r="G1057" s="62" t="s">
        <v>206</v>
      </c>
      <c r="H1057" s="63" t="s">
        <v>195</v>
      </c>
      <c r="I1057" s="64" t="s">
        <v>170</v>
      </c>
      <c r="J1057" s="65" t="str">
        <f>IFERROR(INDEX('Cost_Components'!$K$2:$K$27,MATCH(E1057,'Cost_Components'!$A$2:$A$27,0)),"")</f>
      </c>
      <c r="K1057" s="66" t="str">
        <f>IF(OR(L1057="",Z1057="",AA1057="",AB1057=""),"",IF(B1057&lt;AA1057,L1057,IF(B1057&gt;AB1057,Z1057,L1057+(Z1057-L1057)*MIN(MAX((B1057-AA1057+1)/MAX(AB1057-AA1057+1,1),0),1))))</f>
      </c>
      <c r="L1057" s="67" t="str">
        <f>IFERROR(INDEX('Cost_Components'!$S$2:$S$27,MATCH(E1057,'Cost_Components'!$A$2:$A$27,0)),"")</f>
      </c>
      <c r="M1057" s="68" t="str">
        <f>IFERROR(INDEX('Cost_Components'!$L$2:$L$27,MATCH(E1057,'Cost_Components'!$A$2:$A$27,0)),"")</f>
      </c>
      <c r="N1057" s="69" t="str">
        <f>IFERROR(INDEX('Cost_Components'!$P$2:$P$27,MATCH(E1057,'Cost_Components'!$A$2:$A$27,0)),"")</f>
      </c>
      <c r="O1057" s="70" t="str">
        <f>AF1057*J1057</f>
      </c>
      <c r="P1057" s="71" t="str">
        <f>AG1057*J1057</f>
      </c>
      <c r="Q1057" s="72" t="str">
        <f>P1057*L1057*M1057*N1057</f>
      </c>
      <c r="R1057" s="73" t="str">
        <f>O1057*K1057*M1057*N1057</f>
      </c>
      <c r="S1057" s="74" t="str">
        <f>R1057-Q1057</f>
      </c>
      <c r="T1057" s="20" t="str">
        <f>IFERROR(INDEX('Cost_Components'!$R$2:$R$27,MATCH(E1057,'Cost_Components'!$A$2:$A$27,0)),"")</f>
      </c>
      <c r="U1057" s="75" t="str">
        <f>IFERROR(INDEX('Cost_Components'!$Q$2:$Q$27,MATCH(E1057,'Cost_Components'!$A$2:$A$27,0)),"")</f>
      </c>
      <c r="V1057" s="76" t="str">
        <f>1/(1+'Calculation_Assumptions'!$B$5)^(B1057-'Calculation_Assumptions'!$B$2)</f>
      </c>
      <c r="W1057" s="77" t="str">
        <f>Q1057*V1057</f>
      </c>
      <c r="X1057" s="78" t="str">
        <f>R1057*V1057</f>
      </c>
      <c r="Y1057" s="79" t="str">
        <f>S1057*V1057</f>
      </c>
      <c r="Z1057" s="80" t="str">
        <f>IFERROR(INDEX('Cost_Components'!$T$2:$T$27,MATCH(E1057,'Cost_Components'!$A$2:$A$27,0)),"")</f>
      </c>
      <c r="AA1057" s="81" t="str">
        <f>IFERROR(INDEX('Cost_Components'!$U$2:$U$27,MATCH(E1057,'Cost_Components'!$A$2:$A$27,0)),"")</f>
      </c>
      <c r="AB1057" s="82" t="str">
        <f>IFERROR(INDEX('Cost_Components'!$V$2:$V$27,MATCH(E1057,'Cost_Components'!$A$2:$A$27,0)),"")</f>
      </c>
      <c r="AC1057" s="83" t="str">
        <f>IFERROR(INDEX('Cost_Components'!$M$2:$M$27,MATCH(E1057,'Cost_Components'!$A$2:$A$27,0)),"")</f>
      </c>
      <c r="AD1057" s="84" t="str">
        <f>IFERROR(INDEX('Cost_Components'!$N$2:$N$27,MATCH(E1057,'Cost_Components'!$A$2:$A$27,0)),"")</f>
      </c>
      <c r="AE1057" s="20" t="str">
        <f>IFERROR(INDEX('Cost_Components'!$O$2:$O$27,MATCH(E1057,'Cost_Components'!$A$2:$A$27,0)),"")</f>
      </c>
      <c r="AF1057" s="85" t="n">
        <v>624338.402534535</v>
      </c>
      <c r="AG1057" s="86" t="n">
        <v>725057.851356544</v>
      </c>
      <c r="AH1057" s="87" t="str">
        <f>IF(H1057="shared-count-once",COUNTIFS($A$2:$A$1353,A1057,$B$2:$B$1353,B1057,$E$2:$E$1353,E1057),1)</f>
      </c>
    </row>
    <row r="1058">
      <c r="A1058" t="s">
        <v>75</v>
      </c>
      <c r="B1058" s="59" t="n">
        <v>2041</v>
      </c>
      <c r="C1058" t="s">
        <v>205</v>
      </c>
      <c r="D1058" t="s">
        <v>180</v>
      </c>
      <c r="E1058" s="60" t="s">
        <v>294</v>
      </c>
      <c r="F1058" s="61" t="s">
        <v>295</v>
      </c>
      <c r="G1058" s="62" t="s">
        <v>206</v>
      </c>
      <c r="H1058" s="63" t="s">
        <v>195</v>
      </c>
      <c r="I1058" s="64" t="s">
        <v>170</v>
      </c>
      <c r="J1058" s="65" t="str">
        <f>IFERROR(INDEX('Cost_Components'!$K$2:$K$27,MATCH(E1058,'Cost_Components'!$A$2:$A$27,0)),"")</f>
      </c>
      <c r="K1058" s="66" t="str">
        <f>IF(OR(L1058="",Z1058="",AA1058="",AB1058=""),"",IF(B1058&lt;AA1058,L1058,IF(B1058&gt;AB1058,Z1058,L1058+(Z1058-L1058)*MIN(MAX((B1058-AA1058+1)/MAX(AB1058-AA1058+1,1),0),1))))</f>
      </c>
      <c r="L1058" s="67" t="str">
        <f>IFERROR(INDEX('Cost_Components'!$S$2:$S$27,MATCH(E1058,'Cost_Components'!$A$2:$A$27,0)),"")</f>
      </c>
      <c r="M1058" s="68" t="str">
        <f>IFERROR(INDEX('Cost_Components'!$L$2:$L$27,MATCH(E1058,'Cost_Components'!$A$2:$A$27,0)),"")</f>
      </c>
      <c r="N1058" s="69" t="str">
        <f>IFERROR(INDEX('Cost_Components'!$P$2:$P$27,MATCH(E1058,'Cost_Components'!$A$2:$A$27,0)),"")</f>
      </c>
      <c r="O1058" s="70" t="str">
        <f>AF1058*J1058</f>
      </c>
      <c r="P1058" s="71" t="str">
        <f>AG1058*J1058</f>
      </c>
      <c r="Q1058" s="72" t="str">
        <f>P1058*L1058*M1058*N1058</f>
      </c>
      <c r="R1058" s="73" t="str">
        <f>O1058*K1058*M1058*N1058</f>
      </c>
      <c r="S1058" s="74" t="str">
        <f>R1058-Q1058</f>
      </c>
      <c r="T1058" s="20" t="str">
        <f>IFERROR(INDEX('Cost_Components'!$R$2:$R$27,MATCH(E1058,'Cost_Components'!$A$2:$A$27,0)),"")</f>
      </c>
      <c r="U1058" s="75" t="str">
        <f>IFERROR(INDEX('Cost_Components'!$Q$2:$Q$27,MATCH(E1058,'Cost_Components'!$A$2:$A$27,0)),"")</f>
      </c>
      <c r="V1058" s="76" t="str">
        <f>1/(1+'Calculation_Assumptions'!$B$5)^(B1058-'Calculation_Assumptions'!$B$2)</f>
      </c>
      <c r="W1058" s="77" t="str">
        <f>Q1058*V1058</f>
      </c>
      <c r="X1058" s="78" t="str">
        <f>R1058*V1058</f>
      </c>
      <c r="Y1058" s="79" t="str">
        <f>S1058*V1058</f>
      </c>
      <c r="Z1058" s="80" t="str">
        <f>IFERROR(INDEX('Cost_Components'!$T$2:$T$27,MATCH(E1058,'Cost_Components'!$A$2:$A$27,0)),"")</f>
      </c>
      <c r="AA1058" s="81" t="str">
        <f>IFERROR(INDEX('Cost_Components'!$U$2:$U$27,MATCH(E1058,'Cost_Components'!$A$2:$A$27,0)),"")</f>
      </c>
      <c r="AB1058" s="82" t="str">
        <f>IFERROR(INDEX('Cost_Components'!$V$2:$V$27,MATCH(E1058,'Cost_Components'!$A$2:$A$27,0)),"")</f>
      </c>
      <c r="AC1058" s="83" t="str">
        <f>IFERROR(INDEX('Cost_Components'!$M$2:$M$27,MATCH(E1058,'Cost_Components'!$A$2:$A$27,0)),"")</f>
      </c>
      <c r="AD1058" s="84" t="str">
        <f>IFERROR(INDEX('Cost_Components'!$N$2:$N$27,MATCH(E1058,'Cost_Components'!$A$2:$A$27,0)),"")</f>
      </c>
      <c r="AE1058" s="20" t="str">
        <f>IFERROR(INDEX('Cost_Components'!$O$2:$O$27,MATCH(E1058,'Cost_Components'!$A$2:$A$27,0)),"")</f>
      </c>
      <c r="AF1058" s="85" t="n">
        <v>626757.057060426</v>
      </c>
      <c r="AG1058" s="86" t="n">
        <v>734627.740075404</v>
      </c>
      <c r="AH1058" s="87" t="str">
        <f>IF(H1058="shared-count-once",COUNTIFS($A$2:$A$1353,A1058,$B$2:$B$1353,B1058,$E$2:$E$1353,E1058),1)</f>
      </c>
    </row>
    <row r="1059">
      <c r="A1059" t="s">
        <v>75</v>
      </c>
      <c r="B1059" s="59" t="n">
        <v>2042</v>
      </c>
      <c r="C1059" t="s">
        <v>205</v>
      </c>
      <c r="D1059" t="s">
        <v>180</v>
      </c>
      <c r="E1059" s="60" t="s">
        <v>294</v>
      </c>
      <c r="F1059" s="61" t="s">
        <v>295</v>
      </c>
      <c r="G1059" s="62" t="s">
        <v>206</v>
      </c>
      <c r="H1059" s="63" t="s">
        <v>195</v>
      </c>
      <c r="I1059" s="64" t="s">
        <v>170</v>
      </c>
      <c r="J1059" s="65" t="str">
        <f>IFERROR(INDEX('Cost_Components'!$K$2:$K$27,MATCH(E1059,'Cost_Components'!$A$2:$A$27,0)),"")</f>
      </c>
      <c r="K1059" s="66" t="str">
        <f>IF(OR(L1059="",Z1059="",AA1059="",AB1059=""),"",IF(B1059&lt;AA1059,L1059,IF(B1059&gt;AB1059,Z1059,L1059+(Z1059-L1059)*MIN(MAX((B1059-AA1059+1)/MAX(AB1059-AA1059+1,1),0),1))))</f>
      </c>
      <c r="L1059" s="67" t="str">
        <f>IFERROR(INDEX('Cost_Components'!$S$2:$S$27,MATCH(E1059,'Cost_Components'!$A$2:$A$27,0)),"")</f>
      </c>
      <c r="M1059" s="68" t="str">
        <f>IFERROR(INDEX('Cost_Components'!$L$2:$L$27,MATCH(E1059,'Cost_Components'!$A$2:$A$27,0)),"")</f>
      </c>
      <c r="N1059" s="69" t="str">
        <f>IFERROR(INDEX('Cost_Components'!$P$2:$P$27,MATCH(E1059,'Cost_Components'!$A$2:$A$27,0)),"")</f>
      </c>
      <c r="O1059" s="70" t="str">
        <f>AF1059*J1059</f>
      </c>
      <c r="P1059" s="71" t="str">
        <f>AG1059*J1059</f>
      </c>
      <c r="Q1059" s="72" t="str">
        <f>P1059*L1059*M1059*N1059</f>
      </c>
      <c r="R1059" s="73" t="str">
        <f>O1059*K1059*M1059*N1059</f>
      </c>
      <c r="S1059" s="74" t="str">
        <f>R1059-Q1059</f>
      </c>
      <c r="T1059" s="20" t="str">
        <f>IFERROR(INDEX('Cost_Components'!$R$2:$R$27,MATCH(E1059,'Cost_Components'!$A$2:$A$27,0)),"")</f>
      </c>
      <c r="U1059" s="75" t="str">
        <f>IFERROR(INDEX('Cost_Components'!$Q$2:$Q$27,MATCH(E1059,'Cost_Components'!$A$2:$A$27,0)),"")</f>
      </c>
      <c r="V1059" s="76" t="str">
        <f>1/(1+'Calculation_Assumptions'!$B$5)^(B1059-'Calculation_Assumptions'!$B$2)</f>
      </c>
      <c r="W1059" s="77" t="str">
        <f>Q1059*V1059</f>
      </c>
      <c r="X1059" s="78" t="str">
        <f>R1059*V1059</f>
      </c>
      <c r="Y1059" s="79" t="str">
        <f>S1059*V1059</f>
      </c>
      <c r="Z1059" s="80" t="str">
        <f>IFERROR(INDEX('Cost_Components'!$T$2:$T$27,MATCH(E1059,'Cost_Components'!$A$2:$A$27,0)),"")</f>
      </c>
      <c r="AA1059" s="81" t="str">
        <f>IFERROR(INDEX('Cost_Components'!$U$2:$U$27,MATCH(E1059,'Cost_Components'!$A$2:$A$27,0)),"")</f>
      </c>
      <c r="AB1059" s="82" t="str">
        <f>IFERROR(INDEX('Cost_Components'!$V$2:$V$27,MATCH(E1059,'Cost_Components'!$A$2:$A$27,0)),"")</f>
      </c>
      <c r="AC1059" s="83" t="str">
        <f>IFERROR(INDEX('Cost_Components'!$M$2:$M$27,MATCH(E1059,'Cost_Components'!$A$2:$A$27,0)),"")</f>
      </c>
      <c r="AD1059" s="84" t="str">
        <f>IFERROR(INDEX('Cost_Components'!$N$2:$N$27,MATCH(E1059,'Cost_Components'!$A$2:$A$27,0)),"")</f>
      </c>
      <c r="AE1059" s="20" t="str">
        <f>IFERROR(INDEX('Cost_Components'!$O$2:$O$27,MATCH(E1059,'Cost_Components'!$A$2:$A$27,0)),"")</f>
      </c>
      <c r="AF1059" s="85" t="n">
        <v>629128.791466739</v>
      </c>
      <c r="AG1059" s="86" t="n">
        <v>744313.272667757</v>
      </c>
      <c r="AH1059" s="87" t="str">
        <f>IF(H1059="shared-count-once",COUNTIFS($A$2:$A$1353,A1059,$B$2:$B$1353,B1059,$E$2:$E$1353,E1059),1)</f>
      </c>
    </row>
    <row r="1060">
      <c r="A1060" t="s">
        <v>75</v>
      </c>
      <c r="B1060" s="59" t="n">
        <v>2043</v>
      </c>
      <c r="C1060" t="s">
        <v>205</v>
      </c>
      <c r="D1060" t="s">
        <v>180</v>
      </c>
      <c r="E1060" s="60" t="s">
        <v>294</v>
      </c>
      <c r="F1060" s="61" t="s">
        <v>295</v>
      </c>
      <c r="G1060" s="62" t="s">
        <v>206</v>
      </c>
      <c r="H1060" s="63" t="s">
        <v>195</v>
      </c>
      <c r="I1060" s="64" t="s">
        <v>170</v>
      </c>
      <c r="J1060" s="65" t="str">
        <f>IFERROR(INDEX('Cost_Components'!$K$2:$K$27,MATCH(E1060,'Cost_Components'!$A$2:$A$27,0)),"")</f>
      </c>
      <c r="K1060" s="66" t="str">
        <f>IF(OR(L1060="",Z1060="",AA1060="",AB1060=""),"",IF(B1060&lt;AA1060,L1060,IF(B1060&gt;AB1060,Z1060,L1060+(Z1060-L1060)*MIN(MAX((B1060-AA1060+1)/MAX(AB1060-AA1060+1,1),0),1))))</f>
      </c>
      <c r="L1060" s="67" t="str">
        <f>IFERROR(INDEX('Cost_Components'!$S$2:$S$27,MATCH(E1060,'Cost_Components'!$A$2:$A$27,0)),"")</f>
      </c>
      <c r="M1060" s="68" t="str">
        <f>IFERROR(INDEX('Cost_Components'!$L$2:$L$27,MATCH(E1060,'Cost_Components'!$A$2:$A$27,0)),"")</f>
      </c>
      <c r="N1060" s="69" t="str">
        <f>IFERROR(INDEX('Cost_Components'!$P$2:$P$27,MATCH(E1060,'Cost_Components'!$A$2:$A$27,0)),"")</f>
      </c>
      <c r="O1060" s="70" t="str">
        <f>AF1060*J1060</f>
      </c>
      <c r="P1060" s="71" t="str">
        <f>AG1060*J1060</f>
      </c>
      <c r="Q1060" s="72" t="str">
        <f>P1060*L1060*M1060*N1060</f>
      </c>
      <c r="R1060" s="73" t="str">
        <f>O1060*K1060*M1060*N1060</f>
      </c>
      <c r="S1060" s="74" t="str">
        <f>R1060-Q1060</f>
      </c>
      <c r="T1060" s="20" t="str">
        <f>IFERROR(INDEX('Cost_Components'!$R$2:$R$27,MATCH(E1060,'Cost_Components'!$A$2:$A$27,0)),"")</f>
      </c>
      <c r="U1060" s="75" t="str">
        <f>IFERROR(INDEX('Cost_Components'!$Q$2:$Q$27,MATCH(E1060,'Cost_Components'!$A$2:$A$27,0)),"")</f>
      </c>
      <c r="V1060" s="76" t="str">
        <f>1/(1+'Calculation_Assumptions'!$B$5)^(B1060-'Calculation_Assumptions'!$B$2)</f>
      </c>
      <c r="W1060" s="77" t="str">
        <f>Q1060*V1060</f>
      </c>
      <c r="X1060" s="78" t="str">
        <f>R1060*V1060</f>
      </c>
      <c r="Y1060" s="79" t="str">
        <f>S1060*V1060</f>
      </c>
      <c r="Z1060" s="80" t="str">
        <f>IFERROR(INDEX('Cost_Components'!$T$2:$T$27,MATCH(E1060,'Cost_Components'!$A$2:$A$27,0)),"")</f>
      </c>
      <c r="AA1060" s="81" t="str">
        <f>IFERROR(INDEX('Cost_Components'!$U$2:$U$27,MATCH(E1060,'Cost_Components'!$A$2:$A$27,0)),"")</f>
      </c>
      <c r="AB1060" s="82" t="str">
        <f>IFERROR(INDEX('Cost_Components'!$V$2:$V$27,MATCH(E1060,'Cost_Components'!$A$2:$A$27,0)),"")</f>
      </c>
      <c r="AC1060" s="83" t="str">
        <f>IFERROR(INDEX('Cost_Components'!$M$2:$M$27,MATCH(E1060,'Cost_Components'!$A$2:$A$27,0)),"")</f>
      </c>
      <c r="AD1060" s="84" t="str">
        <f>IFERROR(INDEX('Cost_Components'!$N$2:$N$27,MATCH(E1060,'Cost_Components'!$A$2:$A$27,0)),"")</f>
      </c>
      <c r="AE1060" s="20" t="str">
        <f>IFERROR(INDEX('Cost_Components'!$O$2:$O$27,MATCH(E1060,'Cost_Components'!$A$2:$A$27,0)),"")</f>
      </c>
      <c r="AF1060" s="85" t="n">
        <v>631743.776129772</v>
      </c>
      <c r="AG1060" s="86" t="n">
        <v>754370.892413502</v>
      </c>
      <c r="AH1060" s="87" t="str">
        <f>IF(H1060="shared-count-once",COUNTIFS($A$2:$A$1353,A1060,$B$2:$B$1353,B1060,$E$2:$E$1353,E1060),1)</f>
      </c>
    </row>
    <row r="1061">
      <c r="A1061" t="s">
        <v>75</v>
      </c>
      <c r="B1061" s="59" t="n">
        <v>2044</v>
      </c>
      <c r="C1061" t="s">
        <v>205</v>
      </c>
      <c r="D1061" t="s">
        <v>180</v>
      </c>
      <c r="E1061" s="60" t="s">
        <v>294</v>
      </c>
      <c r="F1061" s="61" t="s">
        <v>295</v>
      </c>
      <c r="G1061" s="62" t="s">
        <v>206</v>
      </c>
      <c r="H1061" s="63" t="s">
        <v>195</v>
      </c>
      <c r="I1061" s="64" t="s">
        <v>170</v>
      </c>
      <c r="J1061" s="65" t="str">
        <f>IFERROR(INDEX('Cost_Components'!$K$2:$K$27,MATCH(E1061,'Cost_Components'!$A$2:$A$27,0)),"")</f>
      </c>
      <c r="K1061" s="66" t="str">
        <f>IF(OR(L1061="",Z1061="",AA1061="",AB1061=""),"",IF(B1061&lt;AA1061,L1061,IF(B1061&gt;AB1061,Z1061,L1061+(Z1061-L1061)*MIN(MAX((B1061-AA1061+1)/MAX(AB1061-AA1061+1,1),0),1))))</f>
      </c>
      <c r="L1061" s="67" t="str">
        <f>IFERROR(INDEX('Cost_Components'!$S$2:$S$27,MATCH(E1061,'Cost_Components'!$A$2:$A$27,0)),"")</f>
      </c>
      <c r="M1061" s="68" t="str">
        <f>IFERROR(INDEX('Cost_Components'!$L$2:$L$27,MATCH(E1061,'Cost_Components'!$A$2:$A$27,0)),"")</f>
      </c>
      <c r="N1061" s="69" t="str">
        <f>IFERROR(INDEX('Cost_Components'!$P$2:$P$27,MATCH(E1061,'Cost_Components'!$A$2:$A$27,0)),"")</f>
      </c>
      <c r="O1061" s="70" t="str">
        <f>AF1061*J1061</f>
      </c>
      <c r="P1061" s="71" t="str">
        <f>AG1061*J1061</f>
      </c>
      <c r="Q1061" s="72" t="str">
        <f>P1061*L1061*M1061*N1061</f>
      </c>
      <c r="R1061" s="73" t="str">
        <f>O1061*K1061*M1061*N1061</f>
      </c>
      <c r="S1061" s="74" t="str">
        <f>R1061-Q1061</f>
      </c>
      <c r="T1061" s="20" t="str">
        <f>IFERROR(INDEX('Cost_Components'!$R$2:$R$27,MATCH(E1061,'Cost_Components'!$A$2:$A$27,0)),"")</f>
      </c>
      <c r="U1061" s="75" t="str">
        <f>IFERROR(INDEX('Cost_Components'!$Q$2:$Q$27,MATCH(E1061,'Cost_Components'!$A$2:$A$27,0)),"")</f>
      </c>
      <c r="V1061" s="76" t="str">
        <f>1/(1+'Calculation_Assumptions'!$B$5)^(B1061-'Calculation_Assumptions'!$B$2)</f>
      </c>
      <c r="W1061" s="77" t="str">
        <f>Q1061*V1061</f>
      </c>
      <c r="X1061" s="78" t="str">
        <f>R1061*V1061</f>
      </c>
      <c r="Y1061" s="79" t="str">
        <f>S1061*V1061</f>
      </c>
      <c r="Z1061" s="80" t="str">
        <f>IFERROR(INDEX('Cost_Components'!$T$2:$T$27,MATCH(E1061,'Cost_Components'!$A$2:$A$27,0)),"")</f>
      </c>
      <c r="AA1061" s="81" t="str">
        <f>IFERROR(INDEX('Cost_Components'!$U$2:$U$27,MATCH(E1061,'Cost_Components'!$A$2:$A$27,0)),"")</f>
      </c>
      <c r="AB1061" s="82" t="str">
        <f>IFERROR(INDEX('Cost_Components'!$V$2:$V$27,MATCH(E1061,'Cost_Components'!$A$2:$A$27,0)),"")</f>
      </c>
      <c r="AC1061" s="83" t="str">
        <f>IFERROR(INDEX('Cost_Components'!$M$2:$M$27,MATCH(E1061,'Cost_Components'!$A$2:$A$27,0)),"")</f>
      </c>
      <c r="AD1061" s="84" t="str">
        <f>IFERROR(INDEX('Cost_Components'!$N$2:$N$27,MATCH(E1061,'Cost_Components'!$A$2:$A$27,0)),"")</f>
      </c>
      <c r="AE1061" s="20" t="str">
        <f>IFERROR(INDEX('Cost_Components'!$O$2:$O$27,MATCH(E1061,'Cost_Components'!$A$2:$A$27,0)),"")</f>
      </c>
      <c r="AF1061" s="85" t="n">
        <v>631301.947792099</v>
      </c>
      <c r="AG1061" s="86" t="n">
        <v>760751.529161819</v>
      </c>
      <c r="AH1061" s="87" t="str">
        <f>IF(H1061="shared-count-once",COUNTIFS($A$2:$A$1353,A1061,$B$2:$B$1353,B1061,$E$2:$E$1353,E1061),1)</f>
      </c>
    </row>
    <row r="1062">
      <c r="A1062" t="s">
        <v>75</v>
      </c>
      <c r="B1062" s="59" t="n">
        <v>2045</v>
      </c>
      <c r="C1062" t="s">
        <v>205</v>
      </c>
      <c r="D1062" t="s">
        <v>180</v>
      </c>
      <c r="E1062" s="60" t="s">
        <v>294</v>
      </c>
      <c r="F1062" s="61" t="s">
        <v>295</v>
      </c>
      <c r="G1062" s="62" t="s">
        <v>206</v>
      </c>
      <c r="H1062" s="63" t="s">
        <v>195</v>
      </c>
      <c r="I1062" s="64" t="s">
        <v>170</v>
      </c>
      <c r="J1062" s="65" t="str">
        <f>IFERROR(INDEX('Cost_Components'!$K$2:$K$27,MATCH(E1062,'Cost_Components'!$A$2:$A$27,0)),"")</f>
      </c>
      <c r="K1062" s="66" t="str">
        <f>IF(OR(L1062="",Z1062="",AA1062="",AB1062=""),"",IF(B1062&lt;AA1062,L1062,IF(B1062&gt;AB1062,Z1062,L1062+(Z1062-L1062)*MIN(MAX((B1062-AA1062+1)/MAX(AB1062-AA1062+1,1),0),1))))</f>
      </c>
      <c r="L1062" s="67" t="str">
        <f>IFERROR(INDEX('Cost_Components'!$S$2:$S$27,MATCH(E1062,'Cost_Components'!$A$2:$A$27,0)),"")</f>
      </c>
      <c r="M1062" s="68" t="str">
        <f>IFERROR(INDEX('Cost_Components'!$L$2:$L$27,MATCH(E1062,'Cost_Components'!$A$2:$A$27,0)),"")</f>
      </c>
      <c r="N1062" s="69" t="str">
        <f>IFERROR(INDEX('Cost_Components'!$P$2:$P$27,MATCH(E1062,'Cost_Components'!$A$2:$A$27,0)),"")</f>
      </c>
      <c r="O1062" s="70" t="str">
        <f>AF1062*J1062</f>
      </c>
      <c r="P1062" s="71" t="str">
        <f>AG1062*J1062</f>
      </c>
      <c r="Q1062" s="72" t="str">
        <f>P1062*L1062*M1062*N1062</f>
      </c>
      <c r="R1062" s="73" t="str">
        <f>O1062*K1062*M1062*N1062</f>
      </c>
      <c r="S1062" s="74" t="str">
        <f>R1062-Q1062</f>
      </c>
      <c r="T1062" s="20" t="str">
        <f>IFERROR(INDEX('Cost_Components'!$R$2:$R$27,MATCH(E1062,'Cost_Components'!$A$2:$A$27,0)),"")</f>
      </c>
      <c r="U1062" s="75" t="str">
        <f>IFERROR(INDEX('Cost_Components'!$Q$2:$Q$27,MATCH(E1062,'Cost_Components'!$A$2:$A$27,0)),"")</f>
      </c>
      <c r="V1062" s="76" t="str">
        <f>1/(1+'Calculation_Assumptions'!$B$5)^(B1062-'Calculation_Assumptions'!$B$2)</f>
      </c>
      <c r="W1062" s="77" t="str">
        <f>Q1062*V1062</f>
      </c>
      <c r="X1062" s="78" t="str">
        <f>R1062*V1062</f>
      </c>
      <c r="Y1062" s="79" t="str">
        <f>S1062*V1062</f>
      </c>
      <c r="Z1062" s="80" t="str">
        <f>IFERROR(INDEX('Cost_Components'!$T$2:$T$27,MATCH(E1062,'Cost_Components'!$A$2:$A$27,0)),"")</f>
      </c>
      <c r="AA1062" s="81" t="str">
        <f>IFERROR(INDEX('Cost_Components'!$U$2:$U$27,MATCH(E1062,'Cost_Components'!$A$2:$A$27,0)),"")</f>
      </c>
      <c r="AB1062" s="82" t="str">
        <f>IFERROR(INDEX('Cost_Components'!$V$2:$V$27,MATCH(E1062,'Cost_Components'!$A$2:$A$27,0)),"")</f>
      </c>
      <c r="AC1062" s="83" t="str">
        <f>IFERROR(INDEX('Cost_Components'!$M$2:$M$27,MATCH(E1062,'Cost_Components'!$A$2:$A$27,0)),"")</f>
      </c>
      <c r="AD1062" s="84" t="str">
        <f>IFERROR(INDEX('Cost_Components'!$N$2:$N$27,MATCH(E1062,'Cost_Components'!$A$2:$A$27,0)),"")</f>
      </c>
      <c r="AE1062" s="20" t="str">
        <f>IFERROR(INDEX('Cost_Components'!$O$2:$O$27,MATCH(E1062,'Cost_Components'!$A$2:$A$27,0)),"")</f>
      </c>
      <c r="AF1062" s="85" t="n">
        <v>632657.631253701</v>
      </c>
      <c r="AG1062" s="86" t="n">
        <v>769313.803212411</v>
      </c>
      <c r="AH1062" s="87" t="str">
        <f>IF(H1062="shared-count-once",COUNTIFS($A$2:$A$1353,A1062,$B$2:$B$1353,B1062,$E$2:$E$1353,E1062),1)</f>
      </c>
    </row>
    <row r="1063">
      <c r="A1063" t="s">
        <v>75</v>
      </c>
      <c r="B1063" s="59" t="n">
        <v>2046</v>
      </c>
      <c r="C1063" t="s">
        <v>205</v>
      </c>
      <c r="D1063" t="s">
        <v>180</v>
      </c>
      <c r="E1063" s="60" t="s">
        <v>294</v>
      </c>
      <c r="F1063" s="61" t="s">
        <v>295</v>
      </c>
      <c r="G1063" s="62" t="s">
        <v>206</v>
      </c>
      <c r="H1063" s="63" t="s">
        <v>195</v>
      </c>
      <c r="I1063" s="64" t="s">
        <v>170</v>
      </c>
      <c r="J1063" s="65" t="str">
        <f>IFERROR(INDEX('Cost_Components'!$K$2:$K$27,MATCH(E1063,'Cost_Components'!$A$2:$A$27,0)),"")</f>
      </c>
      <c r="K1063" s="66" t="str">
        <f>IF(OR(L1063="",Z1063="",AA1063="",AB1063=""),"",IF(B1063&lt;AA1063,L1063,IF(B1063&gt;AB1063,Z1063,L1063+(Z1063-L1063)*MIN(MAX((B1063-AA1063+1)/MAX(AB1063-AA1063+1,1),0),1))))</f>
      </c>
      <c r="L1063" s="67" t="str">
        <f>IFERROR(INDEX('Cost_Components'!$S$2:$S$27,MATCH(E1063,'Cost_Components'!$A$2:$A$27,0)),"")</f>
      </c>
      <c r="M1063" s="68" t="str">
        <f>IFERROR(INDEX('Cost_Components'!$L$2:$L$27,MATCH(E1063,'Cost_Components'!$A$2:$A$27,0)),"")</f>
      </c>
      <c r="N1063" s="69" t="str">
        <f>IFERROR(INDEX('Cost_Components'!$P$2:$P$27,MATCH(E1063,'Cost_Components'!$A$2:$A$27,0)),"")</f>
      </c>
      <c r="O1063" s="70" t="str">
        <f>AF1063*J1063</f>
      </c>
      <c r="P1063" s="71" t="str">
        <f>AG1063*J1063</f>
      </c>
      <c r="Q1063" s="72" t="str">
        <f>P1063*L1063*M1063*N1063</f>
      </c>
      <c r="R1063" s="73" t="str">
        <f>O1063*K1063*M1063*N1063</f>
      </c>
      <c r="S1063" s="74" t="str">
        <f>R1063-Q1063</f>
      </c>
      <c r="T1063" s="20" t="str">
        <f>IFERROR(INDEX('Cost_Components'!$R$2:$R$27,MATCH(E1063,'Cost_Components'!$A$2:$A$27,0)),"")</f>
      </c>
      <c r="U1063" s="75" t="str">
        <f>IFERROR(INDEX('Cost_Components'!$Q$2:$Q$27,MATCH(E1063,'Cost_Components'!$A$2:$A$27,0)),"")</f>
      </c>
      <c r="V1063" s="76" t="str">
        <f>1/(1+'Calculation_Assumptions'!$B$5)^(B1063-'Calculation_Assumptions'!$B$2)</f>
      </c>
      <c r="W1063" s="77" t="str">
        <f>Q1063*V1063</f>
      </c>
      <c r="X1063" s="78" t="str">
        <f>R1063*V1063</f>
      </c>
      <c r="Y1063" s="79" t="str">
        <f>S1063*V1063</f>
      </c>
      <c r="Z1063" s="80" t="str">
        <f>IFERROR(INDEX('Cost_Components'!$T$2:$T$27,MATCH(E1063,'Cost_Components'!$A$2:$A$27,0)),"")</f>
      </c>
      <c r="AA1063" s="81" t="str">
        <f>IFERROR(INDEX('Cost_Components'!$U$2:$U$27,MATCH(E1063,'Cost_Components'!$A$2:$A$27,0)),"")</f>
      </c>
      <c r="AB1063" s="82" t="str">
        <f>IFERROR(INDEX('Cost_Components'!$V$2:$V$27,MATCH(E1063,'Cost_Components'!$A$2:$A$27,0)),"")</f>
      </c>
      <c r="AC1063" s="83" t="str">
        <f>IFERROR(INDEX('Cost_Components'!$M$2:$M$27,MATCH(E1063,'Cost_Components'!$A$2:$A$27,0)),"")</f>
      </c>
      <c r="AD1063" s="84" t="str">
        <f>IFERROR(INDEX('Cost_Components'!$N$2:$N$27,MATCH(E1063,'Cost_Components'!$A$2:$A$27,0)),"")</f>
      </c>
      <c r="AE1063" s="20" t="str">
        <f>IFERROR(INDEX('Cost_Components'!$O$2:$O$27,MATCH(E1063,'Cost_Components'!$A$2:$A$27,0)),"")</f>
      </c>
      <c r="AF1063" s="85" t="n">
        <v>634094.472138488</v>
      </c>
      <c r="AG1063" s="86" t="n">
        <v>778095.842672562</v>
      </c>
      <c r="AH1063" s="87" t="str">
        <f>IF(H1063="shared-count-once",COUNTIFS($A$2:$A$1353,A1063,$B$2:$B$1353,B1063,$E$2:$E$1353,E1063),1)</f>
      </c>
    </row>
    <row r="1064">
      <c r="A1064" t="s">
        <v>75</v>
      </c>
      <c r="B1064" s="59" t="n">
        <v>2047</v>
      </c>
      <c r="C1064" t="s">
        <v>205</v>
      </c>
      <c r="D1064" t="s">
        <v>180</v>
      </c>
      <c r="E1064" s="60" t="s">
        <v>294</v>
      </c>
      <c r="F1064" s="61" t="s">
        <v>295</v>
      </c>
      <c r="G1064" s="62" t="s">
        <v>206</v>
      </c>
      <c r="H1064" s="63" t="s">
        <v>195</v>
      </c>
      <c r="I1064" s="64" t="s">
        <v>170</v>
      </c>
      <c r="J1064" s="65" t="str">
        <f>IFERROR(INDEX('Cost_Components'!$K$2:$K$27,MATCH(E1064,'Cost_Components'!$A$2:$A$27,0)),"")</f>
      </c>
      <c r="K1064" s="66" t="str">
        <f>IF(OR(L1064="",Z1064="",AA1064="",AB1064=""),"",IF(B1064&lt;AA1064,L1064,IF(B1064&gt;AB1064,Z1064,L1064+(Z1064-L1064)*MIN(MAX((B1064-AA1064+1)/MAX(AB1064-AA1064+1,1),0),1))))</f>
      </c>
      <c r="L1064" s="67" t="str">
        <f>IFERROR(INDEX('Cost_Components'!$S$2:$S$27,MATCH(E1064,'Cost_Components'!$A$2:$A$27,0)),"")</f>
      </c>
      <c r="M1064" s="68" t="str">
        <f>IFERROR(INDEX('Cost_Components'!$L$2:$L$27,MATCH(E1064,'Cost_Components'!$A$2:$A$27,0)),"")</f>
      </c>
      <c r="N1064" s="69" t="str">
        <f>IFERROR(INDEX('Cost_Components'!$P$2:$P$27,MATCH(E1064,'Cost_Components'!$A$2:$A$27,0)),"")</f>
      </c>
      <c r="O1064" s="70" t="str">
        <f>AF1064*J1064</f>
      </c>
      <c r="P1064" s="71" t="str">
        <f>AG1064*J1064</f>
      </c>
      <c r="Q1064" s="72" t="str">
        <f>P1064*L1064*M1064*N1064</f>
      </c>
      <c r="R1064" s="73" t="str">
        <f>O1064*K1064*M1064*N1064</f>
      </c>
      <c r="S1064" s="74" t="str">
        <f>R1064-Q1064</f>
      </c>
      <c r="T1064" s="20" t="str">
        <f>IFERROR(INDEX('Cost_Components'!$R$2:$R$27,MATCH(E1064,'Cost_Components'!$A$2:$A$27,0)),"")</f>
      </c>
      <c r="U1064" s="75" t="str">
        <f>IFERROR(INDEX('Cost_Components'!$Q$2:$Q$27,MATCH(E1064,'Cost_Components'!$A$2:$A$27,0)),"")</f>
      </c>
      <c r="V1064" s="76" t="str">
        <f>1/(1+'Calculation_Assumptions'!$B$5)^(B1064-'Calculation_Assumptions'!$B$2)</f>
      </c>
      <c r="W1064" s="77" t="str">
        <f>Q1064*V1064</f>
      </c>
      <c r="X1064" s="78" t="str">
        <f>R1064*V1064</f>
      </c>
      <c r="Y1064" s="79" t="str">
        <f>S1064*V1064</f>
      </c>
      <c r="Z1064" s="80" t="str">
        <f>IFERROR(INDEX('Cost_Components'!$T$2:$T$27,MATCH(E1064,'Cost_Components'!$A$2:$A$27,0)),"")</f>
      </c>
      <c r="AA1064" s="81" t="str">
        <f>IFERROR(INDEX('Cost_Components'!$U$2:$U$27,MATCH(E1064,'Cost_Components'!$A$2:$A$27,0)),"")</f>
      </c>
      <c r="AB1064" s="82" t="str">
        <f>IFERROR(INDEX('Cost_Components'!$V$2:$V$27,MATCH(E1064,'Cost_Components'!$A$2:$A$27,0)),"")</f>
      </c>
      <c r="AC1064" s="83" t="str">
        <f>IFERROR(INDEX('Cost_Components'!$M$2:$M$27,MATCH(E1064,'Cost_Components'!$A$2:$A$27,0)),"")</f>
      </c>
      <c r="AD1064" s="84" t="str">
        <f>IFERROR(INDEX('Cost_Components'!$N$2:$N$27,MATCH(E1064,'Cost_Components'!$A$2:$A$27,0)),"")</f>
      </c>
      <c r="AE1064" s="20" t="str">
        <f>IFERROR(INDEX('Cost_Components'!$O$2:$O$27,MATCH(E1064,'Cost_Components'!$A$2:$A$27,0)),"")</f>
      </c>
      <c r="AF1064" s="85" t="n">
        <v>635359.202343003</v>
      </c>
      <c r="AG1064" s="86" t="n">
        <v>786867.366017656</v>
      </c>
      <c r="AH1064" s="87" t="str">
        <f>IF(H1064="shared-count-once",COUNTIFS($A$2:$A$1353,A1064,$B$2:$B$1353,B1064,$E$2:$E$1353,E1064),1)</f>
      </c>
    </row>
    <row r="1065">
      <c r="A1065" t="s">
        <v>75</v>
      </c>
      <c r="B1065" s="59" t="n">
        <v>2048</v>
      </c>
      <c r="C1065" t="s">
        <v>205</v>
      </c>
      <c r="D1065" t="s">
        <v>180</v>
      </c>
      <c r="E1065" s="60" t="s">
        <v>294</v>
      </c>
      <c r="F1065" s="61" t="s">
        <v>295</v>
      </c>
      <c r="G1065" s="62" t="s">
        <v>206</v>
      </c>
      <c r="H1065" s="63" t="s">
        <v>195</v>
      </c>
      <c r="I1065" s="64" t="s">
        <v>170</v>
      </c>
      <c r="J1065" s="65" t="str">
        <f>IFERROR(INDEX('Cost_Components'!$K$2:$K$27,MATCH(E1065,'Cost_Components'!$A$2:$A$27,0)),"")</f>
      </c>
      <c r="K1065" s="66" t="str">
        <f>IF(OR(L1065="",Z1065="",AA1065="",AB1065=""),"",IF(B1065&lt;AA1065,L1065,IF(B1065&gt;AB1065,Z1065,L1065+(Z1065-L1065)*MIN(MAX((B1065-AA1065+1)/MAX(AB1065-AA1065+1,1),0),1))))</f>
      </c>
      <c r="L1065" s="67" t="str">
        <f>IFERROR(INDEX('Cost_Components'!$S$2:$S$27,MATCH(E1065,'Cost_Components'!$A$2:$A$27,0)),"")</f>
      </c>
      <c r="M1065" s="68" t="str">
        <f>IFERROR(INDEX('Cost_Components'!$L$2:$L$27,MATCH(E1065,'Cost_Components'!$A$2:$A$27,0)),"")</f>
      </c>
      <c r="N1065" s="69" t="str">
        <f>IFERROR(INDEX('Cost_Components'!$P$2:$P$27,MATCH(E1065,'Cost_Components'!$A$2:$A$27,0)),"")</f>
      </c>
      <c r="O1065" s="70" t="str">
        <f>AF1065*J1065</f>
      </c>
      <c r="P1065" s="71" t="str">
        <f>AG1065*J1065</f>
      </c>
      <c r="Q1065" s="72" t="str">
        <f>P1065*L1065*M1065*N1065</f>
      </c>
      <c r="R1065" s="73" t="str">
        <f>O1065*K1065*M1065*N1065</f>
      </c>
      <c r="S1065" s="74" t="str">
        <f>R1065-Q1065</f>
      </c>
      <c r="T1065" s="20" t="str">
        <f>IFERROR(INDEX('Cost_Components'!$R$2:$R$27,MATCH(E1065,'Cost_Components'!$A$2:$A$27,0)),"")</f>
      </c>
      <c r="U1065" s="75" t="str">
        <f>IFERROR(INDEX('Cost_Components'!$Q$2:$Q$27,MATCH(E1065,'Cost_Components'!$A$2:$A$27,0)),"")</f>
      </c>
      <c r="V1065" s="76" t="str">
        <f>1/(1+'Calculation_Assumptions'!$B$5)^(B1065-'Calculation_Assumptions'!$B$2)</f>
      </c>
      <c r="W1065" s="77" t="str">
        <f>Q1065*V1065</f>
      </c>
      <c r="X1065" s="78" t="str">
        <f>R1065*V1065</f>
      </c>
      <c r="Y1065" s="79" t="str">
        <f>S1065*V1065</f>
      </c>
      <c r="Z1065" s="80" t="str">
        <f>IFERROR(INDEX('Cost_Components'!$T$2:$T$27,MATCH(E1065,'Cost_Components'!$A$2:$A$27,0)),"")</f>
      </c>
      <c r="AA1065" s="81" t="str">
        <f>IFERROR(INDEX('Cost_Components'!$U$2:$U$27,MATCH(E1065,'Cost_Components'!$A$2:$A$27,0)),"")</f>
      </c>
      <c r="AB1065" s="82" t="str">
        <f>IFERROR(INDEX('Cost_Components'!$V$2:$V$27,MATCH(E1065,'Cost_Components'!$A$2:$A$27,0)),"")</f>
      </c>
      <c r="AC1065" s="83" t="str">
        <f>IFERROR(INDEX('Cost_Components'!$M$2:$M$27,MATCH(E1065,'Cost_Components'!$A$2:$A$27,0)),"")</f>
      </c>
      <c r="AD1065" s="84" t="str">
        <f>IFERROR(INDEX('Cost_Components'!$N$2:$N$27,MATCH(E1065,'Cost_Components'!$A$2:$A$27,0)),"")</f>
      </c>
      <c r="AE1065" s="20" t="str">
        <f>IFERROR(INDEX('Cost_Components'!$O$2:$O$27,MATCH(E1065,'Cost_Components'!$A$2:$A$27,0)),"")</f>
      </c>
      <c r="AF1065" s="85" t="n">
        <v>636848.547129051</v>
      </c>
      <c r="AG1065" s="86" t="n">
        <v>795796.819401734</v>
      </c>
      <c r="AH1065" s="87" t="str">
        <f>IF(H1065="shared-count-once",COUNTIFS($A$2:$A$1353,A1065,$B$2:$B$1353,B1065,$E$2:$E$1353,E1065),1)</f>
      </c>
    </row>
    <row r="1066">
      <c r="A1066" t="s">
        <v>75</v>
      </c>
      <c r="B1066" s="59" t="n">
        <v>2049</v>
      </c>
      <c r="C1066" t="s">
        <v>205</v>
      </c>
      <c r="D1066" t="s">
        <v>180</v>
      </c>
      <c r="E1066" s="60" t="s">
        <v>294</v>
      </c>
      <c r="F1066" s="61" t="s">
        <v>295</v>
      </c>
      <c r="G1066" s="62" t="s">
        <v>206</v>
      </c>
      <c r="H1066" s="63" t="s">
        <v>195</v>
      </c>
      <c r="I1066" s="64" t="s">
        <v>170</v>
      </c>
      <c r="J1066" s="65" t="str">
        <f>IFERROR(INDEX('Cost_Components'!$K$2:$K$27,MATCH(E1066,'Cost_Components'!$A$2:$A$27,0)),"")</f>
      </c>
      <c r="K1066" s="66" t="str">
        <f>IF(OR(L1066="",Z1066="",AA1066="",AB1066=""),"",IF(B1066&lt;AA1066,L1066,IF(B1066&gt;AB1066,Z1066,L1066+(Z1066-L1066)*MIN(MAX((B1066-AA1066+1)/MAX(AB1066-AA1066+1,1),0),1))))</f>
      </c>
      <c r="L1066" s="67" t="str">
        <f>IFERROR(INDEX('Cost_Components'!$S$2:$S$27,MATCH(E1066,'Cost_Components'!$A$2:$A$27,0)),"")</f>
      </c>
      <c r="M1066" s="68" t="str">
        <f>IFERROR(INDEX('Cost_Components'!$L$2:$L$27,MATCH(E1066,'Cost_Components'!$A$2:$A$27,0)),"")</f>
      </c>
      <c r="N1066" s="69" t="str">
        <f>IFERROR(INDEX('Cost_Components'!$P$2:$P$27,MATCH(E1066,'Cost_Components'!$A$2:$A$27,0)),"")</f>
      </c>
      <c r="O1066" s="70" t="str">
        <f>AF1066*J1066</f>
      </c>
      <c r="P1066" s="71" t="str">
        <f>AG1066*J1066</f>
      </c>
      <c r="Q1066" s="72" t="str">
        <f>P1066*L1066*M1066*N1066</f>
      </c>
      <c r="R1066" s="73" t="str">
        <f>O1066*K1066*M1066*N1066</f>
      </c>
      <c r="S1066" s="74" t="str">
        <f>R1066-Q1066</f>
      </c>
      <c r="T1066" s="20" t="str">
        <f>IFERROR(INDEX('Cost_Components'!$R$2:$R$27,MATCH(E1066,'Cost_Components'!$A$2:$A$27,0)),"")</f>
      </c>
      <c r="U1066" s="75" t="str">
        <f>IFERROR(INDEX('Cost_Components'!$Q$2:$Q$27,MATCH(E1066,'Cost_Components'!$A$2:$A$27,0)),"")</f>
      </c>
      <c r="V1066" s="76" t="str">
        <f>1/(1+'Calculation_Assumptions'!$B$5)^(B1066-'Calculation_Assumptions'!$B$2)</f>
      </c>
      <c r="W1066" s="77" t="str">
        <f>Q1066*V1066</f>
      </c>
      <c r="X1066" s="78" t="str">
        <f>R1066*V1066</f>
      </c>
      <c r="Y1066" s="79" t="str">
        <f>S1066*V1066</f>
      </c>
      <c r="Z1066" s="80" t="str">
        <f>IFERROR(INDEX('Cost_Components'!$T$2:$T$27,MATCH(E1066,'Cost_Components'!$A$2:$A$27,0)),"")</f>
      </c>
      <c r="AA1066" s="81" t="str">
        <f>IFERROR(INDEX('Cost_Components'!$U$2:$U$27,MATCH(E1066,'Cost_Components'!$A$2:$A$27,0)),"")</f>
      </c>
      <c r="AB1066" s="82" t="str">
        <f>IFERROR(INDEX('Cost_Components'!$V$2:$V$27,MATCH(E1066,'Cost_Components'!$A$2:$A$27,0)),"")</f>
      </c>
      <c r="AC1066" s="83" t="str">
        <f>IFERROR(INDEX('Cost_Components'!$M$2:$M$27,MATCH(E1066,'Cost_Components'!$A$2:$A$27,0)),"")</f>
      </c>
      <c r="AD1066" s="84" t="str">
        <f>IFERROR(INDEX('Cost_Components'!$N$2:$N$27,MATCH(E1066,'Cost_Components'!$A$2:$A$27,0)),"")</f>
      </c>
      <c r="AE1066" s="20" t="str">
        <f>IFERROR(INDEX('Cost_Components'!$O$2:$O$27,MATCH(E1066,'Cost_Components'!$A$2:$A$27,0)),"")</f>
      </c>
      <c r="AF1066" s="85" t="n">
        <v>635928.640735392</v>
      </c>
      <c r="AG1066" s="86" t="n">
        <v>801596.853664259</v>
      </c>
      <c r="AH1066" s="87" t="str">
        <f>IF(H1066="shared-count-once",COUNTIFS($A$2:$A$1353,A1066,$B$2:$B$1353,B1066,$E$2:$E$1353,E1066),1)</f>
      </c>
    </row>
    <row r="1067">
      <c r="A1067" t="s">
        <v>75</v>
      </c>
      <c r="B1067" s="59" t="n">
        <v>2050</v>
      </c>
      <c r="C1067" t="s">
        <v>205</v>
      </c>
      <c r="D1067" t="s">
        <v>180</v>
      </c>
      <c r="E1067" s="60" t="s">
        <v>294</v>
      </c>
      <c r="F1067" s="61" t="s">
        <v>295</v>
      </c>
      <c r="G1067" s="62" t="s">
        <v>206</v>
      </c>
      <c r="H1067" s="63" t="s">
        <v>195</v>
      </c>
      <c r="I1067" s="64" t="s">
        <v>170</v>
      </c>
      <c r="J1067" s="65" t="str">
        <f>IFERROR(INDEX('Cost_Components'!$K$2:$K$27,MATCH(E1067,'Cost_Components'!$A$2:$A$27,0)),"")</f>
      </c>
      <c r="K1067" s="66" t="str">
        <f>IF(OR(L1067="",Z1067="",AA1067="",AB1067=""),"",IF(B1067&lt;AA1067,L1067,IF(B1067&gt;AB1067,Z1067,L1067+(Z1067-L1067)*MIN(MAX((B1067-AA1067+1)/MAX(AB1067-AA1067+1,1),0),1))))</f>
      </c>
      <c r="L1067" s="67" t="str">
        <f>IFERROR(INDEX('Cost_Components'!$S$2:$S$27,MATCH(E1067,'Cost_Components'!$A$2:$A$27,0)),"")</f>
      </c>
      <c r="M1067" s="68" t="str">
        <f>IFERROR(INDEX('Cost_Components'!$L$2:$L$27,MATCH(E1067,'Cost_Components'!$A$2:$A$27,0)),"")</f>
      </c>
      <c r="N1067" s="69" t="str">
        <f>IFERROR(INDEX('Cost_Components'!$P$2:$P$27,MATCH(E1067,'Cost_Components'!$A$2:$A$27,0)),"")</f>
      </c>
      <c r="O1067" s="70" t="str">
        <f>AF1067*J1067</f>
      </c>
      <c r="P1067" s="71" t="str">
        <f>AG1067*J1067</f>
      </c>
      <c r="Q1067" s="72" t="str">
        <f>P1067*L1067*M1067*N1067</f>
      </c>
      <c r="R1067" s="73" t="str">
        <f>O1067*K1067*M1067*N1067</f>
      </c>
      <c r="S1067" s="74" t="str">
        <f>R1067-Q1067</f>
      </c>
      <c r="T1067" s="20" t="str">
        <f>IFERROR(INDEX('Cost_Components'!$R$2:$R$27,MATCH(E1067,'Cost_Components'!$A$2:$A$27,0)),"")</f>
      </c>
      <c r="U1067" s="75" t="str">
        <f>IFERROR(INDEX('Cost_Components'!$Q$2:$Q$27,MATCH(E1067,'Cost_Components'!$A$2:$A$27,0)),"")</f>
      </c>
      <c r="V1067" s="76" t="str">
        <f>1/(1+'Calculation_Assumptions'!$B$5)^(B1067-'Calculation_Assumptions'!$B$2)</f>
      </c>
      <c r="W1067" s="77" t="str">
        <f>Q1067*V1067</f>
      </c>
      <c r="X1067" s="78" t="str">
        <f>R1067*V1067</f>
      </c>
      <c r="Y1067" s="79" t="str">
        <f>S1067*V1067</f>
      </c>
      <c r="Z1067" s="80" t="str">
        <f>IFERROR(INDEX('Cost_Components'!$T$2:$T$27,MATCH(E1067,'Cost_Components'!$A$2:$A$27,0)),"")</f>
      </c>
      <c r="AA1067" s="81" t="str">
        <f>IFERROR(INDEX('Cost_Components'!$U$2:$U$27,MATCH(E1067,'Cost_Components'!$A$2:$A$27,0)),"")</f>
      </c>
      <c r="AB1067" s="82" t="str">
        <f>IFERROR(INDEX('Cost_Components'!$V$2:$V$27,MATCH(E1067,'Cost_Components'!$A$2:$A$27,0)),"")</f>
      </c>
      <c r="AC1067" s="83" t="str">
        <f>IFERROR(INDEX('Cost_Components'!$M$2:$M$27,MATCH(E1067,'Cost_Components'!$A$2:$A$27,0)),"")</f>
      </c>
      <c r="AD1067" s="84" t="str">
        <f>IFERROR(INDEX('Cost_Components'!$N$2:$N$27,MATCH(E1067,'Cost_Components'!$A$2:$A$27,0)),"")</f>
      </c>
      <c r="AE1067" s="20" t="str">
        <f>IFERROR(INDEX('Cost_Components'!$O$2:$O$27,MATCH(E1067,'Cost_Components'!$A$2:$A$27,0)),"")</f>
      </c>
      <c r="AF1067" s="85" t="n">
        <v>636270.213330889</v>
      </c>
      <c r="AG1067" s="86" t="n">
        <v>809018.722538968</v>
      </c>
      <c r="AH1067" s="87" t="str">
        <f>IF(H1067="shared-count-once",COUNTIFS($A$2:$A$1353,A1067,$B$2:$B$1353,B1067,$E$2:$E$1353,E1067),1)</f>
      </c>
    </row>
    <row r="1068">
      <c r="A1068" t="s">
        <v>75</v>
      </c>
      <c r="B1068" s="59" t="n">
        <v>2025</v>
      </c>
      <c r="C1068" t="s">
        <v>205</v>
      </c>
      <c r="D1068" t="s">
        <v>180</v>
      </c>
      <c r="E1068" s="60" t="s">
        <v>297</v>
      </c>
      <c r="F1068" s="61" t="s">
        <v>298</v>
      </c>
      <c r="G1068" s="62" t="s">
        <v>206</v>
      </c>
      <c r="H1068" s="63" t="s">
        <v>195</v>
      </c>
      <c r="I1068" s="64" t="s">
        <v>267</v>
      </c>
      <c r="J1068" s="65" t="str">
        <f>IFERROR(INDEX('Cost_Components'!$K$2:$K$27,MATCH(E1068,'Cost_Components'!$A$2:$A$27,0)),"")</f>
      </c>
      <c r="K1068" s="66" t="str">
        <f>IF(OR(L1068="",Z1068="",AA1068="",AB1068=""),"",IF(B1068&lt;AA1068,L1068,IF(B1068&gt;AB1068,Z1068,L1068+(Z1068-L1068)*MIN(MAX((B1068-AA1068+1)/MAX(AB1068-AA1068+1,1),0),1))))</f>
      </c>
      <c r="L1068" s="67" t="str">
        <f>IFERROR(INDEX('Cost_Components'!$S$2:$S$27,MATCH(E1068,'Cost_Components'!$A$2:$A$27,0)),"")</f>
      </c>
      <c r="M1068" s="68" t="str">
        <f>IFERROR(INDEX('Cost_Components'!$L$2:$L$27,MATCH(E1068,'Cost_Components'!$A$2:$A$27,0)),"")</f>
      </c>
      <c r="N1068" s="69" t="str">
        <f>IFERROR(INDEX('Cost_Components'!$P$2:$P$27,MATCH(E1068,'Cost_Components'!$A$2:$A$27,0)),"")</f>
      </c>
      <c r="O1068" s="70" t="str">
        <f>AF1068*J1068</f>
      </c>
      <c r="P1068" s="71" t="str">
        <f>AG1068*J1068</f>
      </c>
      <c r="Q1068" s="72" t="str">
        <f>P1068*L1068*M1068*N1068</f>
      </c>
      <c r="R1068" s="73" t="str">
        <f>O1068*K1068*M1068*N1068</f>
      </c>
      <c r="S1068" s="74" t="str">
        <f>R1068-Q1068</f>
      </c>
      <c r="T1068" s="20" t="str">
        <f>IFERROR(INDEX('Cost_Components'!$R$2:$R$27,MATCH(E1068,'Cost_Components'!$A$2:$A$27,0)),"")</f>
      </c>
      <c r="U1068" s="75" t="str">
        <f>IFERROR(INDEX('Cost_Components'!$Q$2:$Q$27,MATCH(E1068,'Cost_Components'!$A$2:$A$27,0)),"")</f>
      </c>
      <c r="V1068" s="76" t="str">
        <f>1/(1+'Calculation_Assumptions'!$B$5)^(B1068-'Calculation_Assumptions'!$B$2)</f>
      </c>
      <c r="W1068" s="77" t="str">
        <f>Q1068*V1068</f>
      </c>
      <c r="X1068" s="78" t="str">
        <f>R1068*V1068</f>
      </c>
      <c r="Y1068" s="79" t="str">
        <f>S1068*V1068</f>
      </c>
      <c r="Z1068" s="80" t="str">
        <f>IFERROR(INDEX('Cost_Components'!$T$2:$T$27,MATCH(E1068,'Cost_Components'!$A$2:$A$27,0)),"")</f>
      </c>
      <c r="AA1068" s="81" t="str">
        <f>IFERROR(INDEX('Cost_Components'!$U$2:$U$27,MATCH(E1068,'Cost_Components'!$A$2:$A$27,0)),"")</f>
      </c>
      <c r="AB1068" s="82" t="str">
        <f>IFERROR(INDEX('Cost_Components'!$V$2:$V$27,MATCH(E1068,'Cost_Components'!$A$2:$A$27,0)),"")</f>
      </c>
      <c r="AC1068" s="83" t="str">
        <f>IFERROR(INDEX('Cost_Components'!$M$2:$M$27,MATCH(E1068,'Cost_Components'!$A$2:$A$27,0)),"")</f>
      </c>
      <c r="AD1068" s="84" t="str">
        <f>IFERROR(INDEX('Cost_Components'!$N$2:$N$27,MATCH(E1068,'Cost_Components'!$A$2:$A$27,0)),"")</f>
      </c>
      <c r="AE1068" s="20" t="str">
        <f>IFERROR(INDEX('Cost_Components'!$O$2:$O$27,MATCH(E1068,'Cost_Components'!$A$2:$A$27,0)),"")</f>
      </c>
      <c r="AF1068" s="85" t="n">
        <v>5097707.98969026</v>
      </c>
      <c r="AG1068" s="86" t="n">
        <v>5102083.90698855</v>
      </c>
      <c r="AH1068" s="87" t="str">
        <f>IF(H1068="shared-count-once",COUNTIFS($A$2:$A$1353,A1068,$B$2:$B$1353,B1068,$E$2:$E$1353,E1068),1)</f>
      </c>
    </row>
    <row r="1069">
      <c r="A1069" t="s">
        <v>75</v>
      </c>
      <c r="B1069" s="59" t="n">
        <v>2026</v>
      </c>
      <c r="C1069" t="s">
        <v>205</v>
      </c>
      <c r="D1069" t="s">
        <v>180</v>
      </c>
      <c r="E1069" s="60" t="s">
        <v>297</v>
      </c>
      <c r="F1069" s="61" t="s">
        <v>298</v>
      </c>
      <c r="G1069" s="62" t="s">
        <v>206</v>
      </c>
      <c r="H1069" s="63" t="s">
        <v>195</v>
      </c>
      <c r="I1069" s="64" t="s">
        <v>267</v>
      </c>
      <c r="J1069" s="65" t="str">
        <f>IFERROR(INDEX('Cost_Components'!$K$2:$K$27,MATCH(E1069,'Cost_Components'!$A$2:$A$27,0)),"")</f>
      </c>
      <c r="K1069" s="66" t="str">
        <f>IF(OR(L1069="",Z1069="",AA1069="",AB1069=""),"",IF(B1069&lt;AA1069,L1069,IF(B1069&gt;AB1069,Z1069,L1069+(Z1069-L1069)*MIN(MAX((B1069-AA1069+1)/MAX(AB1069-AA1069+1,1),0),1))))</f>
      </c>
      <c r="L1069" s="67" t="str">
        <f>IFERROR(INDEX('Cost_Components'!$S$2:$S$27,MATCH(E1069,'Cost_Components'!$A$2:$A$27,0)),"")</f>
      </c>
      <c r="M1069" s="68" t="str">
        <f>IFERROR(INDEX('Cost_Components'!$L$2:$L$27,MATCH(E1069,'Cost_Components'!$A$2:$A$27,0)),"")</f>
      </c>
      <c r="N1069" s="69" t="str">
        <f>IFERROR(INDEX('Cost_Components'!$P$2:$P$27,MATCH(E1069,'Cost_Components'!$A$2:$A$27,0)),"")</f>
      </c>
      <c r="O1069" s="70" t="str">
        <f>AF1069*J1069</f>
      </c>
      <c r="P1069" s="71" t="str">
        <f>AG1069*J1069</f>
      </c>
      <c r="Q1069" s="72" t="str">
        <f>P1069*L1069*M1069*N1069</f>
      </c>
      <c r="R1069" s="73" t="str">
        <f>O1069*K1069*M1069*N1069</f>
      </c>
      <c r="S1069" s="74" t="str">
        <f>R1069-Q1069</f>
      </c>
      <c r="T1069" s="20" t="str">
        <f>IFERROR(INDEX('Cost_Components'!$R$2:$R$27,MATCH(E1069,'Cost_Components'!$A$2:$A$27,0)),"")</f>
      </c>
      <c r="U1069" s="75" t="str">
        <f>IFERROR(INDEX('Cost_Components'!$Q$2:$Q$27,MATCH(E1069,'Cost_Components'!$A$2:$A$27,0)),"")</f>
      </c>
      <c r="V1069" s="76" t="str">
        <f>1/(1+'Calculation_Assumptions'!$B$5)^(B1069-'Calculation_Assumptions'!$B$2)</f>
      </c>
      <c r="W1069" s="77" t="str">
        <f>Q1069*V1069</f>
      </c>
      <c r="X1069" s="78" t="str">
        <f>R1069*V1069</f>
      </c>
      <c r="Y1069" s="79" t="str">
        <f>S1069*V1069</f>
      </c>
      <c r="Z1069" s="80" t="str">
        <f>IFERROR(INDEX('Cost_Components'!$T$2:$T$27,MATCH(E1069,'Cost_Components'!$A$2:$A$27,0)),"")</f>
      </c>
      <c r="AA1069" s="81" t="str">
        <f>IFERROR(INDEX('Cost_Components'!$U$2:$U$27,MATCH(E1069,'Cost_Components'!$A$2:$A$27,0)),"")</f>
      </c>
      <c r="AB1069" s="82" t="str">
        <f>IFERROR(INDEX('Cost_Components'!$V$2:$V$27,MATCH(E1069,'Cost_Components'!$A$2:$A$27,0)),"")</f>
      </c>
      <c r="AC1069" s="83" t="str">
        <f>IFERROR(INDEX('Cost_Components'!$M$2:$M$27,MATCH(E1069,'Cost_Components'!$A$2:$A$27,0)),"")</f>
      </c>
      <c r="AD1069" s="84" t="str">
        <f>IFERROR(INDEX('Cost_Components'!$N$2:$N$27,MATCH(E1069,'Cost_Components'!$A$2:$A$27,0)),"")</f>
      </c>
      <c r="AE1069" s="20" t="str">
        <f>IFERROR(INDEX('Cost_Components'!$O$2:$O$27,MATCH(E1069,'Cost_Components'!$A$2:$A$27,0)),"")</f>
      </c>
      <c r="AF1069" s="85" t="n">
        <v>5212090.3031888</v>
      </c>
      <c r="AG1069" s="86" t="n">
        <v>5224992.02984447</v>
      </c>
      <c r="AH1069" s="87" t="str">
        <f>IF(H1069="shared-count-once",COUNTIFS($A$2:$A$1353,A1069,$B$2:$B$1353,B1069,$E$2:$E$1353,E1069),1)</f>
      </c>
    </row>
    <row r="1070">
      <c r="A1070" t="s">
        <v>75</v>
      </c>
      <c r="B1070" s="59" t="n">
        <v>2027</v>
      </c>
      <c r="C1070" t="s">
        <v>205</v>
      </c>
      <c r="D1070" t="s">
        <v>180</v>
      </c>
      <c r="E1070" s="60" t="s">
        <v>297</v>
      </c>
      <c r="F1070" s="61" t="s">
        <v>298</v>
      </c>
      <c r="G1070" s="62" t="s">
        <v>206</v>
      </c>
      <c r="H1070" s="63" t="s">
        <v>195</v>
      </c>
      <c r="I1070" s="64" t="s">
        <v>267</v>
      </c>
      <c r="J1070" s="65" t="str">
        <f>IFERROR(INDEX('Cost_Components'!$K$2:$K$27,MATCH(E1070,'Cost_Components'!$A$2:$A$27,0)),"")</f>
      </c>
      <c r="K1070" s="66" t="str">
        <f>IF(OR(L1070="",Z1070="",AA1070="",AB1070=""),"",IF(B1070&lt;AA1070,L1070,IF(B1070&gt;AB1070,Z1070,L1070+(Z1070-L1070)*MIN(MAX((B1070-AA1070+1)/MAX(AB1070-AA1070+1,1),0),1))))</f>
      </c>
      <c r="L1070" s="67" t="str">
        <f>IFERROR(INDEX('Cost_Components'!$S$2:$S$27,MATCH(E1070,'Cost_Components'!$A$2:$A$27,0)),"")</f>
      </c>
      <c r="M1070" s="68" t="str">
        <f>IFERROR(INDEX('Cost_Components'!$L$2:$L$27,MATCH(E1070,'Cost_Components'!$A$2:$A$27,0)),"")</f>
      </c>
      <c r="N1070" s="69" t="str">
        <f>IFERROR(INDEX('Cost_Components'!$P$2:$P$27,MATCH(E1070,'Cost_Components'!$A$2:$A$27,0)),"")</f>
      </c>
      <c r="O1070" s="70" t="str">
        <f>AF1070*J1070</f>
      </c>
      <c r="P1070" s="71" t="str">
        <f>AG1070*J1070</f>
      </c>
      <c r="Q1070" s="72" t="str">
        <f>P1070*L1070*M1070*N1070</f>
      </c>
      <c r="R1070" s="73" t="str">
        <f>O1070*K1070*M1070*N1070</f>
      </c>
      <c r="S1070" s="74" t="str">
        <f>R1070-Q1070</f>
      </c>
      <c r="T1070" s="20" t="str">
        <f>IFERROR(INDEX('Cost_Components'!$R$2:$R$27,MATCH(E1070,'Cost_Components'!$A$2:$A$27,0)),"")</f>
      </c>
      <c r="U1070" s="75" t="str">
        <f>IFERROR(INDEX('Cost_Components'!$Q$2:$Q$27,MATCH(E1070,'Cost_Components'!$A$2:$A$27,0)),"")</f>
      </c>
      <c r="V1070" s="76" t="str">
        <f>1/(1+'Calculation_Assumptions'!$B$5)^(B1070-'Calculation_Assumptions'!$B$2)</f>
      </c>
      <c r="W1070" s="77" t="str">
        <f>Q1070*V1070</f>
      </c>
      <c r="X1070" s="78" t="str">
        <f>R1070*V1070</f>
      </c>
      <c r="Y1070" s="79" t="str">
        <f>S1070*V1070</f>
      </c>
      <c r="Z1070" s="80" t="str">
        <f>IFERROR(INDEX('Cost_Components'!$T$2:$T$27,MATCH(E1070,'Cost_Components'!$A$2:$A$27,0)),"")</f>
      </c>
      <c r="AA1070" s="81" t="str">
        <f>IFERROR(INDEX('Cost_Components'!$U$2:$U$27,MATCH(E1070,'Cost_Components'!$A$2:$A$27,0)),"")</f>
      </c>
      <c r="AB1070" s="82" t="str">
        <f>IFERROR(INDEX('Cost_Components'!$V$2:$V$27,MATCH(E1070,'Cost_Components'!$A$2:$A$27,0)),"")</f>
      </c>
      <c r="AC1070" s="83" t="str">
        <f>IFERROR(INDEX('Cost_Components'!$M$2:$M$27,MATCH(E1070,'Cost_Components'!$A$2:$A$27,0)),"")</f>
      </c>
      <c r="AD1070" s="84" t="str">
        <f>IFERROR(INDEX('Cost_Components'!$N$2:$N$27,MATCH(E1070,'Cost_Components'!$A$2:$A$27,0)),"")</f>
      </c>
      <c r="AE1070" s="20" t="str">
        <f>IFERROR(INDEX('Cost_Components'!$O$2:$O$27,MATCH(E1070,'Cost_Components'!$A$2:$A$27,0)),"")</f>
      </c>
      <c r="AF1070" s="85" t="n">
        <v>5319741.76230153</v>
      </c>
      <c r="AG1070" s="86" t="n">
        <v>5345060.5643959</v>
      </c>
      <c r="AH1070" s="87" t="str">
        <f>IF(H1070="shared-count-once",COUNTIFS($A$2:$A$1353,A1070,$B$2:$B$1353,B1070,$E$2:$E$1353,E1070),1)</f>
      </c>
    </row>
    <row r="1071">
      <c r="A1071" t="s">
        <v>75</v>
      </c>
      <c r="B1071" s="59" t="n">
        <v>2028</v>
      </c>
      <c r="C1071" t="s">
        <v>205</v>
      </c>
      <c r="D1071" t="s">
        <v>180</v>
      </c>
      <c r="E1071" s="60" t="s">
        <v>297</v>
      </c>
      <c r="F1071" s="61" t="s">
        <v>298</v>
      </c>
      <c r="G1071" s="62" t="s">
        <v>206</v>
      </c>
      <c r="H1071" s="63" t="s">
        <v>195</v>
      </c>
      <c r="I1071" s="64" t="s">
        <v>267</v>
      </c>
      <c r="J1071" s="65" t="str">
        <f>IFERROR(INDEX('Cost_Components'!$K$2:$K$27,MATCH(E1071,'Cost_Components'!$A$2:$A$27,0)),"")</f>
      </c>
      <c r="K1071" s="66" t="str">
        <f>IF(OR(L1071="",Z1071="",AA1071="",AB1071=""),"",IF(B1071&lt;AA1071,L1071,IF(B1071&gt;AB1071,Z1071,L1071+(Z1071-L1071)*MIN(MAX((B1071-AA1071+1)/MAX(AB1071-AA1071+1,1),0),1))))</f>
      </c>
      <c r="L1071" s="67" t="str">
        <f>IFERROR(INDEX('Cost_Components'!$S$2:$S$27,MATCH(E1071,'Cost_Components'!$A$2:$A$27,0)),"")</f>
      </c>
      <c r="M1071" s="68" t="str">
        <f>IFERROR(INDEX('Cost_Components'!$L$2:$L$27,MATCH(E1071,'Cost_Components'!$A$2:$A$27,0)),"")</f>
      </c>
      <c r="N1071" s="69" t="str">
        <f>IFERROR(INDEX('Cost_Components'!$P$2:$P$27,MATCH(E1071,'Cost_Components'!$A$2:$A$27,0)),"")</f>
      </c>
      <c r="O1071" s="70" t="str">
        <f>AF1071*J1071</f>
      </c>
      <c r="P1071" s="71" t="str">
        <f>AG1071*J1071</f>
      </c>
      <c r="Q1071" s="72" t="str">
        <f>P1071*L1071*M1071*N1071</f>
      </c>
      <c r="R1071" s="73" t="str">
        <f>O1071*K1071*M1071*N1071</f>
      </c>
      <c r="S1071" s="74" t="str">
        <f>R1071-Q1071</f>
      </c>
      <c r="T1071" s="20" t="str">
        <f>IFERROR(INDEX('Cost_Components'!$R$2:$R$27,MATCH(E1071,'Cost_Components'!$A$2:$A$27,0)),"")</f>
      </c>
      <c r="U1071" s="75" t="str">
        <f>IFERROR(INDEX('Cost_Components'!$Q$2:$Q$27,MATCH(E1071,'Cost_Components'!$A$2:$A$27,0)),"")</f>
      </c>
      <c r="V1071" s="76" t="str">
        <f>1/(1+'Calculation_Assumptions'!$B$5)^(B1071-'Calculation_Assumptions'!$B$2)</f>
      </c>
      <c r="W1071" s="77" t="str">
        <f>Q1071*V1071</f>
      </c>
      <c r="X1071" s="78" t="str">
        <f>R1071*V1071</f>
      </c>
      <c r="Y1071" s="79" t="str">
        <f>S1071*V1071</f>
      </c>
      <c r="Z1071" s="80" t="str">
        <f>IFERROR(INDEX('Cost_Components'!$T$2:$T$27,MATCH(E1071,'Cost_Components'!$A$2:$A$27,0)),"")</f>
      </c>
      <c r="AA1071" s="81" t="str">
        <f>IFERROR(INDEX('Cost_Components'!$U$2:$U$27,MATCH(E1071,'Cost_Components'!$A$2:$A$27,0)),"")</f>
      </c>
      <c r="AB1071" s="82" t="str">
        <f>IFERROR(INDEX('Cost_Components'!$V$2:$V$27,MATCH(E1071,'Cost_Components'!$A$2:$A$27,0)),"")</f>
      </c>
      <c r="AC1071" s="83" t="str">
        <f>IFERROR(INDEX('Cost_Components'!$M$2:$M$27,MATCH(E1071,'Cost_Components'!$A$2:$A$27,0)),"")</f>
      </c>
      <c r="AD1071" s="84" t="str">
        <f>IFERROR(INDEX('Cost_Components'!$N$2:$N$27,MATCH(E1071,'Cost_Components'!$A$2:$A$27,0)),"")</f>
      </c>
      <c r="AE1071" s="20" t="str">
        <f>IFERROR(INDEX('Cost_Components'!$O$2:$O$27,MATCH(E1071,'Cost_Components'!$A$2:$A$27,0)),"")</f>
      </c>
      <c r="AF1071" s="85" t="n">
        <v>5422447.93738502</v>
      </c>
      <c r="AG1071" s="86" t="n">
        <v>5463892.28222306</v>
      </c>
      <c r="AH1071" s="87" t="str">
        <f>IF(H1071="shared-count-once",COUNTIFS($A$2:$A$1353,A1071,$B$2:$B$1353,B1071,$E$2:$E$1353,E1071),1)</f>
      </c>
    </row>
    <row r="1072">
      <c r="A1072" t="s">
        <v>75</v>
      </c>
      <c r="B1072" s="59" t="n">
        <v>2029</v>
      </c>
      <c r="C1072" t="s">
        <v>205</v>
      </c>
      <c r="D1072" t="s">
        <v>180</v>
      </c>
      <c r="E1072" s="60" t="s">
        <v>297</v>
      </c>
      <c r="F1072" s="61" t="s">
        <v>298</v>
      </c>
      <c r="G1072" s="62" t="s">
        <v>206</v>
      </c>
      <c r="H1072" s="63" t="s">
        <v>195</v>
      </c>
      <c r="I1072" s="64" t="s">
        <v>267</v>
      </c>
      <c r="J1072" s="65" t="str">
        <f>IFERROR(INDEX('Cost_Components'!$K$2:$K$27,MATCH(E1072,'Cost_Components'!$A$2:$A$27,0)),"")</f>
      </c>
      <c r="K1072" s="66" t="str">
        <f>IF(OR(L1072="",Z1072="",AA1072="",AB1072=""),"",IF(B1072&lt;AA1072,L1072,IF(B1072&gt;AB1072,Z1072,L1072+(Z1072-L1072)*MIN(MAX((B1072-AA1072+1)/MAX(AB1072-AA1072+1,1),0),1))))</f>
      </c>
      <c r="L1072" s="67" t="str">
        <f>IFERROR(INDEX('Cost_Components'!$S$2:$S$27,MATCH(E1072,'Cost_Components'!$A$2:$A$27,0)),"")</f>
      </c>
      <c r="M1072" s="68" t="str">
        <f>IFERROR(INDEX('Cost_Components'!$L$2:$L$27,MATCH(E1072,'Cost_Components'!$A$2:$A$27,0)),"")</f>
      </c>
      <c r="N1072" s="69" t="str">
        <f>IFERROR(INDEX('Cost_Components'!$P$2:$P$27,MATCH(E1072,'Cost_Components'!$A$2:$A$27,0)),"")</f>
      </c>
      <c r="O1072" s="70" t="str">
        <f>AF1072*J1072</f>
      </c>
      <c r="P1072" s="71" t="str">
        <f>AG1072*J1072</f>
      </c>
      <c r="Q1072" s="72" t="str">
        <f>P1072*L1072*M1072*N1072</f>
      </c>
      <c r="R1072" s="73" t="str">
        <f>O1072*K1072*M1072*N1072</f>
      </c>
      <c r="S1072" s="74" t="str">
        <f>R1072-Q1072</f>
      </c>
      <c r="T1072" s="20" t="str">
        <f>IFERROR(INDEX('Cost_Components'!$R$2:$R$27,MATCH(E1072,'Cost_Components'!$A$2:$A$27,0)),"")</f>
      </c>
      <c r="U1072" s="75" t="str">
        <f>IFERROR(INDEX('Cost_Components'!$Q$2:$Q$27,MATCH(E1072,'Cost_Components'!$A$2:$A$27,0)),"")</f>
      </c>
      <c r="V1072" s="76" t="str">
        <f>1/(1+'Calculation_Assumptions'!$B$5)^(B1072-'Calculation_Assumptions'!$B$2)</f>
      </c>
      <c r="W1072" s="77" t="str">
        <f>Q1072*V1072</f>
      </c>
      <c r="X1072" s="78" t="str">
        <f>R1072*V1072</f>
      </c>
      <c r="Y1072" s="79" t="str">
        <f>S1072*V1072</f>
      </c>
      <c r="Z1072" s="80" t="str">
        <f>IFERROR(INDEX('Cost_Components'!$T$2:$T$27,MATCH(E1072,'Cost_Components'!$A$2:$A$27,0)),"")</f>
      </c>
      <c r="AA1072" s="81" t="str">
        <f>IFERROR(INDEX('Cost_Components'!$U$2:$U$27,MATCH(E1072,'Cost_Components'!$A$2:$A$27,0)),"")</f>
      </c>
      <c r="AB1072" s="82" t="str">
        <f>IFERROR(INDEX('Cost_Components'!$V$2:$V$27,MATCH(E1072,'Cost_Components'!$A$2:$A$27,0)),"")</f>
      </c>
      <c r="AC1072" s="83" t="str">
        <f>IFERROR(INDEX('Cost_Components'!$M$2:$M$27,MATCH(E1072,'Cost_Components'!$A$2:$A$27,0)),"")</f>
      </c>
      <c r="AD1072" s="84" t="str">
        <f>IFERROR(INDEX('Cost_Components'!$N$2:$N$27,MATCH(E1072,'Cost_Components'!$A$2:$A$27,0)),"")</f>
      </c>
      <c r="AE1072" s="20" t="str">
        <f>IFERROR(INDEX('Cost_Components'!$O$2:$O$27,MATCH(E1072,'Cost_Components'!$A$2:$A$27,0)),"")</f>
      </c>
      <c r="AF1072" s="85" t="n">
        <v>5516462.06936288</v>
      </c>
      <c r="AG1072" s="86" t="n">
        <v>5577335.16444688</v>
      </c>
      <c r="AH1072" s="87" t="str">
        <f>IF(H1072="shared-count-once",COUNTIFS($A$2:$A$1353,A1072,$B$2:$B$1353,B1072,$E$2:$E$1353,E1072),1)</f>
      </c>
    </row>
    <row r="1073">
      <c r="A1073" t="s">
        <v>75</v>
      </c>
      <c r="B1073" s="59" t="n">
        <v>2030</v>
      </c>
      <c r="C1073" t="s">
        <v>205</v>
      </c>
      <c r="D1073" t="s">
        <v>180</v>
      </c>
      <c r="E1073" s="60" t="s">
        <v>297</v>
      </c>
      <c r="F1073" s="61" t="s">
        <v>298</v>
      </c>
      <c r="G1073" s="62" t="s">
        <v>206</v>
      </c>
      <c r="H1073" s="63" t="s">
        <v>195</v>
      </c>
      <c r="I1073" s="64" t="s">
        <v>267</v>
      </c>
      <c r="J1073" s="65" t="str">
        <f>IFERROR(INDEX('Cost_Components'!$K$2:$K$27,MATCH(E1073,'Cost_Components'!$A$2:$A$27,0)),"")</f>
      </c>
      <c r="K1073" s="66" t="str">
        <f>IF(OR(L1073="",Z1073="",AA1073="",AB1073=""),"",IF(B1073&lt;AA1073,L1073,IF(B1073&gt;AB1073,Z1073,L1073+(Z1073-L1073)*MIN(MAX((B1073-AA1073+1)/MAX(AB1073-AA1073+1,1),0),1))))</f>
      </c>
      <c r="L1073" s="67" t="str">
        <f>IFERROR(INDEX('Cost_Components'!$S$2:$S$27,MATCH(E1073,'Cost_Components'!$A$2:$A$27,0)),"")</f>
      </c>
      <c r="M1073" s="68" t="str">
        <f>IFERROR(INDEX('Cost_Components'!$L$2:$L$27,MATCH(E1073,'Cost_Components'!$A$2:$A$27,0)),"")</f>
      </c>
      <c r="N1073" s="69" t="str">
        <f>IFERROR(INDEX('Cost_Components'!$P$2:$P$27,MATCH(E1073,'Cost_Components'!$A$2:$A$27,0)),"")</f>
      </c>
      <c r="O1073" s="70" t="str">
        <f>AF1073*J1073</f>
      </c>
      <c r="P1073" s="71" t="str">
        <f>AG1073*J1073</f>
      </c>
      <c r="Q1073" s="72" t="str">
        <f>P1073*L1073*M1073*N1073</f>
      </c>
      <c r="R1073" s="73" t="str">
        <f>O1073*K1073*M1073*N1073</f>
      </c>
      <c r="S1073" s="74" t="str">
        <f>R1073-Q1073</f>
      </c>
      <c r="T1073" s="20" t="str">
        <f>IFERROR(INDEX('Cost_Components'!$R$2:$R$27,MATCH(E1073,'Cost_Components'!$A$2:$A$27,0)),"")</f>
      </c>
      <c r="U1073" s="75" t="str">
        <f>IFERROR(INDEX('Cost_Components'!$Q$2:$Q$27,MATCH(E1073,'Cost_Components'!$A$2:$A$27,0)),"")</f>
      </c>
      <c r="V1073" s="76" t="str">
        <f>1/(1+'Calculation_Assumptions'!$B$5)^(B1073-'Calculation_Assumptions'!$B$2)</f>
      </c>
      <c r="W1073" s="77" t="str">
        <f>Q1073*V1073</f>
      </c>
      <c r="X1073" s="78" t="str">
        <f>R1073*V1073</f>
      </c>
      <c r="Y1073" s="79" t="str">
        <f>S1073*V1073</f>
      </c>
      <c r="Z1073" s="80" t="str">
        <f>IFERROR(INDEX('Cost_Components'!$T$2:$T$27,MATCH(E1073,'Cost_Components'!$A$2:$A$27,0)),"")</f>
      </c>
      <c r="AA1073" s="81" t="str">
        <f>IFERROR(INDEX('Cost_Components'!$U$2:$U$27,MATCH(E1073,'Cost_Components'!$A$2:$A$27,0)),"")</f>
      </c>
      <c r="AB1073" s="82" t="str">
        <f>IFERROR(INDEX('Cost_Components'!$V$2:$V$27,MATCH(E1073,'Cost_Components'!$A$2:$A$27,0)),"")</f>
      </c>
      <c r="AC1073" s="83" t="str">
        <f>IFERROR(INDEX('Cost_Components'!$M$2:$M$27,MATCH(E1073,'Cost_Components'!$A$2:$A$27,0)),"")</f>
      </c>
      <c r="AD1073" s="84" t="str">
        <f>IFERROR(INDEX('Cost_Components'!$N$2:$N$27,MATCH(E1073,'Cost_Components'!$A$2:$A$27,0)),"")</f>
      </c>
      <c r="AE1073" s="20" t="str">
        <f>IFERROR(INDEX('Cost_Components'!$O$2:$O$27,MATCH(E1073,'Cost_Components'!$A$2:$A$27,0)),"")</f>
      </c>
      <c r="AF1073" s="85" t="n">
        <v>5608848.30724705</v>
      </c>
      <c r="AG1073" s="86" t="n">
        <v>5692434.95186848</v>
      </c>
      <c r="AH1073" s="87" t="str">
        <f>IF(H1073="shared-count-once",COUNTIFS($A$2:$A$1353,A1073,$B$2:$B$1353,B1073,$E$2:$E$1353,E1073),1)</f>
      </c>
    </row>
    <row r="1074">
      <c r="A1074" t="s">
        <v>75</v>
      </c>
      <c r="B1074" s="59" t="n">
        <v>2031</v>
      </c>
      <c r="C1074" t="s">
        <v>205</v>
      </c>
      <c r="D1074" t="s">
        <v>180</v>
      </c>
      <c r="E1074" s="60" t="s">
        <v>297</v>
      </c>
      <c r="F1074" s="61" t="s">
        <v>298</v>
      </c>
      <c r="G1074" s="62" t="s">
        <v>206</v>
      </c>
      <c r="H1074" s="63" t="s">
        <v>195</v>
      </c>
      <c r="I1074" s="64" t="s">
        <v>267</v>
      </c>
      <c r="J1074" s="65" t="str">
        <f>IFERROR(INDEX('Cost_Components'!$K$2:$K$27,MATCH(E1074,'Cost_Components'!$A$2:$A$27,0)),"")</f>
      </c>
      <c r="K1074" s="66" t="str">
        <f>IF(OR(L1074="",Z1074="",AA1074="",AB1074=""),"",IF(B1074&lt;AA1074,L1074,IF(B1074&gt;AB1074,Z1074,L1074+(Z1074-L1074)*MIN(MAX((B1074-AA1074+1)/MAX(AB1074-AA1074+1,1),0),1))))</f>
      </c>
      <c r="L1074" s="67" t="str">
        <f>IFERROR(INDEX('Cost_Components'!$S$2:$S$27,MATCH(E1074,'Cost_Components'!$A$2:$A$27,0)),"")</f>
      </c>
      <c r="M1074" s="68" t="str">
        <f>IFERROR(INDEX('Cost_Components'!$L$2:$L$27,MATCH(E1074,'Cost_Components'!$A$2:$A$27,0)),"")</f>
      </c>
      <c r="N1074" s="69" t="str">
        <f>IFERROR(INDEX('Cost_Components'!$P$2:$P$27,MATCH(E1074,'Cost_Components'!$A$2:$A$27,0)),"")</f>
      </c>
      <c r="O1074" s="70" t="str">
        <f>AF1074*J1074</f>
      </c>
      <c r="P1074" s="71" t="str">
        <f>AG1074*J1074</f>
      </c>
      <c r="Q1074" s="72" t="str">
        <f>P1074*L1074*M1074*N1074</f>
      </c>
      <c r="R1074" s="73" t="str">
        <f>O1074*K1074*M1074*N1074</f>
      </c>
      <c r="S1074" s="74" t="str">
        <f>R1074-Q1074</f>
      </c>
      <c r="T1074" s="20" t="str">
        <f>IFERROR(INDEX('Cost_Components'!$R$2:$R$27,MATCH(E1074,'Cost_Components'!$A$2:$A$27,0)),"")</f>
      </c>
      <c r="U1074" s="75" t="str">
        <f>IFERROR(INDEX('Cost_Components'!$Q$2:$Q$27,MATCH(E1074,'Cost_Components'!$A$2:$A$27,0)),"")</f>
      </c>
      <c r="V1074" s="76" t="str">
        <f>1/(1+'Calculation_Assumptions'!$B$5)^(B1074-'Calculation_Assumptions'!$B$2)</f>
      </c>
      <c r="W1074" s="77" t="str">
        <f>Q1074*V1074</f>
      </c>
      <c r="X1074" s="78" t="str">
        <f>R1074*V1074</f>
      </c>
      <c r="Y1074" s="79" t="str">
        <f>S1074*V1074</f>
      </c>
      <c r="Z1074" s="80" t="str">
        <f>IFERROR(INDEX('Cost_Components'!$T$2:$T$27,MATCH(E1074,'Cost_Components'!$A$2:$A$27,0)),"")</f>
      </c>
      <c r="AA1074" s="81" t="str">
        <f>IFERROR(INDEX('Cost_Components'!$U$2:$U$27,MATCH(E1074,'Cost_Components'!$A$2:$A$27,0)),"")</f>
      </c>
      <c r="AB1074" s="82" t="str">
        <f>IFERROR(INDEX('Cost_Components'!$V$2:$V$27,MATCH(E1074,'Cost_Components'!$A$2:$A$27,0)),"")</f>
      </c>
      <c r="AC1074" s="83" t="str">
        <f>IFERROR(INDEX('Cost_Components'!$M$2:$M$27,MATCH(E1074,'Cost_Components'!$A$2:$A$27,0)),"")</f>
      </c>
      <c r="AD1074" s="84" t="str">
        <f>IFERROR(INDEX('Cost_Components'!$N$2:$N$27,MATCH(E1074,'Cost_Components'!$A$2:$A$27,0)),"")</f>
      </c>
      <c r="AE1074" s="20" t="str">
        <f>IFERROR(INDEX('Cost_Components'!$O$2:$O$27,MATCH(E1074,'Cost_Components'!$A$2:$A$27,0)),"")</f>
      </c>
      <c r="AF1074" s="85" t="n">
        <v>5699983.86868012</v>
      </c>
      <c r="AG1074" s="86" t="n">
        <v>5809459.27108144</v>
      </c>
      <c r="AH1074" s="87" t="str">
        <f>IF(H1074="shared-count-once",COUNTIFS($A$2:$A$1353,A1074,$B$2:$B$1353,B1074,$E$2:$E$1353,E1074),1)</f>
      </c>
    </row>
    <row r="1075">
      <c r="A1075" t="s">
        <v>75</v>
      </c>
      <c r="B1075" s="59" t="n">
        <v>2032</v>
      </c>
      <c r="C1075" t="s">
        <v>205</v>
      </c>
      <c r="D1075" t="s">
        <v>180</v>
      </c>
      <c r="E1075" s="60" t="s">
        <v>297</v>
      </c>
      <c r="F1075" s="61" t="s">
        <v>298</v>
      </c>
      <c r="G1075" s="62" t="s">
        <v>206</v>
      </c>
      <c r="H1075" s="63" t="s">
        <v>195</v>
      </c>
      <c r="I1075" s="64" t="s">
        <v>267</v>
      </c>
      <c r="J1075" s="65" t="str">
        <f>IFERROR(INDEX('Cost_Components'!$K$2:$K$27,MATCH(E1075,'Cost_Components'!$A$2:$A$27,0)),"")</f>
      </c>
      <c r="K1075" s="66" t="str">
        <f>IF(OR(L1075="",Z1075="",AA1075="",AB1075=""),"",IF(B1075&lt;AA1075,L1075,IF(B1075&gt;AB1075,Z1075,L1075+(Z1075-L1075)*MIN(MAX((B1075-AA1075+1)/MAX(AB1075-AA1075+1,1),0),1))))</f>
      </c>
      <c r="L1075" s="67" t="str">
        <f>IFERROR(INDEX('Cost_Components'!$S$2:$S$27,MATCH(E1075,'Cost_Components'!$A$2:$A$27,0)),"")</f>
      </c>
      <c r="M1075" s="68" t="str">
        <f>IFERROR(INDEX('Cost_Components'!$L$2:$L$27,MATCH(E1075,'Cost_Components'!$A$2:$A$27,0)),"")</f>
      </c>
      <c r="N1075" s="69" t="str">
        <f>IFERROR(INDEX('Cost_Components'!$P$2:$P$27,MATCH(E1075,'Cost_Components'!$A$2:$A$27,0)),"")</f>
      </c>
      <c r="O1075" s="70" t="str">
        <f>AF1075*J1075</f>
      </c>
      <c r="P1075" s="71" t="str">
        <f>AG1075*J1075</f>
      </c>
      <c r="Q1075" s="72" t="str">
        <f>P1075*L1075*M1075*N1075</f>
      </c>
      <c r="R1075" s="73" t="str">
        <f>O1075*K1075*M1075*N1075</f>
      </c>
      <c r="S1075" s="74" t="str">
        <f>R1075-Q1075</f>
      </c>
      <c r="T1075" s="20" t="str">
        <f>IFERROR(INDEX('Cost_Components'!$R$2:$R$27,MATCH(E1075,'Cost_Components'!$A$2:$A$27,0)),"")</f>
      </c>
      <c r="U1075" s="75" t="str">
        <f>IFERROR(INDEX('Cost_Components'!$Q$2:$Q$27,MATCH(E1075,'Cost_Components'!$A$2:$A$27,0)),"")</f>
      </c>
      <c r="V1075" s="76" t="str">
        <f>1/(1+'Calculation_Assumptions'!$B$5)^(B1075-'Calculation_Assumptions'!$B$2)</f>
      </c>
      <c r="W1075" s="77" t="str">
        <f>Q1075*V1075</f>
      </c>
      <c r="X1075" s="78" t="str">
        <f>R1075*V1075</f>
      </c>
      <c r="Y1075" s="79" t="str">
        <f>S1075*V1075</f>
      </c>
      <c r="Z1075" s="80" t="str">
        <f>IFERROR(INDEX('Cost_Components'!$T$2:$T$27,MATCH(E1075,'Cost_Components'!$A$2:$A$27,0)),"")</f>
      </c>
      <c r="AA1075" s="81" t="str">
        <f>IFERROR(INDEX('Cost_Components'!$U$2:$U$27,MATCH(E1075,'Cost_Components'!$A$2:$A$27,0)),"")</f>
      </c>
      <c r="AB1075" s="82" t="str">
        <f>IFERROR(INDEX('Cost_Components'!$V$2:$V$27,MATCH(E1075,'Cost_Components'!$A$2:$A$27,0)),"")</f>
      </c>
      <c r="AC1075" s="83" t="str">
        <f>IFERROR(INDEX('Cost_Components'!$M$2:$M$27,MATCH(E1075,'Cost_Components'!$A$2:$A$27,0)),"")</f>
      </c>
      <c r="AD1075" s="84" t="str">
        <f>IFERROR(INDEX('Cost_Components'!$N$2:$N$27,MATCH(E1075,'Cost_Components'!$A$2:$A$27,0)),"")</f>
      </c>
      <c r="AE1075" s="20" t="str">
        <f>IFERROR(INDEX('Cost_Components'!$O$2:$O$27,MATCH(E1075,'Cost_Components'!$A$2:$A$27,0)),"")</f>
      </c>
      <c r="AF1075" s="85" t="n">
        <v>5789545.26312717</v>
      </c>
      <c r="AG1075" s="86" t="n">
        <v>5927965.33586751</v>
      </c>
      <c r="AH1075" s="87" t="str">
        <f>IF(H1075="shared-count-once",COUNTIFS($A$2:$A$1353,A1075,$B$2:$B$1353,B1075,$E$2:$E$1353,E1075),1)</f>
      </c>
    </row>
    <row r="1076">
      <c r="A1076" t="s">
        <v>75</v>
      </c>
      <c r="B1076" s="59" t="n">
        <v>2033</v>
      </c>
      <c r="C1076" t="s">
        <v>205</v>
      </c>
      <c r="D1076" t="s">
        <v>180</v>
      </c>
      <c r="E1076" s="60" t="s">
        <v>297</v>
      </c>
      <c r="F1076" s="61" t="s">
        <v>298</v>
      </c>
      <c r="G1076" s="62" t="s">
        <v>206</v>
      </c>
      <c r="H1076" s="63" t="s">
        <v>195</v>
      </c>
      <c r="I1076" s="64" t="s">
        <v>267</v>
      </c>
      <c r="J1076" s="65" t="str">
        <f>IFERROR(INDEX('Cost_Components'!$K$2:$K$27,MATCH(E1076,'Cost_Components'!$A$2:$A$27,0)),"")</f>
      </c>
      <c r="K1076" s="66" t="str">
        <f>IF(OR(L1076="",Z1076="",AA1076="",AB1076=""),"",IF(B1076&lt;AA1076,L1076,IF(B1076&gt;AB1076,Z1076,L1076+(Z1076-L1076)*MIN(MAX((B1076-AA1076+1)/MAX(AB1076-AA1076+1,1),0),1))))</f>
      </c>
      <c r="L1076" s="67" t="str">
        <f>IFERROR(INDEX('Cost_Components'!$S$2:$S$27,MATCH(E1076,'Cost_Components'!$A$2:$A$27,0)),"")</f>
      </c>
      <c r="M1076" s="68" t="str">
        <f>IFERROR(INDEX('Cost_Components'!$L$2:$L$27,MATCH(E1076,'Cost_Components'!$A$2:$A$27,0)),"")</f>
      </c>
      <c r="N1076" s="69" t="str">
        <f>IFERROR(INDEX('Cost_Components'!$P$2:$P$27,MATCH(E1076,'Cost_Components'!$A$2:$A$27,0)),"")</f>
      </c>
      <c r="O1076" s="70" t="str">
        <f>AF1076*J1076</f>
      </c>
      <c r="P1076" s="71" t="str">
        <f>AG1076*J1076</f>
      </c>
      <c r="Q1076" s="72" t="str">
        <f>P1076*L1076*M1076*N1076</f>
      </c>
      <c r="R1076" s="73" t="str">
        <f>O1076*K1076*M1076*N1076</f>
      </c>
      <c r="S1076" s="74" t="str">
        <f>R1076-Q1076</f>
      </c>
      <c r="T1076" s="20" t="str">
        <f>IFERROR(INDEX('Cost_Components'!$R$2:$R$27,MATCH(E1076,'Cost_Components'!$A$2:$A$27,0)),"")</f>
      </c>
      <c r="U1076" s="75" t="str">
        <f>IFERROR(INDEX('Cost_Components'!$Q$2:$Q$27,MATCH(E1076,'Cost_Components'!$A$2:$A$27,0)),"")</f>
      </c>
      <c r="V1076" s="76" t="str">
        <f>1/(1+'Calculation_Assumptions'!$B$5)^(B1076-'Calculation_Assumptions'!$B$2)</f>
      </c>
      <c r="W1076" s="77" t="str">
        <f>Q1076*V1076</f>
      </c>
      <c r="X1076" s="78" t="str">
        <f>R1076*V1076</f>
      </c>
      <c r="Y1076" s="79" t="str">
        <f>S1076*V1076</f>
      </c>
      <c r="Z1076" s="80" t="str">
        <f>IFERROR(INDEX('Cost_Components'!$T$2:$T$27,MATCH(E1076,'Cost_Components'!$A$2:$A$27,0)),"")</f>
      </c>
      <c r="AA1076" s="81" t="str">
        <f>IFERROR(INDEX('Cost_Components'!$U$2:$U$27,MATCH(E1076,'Cost_Components'!$A$2:$A$27,0)),"")</f>
      </c>
      <c r="AB1076" s="82" t="str">
        <f>IFERROR(INDEX('Cost_Components'!$V$2:$V$27,MATCH(E1076,'Cost_Components'!$A$2:$A$27,0)),"")</f>
      </c>
      <c r="AC1076" s="83" t="str">
        <f>IFERROR(INDEX('Cost_Components'!$M$2:$M$27,MATCH(E1076,'Cost_Components'!$A$2:$A$27,0)),"")</f>
      </c>
      <c r="AD1076" s="84" t="str">
        <f>IFERROR(INDEX('Cost_Components'!$N$2:$N$27,MATCH(E1076,'Cost_Components'!$A$2:$A$27,0)),"")</f>
      </c>
      <c r="AE1076" s="20" t="str">
        <f>IFERROR(INDEX('Cost_Components'!$O$2:$O$27,MATCH(E1076,'Cost_Components'!$A$2:$A$27,0)),"")</f>
      </c>
      <c r="AF1076" s="85" t="n">
        <v>5877874.49329935</v>
      </c>
      <c r="AG1076" s="86" t="n">
        <v>6048231.79901667</v>
      </c>
      <c r="AH1076" s="87" t="str">
        <f>IF(H1076="shared-count-once",COUNTIFS($A$2:$A$1353,A1076,$B$2:$B$1353,B1076,$E$2:$E$1353,E1076),1)</f>
      </c>
    </row>
    <row r="1077">
      <c r="A1077" t="s">
        <v>75</v>
      </c>
      <c r="B1077" s="59" t="n">
        <v>2034</v>
      </c>
      <c r="C1077" t="s">
        <v>205</v>
      </c>
      <c r="D1077" t="s">
        <v>180</v>
      </c>
      <c r="E1077" s="60" t="s">
        <v>297</v>
      </c>
      <c r="F1077" s="61" t="s">
        <v>298</v>
      </c>
      <c r="G1077" s="62" t="s">
        <v>206</v>
      </c>
      <c r="H1077" s="63" t="s">
        <v>195</v>
      </c>
      <c r="I1077" s="64" t="s">
        <v>267</v>
      </c>
      <c r="J1077" s="65" t="str">
        <f>IFERROR(INDEX('Cost_Components'!$K$2:$K$27,MATCH(E1077,'Cost_Components'!$A$2:$A$27,0)),"")</f>
      </c>
      <c r="K1077" s="66" t="str">
        <f>IF(OR(L1077="",Z1077="",AA1077="",AB1077=""),"",IF(B1077&lt;AA1077,L1077,IF(B1077&gt;AB1077,Z1077,L1077+(Z1077-L1077)*MIN(MAX((B1077-AA1077+1)/MAX(AB1077-AA1077+1,1),0),1))))</f>
      </c>
      <c r="L1077" s="67" t="str">
        <f>IFERROR(INDEX('Cost_Components'!$S$2:$S$27,MATCH(E1077,'Cost_Components'!$A$2:$A$27,0)),"")</f>
      </c>
      <c r="M1077" s="68" t="str">
        <f>IFERROR(INDEX('Cost_Components'!$L$2:$L$27,MATCH(E1077,'Cost_Components'!$A$2:$A$27,0)),"")</f>
      </c>
      <c r="N1077" s="69" t="str">
        <f>IFERROR(INDEX('Cost_Components'!$P$2:$P$27,MATCH(E1077,'Cost_Components'!$A$2:$A$27,0)),"")</f>
      </c>
      <c r="O1077" s="70" t="str">
        <f>AF1077*J1077</f>
      </c>
      <c r="P1077" s="71" t="str">
        <f>AG1077*J1077</f>
      </c>
      <c r="Q1077" s="72" t="str">
        <f>P1077*L1077*M1077*N1077</f>
      </c>
      <c r="R1077" s="73" t="str">
        <f>O1077*K1077*M1077*N1077</f>
      </c>
      <c r="S1077" s="74" t="str">
        <f>R1077-Q1077</f>
      </c>
      <c r="T1077" s="20" t="str">
        <f>IFERROR(INDEX('Cost_Components'!$R$2:$R$27,MATCH(E1077,'Cost_Components'!$A$2:$A$27,0)),"")</f>
      </c>
      <c r="U1077" s="75" t="str">
        <f>IFERROR(INDEX('Cost_Components'!$Q$2:$Q$27,MATCH(E1077,'Cost_Components'!$A$2:$A$27,0)),"")</f>
      </c>
      <c r="V1077" s="76" t="str">
        <f>1/(1+'Calculation_Assumptions'!$B$5)^(B1077-'Calculation_Assumptions'!$B$2)</f>
      </c>
      <c r="W1077" s="77" t="str">
        <f>Q1077*V1077</f>
      </c>
      <c r="X1077" s="78" t="str">
        <f>R1077*V1077</f>
      </c>
      <c r="Y1077" s="79" t="str">
        <f>S1077*V1077</f>
      </c>
      <c r="Z1077" s="80" t="str">
        <f>IFERROR(INDEX('Cost_Components'!$T$2:$T$27,MATCH(E1077,'Cost_Components'!$A$2:$A$27,0)),"")</f>
      </c>
      <c r="AA1077" s="81" t="str">
        <f>IFERROR(INDEX('Cost_Components'!$U$2:$U$27,MATCH(E1077,'Cost_Components'!$A$2:$A$27,0)),"")</f>
      </c>
      <c r="AB1077" s="82" t="str">
        <f>IFERROR(INDEX('Cost_Components'!$V$2:$V$27,MATCH(E1077,'Cost_Components'!$A$2:$A$27,0)),"")</f>
      </c>
      <c r="AC1077" s="83" t="str">
        <f>IFERROR(INDEX('Cost_Components'!$M$2:$M$27,MATCH(E1077,'Cost_Components'!$A$2:$A$27,0)),"")</f>
      </c>
      <c r="AD1077" s="84" t="str">
        <f>IFERROR(INDEX('Cost_Components'!$N$2:$N$27,MATCH(E1077,'Cost_Components'!$A$2:$A$27,0)),"")</f>
      </c>
      <c r="AE1077" s="20" t="str">
        <f>IFERROR(INDEX('Cost_Components'!$O$2:$O$27,MATCH(E1077,'Cost_Components'!$A$2:$A$27,0)),"")</f>
      </c>
      <c r="AF1077" s="85" t="n">
        <v>5960593.66799164</v>
      </c>
      <c r="AG1077" s="86" t="n">
        <v>6165314.81756487</v>
      </c>
      <c r="AH1077" s="87" t="str">
        <f>IF(H1077="shared-count-once",COUNTIFS($A$2:$A$1353,A1077,$B$2:$B$1353,B1077,$E$2:$E$1353,E1077),1)</f>
      </c>
    </row>
    <row r="1078">
      <c r="A1078" t="s">
        <v>75</v>
      </c>
      <c r="B1078" s="59" t="n">
        <v>2035</v>
      </c>
      <c r="C1078" t="s">
        <v>205</v>
      </c>
      <c r="D1078" t="s">
        <v>180</v>
      </c>
      <c r="E1078" s="60" t="s">
        <v>297</v>
      </c>
      <c r="F1078" s="61" t="s">
        <v>298</v>
      </c>
      <c r="G1078" s="62" t="s">
        <v>206</v>
      </c>
      <c r="H1078" s="63" t="s">
        <v>195</v>
      </c>
      <c r="I1078" s="64" t="s">
        <v>267</v>
      </c>
      <c r="J1078" s="65" t="str">
        <f>IFERROR(INDEX('Cost_Components'!$K$2:$K$27,MATCH(E1078,'Cost_Components'!$A$2:$A$27,0)),"")</f>
      </c>
      <c r="K1078" s="66" t="str">
        <f>IF(OR(L1078="",Z1078="",AA1078="",AB1078=""),"",IF(B1078&lt;AA1078,L1078,IF(B1078&gt;AB1078,Z1078,L1078+(Z1078-L1078)*MIN(MAX((B1078-AA1078+1)/MAX(AB1078-AA1078+1,1),0),1))))</f>
      </c>
      <c r="L1078" s="67" t="str">
        <f>IFERROR(INDEX('Cost_Components'!$S$2:$S$27,MATCH(E1078,'Cost_Components'!$A$2:$A$27,0)),"")</f>
      </c>
      <c r="M1078" s="68" t="str">
        <f>IFERROR(INDEX('Cost_Components'!$L$2:$L$27,MATCH(E1078,'Cost_Components'!$A$2:$A$27,0)),"")</f>
      </c>
      <c r="N1078" s="69" t="str">
        <f>IFERROR(INDEX('Cost_Components'!$P$2:$P$27,MATCH(E1078,'Cost_Components'!$A$2:$A$27,0)),"")</f>
      </c>
      <c r="O1078" s="70" t="str">
        <f>AF1078*J1078</f>
      </c>
      <c r="P1078" s="71" t="str">
        <f>AG1078*J1078</f>
      </c>
      <c r="Q1078" s="72" t="str">
        <f>P1078*L1078*M1078*N1078</f>
      </c>
      <c r="R1078" s="73" t="str">
        <f>O1078*K1078*M1078*N1078</f>
      </c>
      <c r="S1078" s="74" t="str">
        <f>R1078-Q1078</f>
      </c>
      <c r="T1078" s="20" t="str">
        <f>IFERROR(INDEX('Cost_Components'!$R$2:$R$27,MATCH(E1078,'Cost_Components'!$A$2:$A$27,0)),"")</f>
      </c>
      <c r="U1078" s="75" t="str">
        <f>IFERROR(INDEX('Cost_Components'!$Q$2:$Q$27,MATCH(E1078,'Cost_Components'!$A$2:$A$27,0)),"")</f>
      </c>
      <c r="V1078" s="76" t="str">
        <f>1/(1+'Calculation_Assumptions'!$B$5)^(B1078-'Calculation_Assumptions'!$B$2)</f>
      </c>
      <c r="W1078" s="77" t="str">
        <f>Q1078*V1078</f>
      </c>
      <c r="X1078" s="78" t="str">
        <f>R1078*V1078</f>
      </c>
      <c r="Y1078" s="79" t="str">
        <f>S1078*V1078</f>
      </c>
      <c r="Z1078" s="80" t="str">
        <f>IFERROR(INDEX('Cost_Components'!$T$2:$T$27,MATCH(E1078,'Cost_Components'!$A$2:$A$27,0)),"")</f>
      </c>
      <c r="AA1078" s="81" t="str">
        <f>IFERROR(INDEX('Cost_Components'!$U$2:$U$27,MATCH(E1078,'Cost_Components'!$A$2:$A$27,0)),"")</f>
      </c>
      <c r="AB1078" s="82" t="str">
        <f>IFERROR(INDEX('Cost_Components'!$V$2:$V$27,MATCH(E1078,'Cost_Components'!$A$2:$A$27,0)),"")</f>
      </c>
      <c r="AC1078" s="83" t="str">
        <f>IFERROR(INDEX('Cost_Components'!$M$2:$M$27,MATCH(E1078,'Cost_Components'!$A$2:$A$27,0)),"")</f>
      </c>
      <c r="AD1078" s="84" t="str">
        <f>IFERROR(INDEX('Cost_Components'!$N$2:$N$27,MATCH(E1078,'Cost_Components'!$A$2:$A$27,0)),"")</f>
      </c>
      <c r="AE1078" s="20" t="str">
        <f>IFERROR(INDEX('Cost_Components'!$O$2:$O$27,MATCH(E1078,'Cost_Components'!$A$2:$A$27,0)),"")</f>
      </c>
      <c r="AF1078" s="85" t="n">
        <v>6042375.45919993</v>
      </c>
      <c r="AG1078" s="86" t="n">
        <v>6284033.10491271</v>
      </c>
      <c r="AH1078" s="87" t="str">
        <f>IF(H1078="shared-count-once",COUNTIFS($A$2:$A$1353,A1078,$B$2:$B$1353,B1078,$E$2:$E$1353,E1078),1)</f>
      </c>
    </row>
    <row r="1079">
      <c r="A1079" t="s">
        <v>75</v>
      </c>
      <c r="B1079" s="59" t="n">
        <v>2036</v>
      </c>
      <c r="C1079" t="s">
        <v>205</v>
      </c>
      <c r="D1079" t="s">
        <v>180</v>
      </c>
      <c r="E1079" s="60" t="s">
        <v>297</v>
      </c>
      <c r="F1079" s="61" t="s">
        <v>298</v>
      </c>
      <c r="G1079" s="62" t="s">
        <v>206</v>
      </c>
      <c r="H1079" s="63" t="s">
        <v>195</v>
      </c>
      <c r="I1079" s="64" t="s">
        <v>267</v>
      </c>
      <c r="J1079" s="65" t="str">
        <f>IFERROR(INDEX('Cost_Components'!$K$2:$K$27,MATCH(E1079,'Cost_Components'!$A$2:$A$27,0)),"")</f>
      </c>
      <c r="K1079" s="66" t="str">
        <f>IF(OR(L1079="",Z1079="",AA1079="",AB1079=""),"",IF(B1079&lt;AA1079,L1079,IF(B1079&gt;AB1079,Z1079,L1079+(Z1079-L1079)*MIN(MAX((B1079-AA1079+1)/MAX(AB1079-AA1079+1,1),0),1))))</f>
      </c>
      <c r="L1079" s="67" t="str">
        <f>IFERROR(INDEX('Cost_Components'!$S$2:$S$27,MATCH(E1079,'Cost_Components'!$A$2:$A$27,0)),"")</f>
      </c>
      <c r="M1079" s="68" t="str">
        <f>IFERROR(INDEX('Cost_Components'!$L$2:$L$27,MATCH(E1079,'Cost_Components'!$A$2:$A$27,0)),"")</f>
      </c>
      <c r="N1079" s="69" t="str">
        <f>IFERROR(INDEX('Cost_Components'!$P$2:$P$27,MATCH(E1079,'Cost_Components'!$A$2:$A$27,0)),"")</f>
      </c>
      <c r="O1079" s="70" t="str">
        <f>AF1079*J1079</f>
      </c>
      <c r="P1079" s="71" t="str">
        <f>AG1079*J1079</f>
      </c>
      <c r="Q1079" s="72" t="str">
        <f>P1079*L1079*M1079*N1079</f>
      </c>
      <c r="R1079" s="73" t="str">
        <f>O1079*K1079*M1079*N1079</f>
      </c>
      <c r="S1079" s="74" t="str">
        <f>R1079-Q1079</f>
      </c>
      <c r="T1079" s="20" t="str">
        <f>IFERROR(INDEX('Cost_Components'!$R$2:$R$27,MATCH(E1079,'Cost_Components'!$A$2:$A$27,0)),"")</f>
      </c>
      <c r="U1079" s="75" t="str">
        <f>IFERROR(INDEX('Cost_Components'!$Q$2:$Q$27,MATCH(E1079,'Cost_Components'!$A$2:$A$27,0)),"")</f>
      </c>
      <c r="V1079" s="76" t="str">
        <f>1/(1+'Calculation_Assumptions'!$B$5)^(B1079-'Calculation_Assumptions'!$B$2)</f>
      </c>
      <c r="W1079" s="77" t="str">
        <f>Q1079*V1079</f>
      </c>
      <c r="X1079" s="78" t="str">
        <f>R1079*V1079</f>
      </c>
      <c r="Y1079" s="79" t="str">
        <f>S1079*V1079</f>
      </c>
      <c r="Z1079" s="80" t="str">
        <f>IFERROR(INDEX('Cost_Components'!$T$2:$T$27,MATCH(E1079,'Cost_Components'!$A$2:$A$27,0)),"")</f>
      </c>
      <c r="AA1079" s="81" t="str">
        <f>IFERROR(INDEX('Cost_Components'!$U$2:$U$27,MATCH(E1079,'Cost_Components'!$A$2:$A$27,0)),"")</f>
      </c>
      <c r="AB1079" s="82" t="str">
        <f>IFERROR(INDEX('Cost_Components'!$V$2:$V$27,MATCH(E1079,'Cost_Components'!$A$2:$A$27,0)),"")</f>
      </c>
      <c r="AC1079" s="83" t="str">
        <f>IFERROR(INDEX('Cost_Components'!$M$2:$M$27,MATCH(E1079,'Cost_Components'!$A$2:$A$27,0)),"")</f>
      </c>
      <c r="AD1079" s="84" t="str">
        <f>IFERROR(INDEX('Cost_Components'!$N$2:$N$27,MATCH(E1079,'Cost_Components'!$A$2:$A$27,0)),"")</f>
      </c>
      <c r="AE1079" s="20" t="str">
        <f>IFERROR(INDEX('Cost_Components'!$O$2:$O$27,MATCH(E1079,'Cost_Components'!$A$2:$A$27,0)),"")</f>
      </c>
      <c r="AF1079" s="85" t="n">
        <v>6122570.71082653</v>
      </c>
      <c r="AG1079" s="86" t="n">
        <v>6403647.07460713</v>
      </c>
      <c r="AH1079" s="87" t="str">
        <f>IF(H1079="shared-count-once",COUNTIFS($A$2:$A$1353,A1079,$B$2:$B$1353,B1079,$E$2:$E$1353,E1079),1)</f>
      </c>
    </row>
    <row r="1080">
      <c r="A1080" t="s">
        <v>75</v>
      </c>
      <c r="B1080" s="59" t="n">
        <v>2037</v>
      </c>
      <c r="C1080" t="s">
        <v>205</v>
      </c>
      <c r="D1080" t="s">
        <v>180</v>
      </c>
      <c r="E1080" s="60" t="s">
        <v>297</v>
      </c>
      <c r="F1080" s="61" t="s">
        <v>298</v>
      </c>
      <c r="G1080" s="62" t="s">
        <v>206</v>
      </c>
      <c r="H1080" s="63" t="s">
        <v>195</v>
      </c>
      <c r="I1080" s="64" t="s">
        <v>267</v>
      </c>
      <c r="J1080" s="65" t="str">
        <f>IFERROR(INDEX('Cost_Components'!$K$2:$K$27,MATCH(E1080,'Cost_Components'!$A$2:$A$27,0)),"")</f>
      </c>
      <c r="K1080" s="66" t="str">
        <f>IF(OR(L1080="",Z1080="",AA1080="",AB1080=""),"",IF(B1080&lt;AA1080,L1080,IF(B1080&gt;AB1080,Z1080,L1080+(Z1080-L1080)*MIN(MAX((B1080-AA1080+1)/MAX(AB1080-AA1080+1,1),0),1))))</f>
      </c>
      <c r="L1080" s="67" t="str">
        <f>IFERROR(INDEX('Cost_Components'!$S$2:$S$27,MATCH(E1080,'Cost_Components'!$A$2:$A$27,0)),"")</f>
      </c>
      <c r="M1080" s="68" t="str">
        <f>IFERROR(INDEX('Cost_Components'!$L$2:$L$27,MATCH(E1080,'Cost_Components'!$A$2:$A$27,0)),"")</f>
      </c>
      <c r="N1080" s="69" t="str">
        <f>IFERROR(INDEX('Cost_Components'!$P$2:$P$27,MATCH(E1080,'Cost_Components'!$A$2:$A$27,0)),"")</f>
      </c>
      <c r="O1080" s="70" t="str">
        <f>AF1080*J1080</f>
      </c>
      <c r="P1080" s="71" t="str">
        <f>AG1080*J1080</f>
      </c>
      <c r="Q1080" s="72" t="str">
        <f>P1080*L1080*M1080*N1080</f>
      </c>
      <c r="R1080" s="73" t="str">
        <f>O1080*K1080*M1080*N1080</f>
      </c>
      <c r="S1080" s="74" t="str">
        <f>R1080-Q1080</f>
      </c>
      <c r="T1080" s="20" t="str">
        <f>IFERROR(INDEX('Cost_Components'!$R$2:$R$27,MATCH(E1080,'Cost_Components'!$A$2:$A$27,0)),"")</f>
      </c>
      <c r="U1080" s="75" t="str">
        <f>IFERROR(INDEX('Cost_Components'!$Q$2:$Q$27,MATCH(E1080,'Cost_Components'!$A$2:$A$27,0)),"")</f>
      </c>
      <c r="V1080" s="76" t="str">
        <f>1/(1+'Calculation_Assumptions'!$B$5)^(B1080-'Calculation_Assumptions'!$B$2)</f>
      </c>
      <c r="W1080" s="77" t="str">
        <f>Q1080*V1080</f>
      </c>
      <c r="X1080" s="78" t="str">
        <f>R1080*V1080</f>
      </c>
      <c r="Y1080" s="79" t="str">
        <f>S1080*V1080</f>
      </c>
      <c r="Z1080" s="80" t="str">
        <f>IFERROR(INDEX('Cost_Components'!$T$2:$T$27,MATCH(E1080,'Cost_Components'!$A$2:$A$27,0)),"")</f>
      </c>
      <c r="AA1080" s="81" t="str">
        <f>IFERROR(INDEX('Cost_Components'!$U$2:$U$27,MATCH(E1080,'Cost_Components'!$A$2:$A$27,0)),"")</f>
      </c>
      <c r="AB1080" s="82" t="str">
        <f>IFERROR(INDEX('Cost_Components'!$V$2:$V$27,MATCH(E1080,'Cost_Components'!$A$2:$A$27,0)),"")</f>
      </c>
      <c r="AC1080" s="83" t="str">
        <f>IFERROR(INDEX('Cost_Components'!$M$2:$M$27,MATCH(E1080,'Cost_Components'!$A$2:$A$27,0)),"")</f>
      </c>
      <c r="AD1080" s="84" t="str">
        <f>IFERROR(INDEX('Cost_Components'!$N$2:$N$27,MATCH(E1080,'Cost_Components'!$A$2:$A$27,0)),"")</f>
      </c>
      <c r="AE1080" s="20" t="str">
        <f>IFERROR(INDEX('Cost_Components'!$O$2:$O$27,MATCH(E1080,'Cost_Components'!$A$2:$A$27,0)),"")</f>
      </c>
      <c r="AF1080" s="85" t="n">
        <v>6200681.25606434</v>
      </c>
      <c r="AG1080" s="86" t="n">
        <v>6523601.43550817</v>
      </c>
      <c r="AH1080" s="87" t="str">
        <f>IF(H1080="shared-count-once",COUNTIFS($A$2:$A$1353,A1080,$B$2:$B$1353,B1080,$E$2:$E$1353,E1080),1)</f>
      </c>
    </row>
    <row r="1081">
      <c r="A1081" t="s">
        <v>75</v>
      </c>
      <c r="B1081" s="59" t="n">
        <v>2038</v>
      </c>
      <c r="C1081" t="s">
        <v>205</v>
      </c>
      <c r="D1081" t="s">
        <v>180</v>
      </c>
      <c r="E1081" s="60" t="s">
        <v>297</v>
      </c>
      <c r="F1081" s="61" t="s">
        <v>298</v>
      </c>
      <c r="G1081" s="62" t="s">
        <v>206</v>
      </c>
      <c r="H1081" s="63" t="s">
        <v>195</v>
      </c>
      <c r="I1081" s="64" t="s">
        <v>267</v>
      </c>
      <c r="J1081" s="65" t="str">
        <f>IFERROR(INDEX('Cost_Components'!$K$2:$K$27,MATCH(E1081,'Cost_Components'!$A$2:$A$27,0)),"")</f>
      </c>
      <c r="K1081" s="66" t="str">
        <f>IF(OR(L1081="",Z1081="",AA1081="",AB1081=""),"",IF(B1081&lt;AA1081,L1081,IF(B1081&gt;AB1081,Z1081,L1081+(Z1081-L1081)*MIN(MAX((B1081-AA1081+1)/MAX(AB1081-AA1081+1,1),0),1))))</f>
      </c>
      <c r="L1081" s="67" t="str">
        <f>IFERROR(INDEX('Cost_Components'!$S$2:$S$27,MATCH(E1081,'Cost_Components'!$A$2:$A$27,0)),"")</f>
      </c>
      <c r="M1081" s="68" t="str">
        <f>IFERROR(INDEX('Cost_Components'!$L$2:$L$27,MATCH(E1081,'Cost_Components'!$A$2:$A$27,0)),"")</f>
      </c>
      <c r="N1081" s="69" t="str">
        <f>IFERROR(INDEX('Cost_Components'!$P$2:$P$27,MATCH(E1081,'Cost_Components'!$A$2:$A$27,0)),"")</f>
      </c>
      <c r="O1081" s="70" t="str">
        <f>AF1081*J1081</f>
      </c>
      <c r="P1081" s="71" t="str">
        <f>AG1081*J1081</f>
      </c>
      <c r="Q1081" s="72" t="str">
        <f>P1081*L1081*M1081*N1081</f>
      </c>
      <c r="R1081" s="73" t="str">
        <f>O1081*K1081*M1081*N1081</f>
      </c>
      <c r="S1081" s="74" t="str">
        <f>R1081-Q1081</f>
      </c>
      <c r="T1081" s="20" t="str">
        <f>IFERROR(INDEX('Cost_Components'!$R$2:$R$27,MATCH(E1081,'Cost_Components'!$A$2:$A$27,0)),"")</f>
      </c>
      <c r="U1081" s="75" t="str">
        <f>IFERROR(INDEX('Cost_Components'!$Q$2:$Q$27,MATCH(E1081,'Cost_Components'!$A$2:$A$27,0)),"")</f>
      </c>
      <c r="V1081" s="76" t="str">
        <f>1/(1+'Calculation_Assumptions'!$B$5)^(B1081-'Calculation_Assumptions'!$B$2)</f>
      </c>
      <c r="W1081" s="77" t="str">
        <f>Q1081*V1081</f>
      </c>
      <c r="X1081" s="78" t="str">
        <f>R1081*V1081</f>
      </c>
      <c r="Y1081" s="79" t="str">
        <f>S1081*V1081</f>
      </c>
      <c r="Z1081" s="80" t="str">
        <f>IFERROR(INDEX('Cost_Components'!$T$2:$T$27,MATCH(E1081,'Cost_Components'!$A$2:$A$27,0)),"")</f>
      </c>
      <c r="AA1081" s="81" t="str">
        <f>IFERROR(INDEX('Cost_Components'!$U$2:$U$27,MATCH(E1081,'Cost_Components'!$A$2:$A$27,0)),"")</f>
      </c>
      <c r="AB1081" s="82" t="str">
        <f>IFERROR(INDEX('Cost_Components'!$V$2:$V$27,MATCH(E1081,'Cost_Components'!$A$2:$A$27,0)),"")</f>
      </c>
      <c r="AC1081" s="83" t="str">
        <f>IFERROR(INDEX('Cost_Components'!$M$2:$M$27,MATCH(E1081,'Cost_Components'!$A$2:$A$27,0)),"")</f>
      </c>
      <c r="AD1081" s="84" t="str">
        <f>IFERROR(INDEX('Cost_Components'!$N$2:$N$27,MATCH(E1081,'Cost_Components'!$A$2:$A$27,0)),"")</f>
      </c>
      <c r="AE1081" s="20" t="str">
        <f>IFERROR(INDEX('Cost_Components'!$O$2:$O$27,MATCH(E1081,'Cost_Components'!$A$2:$A$27,0)),"")</f>
      </c>
      <c r="AF1081" s="85" t="n">
        <v>6276819.44467613</v>
      </c>
      <c r="AG1081" s="86" t="n">
        <v>6644008.192335</v>
      </c>
      <c r="AH1081" s="87" t="str">
        <f>IF(H1081="shared-count-once",COUNTIFS($A$2:$A$1353,A1081,$B$2:$B$1353,B1081,$E$2:$E$1353,E1081),1)</f>
      </c>
    </row>
    <row r="1082">
      <c r="A1082" t="s">
        <v>75</v>
      </c>
      <c r="B1082" s="59" t="n">
        <v>2039</v>
      </c>
      <c r="C1082" t="s">
        <v>205</v>
      </c>
      <c r="D1082" t="s">
        <v>180</v>
      </c>
      <c r="E1082" s="60" t="s">
        <v>297</v>
      </c>
      <c r="F1082" s="61" t="s">
        <v>298</v>
      </c>
      <c r="G1082" s="62" t="s">
        <v>206</v>
      </c>
      <c r="H1082" s="63" t="s">
        <v>195</v>
      </c>
      <c r="I1082" s="64" t="s">
        <v>267</v>
      </c>
      <c r="J1082" s="65" t="str">
        <f>IFERROR(INDEX('Cost_Components'!$K$2:$K$27,MATCH(E1082,'Cost_Components'!$A$2:$A$27,0)),"")</f>
      </c>
      <c r="K1082" s="66" t="str">
        <f>IF(OR(L1082="",Z1082="",AA1082="",AB1082=""),"",IF(B1082&lt;AA1082,L1082,IF(B1082&gt;AB1082,Z1082,L1082+(Z1082-L1082)*MIN(MAX((B1082-AA1082+1)/MAX(AB1082-AA1082+1,1),0),1))))</f>
      </c>
      <c r="L1082" s="67" t="str">
        <f>IFERROR(INDEX('Cost_Components'!$S$2:$S$27,MATCH(E1082,'Cost_Components'!$A$2:$A$27,0)),"")</f>
      </c>
      <c r="M1082" s="68" t="str">
        <f>IFERROR(INDEX('Cost_Components'!$L$2:$L$27,MATCH(E1082,'Cost_Components'!$A$2:$A$27,0)),"")</f>
      </c>
      <c r="N1082" s="69" t="str">
        <f>IFERROR(INDEX('Cost_Components'!$P$2:$P$27,MATCH(E1082,'Cost_Components'!$A$2:$A$27,0)),"")</f>
      </c>
      <c r="O1082" s="70" t="str">
        <f>AF1082*J1082</f>
      </c>
      <c r="P1082" s="71" t="str">
        <f>AG1082*J1082</f>
      </c>
      <c r="Q1082" s="72" t="str">
        <f>P1082*L1082*M1082*N1082</f>
      </c>
      <c r="R1082" s="73" t="str">
        <f>O1082*K1082*M1082*N1082</f>
      </c>
      <c r="S1082" s="74" t="str">
        <f>R1082-Q1082</f>
      </c>
      <c r="T1082" s="20" t="str">
        <f>IFERROR(INDEX('Cost_Components'!$R$2:$R$27,MATCH(E1082,'Cost_Components'!$A$2:$A$27,0)),"")</f>
      </c>
      <c r="U1082" s="75" t="str">
        <f>IFERROR(INDEX('Cost_Components'!$Q$2:$Q$27,MATCH(E1082,'Cost_Components'!$A$2:$A$27,0)),"")</f>
      </c>
      <c r="V1082" s="76" t="str">
        <f>1/(1+'Calculation_Assumptions'!$B$5)^(B1082-'Calculation_Assumptions'!$B$2)</f>
      </c>
      <c r="W1082" s="77" t="str">
        <f>Q1082*V1082</f>
      </c>
      <c r="X1082" s="78" t="str">
        <f>R1082*V1082</f>
      </c>
      <c r="Y1082" s="79" t="str">
        <f>S1082*V1082</f>
      </c>
      <c r="Z1082" s="80" t="str">
        <f>IFERROR(INDEX('Cost_Components'!$T$2:$T$27,MATCH(E1082,'Cost_Components'!$A$2:$A$27,0)),"")</f>
      </c>
      <c r="AA1082" s="81" t="str">
        <f>IFERROR(INDEX('Cost_Components'!$U$2:$U$27,MATCH(E1082,'Cost_Components'!$A$2:$A$27,0)),"")</f>
      </c>
      <c r="AB1082" s="82" t="str">
        <f>IFERROR(INDEX('Cost_Components'!$V$2:$V$27,MATCH(E1082,'Cost_Components'!$A$2:$A$27,0)),"")</f>
      </c>
      <c r="AC1082" s="83" t="str">
        <f>IFERROR(INDEX('Cost_Components'!$M$2:$M$27,MATCH(E1082,'Cost_Components'!$A$2:$A$27,0)),"")</f>
      </c>
      <c r="AD1082" s="84" t="str">
        <f>IFERROR(INDEX('Cost_Components'!$N$2:$N$27,MATCH(E1082,'Cost_Components'!$A$2:$A$27,0)),"")</f>
      </c>
      <c r="AE1082" s="20" t="str">
        <f>IFERROR(INDEX('Cost_Components'!$O$2:$O$27,MATCH(E1082,'Cost_Components'!$A$2:$A$27,0)),"")</f>
      </c>
      <c r="AF1082" s="85" t="n">
        <v>6347035.69594255</v>
      </c>
      <c r="AG1082" s="86" t="n">
        <v>6760238.21942814</v>
      </c>
      <c r="AH1082" s="87" t="str">
        <f>IF(H1082="shared-count-once",COUNTIFS($A$2:$A$1353,A1082,$B$2:$B$1353,B1082,$E$2:$E$1353,E1082),1)</f>
      </c>
    </row>
    <row r="1083">
      <c r="A1083" t="s">
        <v>75</v>
      </c>
      <c r="B1083" s="59" t="n">
        <v>2040</v>
      </c>
      <c r="C1083" t="s">
        <v>205</v>
      </c>
      <c r="D1083" t="s">
        <v>180</v>
      </c>
      <c r="E1083" s="60" t="s">
        <v>297</v>
      </c>
      <c r="F1083" s="61" t="s">
        <v>298</v>
      </c>
      <c r="G1083" s="62" t="s">
        <v>206</v>
      </c>
      <c r="H1083" s="63" t="s">
        <v>195</v>
      </c>
      <c r="I1083" s="64" t="s">
        <v>267</v>
      </c>
      <c r="J1083" s="65" t="str">
        <f>IFERROR(INDEX('Cost_Components'!$K$2:$K$27,MATCH(E1083,'Cost_Components'!$A$2:$A$27,0)),"")</f>
      </c>
      <c r="K1083" s="66" t="str">
        <f>IF(OR(L1083="",Z1083="",AA1083="",AB1083=""),"",IF(B1083&lt;AA1083,L1083,IF(B1083&gt;AB1083,Z1083,L1083+(Z1083-L1083)*MIN(MAX((B1083-AA1083+1)/MAX(AB1083-AA1083+1,1),0),1))))</f>
      </c>
      <c r="L1083" s="67" t="str">
        <f>IFERROR(INDEX('Cost_Components'!$S$2:$S$27,MATCH(E1083,'Cost_Components'!$A$2:$A$27,0)),"")</f>
      </c>
      <c r="M1083" s="68" t="str">
        <f>IFERROR(INDEX('Cost_Components'!$L$2:$L$27,MATCH(E1083,'Cost_Components'!$A$2:$A$27,0)),"")</f>
      </c>
      <c r="N1083" s="69" t="str">
        <f>IFERROR(INDEX('Cost_Components'!$P$2:$P$27,MATCH(E1083,'Cost_Components'!$A$2:$A$27,0)),"")</f>
      </c>
      <c r="O1083" s="70" t="str">
        <f>AF1083*J1083</f>
      </c>
      <c r="P1083" s="71" t="str">
        <f>AG1083*J1083</f>
      </c>
      <c r="Q1083" s="72" t="str">
        <f>P1083*L1083*M1083*N1083</f>
      </c>
      <c r="R1083" s="73" t="str">
        <f>O1083*K1083*M1083*N1083</f>
      </c>
      <c r="S1083" s="74" t="str">
        <f>R1083-Q1083</f>
      </c>
      <c r="T1083" s="20" t="str">
        <f>IFERROR(INDEX('Cost_Components'!$R$2:$R$27,MATCH(E1083,'Cost_Components'!$A$2:$A$27,0)),"")</f>
      </c>
      <c r="U1083" s="75" t="str">
        <f>IFERROR(INDEX('Cost_Components'!$Q$2:$Q$27,MATCH(E1083,'Cost_Components'!$A$2:$A$27,0)),"")</f>
      </c>
      <c r="V1083" s="76" t="str">
        <f>1/(1+'Calculation_Assumptions'!$B$5)^(B1083-'Calculation_Assumptions'!$B$2)</f>
      </c>
      <c r="W1083" s="77" t="str">
        <f>Q1083*V1083</f>
      </c>
      <c r="X1083" s="78" t="str">
        <f>R1083*V1083</f>
      </c>
      <c r="Y1083" s="79" t="str">
        <f>S1083*V1083</f>
      </c>
      <c r="Z1083" s="80" t="str">
        <f>IFERROR(INDEX('Cost_Components'!$T$2:$T$27,MATCH(E1083,'Cost_Components'!$A$2:$A$27,0)),"")</f>
      </c>
      <c r="AA1083" s="81" t="str">
        <f>IFERROR(INDEX('Cost_Components'!$U$2:$U$27,MATCH(E1083,'Cost_Components'!$A$2:$A$27,0)),"")</f>
      </c>
      <c r="AB1083" s="82" t="str">
        <f>IFERROR(INDEX('Cost_Components'!$V$2:$V$27,MATCH(E1083,'Cost_Components'!$A$2:$A$27,0)),"")</f>
      </c>
      <c r="AC1083" s="83" t="str">
        <f>IFERROR(INDEX('Cost_Components'!$M$2:$M$27,MATCH(E1083,'Cost_Components'!$A$2:$A$27,0)),"")</f>
      </c>
      <c r="AD1083" s="84" t="str">
        <f>IFERROR(INDEX('Cost_Components'!$N$2:$N$27,MATCH(E1083,'Cost_Components'!$A$2:$A$27,0)),"")</f>
      </c>
      <c r="AE1083" s="20" t="str">
        <f>IFERROR(INDEX('Cost_Components'!$O$2:$O$27,MATCH(E1083,'Cost_Components'!$A$2:$A$27,0)),"")</f>
      </c>
      <c r="AF1083" s="85" t="n">
        <v>6414807.14920038</v>
      </c>
      <c r="AG1083" s="86" t="n">
        <v>6876037.34665342</v>
      </c>
      <c r="AH1083" s="87" t="str">
        <f>IF(H1083="shared-count-once",COUNTIFS($A$2:$A$1353,A1083,$B$2:$B$1353,B1083,$E$2:$E$1353,E1083),1)</f>
      </c>
    </row>
    <row r="1084">
      <c r="A1084" t="s">
        <v>75</v>
      </c>
      <c r="B1084" s="59" t="n">
        <v>2041</v>
      </c>
      <c r="C1084" t="s">
        <v>205</v>
      </c>
      <c r="D1084" t="s">
        <v>180</v>
      </c>
      <c r="E1084" s="60" t="s">
        <v>297</v>
      </c>
      <c r="F1084" s="61" t="s">
        <v>298</v>
      </c>
      <c r="G1084" s="62" t="s">
        <v>206</v>
      </c>
      <c r="H1084" s="63" t="s">
        <v>195</v>
      </c>
      <c r="I1084" s="64" t="s">
        <v>267</v>
      </c>
      <c r="J1084" s="65" t="str">
        <f>IFERROR(INDEX('Cost_Components'!$K$2:$K$27,MATCH(E1084,'Cost_Components'!$A$2:$A$27,0)),"")</f>
      </c>
      <c r="K1084" s="66" t="str">
        <f>IF(OR(L1084="",Z1084="",AA1084="",AB1084=""),"",IF(B1084&lt;AA1084,L1084,IF(B1084&gt;AB1084,Z1084,L1084+(Z1084-L1084)*MIN(MAX((B1084-AA1084+1)/MAX(AB1084-AA1084+1,1),0),1))))</f>
      </c>
      <c r="L1084" s="67" t="str">
        <f>IFERROR(INDEX('Cost_Components'!$S$2:$S$27,MATCH(E1084,'Cost_Components'!$A$2:$A$27,0)),"")</f>
      </c>
      <c r="M1084" s="68" t="str">
        <f>IFERROR(INDEX('Cost_Components'!$L$2:$L$27,MATCH(E1084,'Cost_Components'!$A$2:$A$27,0)),"")</f>
      </c>
      <c r="N1084" s="69" t="str">
        <f>IFERROR(INDEX('Cost_Components'!$P$2:$P$27,MATCH(E1084,'Cost_Components'!$A$2:$A$27,0)),"")</f>
      </c>
      <c r="O1084" s="70" t="str">
        <f>AF1084*J1084</f>
      </c>
      <c r="P1084" s="71" t="str">
        <f>AG1084*J1084</f>
      </c>
      <c r="Q1084" s="72" t="str">
        <f>P1084*L1084*M1084*N1084</f>
      </c>
      <c r="R1084" s="73" t="str">
        <f>O1084*K1084*M1084*N1084</f>
      </c>
      <c r="S1084" s="74" t="str">
        <f>R1084-Q1084</f>
      </c>
      <c r="T1084" s="20" t="str">
        <f>IFERROR(INDEX('Cost_Components'!$R$2:$R$27,MATCH(E1084,'Cost_Components'!$A$2:$A$27,0)),"")</f>
      </c>
      <c r="U1084" s="75" t="str">
        <f>IFERROR(INDEX('Cost_Components'!$Q$2:$Q$27,MATCH(E1084,'Cost_Components'!$A$2:$A$27,0)),"")</f>
      </c>
      <c r="V1084" s="76" t="str">
        <f>1/(1+'Calculation_Assumptions'!$B$5)^(B1084-'Calculation_Assumptions'!$B$2)</f>
      </c>
      <c r="W1084" s="77" t="str">
        <f>Q1084*V1084</f>
      </c>
      <c r="X1084" s="78" t="str">
        <f>R1084*V1084</f>
      </c>
      <c r="Y1084" s="79" t="str">
        <f>S1084*V1084</f>
      </c>
      <c r="Z1084" s="80" t="str">
        <f>IFERROR(INDEX('Cost_Components'!$T$2:$T$27,MATCH(E1084,'Cost_Components'!$A$2:$A$27,0)),"")</f>
      </c>
      <c r="AA1084" s="81" t="str">
        <f>IFERROR(INDEX('Cost_Components'!$U$2:$U$27,MATCH(E1084,'Cost_Components'!$A$2:$A$27,0)),"")</f>
      </c>
      <c r="AB1084" s="82" t="str">
        <f>IFERROR(INDEX('Cost_Components'!$V$2:$V$27,MATCH(E1084,'Cost_Components'!$A$2:$A$27,0)),"")</f>
      </c>
      <c r="AC1084" s="83" t="str">
        <f>IFERROR(INDEX('Cost_Components'!$M$2:$M$27,MATCH(E1084,'Cost_Components'!$A$2:$A$27,0)),"")</f>
      </c>
      <c r="AD1084" s="84" t="str">
        <f>IFERROR(INDEX('Cost_Components'!$N$2:$N$27,MATCH(E1084,'Cost_Components'!$A$2:$A$27,0)),"")</f>
      </c>
      <c r="AE1084" s="20" t="str">
        <f>IFERROR(INDEX('Cost_Components'!$O$2:$O$27,MATCH(E1084,'Cost_Components'!$A$2:$A$27,0)),"")</f>
      </c>
      <c r="AF1084" s="85" t="n">
        <v>6479721.09140666</v>
      </c>
      <c r="AG1084" s="86" t="n">
        <v>6990953.04348834</v>
      </c>
      <c r="AH1084" s="87" t="str">
        <f>IF(H1084="shared-count-once",COUNTIFS($A$2:$A$1353,A1084,$B$2:$B$1353,B1084,$E$2:$E$1353,E1084),1)</f>
      </c>
    </row>
    <row r="1085">
      <c r="A1085" t="s">
        <v>75</v>
      </c>
      <c r="B1085" s="59" t="n">
        <v>2042</v>
      </c>
      <c r="C1085" t="s">
        <v>205</v>
      </c>
      <c r="D1085" t="s">
        <v>180</v>
      </c>
      <c r="E1085" s="60" t="s">
        <v>297</v>
      </c>
      <c r="F1085" s="61" t="s">
        <v>298</v>
      </c>
      <c r="G1085" s="62" t="s">
        <v>206</v>
      </c>
      <c r="H1085" s="63" t="s">
        <v>195</v>
      </c>
      <c r="I1085" s="64" t="s">
        <v>267</v>
      </c>
      <c r="J1085" s="65" t="str">
        <f>IFERROR(INDEX('Cost_Components'!$K$2:$K$27,MATCH(E1085,'Cost_Components'!$A$2:$A$27,0)),"")</f>
      </c>
      <c r="K1085" s="66" t="str">
        <f>IF(OR(L1085="",Z1085="",AA1085="",AB1085=""),"",IF(B1085&lt;AA1085,L1085,IF(B1085&gt;AB1085,Z1085,L1085+(Z1085-L1085)*MIN(MAX((B1085-AA1085+1)/MAX(AB1085-AA1085+1,1),0),1))))</f>
      </c>
      <c r="L1085" s="67" t="str">
        <f>IFERROR(INDEX('Cost_Components'!$S$2:$S$27,MATCH(E1085,'Cost_Components'!$A$2:$A$27,0)),"")</f>
      </c>
      <c r="M1085" s="68" t="str">
        <f>IFERROR(INDEX('Cost_Components'!$L$2:$L$27,MATCH(E1085,'Cost_Components'!$A$2:$A$27,0)),"")</f>
      </c>
      <c r="N1085" s="69" t="str">
        <f>IFERROR(INDEX('Cost_Components'!$P$2:$P$27,MATCH(E1085,'Cost_Components'!$A$2:$A$27,0)),"")</f>
      </c>
      <c r="O1085" s="70" t="str">
        <f>AF1085*J1085</f>
      </c>
      <c r="P1085" s="71" t="str">
        <f>AG1085*J1085</f>
      </c>
      <c r="Q1085" s="72" t="str">
        <f>P1085*L1085*M1085*N1085</f>
      </c>
      <c r="R1085" s="73" t="str">
        <f>O1085*K1085*M1085*N1085</f>
      </c>
      <c r="S1085" s="74" t="str">
        <f>R1085-Q1085</f>
      </c>
      <c r="T1085" s="20" t="str">
        <f>IFERROR(INDEX('Cost_Components'!$R$2:$R$27,MATCH(E1085,'Cost_Components'!$A$2:$A$27,0)),"")</f>
      </c>
      <c r="U1085" s="75" t="str">
        <f>IFERROR(INDEX('Cost_Components'!$Q$2:$Q$27,MATCH(E1085,'Cost_Components'!$A$2:$A$27,0)),"")</f>
      </c>
      <c r="V1085" s="76" t="str">
        <f>1/(1+'Calculation_Assumptions'!$B$5)^(B1085-'Calculation_Assumptions'!$B$2)</f>
      </c>
      <c r="W1085" s="77" t="str">
        <f>Q1085*V1085</f>
      </c>
      <c r="X1085" s="78" t="str">
        <f>R1085*V1085</f>
      </c>
      <c r="Y1085" s="79" t="str">
        <f>S1085*V1085</f>
      </c>
      <c r="Z1085" s="80" t="str">
        <f>IFERROR(INDEX('Cost_Components'!$T$2:$T$27,MATCH(E1085,'Cost_Components'!$A$2:$A$27,0)),"")</f>
      </c>
      <c r="AA1085" s="81" t="str">
        <f>IFERROR(INDEX('Cost_Components'!$U$2:$U$27,MATCH(E1085,'Cost_Components'!$A$2:$A$27,0)),"")</f>
      </c>
      <c r="AB1085" s="82" t="str">
        <f>IFERROR(INDEX('Cost_Components'!$V$2:$V$27,MATCH(E1085,'Cost_Components'!$A$2:$A$27,0)),"")</f>
      </c>
      <c r="AC1085" s="83" t="str">
        <f>IFERROR(INDEX('Cost_Components'!$M$2:$M$27,MATCH(E1085,'Cost_Components'!$A$2:$A$27,0)),"")</f>
      </c>
      <c r="AD1085" s="84" t="str">
        <f>IFERROR(INDEX('Cost_Components'!$N$2:$N$27,MATCH(E1085,'Cost_Components'!$A$2:$A$27,0)),"")</f>
      </c>
      <c r="AE1085" s="20" t="str">
        <f>IFERROR(INDEX('Cost_Components'!$O$2:$O$27,MATCH(E1085,'Cost_Components'!$A$2:$A$27,0)),"")</f>
      </c>
      <c r="AF1085" s="85" t="n">
        <v>6541564.34362667</v>
      </c>
      <c r="AG1085" s="86" t="n">
        <v>7104796.47237168</v>
      </c>
      <c r="AH1085" s="87" t="str">
        <f>IF(H1085="shared-count-once",COUNTIFS($A$2:$A$1353,A1085,$B$2:$B$1353,B1085,$E$2:$E$1353,E1085),1)</f>
      </c>
    </row>
    <row r="1086">
      <c r="A1086" t="s">
        <v>75</v>
      </c>
      <c r="B1086" s="59" t="n">
        <v>2043</v>
      </c>
      <c r="C1086" t="s">
        <v>205</v>
      </c>
      <c r="D1086" t="s">
        <v>180</v>
      </c>
      <c r="E1086" s="60" t="s">
        <v>297</v>
      </c>
      <c r="F1086" s="61" t="s">
        <v>298</v>
      </c>
      <c r="G1086" s="62" t="s">
        <v>206</v>
      </c>
      <c r="H1086" s="63" t="s">
        <v>195</v>
      </c>
      <c r="I1086" s="64" t="s">
        <v>267</v>
      </c>
      <c r="J1086" s="65" t="str">
        <f>IFERROR(INDEX('Cost_Components'!$K$2:$K$27,MATCH(E1086,'Cost_Components'!$A$2:$A$27,0)),"")</f>
      </c>
      <c r="K1086" s="66" t="str">
        <f>IF(OR(L1086="",Z1086="",AA1086="",AB1086=""),"",IF(B1086&lt;AA1086,L1086,IF(B1086&gt;AB1086,Z1086,L1086+(Z1086-L1086)*MIN(MAX((B1086-AA1086+1)/MAX(AB1086-AA1086+1,1),0),1))))</f>
      </c>
      <c r="L1086" s="67" t="str">
        <f>IFERROR(INDEX('Cost_Components'!$S$2:$S$27,MATCH(E1086,'Cost_Components'!$A$2:$A$27,0)),"")</f>
      </c>
      <c r="M1086" s="68" t="str">
        <f>IFERROR(INDEX('Cost_Components'!$L$2:$L$27,MATCH(E1086,'Cost_Components'!$A$2:$A$27,0)),"")</f>
      </c>
      <c r="N1086" s="69" t="str">
        <f>IFERROR(INDEX('Cost_Components'!$P$2:$P$27,MATCH(E1086,'Cost_Components'!$A$2:$A$27,0)),"")</f>
      </c>
      <c r="O1086" s="70" t="str">
        <f>AF1086*J1086</f>
      </c>
      <c r="P1086" s="71" t="str">
        <f>AG1086*J1086</f>
      </c>
      <c r="Q1086" s="72" t="str">
        <f>P1086*L1086*M1086*N1086</f>
      </c>
      <c r="R1086" s="73" t="str">
        <f>O1086*K1086*M1086*N1086</f>
      </c>
      <c r="S1086" s="74" t="str">
        <f>R1086-Q1086</f>
      </c>
      <c r="T1086" s="20" t="str">
        <f>IFERROR(INDEX('Cost_Components'!$R$2:$R$27,MATCH(E1086,'Cost_Components'!$A$2:$A$27,0)),"")</f>
      </c>
      <c r="U1086" s="75" t="str">
        <f>IFERROR(INDEX('Cost_Components'!$Q$2:$Q$27,MATCH(E1086,'Cost_Components'!$A$2:$A$27,0)),"")</f>
      </c>
      <c r="V1086" s="76" t="str">
        <f>1/(1+'Calculation_Assumptions'!$B$5)^(B1086-'Calculation_Assumptions'!$B$2)</f>
      </c>
      <c r="W1086" s="77" t="str">
        <f>Q1086*V1086</f>
      </c>
      <c r="X1086" s="78" t="str">
        <f>R1086*V1086</f>
      </c>
      <c r="Y1086" s="79" t="str">
        <f>S1086*V1086</f>
      </c>
      <c r="Z1086" s="80" t="str">
        <f>IFERROR(INDEX('Cost_Components'!$T$2:$T$27,MATCH(E1086,'Cost_Components'!$A$2:$A$27,0)),"")</f>
      </c>
      <c r="AA1086" s="81" t="str">
        <f>IFERROR(INDEX('Cost_Components'!$U$2:$U$27,MATCH(E1086,'Cost_Components'!$A$2:$A$27,0)),"")</f>
      </c>
      <c r="AB1086" s="82" t="str">
        <f>IFERROR(INDEX('Cost_Components'!$V$2:$V$27,MATCH(E1086,'Cost_Components'!$A$2:$A$27,0)),"")</f>
      </c>
      <c r="AC1086" s="83" t="str">
        <f>IFERROR(INDEX('Cost_Components'!$M$2:$M$27,MATCH(E1086,'Cost_Components'!$A$2:$A$27,0)),"")</f>
      </c>
      <c r="AD1086" s="84" t="str">
        <f>IFERROR(INDEX('Cost_Components'!$N$2:$N$27,MATCH(E1086,'Cost_Components'!$A$2:$A$27,0)),"")</f>
      </c>
      <c r="AE1086" s="20" t="str">
        <f>IFERROR(INDEX('Cost_Components'!$O$2:$O$27,MATCH(E1086,'Cost_Components'!$A$2:$A$27,0)),"")</f>
      </c>
      <c r="AF1086" s="85" t="n">
        <v>6600578.65240043</v>
      </c>
      <c r="AG1086" s="86" t="n">
        <v>7217825.7559417</v>
      </c>
      <c r="AH1086" s="87" t="str">
        <f>IF(H1086="shared-count-once",COUNTIFS($A$2:$A$1353,A1086,$B$2:$B$1353,B1086,$E$2:$E$1353,E1086),1)</f>
      </c>
    </row>
    <row r="1087">
      <c r="A1087" t="s">
        <v>75</v>
      </c>
      <c r="B1087" s="59" t="n">
        <v>2044</v>
      </c>
      <c r="C1087" t="s">
        <v>205</v>
      </c>
      <c r="D1087" t="s">
        <v>180</v>
      </c>
      <c r="E1087" s="60" t="s">
        <v>297</v>
      </c>
      <c r="F1087" s="61" t="s">
        <v>298</v>
      </c>
      <c r="G1087" s="62" t="s">
        <v>206</v>
      </c>
      <c r="H1087" s="63" t="s">
        <v>195</v>
      </c>
      <c r="I1087" s="64" t="s">
        <v>267</v>
      </c>
      <c r="J1087" s="65" t="str">
        <f>IFERROR(INDEX('Cost_Components'!$K$2:$K$27,MATCH(E1087,'Cost_Components'!$A$2:$A$27,0)),"")</f>
      </c>
      <c r="K1087" s="66" t="str">
        <f>IF(OR(L1087="",Z1087="",AA1087="",AB1087=""),"",IF(B1087&lt;AA1087,L1087,IF(B1087&gt;AB1087,Z1087,L1087+(Z1087-L1087)*MIN(MAX((B1087-AA1087+1)/MAX(AB1087-AA1087+1,1),0),1))))</f>
      </c>
      <c r="L1087" s="67" t="str">
        <f>IFERROR(INDEX('Cost_Components'!$S$2:$S$27,MATCH(E1087,'Cost_Components'!$A$2:$A$27,0)),"")</f>
      </c>
      <c r="M1087" s="68" t="str">
        <f>IFERROR(INDEX('Cost_Components'!$L$2:$L$27,MATCH(E1087,'Cost_Components'!$A$2:$A$27,0)),"")</f>
      </c>
      <c r="N1087" s="69" t="str">
        <f>IFERROR(INDEX('Cost_Components'!$P$2:$P$27,MATCH(E1087,'Cost_Components'!$A$2:$A$27,0)),"")</f>
      </c>
      <c r="O1087" s="70" t="str">
        <f>AF1087*J1087</f>
      </c>
      <c r="P1087" s="71" t="str">
        <f>AG1087*J1087</f>
      </c>
      <c r="Q1087" s="72" t="str">
        <f>P1087*L1087*M1087*N1087</f>
      </c>
      <c r="R1087" s="73" t="str">
        <f>O1087*K1087*M1087*N1087</f>
      </c>
      <c r="S1087" s="74" t="str">
        <f>R1087-Q1087</f>
      </c>
      <c r="T1087" s="20" t="str">
        <f>IFERROR(INDEX('Cost_Components'!$R$2:$R$27,MATCH(E1087,'Cost_Components'!$A$2:$A$27,0)),"")</f>
      </c>
      <c r="U1087" s="75" t="str">
        <f>IFERROR(INDEX('Cost_Components'!$Q$2:$Q$27,MATCH(E1087,'Cost_Components'!$A$2:$A$27,0)),"")</f>
      </c>
      <c r="V1087" s="76" t="str">
        <f>1/(1+'Calculation_Assumptions'!$B$5)^(B1087-'Calculation_Assumptions'!$B$2)</f>
      </c>
      <c r="W1087" s="77" t="str">
        <f>Q1087*V1087</f>
      </c>
      <c r="X1087" s="78" t="str">
        <f>R1087*V1087</f>
      </c>
      <c r="Y1087" s="79" t="str">
        <f>S1087*V1087</f>
      </c>
      <c r="Z1087" s="80" t="str">
        <f>IFERROR(INDEX('Cost_Components'!$T$2:$T$27,MATCH(E1087,'Cost_Components'!$A$2:$A$27,0)),"")</f>
      </c>
      <c r="AA1087" s="81" t="str">
        <f>IFERROR(INDEX('Cost_Components'!$U$2:$U$27,MATCH(E1087,'Cost_Components'!$A$2:$A$27,0)),"")</f>
      </c>
      <c r="AB1087" s="82" t="str">
        <f>IFERROR(INDEX('Cost_Components'!$V$2:$V$27,MATCH(E1087,'Cost_Components'!$A$2:$A$27,0)),"")</f>
      </c>
      <c r="AC1087" s="83" t="str">
        <f>IFERROR(INDEX('Cost_Components'!$M$2:$M$27,MATCH(E1087,'Cost_Components'!$A$2:$A$27,0)),"")</f>
      </c>
      <c r="AD1087" s="84" t="str">
        <f>IFERROR(INDEX('Cost_Components'!$N$2:$N$27,MATCH(E1087,'Cost_Components'!$A$2:$A$27,0)),"")</f>
      </c>
      <c r="AE1087" s="20" t="str">
        <f>IFERROR(INDEX('Cost_Components'!$O$2:$O$27,MATCH(E1087,'Cost_Components'!$A$2:$A$27,0)),"")</f>
      </c>
      <c r="AF1087" s="85" t="n">
        <v>6653743.00659326</v>
      </c>
      <c r="AG1087" s="86" t="n">
        <v>7326275.74827768</v>
      </c>
      <c r="AH1087" s="87" t="str">
        <f>IF(H1087="shared-count-once",COUNTIFS($A$2:$A$1353,A1087,$B$2:$B$1353,B1087,$E$2:$E$1353,E1087),1)</f>
      </c>
    </row>
    <row r="1088">
      <c r="A1088" t="s">
        <v>75</v>
      </c>
      <c r="B1088" s="59" t="n">
        <v>2045</v>
      </c>
      <c r="C1088" t="s">
        <v>205</v>
      </c>
      <c r="D1088" t="s">
        <v>180</v>
      </c>
      <c r="E1088" s="60" t="s">
        <v>297</v>
      </c>
      <c r="F1088" s="61" t="s">
        <v>298</v>
      </c>
      <c r="G1088" s="62" t="s">
        <v>206</v>
      </c>
      <c r="H1088" s="63" t="s">
        <v>195</v>
      </c>
      <c r="I1088" s="64" t="s">
        <v>267</v>
      </c>
      <c r="J1088" s="65" t="str">
        <f>IFERROR(INDEX('Cost_Components'!$K$2:$K$27,MATCH(E1088,'Cost_Components'!$A$2:$A$27,0)),"")</f>
      </c>
      <c r="K1088" s="66" t="str">
        <f>IF(OR(L1088="",Z1088="",AA1088="",AB1088=""),"",IF(B1088&lt;AA1088,L1088,IF(B1088&gt;AB1088,Z1088,L1088+(Z1088-L1088)*MIN(MAX((B1088-AA1088+1)/MAX(AB1088-AA1088+1,1),0),1))))</f>
      </c>
      <c r="L1088" s="67" t="str">
        <f>IFERROR(INDEX('Cost_Components'!$S$2:$S$27,MATCH(E1088,'Cost_Components'!$A$2:$A$27,0)),"")</f>
      </c>
      <c r="M1088" s="68" t="str">
        <f>IFERROR(INDEX('Cost_Components'!$L$2:$L$27,MATCH(E1088,'Cost_Components'!$A$2:$A$27,0)),"")</f>
      </c>
      <c r="N1088" s="69" t="str">
        <f>IFERROR(INDEX('Cost_Components'!$P$2:$P$27,MATCH(E1088,'Cost_Components'!$A$2:$A$27,0)),"")</f>
      </c>
      <c r="O1088" s="70" t="str">
        <f>AF1088*J1088</f>
      </c>
      <c r="P1088" s="71" t="str">
        <f>AG1088*J1088</f>
      </c>
      <c r="Q1088" s="72" t="str">
        <f>P1088*L1088*M1088*N1088</f>
      </c>
      <c r="R1088" s="73" t="str">
        <f>O1088*K1088*M1088*N1088</f>
      </c>
      <c r="S1088" s="74" t="str">
        <f>R1088-Q1088</f>
      </c>
      <c r="T1088" s="20" t="str">
        <f>IFERROR(INDEX('Cost_Components'!$R$2:$R$27,MATCH(E1088,'Cost_Components'!$A$2:$A$27,0)),"")</f>
      </c>
      <c r="U1088" s="75" t="str">
        <f>IFERROR(INDEX('Cost_Components'!$Q$2:$Q$27,MATCH(E1088,'Cost_Components'!$A$2:$A$27,0)),"")</f>
      </c>
      <c r="V1088" s="76" t="str">
        <f>1/(1+'Calculation_Assumptions'!$B$5)^(B1088-'Calculation_Assumptions'!$B$2)</f>
      </c>
      <c r="W1088" s="77" t="str">
        <f>Q1088*V1088</f>
      </c>
      <c r="X1088" s="78" t="str">
        <f>R1088*V1088</f>
      </c>
      <c r="Y1088" s="79" t="str">
        <f>S1088*V1088</f>
      </c>
      <c r="Z1088" s="80" t="str">
        <f>IFERROR(INDEX('Cost_Components'!$T$2:$T$27,MATCH(E1088,'Cost_Components'!$A$2:$A$27,0)),"")</f>
      </c>
      <c r="AA1088" s="81" t="str">
        <f>IFERROR(INDEX('Cost_Components'!$U$2:$U$27,MATCH(E1088,'Cost_Components'!$A$2:$A$27,0)),"")</f>
      </c>
      <c r="AB1088" s="82" t="str">
        <f>IFERROR(INDEX('Cost_Components'!$V$2:$V$27,MATCH(E1088,'Cost_Components'!$A$2:$A$27,0)),"")</f>
      </c>
      <c r="AC1088" s="83" t="str">
        <f>IFERROR(INDEX('Cost_Components'!$M$2:$M$27,MATCH(E1088,'Cost_Components'!$A$2:$A$27,0)),"")</f>
      </c>
      <c r="AD1088" s="84" t="str">
        <f>IFERROR(INDEX('Cost_Components'!$N$2:$N$27,MATCH(E1088,'Cost_Components'!$A$2:$A$27,0)),"")</f>
      </c>
      <c r="AE1088" s="20" t="str">
        <f>IFERROR(INDEX('Cost_Components'!$O$2:$O$27,MATCH(E1088,'Cost_Components'!$A$2:$A$27,0)),"")</f>
      </c>
      <c r="AF1088" s="85" t="n">
        <v>6703500.73394627</v>
      </c>
      <c r="AG1088" s="86" t="n">
        <v>7432902.55351555</v>
      </c>
      <c r="AH1088" s="87" t="str">
        <f>IF(H1088="shared-count-once",COUNTIFS($A$2:$A$1353,A1088,$B$2:$B$1353,B1088,$E$2:$E$1353,E1088),1)</f>
      </c>
    </row>
    <row r="1089">
      <c r="A1089" t="s">
        <v>75</v>
      </c>
      <c r="B1089" s="59" t="n">
        <v>2046</v>
      </c>
      <c r="C1089" t="s">
        <v>205</v>
      </c>
      <c r="D1089" t="s">
        <v>180</v>
      </c>
      <c r="E1089" s="60" t="s">
        <v>297</v>
      </c>
      <c r="F1089" s="61" t="s">
        <v>298</v>
      </c>
      <c r="G1089" s="62" t="s">
        <v>206</v>
      </c>
      <c r="H1089" s="63" t="s">
        <v>195</v>
      </c>
      <c r="I1089" s="64" t="s">
        <v>267</v>
      </c>
      <c r="J1089" s="65" t="str">
        <f>IFERROR(INDEX('Cost_Components'!$K$2:$K$27,MATCH(E1089,'Cost_Components'!$A$2:$A$27,0)),"")</f>
      </c>
      <c r="K1089" s="66" t="str">
        <f>IF(OR(L1089="",Z1089="",AA1089="",AB1089=""),"",IF(B1089&lt;AA1089,L1089,IF(B1089&gt;AB1089,Z1089,L1089+(Z1089-L1089)*MIN(MAX((B1089-AA1089+1)/MAX(AB1089-AA1089+1,1),0),1))))</f>
      </c>
      <c r="L1089" s="67" t="str">
        <f>IFERROR(INDEX('Cost_Components'!$S$2:$S$27,MATCH(E1089,'Cost_Components'!$A$2:$A$27,0)),"")</f>
      </c>
      <c r="M1089" s="68" t="str">
        <f>IFERROR(INDEX('Cost_Components'!$L$2:$L$27,MATCH(E1089,'Cost_Components'!$A$2:$A$27,0)),"")</f>
      </c>
      <c r="N1089" s="69" t="str">
        <f>IFERROR(INDEX('Cost_Components'!$P$2:$P$27,MATCH(E1089,'Cost_Components'!$A$2:$A$27,0)),"")</f>
      </c>
      <c r="O1089" s="70" t="str">
        <f>AF1089*J1089</f>
      </c>
      <c r="P1089" s="71" t="str">
        <f>AG1089*J1089</f>
      </c>
      <c r="Q1089" s="72" t="str">
        <f>P1089*L1089*M1089*N1089</f>
      </c>
      <c r="R1089" s="73" t="str">
        <f>O1089*K1089*M1089*N1089</f>
      </c>
      <c r="S1089" s="74" t="str">
        <f>R1089-Q1089</f>
      </c>
      <c r="T1089" s="20" t="str">
        <f>IFERROR(INDEX('Cost_Components'!$R$2:$R$27,MATCH(E1089,'Cost_Components'!$A$2:$A$27,0)),"")</f>
      </c>
      <c r="U1089" s="75" t="str">
        <f>IFERROR(INDEX('Cost_Components'!$Q$2:$Q$27,MATCH(E1089,'Cost_Components'!$A$2:$A$27,0)),"")</f>
      </c>
      <c r="V1089" s="76" t="str">
        <f>1/(1+'Calculation_Assumptions'!$B$5)^(B1089-'Calculation_Assumptions'!$B$2)</f>
      </c>
      <c r="W1089" s="77" t="str">
        <f>Q1089*V1089</f>
      </c>
      <c r="X1089" s="78" t="str">
        <f>R1089*V1089</f>
      </c>
      <c r="Y1089" s="79" t="str">
        <f>S1089*V1089</f>
      </c>
      <c r="Z1089" s="80" t="str">
        <f>IFERROR(INDEX('Cost_Components'!$T$2:$T$27,MATCH(E1089,'Cost_Components'!$A$2:$A$27,0)),"")</f>
      </c>
      <c r="AA1089" s="81" t="str">
        <f>IFERROR(INDEX('Cost_Components'!$U$2:$U$27,MATCH(E1089,'Cost_Components'!$A$2:$A$27,0)),"")</f>
      </c>
      <c r="AB1089" s="82" t="str">
        <f>IFERROR(INDEX('Cost_Components'!$V$2:$V$27,MATCH(E1089,'Cost_Components'!$A$2:$A$27,0)),"")</f>
      </c>
      <c r="AC1089" s="83" t="str">
        <f>IFERROR(INDEX('Cost_Components'!$M$2:$M$27,MATCH(E1089,'Cost_Components'!$A$2:$A$27,0)),"")</f>
      </c>
      <c r="AD1089" s="84" t="str">
        <f>IFERROR(INDEX('Cost_Components'!$N$2:$N$27,MATCH(E1089,'Cost_Components'!$A$2:$A$27,0)),"")</f>
      </c>
      <c r="AE1089" s="20" t="str">
        <f>IFERROR(INDEX('Cost_Components'!$O$2:$O$27,MATCH(E1089,'Cost_Components'!$A$2:$A$27,0)),"")</f>
      </c>
      <c r="AF1089" s="85" t="n">
        <v>6749668.67551818</v>
      </c>
      <c r="AG1089" s="86" t="n">
        <v>7537569.08606469</v>
      </c>
      <c r="AH1089" s="87" t="str">
        <f>IF(H1089="shared-count-once",COUNTIFS($A$2:$A$1353,A1089,$B$2:$B$1353,B1089,$E$2:$E$1353,E1089),1)</f>
      </c>
    </row>
    <row r="1090">
      <c r="A1090" t="s">
        <v>75</v>
      </c>
      <c r="B1090" s="59" t="n">
        <v>2047</v>
      </c>
      <c r="C1090" t="s">
        <v>205</v>
      </c>
      <c r="D1090" t="s">
        <v>180</v>
      </c>
      <c r="E1090" s="60" t="s">
        <v>297</v>
      </c>
      <c r="F1090" s="61" t="s">
        <v>298</v>
      </c>
      <c r="G1090" s="62" t="s">
        <v>206</v>
      </c>
      <c r="H1090" s="63" t="s">
        <v>195</v>
      </c>
      <c r="I1090" s="64" t="s">
        <v>267</v>
      </c>
      <c r="J1090" s="65" t="str">
        <f>IFERROR(INDEX('Cost_Components'!$K$2:$K$27,MATCH(E1090,'Cost_Components'!$A$2:$A$27,0)),"")</f>
      </c>
      <c r="K1090" s="66" t="str">
        <f>IF(OR(L1090="",Z1090="",AA1090="",AB1090=""),"",IF(B1090&lt;AA1090,L1090,IF(B1090&gt;AB1090,Z1090,L1090+(Z1090-L1090)*MIN(MAX((B1090-AA1090+1)/MAX(AB1090-AA1090+1,1),0),1))))</f>
      </c>
      <c r="L1090" s="67" t="str">
        <f>IFERROR(INDEX('Cost_Components'!$S$2:$S$27,MATCH(E1090,'Cost_Components'!$A$2:$A$27,0)),"")</f>
      </c>
      <c r="M1090" s="68" t="str">
        <f>IFERROR(INDEX('Cost_Components'!$L$2:$L$27,MATCH(E1090,'Cost_Components'!$A$2:$A$27,0)),"")</f>
      </c>
      <c r="N1090" s="69" t="str">
        <f>IFERROR(INDEX('Cost_Components'!$P$2:$P$27,MATCH(E1090,'Cost_Components'!$A$2:$A$27,0)),"")</f>
      </c>
      <c r="O1090" s="70" t="str">
        <f>AF1090*J1090</f>
      </c>
      <c r="P1090" s="71" t="str">
        <f>AG1090*J1090</f>
      </c>
      <c r="Q1090" s="72" t="str">
        <f>P1090*L1090*M1090*N1090</f>
      </c>
      <c r="R1090" s="73" t="str">
        <f>O1090*K1090*M1090*N1090</f>
      </c>
      <c r="S1090" s="74" t="str">
        <f>R1090-Q1090</f>
      </c>
      <c r="T1090" s="20" t="str">
        <f>IFERROR(INDEX('Cost_Components'!$R$2:$R$27,MATCH(E1090,'Cost_Components'!$A$2:$A$27,0)),"")</f>
      </c>
      <c r="U1090" s="75" t="str">
        <f>IFERROR(INDEX('Cost_Components'!$Q$2:$Q$27,MATCH(E1090,'Cost_Components'!$A$2:$A$27,0)),"")</f>
      </c>
      <c r="V1090" s="76" t="str">
        <f>1/(1+'Calculation_Assumptions'!$B$5)^(B1090-'Calculation_Assumptions'!$B$2)</f>
      </c>
      <c r="W1090" s="77" t="str">
        <f>Q1090*V1090</f>
      </c>
      <c r="X1090" s="78" t="str">
        <f>R1090*V1090</f>
      </c>
      <c r="Y1090" s="79" t="str">
        <f>S1090*V1090</f>
      </c>
      <c r="Z1090" s="80" t="str">
        <f>IFERROR(INDEX('Cost_Components'!$T$2:$T$27,MATCH(E1090,'Cost_Components'!$A$2:$A$27,0)),"")</f>
      </c>
      <c r="AA1090" s="81" t="str">
        <f>IFERROR(INDEX('Cost_Components'!$U$2:$U$27,MATCH(E1090,'Cost_Components'!$A$2:$A$27,0)),"")</f>
      </c>
      <c r="AB1090" s="82" t="str">
        <f>IFERROR(INDEX('Cost_Components'!$V$2:$V$27,MATCH(E1090,'Cost_Components'!$A$2:$A$27,0)),"")</f>
      </c>
      <c r="AC1090" s="83" t="str">
        <f>IFERROR(INDEX('Cost_Components'!$M$2:$M$27,MATCH(E1090,'Cost_Components'!$A$2:$A$27,0)),"")</f>
      </c>
      <c r="AD1090" s="84" t="str">
        <f>IFERROR(INDEX('Cost_Components'!$N$2:$N$27,MATCH(E1090,'Cost_Components'!$A$2:$A$27,0)),"")</f>
      </c>
      <c r="AE1090" s="20" t="str">
        <f>IFERROR(INDEX('Cost_Components'!$O$2:$O$27,MATCH(E1090,'Cost_Components'!$A$2:$A$27,0)),"")</f>
      </c>
      <c r="AF1090" s="85" t="n">
        <v>6792234.49116238</v>
      </c>
      <c r="AG1090" s="86" t="n">
        <v>7640350.68929373</v>
      </c>
      <c r="AH1090" s="87" t="str">
        <f>IF(H1090="shared-count-once",COUNTIFS($A$2:$A$1353,A1090,$B$2:$B$1353,B1090,$E$2:$E$1353,E1090),1)</f>
      </c>
    </row>
    <row r="1091">
      <c r="A1091" t="s">
        <v>75</v>
      </c>
      <c r="B1091" s="59" t="n">
        <v>2048</v>
      </c>
      <c r="C1091" t="s">
        <v>205</v>
      </c>
      <c r="D1091" t="s">
        <v>180</v>
      </c>
      <c r="E1091" s="60" t="s">
        <v>297</v>
      </c>
      <c r="F1091" s="61" t="s">
        <v>298</v>
      </c>
      <c r="G1091" s="62" t="s">
        <v>206</v>
      </c>
      <c r="H1091" s="63" t="s">
        <v>195</v>
      </c>
      <c r="I1091" s="64" t="s">
        <v>267</v>
      </c>
      <c r="J1091" s="65" t="str">
        <f>IFERROR(INDEX('Cost_Components'!$K$2:$K$27,MATCH(E1091,'Cost_Components'!$A$2:$A$27,0)),"")</f>
      </c>
      <c r="K1091" s="66" t="str">
        <f>IF(OR(L1091="",Z1091="",AA1091="",AB1091=""),"",IF(B1091&lt;AA1091,L1091,IF(B1091&gt;AB1091,Z1091,L1091+(Z1091-L1091)*MIN(MAX((B1091-AA1091+1)/MAX(AB1091-AA1091+1,1),0),1))))</f>
      </c>
      <c r="L1091" s="67" t="str">
        <f>IFERROR(INDEX('Cost_Components'!$S$2:$S$27,MATCH(E1091,'Cost_Components'!$A$2:$A$27,0)),"")</f>
      </c>
      <c r="M1091" s="68" t="str">
        <f>IFERROR(INDEX('Cost_Components'!$L$2:$L$27,MATCH(E1091,'Cost_Components'!$A$2:$A$27,0)),"")</f>
      </c>
      <c r="N1091" s="69" t="str">
        <f>IFERROR(INDEX('Cost_Components'!$P$2:$P$27,MATCH(E1091,'Cost_Components'!$A$2:$A$27,0)),"")</f>
      </c>
      <c r="O1091" s="70" t="str">
        <f>AF1091*J1091</f>
      </c>
      <c r="P1091" s="71" t="str">
        <f>AG1091*J1091</f>
      </c>
      <c r="Q1091" s="72" t="str">
        <f>P1091*L1091*M1091*N1091</f>
      </c>
      <c r="R1091" s="73" t="str">
        <f>O1091*K1091*M1091*N1091</f>
      </c>
      <c r="S1091" s="74" t="str">
        <f>R1091-Q1091</f>
      </c>
      <c r="T1091" s="20" t="str">
        <f>IFERROR(INDEX('Cost_Components'!$R$2:$R$27,MATCH(E1091,'Cost_Components'!$A$2:$A$27,0)),"")</f>
      </c>
      <c r="U1091" s="75" t="str">
        <f>IFERROR(INDEX('Cost_Components'!$Q$2:$Q$27,MATCH(E1091,'Cost_Components'!$A$2:$A$27,0)),"")</f>
      </c>
      <c r="V1091" s="76" t="str">
        <f>1/(1+'Calculation_Assumptions'!$B$5)^(B1091-'Calculation_Assumptions'!$B$2)</f>
      </c>
      <c r="W1091" s="77" t="str">
        <f>Q1091*V1091</f>
      </c>
      <c r="X1091" s="78" t="str">
        <f>R1091*V1091</f>
      </c>
      <c r="Y1091" s="79" t="str">
        <f>S1091*V1091</f>
      </c>
      <c r="Z1091" s="80" t="str">
        <f>IFERROR(INDEX('Cost_Components'!$T$2:$T$27,MATCH(E1091,'Cost_Components'!$A$2:$A$27,0)),"")</f>
      </c>
      <c r="AA1091" s="81" t="str">
        <f>IFERROR(INDEX('Cost_Components'!$U$2:$U$27,MATCH(E1091,'Cost_Components'!$A$2:$A$27,0)),"")</f>
      </c>
      <c r="AB1091" s="82" t="str">
        <f>IFERROR(INDEX('Cost_Components'!$V$2:$V$27,MATCH(E1091,'Cost_Components'!$A$2:$A$27,0)),"")</f>
      </c>
      <c r="AC1091" s="83" t="str">
        <f>IFERROR(INDEX('Cost_Components'!$M$2:$M$27,MATCH(E1091,'Cost_Components'!$A$2:$A$27,0)),"")</f>
      </c>
      <c r="AD1091" s="84" t="str">
        <f>IFERROR(INDEX('Cost_Components'!$N$2:$N$27,MATCH(E1091,'Cost_Components'!$A$2:$A$27,0)),"")</f>
      </c>
      <c r="AE1091" s="20" t="str">
        <f>IFERROR(INDEX('Cost_Components'!$O$2:$O$27,MATCH(E1091,'Cost_Components'!$A$2:$A$27,0)),"")</f>
      </c>
      <c r="AF1091" s="85" t="n">
        <v>6831699.11403677</v>
      </c>
      <c r="AG1091" s="86" t="n">
        <v>7741657.53723872</v>
      </c>
      <c r="AH1091" s="87" t="str">
        <f>IF(H1091="shared-count-once",COUNTIFS($A$2:$A$1353,A1091,$B$2:$B$1353,B1091,$E$2:$E$1353,E1091),1)</f>
      </c>
    </row>
    <row r="1092">
      <c r="A1092" t="s">
        <v>75</v>
      </c>
      <c r="B1092" s="59" t="n">
        <v>2049</v>
      </c>
      <c r="C1092" t="s">
        <v>205</v>
      </c>
      <c r="D1092" t="s">
        <v>180</v>
      </c>
      <c r="E1092" s="60" t="s">
        <v>297</v>
      </c>
      <c r="F1092" s="61" t="s">
        <v>298</v>
      </c>
      <c r="G1092" s="62" t="s">
        <v>206</v>
      </c>
      <c r="H1092" s="63" t="s">
        <v>195</v>
      </c>
      <c r="I1092" s="64" t="s">
        <v>267</v>
      </c>
      <c r="J1092" s="65" t="str">
        <f>IFERROR(INDEX('Cost_Components'!$K$2:$K$27,MATCH(E1092,'Cost_Components'!$A$2:$A$27,0)),"")</f>
      </c>
      <c r="K1092" s="66" t="str">
        <f>IF(OR(L1092="",Z1092="",AA1092="",AB1092=""),"",IF(B1092&lt;AA1092,L1092,IF(B1092&gt;AB1092,Z1092,L1092+(Z1092-L1092)*MIN(MAX((B1092-AA1092+1)/MAX(AB1092-AA1092+1,1),0),1))))</f>
      </c>
      <c r="L1092" s="67" t="str">
        <f>IFERROR(INDEX('Cost_Components'!$S$2:$S$27,MATCH(E1092,'Cost_Components'!$A$2:$A$27,0)),"")</f>
      </c>
      <c r="M1092" s="68" t="str">
        <f>IFERROR(INDEX('Cost_Components'!$L$2:$L$27,MATCH(E1092,'Cost_Components'!$A$2:$A$27,0)),"")</f>
      </c>
      <c r="N1092" s="69" t="str">
        <f>IFERROR(INDEX('Cost_Components'!$P$2:$P$27,MATCH(E1092,'Cost_Components'!$A$2:$A$27,0)),"")</f>
      </c>
      <c r="O1092" s="70" t="str">
        <f>AF1092*J1092</f>
      </c>
      <c r="P1092" s="71" t="str">
        <f>AG1092*J1092</f>
      </c>
      <c r="Q1092" s="72" t="str">
        <f>P1092*L1092*M1092*N1092</f>
      </c>
      <c r="R1092" s="73" t="str">
        <f>O1092*K1092*M1092*N1092</f>
      </c>
      <c r="S1092" s="74" t="str">
        <f>R1092-Q1092</f>
      </c>
      <c r="T1092" s="20" t="str">
        <f>IFERROR(INDEX('Cost_Components'!$R$2:$R$27,MATCH(E1092,'Cost_Components'!$A$2:$A$27,0)),"")</f>
      </c>
      <c r="U1092" s="75" t="str">
        <f>IFERROR(INDEX('Cost_Components'!$Q$2:$Q$27,MATCH(E1092,'Cost_Components'!$A$2:$A$27,0)),"")</f>
      </c>
      <c r="V1092" s="76" t="str">
        <f>1/(1+'Calculation_Assumptions'!$B$5)^(B1092-'Calculation_Assumptions'!$B$2)</f>
      </c>
      <c r="W1092" s="77" t="str">
        <f>Q1092*V1092</f>
      </c>
      <c r="X1092" s="78" t="str">
        <f>R1092*V1092</f>
      </c>
      <c r="Y1092" s="79" t="str">
        <f>S1092*V1092</f>
      </c>
      <c r="Z1092" s="80" t="str">
        <f>IFERROR(INDEX('Cost_Components'!$T$2:$T$27,MATCH(E1092,'Cost_Components'!$A$2:$A$27,0)),"")</f>
      </c>
      <c r="AA1092" s="81" t="str">
        <f>IFERROR(INDEX('Cost_Components'!$U$2:$U$27,MATCH(E1092,'Cost_Components'!$A$2:$A$27,0)),"")</f>
      </c>
      <c r="AB1092" s="82" t="str">
        <f>IFERROR(INDEX('Cost_Components'!$V$2:$V$27,MATCH(E1092,'Cost_Components'!$A$2:$A$27,0)),"")</f>
      </c>
      <c r="AC1092" s="83" t="str">
        <f>IFERROR(INDEX('Cost_Components'!$M$2:$M$27,MATCH(E1092,'Cost_Components'!$A$2:$A$27,0)),"")</f>
      </c>
      <c r="AD1092" s="84" t="str">
        <f>IFERROR(INDEX('Cost_Components'!$N$2:$N$27,MATCH(E1092,'Cost_Components'!$A$2:$A$27,0)),"")</f>
      </c>
      <c r="AE1092" s="20" t="str">
        <f>IFERROR(INDEX('Cost_Components'!$O$2:$O$27,MATCH(E1092,'Cost_Components'!$A$2:$A$27,0)),"")</f>
      </c>
      <c r="AF1092" s="85" t="n">
        <v>6865605.93681908</v>
      </c>
      <c r="AG1092" s="86" t="n">
        <v>7838208.38053693</v>
      </c>
      <c r="AH1092" s="87" t="str">
        <f>IF(H1092="shared-count-once",COUNTIFS($A$2:$A$1353,A1092,$B$2:$B$1353,B1092,$E$2:$E$1353,E1092),1)</f>
      </c>
    </row>
    <row r="1093">
      <c r="A1093" t="s">
        <v>75</v>
      </c>
      <c r="B1093" s="59" t="n">
        <v>2050</v>
      </c>
      <c r="C1093" t="s">
        <v>205</v>
      </c>
      <c r="D1093" t="s">
        <v>180</v>
      </c>
      <c r="E1093" s="60" t="s">
        <v>297</v>
      </c>
      <c r="F1093" s="61" t="s">
        <v>298</v>
      </c>
      <c r="G1093" s="62" t="s">
        <v>206</v>
      </c>
      <c r="H1093" s="63" t="s">
        <v>195</v>
      </c>
      <c r="I1093" s="64" t="s">
        <v>267</v>
      </c>
      <c r="J1093" s="65" t="str">
        <f>IFERROR(INDEX('Cost_Components'!$K$2:$K$27,MATCH(E1093,'Cost_Components'!$A$2:$A$27,0)),"")</f>
      </c>
      <c r="K1093" s="66" t="str">
        <f>IF(OR(L1093="",Z1093="",AA1093="",AB1093=""),"",IF(B1093&lt;AA1093,L1093,IF(B1093&gt;AB1093,Z1093,L1093+(Z1093-L1093)*MIN(MAX((B1093-AA1093+1)/MAX(AB1093-AA1093+1,1),0),1))))</f>
      </c>
      <c r="L1093" s="67" t="str">
        <f>IFERROR(INDEX('Cost_Components'!$S$2:$S$27,MATCH(E1093,'Cost_Components'!$A$2:$A$27,0)),"")</f>
      </c>
      <c r="M1093" s="68" t="str">
        <f>IFERROR(INDEX('Cost_Components'!$L$2:$L$27,MATCH(E1093,'Cost_Components'!$A$2:$A$27,0)),"")</f>
      </c>
      <c r="N1093" s="69" t="str">
        <f>IFERROR(INDEX('Cost_Components'!$P$2:$P$27,MATCH(E1093,'Cost_Components'!$A$2:$A$27,0)),"")</f>
      </c>
      <c r="O1093" s="70" t="str">
        <f>AF1093*J1093</f>
      </c>
      <c r="P1093" s="71" t="str">
        <f>AG1093*J1093</f>
      </c>
      <c r="Q1093" s="72" t="str">
        <f>P1093*L1093*M1093*N1093</f>
      </c>
      <c r="R1093" s="73" t="str">
        <f>O1093*K1093*M1093*N1093</f>
      </c>
      <c r="S1093" s="74" t="str">
        <f>R1093-Q1093</f>
      </c>
      <c r="T1093" s="20" t="str">
        <f>IFERROR(INDEX('Cost_Components'!$R$2:$R$27,MATCH(E1093,'Cost_Components'!$A$2:$A$27,0)),"")</f>
      </c>
      <c r="U1093" s="75" t="str">
        <f>IFERROR(INDEX('Cost_Components'!$Q$2:$Q$27,MATCH(E1093,'Cost_Components'!$A$2:$A$27,0)),"")</f>
      </c>
      <c r="V1093" s="76" t="str">
        <f>1/(1+'Calculation_Assumptions'!$B$5)^(B1093-'Calculation_Assumptions'!$B$2)</f>
      </c>
      <c r="W1093" s="77" t="str">
        <f>Q1093*V1093</f>
      </c>
      <c r="X1093" s="78" t="str">
        <f>R1093*V1093</f>
      </c>
      <c r="Y1093" s="79" t="str">
        <f>S1093*V1093</f>
      </c>
      <c r="Z1093" s="80" t="str">
        <f>IFERROR(INDEX('Cost_Components'!$T$2:$T$27,MATCH(E1093,'Cost_Components'!$A$2:$A$27,0)),"")</f>
      </c>
      <c r="AA1093" s="81" t="str">
        <f>IFERROR(INDEX('Cost_Components'!$U$2:$U$27,MATCH(E1093,'Cost_Components'!$A$2:$A$27,0)),"")</f>
      </c>
      <c r="AB1093" s="82" t="str">
        <f>IFERROR(INDEX('Cost_Components'!$V$2:$V$27,MATCH(E1093,'Cost_Components'!$A$2:$A$27,0)),"")</f>
      </c>
      <c r="AC1093" s="83" t="str">
        <f>IFERROR(INDEX('Cost_Components'!$M$2:$M$27,MATCH(E1093,'Cost_Components'!$A$2:$A$27,0)),"")</f>
      </c>
      <c r="AD1093" s="84" t="str">
        <f>IFERROR(INDEX('Cost_Components'!$N$2:$N$27,MATCH(E1093,'Cost_Components'!$A$2:$A$27,0)),"")</f>
      </c>
      <c r="AE1093" s="20" t="str">
        <f>IFERROR(INDEX('Cost_Components'!$O$2:$O$27,MATCH(E1093,'Cost_Components'!$A$2:$A$27,0)),"")</f>
      </c>
      <c r="AF1093" s="85" t="n">
        <v>6895922.272967</v>
      </c>
      <c r="AG1093" s="86" t="n">
        <v>7932343.49493125</v>
      </c>
      <c r="AH1093" s="87" t="str">
        <f>IF(H1093="shared-count-once",COUNTIFS($A$2:$A$1353,A1093,$B$2:$B$1353,B1093,$E$2:$E$1353,E1093),1)</f>
      </c>
    </row>
    <row r="1094">
      <c r="A1094" t="s">
        <v>75</v>
      </c>
      <c r="B1094" s="59" t="n">
        <v>2025</v>
      </c>
      <c r="C1094" t="s">
        <v>205</v>
      </c>
      <c r="D1094" t="s">
        <v>180</v>
      </c>
      <c r="E1094" s="60" t="s">
        <v>300</v>
      </c>
      <c r="F1094" s="61" t="s">
        <v>301</v>
      </c>
      <c r="G1094" s="62" t="s">
        <v>206</v>
      </c>
      <c r="H1094" s="63" t="s">
        <v>195</v>
      </c>
      <c r="I1094" s="64" t="s">
        <v>267</v>
      </c>
      <c r="J1094" s="65" t="str">
        <f>IFERROR(INDEX('Cost_Components'!$K$2:$K$27,MATCH(E1094,'Cost_Components'!$A$2:$A$27,0)),"")</f>
      </c>
      <c r="K1094" s="66" t="str">
        <f>IF(OR(L1094="",Z1094="",AA1094="",AB1094=""),"",IF(B1094&lt;AA1094,L1094,IF(B1094&gt;AB1094,Z1094,L1094+(Z1094-L1094)*MIN(MAX((B1094-AA1094+1)/MAX(AB1094-AA1094+1,1),0),1))))</f>
      </c>
      <c r="L1094" s="67" t="str">
        <f>IFERROR(INDEX('Cost_Components'!$S$2:$S$27,MATCH(E1094,'Cost_Components'!$A$2:$A$27,0)),"")</f>
      </c>
      <c r="M1094" s="68" t="str">
        <f>IFERROR(INDEX('Cost_Components'!$L$2:$L$27,MATCH(E1094,'Cost_Components'!$A$2:$A$27,0)),"")</f>
      </c>
      <c r="N1094" s="69" t="str">
        <f>IFERROR(INDEX('Cost_Components'!$P$2:$P$27,MATCH(E1094,'Cost_Components'!$A$2:$A$27,0)),"")</f>
      </c>
      <c r="O1094" s="70" t="str">
        <f>AF1094*J1094</f>
      </c>
      <c r="P1094" s="71" t="str">
        <f>AG1094*J1094</f>
      </c>
      <c r="Q1094" s="72" t="str">
        <f>P1094*L1094*M1094*N1094</f>
      </c>
      <c r="R1094" s="73" t="str">
        <f>O1094*K1094*M1094*N1094</f>
      </c>
      <c r="S1094" s="74" t="str">
        <f>R1094-Q1094</f>
      </c>
      <c r="T1094" s="20" t="str">
        <f>IFERROR(INDEX('Cost_Components'!$R$2:$R$27,MATCH(E1094,'Cost_Components'!$A$2:$A$27,0)),"")</f>
      </c>
      <c r="U1094" s="75" t="str">
        <f>IFERROR(INDEX('Cost_Components'!$Q$2:$Q$27,MATCH(E1094,'Cost_Components'!$A$2:$A$27,0)),"")</f>
      </c>
      <c r="V1094" s="76" t="str">
        <f>1/(1+'Calculation_Assumptions'!$B$5)^(B1094-'Calculation_Assumptions'!$B$2)</f>
      </c>
      <c r="W1094" s="77" t="str">
        <f>Q1094*V1094</f>
      </c>
      <c r="X1094" s="78" t="str">
        <f>R1094*V1094</f>
      </c>
      <c r="Y1094" s="79" t="str">
        <f>S1094*V1094</f>
      </c>
      <c r="Z1094" s="80" t="str">
        <f>IFERROR(INDEX('Cost_Components'!$T$2:$T$27,MATCH(E1094,'Cost_Components'!$A$2:$A$27,0)),"")</f>
      </c>
      <c r="AA1094" s="81" t="str">
        <f>IFERROR(INDEX('Cost_Components'!$U$2:$U$27,MATCH(E1094,'Cost_Components'!$A$2:$A$27,0)),"")</f>
      </c>
      <c r="AB1094" s="82" t="str">
        <f>IFERROR(INDEX('Cost_Components'!$V$2:$V$27,MATCH(E1094,'Cost_Components'!$A$2:$A$27,0)),"")</f>
      </c>
      <c r="AC1094" s="83" t="str">
        <f>IFERROR(INDEX('Cost_Components'!$M$2:$M$27,MATCH(E1094,'Cost_Components'!$A$2:$A$27,0)),"")</f>
      </c>
      <c r="AD1094" s="84" t="str">
        <f>IFERROR(INDEX('Cost_Components'!$N$2:$N$27,MATCH(E1094,'Cost_Components'!$A$2:$A$27,0)),"")</f>
      </c>
      <c r="AE1094" s="20" t="str">
        <f>IFERROR(INDEX('Cost_Components'!$O$2:$O$27,MATCH(E1094,'Cost_Components'!$A$2:$A$27,0)),"")</f>
      </c>
      <c r="AF1094" s="85" t="n">
        <v>5097707.98969026</v>
      </c>
      <c r="AG1094" s="86" t="n">
        <v>5102083.90698855</v>
      </c>
      <c r="AH1094" s="87" t="str">
        <f>IF(H1094="shared-count-once",COUNTIFS($A$2:$A$1353,A1094,$B$2:$B$1353,B1094,$E$2:$E$1353,E1094),1)</f>
      </c>
    </row>
    <row r="1095">
      <c r="A1095" t="s">
        <v>75</v>
      </c>
      <c r="B1095" s="59" t="n">
        <v>2026</v>
      </c>
      <c r="C1095" t="s">
        <v>205</v>
      </c>
      <c r="D1095" t="s">
        <v>180</v>
      </c>
      <c r="E1095" s="60" t="s">
        <v>300</v>
      </c>
      <c r="F1095" s="61" t="s">
        <v>301</v>
      </c>
      <c r="G1095" s="62" t="s">
        <v>206</v>
      </c>
      <c r="H1095" s="63" t="s">
        <v>195</v>
      </c>
      <c r="I1095" s="64" t="s">
        <v>267</v>
      </c>
      <c r="J1095" s="65" t="str">
        <f>IFERROR(INDEX('Cost_Components'!$K$2:$K$27,MATCH(E1095,'Cost_Components'!$A$2:$A$27,0)),"")</f>
      </c>
      <c r="K1095" s="66" t="str">
        <f>IF(OR(L1095="",Z1095="",AA1095="",AB1095=""),"",IF(B1095&lt;AA1095,L1095,IF(B1095&gt;AB1095,Z1095,L1095+(Z1095-L1095)*MIN(MAX((B1095-AA1095+1)/MAX(AB1095-AA1095+1,1),0),1))))</f>
      </c>
      <c r="L1095" s="67" t="str">
        <f>IFERROR(INDEX('Cost_Components'!$S$2:$S$27,MATCH(E1095,'Cost_Components'!$A$2:$A$27,0)),"")</f>
      </c>
      <c r="M1095" s="68" t="str">
        <f>IFERROR(INDEX('Cost_Components'!$L$2:$L$27,MATCH(E1095,'Cost_Components'!$A$2:$A$27,0)),"")</f>
      </c>
      <c r="N1095" s="69" t="str">
        <f>IFERROR(INDEX('Cost_Components'!$P$2:$P$27,MATCH(E1095,'Cost_Components'!$A$2:$A$27,0)),"")</f>
      </c>
      <c r="O1095" s="70" t="str">
        <f>AF1095*J1095</f>
      </c>
      <c r="P1095" s="71" t="str">
        <f>AG1095*J1095</f>
      </c>
      <c r="Q1095" s="72" t="str">
        <f>P1095*L1095*M1095*N1095</f>
      </c>
      <c r="R1095" s="73" t="str">
        <f>O1095*K1095*M1095*N1095</f>
      </c>
      <c r="S1095" s="74" t="str">
        <f>R1095-Q1095</f>
      </c>
      <c r="T1095" s="20" t="str">
        <f>IFERROR(INDEX('Cost_Components'!$R$2:$R$27,MATCH(E1095,'Cost_Components'!$A$2:$A$27,0)),"")</f>
      </c>
      <c r="U1095" s="75" t="str">
        <f>IFERROR(INDEX('Cost_Components'!$Q$2:$Q$27,MATCH(E1095,'Cost_Components'!$A$2:$A$27,0)),"")</f>
      </c>
      <c r="V1095" s="76" t="str">
        <f>1/(1+'Calculation_Assumptions'!$B$5)^(B1095-'Calculation_Assumptions'!$B$2)</f>
      </c>
      <c r="W1095" s="77" t="str">
        <f>Q1095*V1095</f>
      </c>
      <c r="X1095" s="78" t="str">
        <f>R1095*V1095</f>
      </c>
      <c r="Y1095" s="79" t="str">
        <f>S1095*V1095</f>
      </c>
      <c r="Z1095" s="80" t="str">
        <f>IFERROR(INDEX('Cost_Components'!$T$2:$T$27,MATCH(E1095,'Cost_Components'!$A$2:$A$27,0)),"")</f>
      </c>
      <c r="AA1095" s="81" t="str">
        <f>IFERROR(INDEX('Cost_Components'!$U$2:$U$27,MATCH(E1095,'Cost_Components'!$A$2:$A$27,0)),"")</f>
      </c>
      <c r="AB1095" s="82" t="str">
        <f>IFERROR(INDEX('Cost_Components'!$V$2:$V$27,MATCH(E1095,'Cost_Components'!$A$2:$A$27,0)),"")</f>
      </c>
      <c r="AC1095" s="83" t="str">
        <f>IFERROR(INDEX('Cost_Components'!$M$2:$M$27,MATCH(E1095,'Cost_Components'!$A$2:$A$27,0)),"")</f>
      </c>
      <c r="AD1095" s="84" t="str">
        <f>IFERROR(INDEX('Cost_Components'!$N$2:$N$27,MATCH(E1095,'Cost_Components'!$A$2:$A$27,0)),"")</f>
      </c>
      <c r="AE1095" s="20" t="str">
        <f>IFERROR(INDEX('Cost_Components'!$O$2:$O$27,MATCH(E1095,'Cost_Components'!$A$2:$A$27,0)),"")</f>
      </c>
      <c r="AF1095" s="85" t="n">
        <v>5212090.3031888</v>
      </c>
      <c r="AG1095" s="86" t="n">
        <v>5224992.02984447</v>
      </c>
      <c r="AH1095" s="87" t="str">
        <f>IF(H1095="shared-count-once",COUNTIFS($A$2:$A$1353,A1095,$B$2:$B$1353,B1095,$E$2:$E$1353,E1095),1)</f>
      </c>
    </row>
    <row r="1096">
      <c r="A1096" t="s">
        <v>75</v>
      </c>
      <c r="B1096" s="59" t="n">
        <v>2027</v>
      </c>
      <c r="C1096" t="s">
        <v>205</v>
      </c>
      <c r="D1096" t="s">
        <v>180</v>
      </c>
      <c r="E1096" s="60" t="s">
        <v>300</v>
      </c>
      <c r="F1096" s="61" t="s">
        <v>301</v>
      </c>
      <c r="G1096" s="62" t="s">
        <v>206</v>
      </c>
      <c r="H1096" s="63" t="s">
        <v>195</v>
      </c>
      <c r="I1096" s="64" t="s">
        <v>267</v>
      </c>
      <c r="J1096" s="65" t="str">
        <f>IFERROR(INDEX('Cost_Components'!$K$2:$K$27,MATCH(E1096,'Cost_Components'!$A$2:$A$27,0)),"")</f>
      </c>
      <c r="K1096" s="66" t="str">
        <f>IF(OR(L1096="",Z1096="",AA1096="",AB1096=""),"",IF(B1096&lt;AA1096,L1096,IF(B1096&gt;AB1096,Z1096,L1096+(Z1096-L1096)*MIN(MAX((B1096-AA1096+1)/MAX(AB1096-AA1096+1,1),0),1))))</f>
      </c>
      <c r="L1096" s="67" t="str">
        <f>IFERROR(INDEX('Cost_Components'!$S$2:$S$27,MATCH(E1096,'Cost_Components'!$A$2:$A$27,0)),"")</f>
      </c>
      <c r="M1096" s="68" t="str">
        <f>IFERROR(INDEX('Cost_Components'!$L$2:$L$27,MATCH(E1096,'Cost_Components'!$A$2:$A$27,0)),"")</f>
      </c>
      <c r="N1096" s="69" t="str">
        <f>IFERROR(INDEX('Cost_Components'!$P$2:$P$27,MATCH(E1096,'Cost_Components'!$A$2:$A$27,0)),"")</f>
      </c>
      <c r="O1096" s="70" t="str">
        <f>AF1096*J1096</f>
      </c>
      <c r="P1096" s="71" t="str">
        <f>AG1096*J1096</f>
      </c>
      <c r="Q1096" s="72" t="str">
        <f>P1096*L1096*M1096*N1096</f>
      </c>
      <c r="R1096" s="73" t="str">
        <f>O1096*K1096*M1096*N1096</f>
      </c>
      <c r="S1096" s="74" t="str">
        <f>R1096-Q1096</f>
      </c>
      <c r="T1096" s="20" t="str">
        <f>IFERROR(INDEX('Cost_Components'!$R$2:$R$27,MATCH(E1096,'Cost_Components'!$A$2:$A$27,0)),"")</f>
      </c>
      <c r="U1096" s="75" t="str">
        <f>IFERROR(INDEX('Cost_Components'!$Q$2:$Q$27,MATCH(E1096,'Cost_Components'!$A$2:$A$27,0)),"")</f>
      </c>
      <c r="V1096" s="76" t="str">
        <f>1/(1+'Calculation_Assumptions'!$B$5)^(B1096-'Calculation_Assumptions'!$B$2)</f>
      </c>
      <c r="W1096" s="77" t="str">
        <f>Q1096*V1096</f>
      </c>
      <c r="X1096" s="78" t="str">
        <f>R1096*V1096</f>
      </c>
      <c r="Y1096" s="79" t="str">
        <f>S1096*V1096</f>
      </c>
      <c r="Z1096" s="80" t="str">
        <f>IFERROR(INDEX('Cost_Components'!$T$2:$T$27,MATCH(E1096,'Cost_Components'!$A$2:$A$27,0)),"")</f>
      </c>
      <c r="AA1096" s="81" t="str">
        <f>IFERROR(INDEX('Cost_Components'!$U$2:$U$27,MATCH(E1096,'Cost_Components'!$A$2:$A$27,0)),"")</f>
      </c>
      <c r="AB1096" s="82" t="str">
        <f>IFERROR(INDEX('Cost_Components'!$V$2:$V$27,MATCH(E1096,'Cost_Components'!$A$2:$A$27,0)),"")</f>
      </c>
      <c r="AC1096" s="83" t="str">
        <f>IFERROR(INDEX('Cost_Components'!$M$2:$M$27,MATCH(E1096,'Cost_Components'!$A$2:$A$27,0)),"")</f>
      </c>
      <c r="AD1096" s="84" t="str">
        <f>IFERROR(INDEX('Cost_Components'!$N$2:$N$27,MATCH(E1096,'Cost_Components'!$A$2:$A$27,0)),"")</f>
      </c>
      <c r="AE1096" s="20" t="str">
        <f>IFERROR(INDEX('Cost_Components'!$O$2:$O$27,MATCH(E1096,'Cost_Components'!$A$2:$A$27,0)),"")</f>
      </c>
      <c r="AF1096" s="85" t="n">
        <v>5319741.76230153</v>
      </c>
      <c r="AG1096" s="86" t="n">
        <v>5345060.5643959</v>
      </c>
      <c r="AH1096" s="87" t="str">
        <f>IF(H1096="shared-count-once",COUNTIFS($A$2:$A$1353,A1096,$B$2:$B$1353,B1096,$E$2:$E$1353,E1096),1)</f>
      </c>
    </row>
    <row r="1097">
      <c r="A1097" t="s">
        <v>75</v>
      </c>
      <c r="B1097" s="59" t="n">
        <v>2028</v>
      </c>
      <c r="C1097" t="s">
        <v>205</v>
      </c>
      <c r="D1097" t="s">
        <v>180</v>
      </c>
      <c r="E1097" s="60" t="s">
        <v>300</v>
      </c>
      <c r="F1097" s="61" t="s">
        <v>301</v>
      </c>
      <c r="G1097" s="62" t="s">
        <v>206</v>
      </c>
      <c r="H1097" s="63" t="s">
        <v>195</v>
      </c>
      <c r="I1097" s="64" t="s">
        <v>267</v>
      </c>
      <c r="J1097" s="65" t="str">
        <f>IFERROR(INDEX('Cost_Components'!$K$2:$K$27,MATCH(E1097,'Cost_Components'!$A$2:$A$27,0)),"")</f>
      </c>
      <c r="K1097" s="66" t="str">
        <f>IF(OR(L1097="",Z1097="",AA1097="",AB1097=""),"",IF(B1097&lt;AA1097,L1097,IF(B1097&gt;AB1097,Z1097,L1097+(Z1097-L1097)*MIN(MAX((B1097-AA1097+1)/MAX(AB1097-AA1097+1,1),0),1))))</f>
      </c>
      <c r="L1097" s="67" t="str">
        <f>IFERROR(INDEX('Cost_Components'!$S$2:$S$27,MATCH(E1097,'Cost_Components'!$A$2:$A$27,0)),"")</f>
      </c>
      <c r="M1097" s="68" t="str">
        <f>IFERROR(INDEX('Cost_Components'!$L$2:$L$27,MATCH(E1097,'Cost_Components'!$A$2:$A$27,0)),"")</f>
      </c>
      <c r="N1097" s="69" t="str">
        <f>IFERROR(INDEX('Cost_Components'!$P$2:$P$27,MATCH(E1097,'Cost_Components'!$A$2:$A$27,0)),"")</f>
      </c>
      <c r="O1097" s="70" t="str">
        <f>AF1097*J1097</f>
      </c>
      <c r="P1097" s="71" t="str">
        <f>AG1097*J1097</f>
      </c>
      <c r="Q1097" s="72" t="str">
        <f>P1097*L1097*M1097*N1097</f>
      </c>
      <c r="R1097" s="73" t="str">
        <f>O1097*K1097*M1097*N1097</f>
      </c>
      <c r="S1097" s="74" t="str">
        <f>R1097-Q1097</f>
      </c>
      <c r="T1097" s="20" t="str">
        <f>IFERROR(INDEX('Cost_Components'!$R$2:$R$27,MATCH(E1097,'Cost_Components'!$A$2:$A$27,0)),"")</f>
      </c>
      <c r="U1097" s="75" t="str">
        <f>IFERROR(INDEX('Cost_Components'!$Q$2:$Q$27,MATCH(E1097,'Cost_Components'!$A$2:$A$27,0)),"")</f>
      </c>
      <c r="V1097" s="76" t="str">
        <f>1/(1+'Calculation_Assumptions'!$B$5)^(B1097-'Calculation_Assumptions'!$B$2)</f>
      </c>
      <c r="W1097" s="77" t="str">
        <f>Q1097*V1097</f>
      </c>
      <c r="X1097" s="78" t="str">
        <f>R1097*V1097</f>
      </c>
      <c r="Y1097" s="79" t="str">
        <f>S1097*V1097</f>
      </c>
      <c r="Z1097" s="80" t="str">
        <f>IFERROR(INDEX('Cost_Components'!$T$2:$T$27,MATCH(E1097,'Cost_Components'!$A$2:$A$27,0)),"")</f>
      </c>
      <c r="AA1097" s="81" t="str">
        <f>IFERROR(INDEX('Cost_Components'!$U$2:$U$27,MATCH(E1097,'Cost_Components'!$A$2:$A$27,0)),"")</f>
      </c>
      <c r="AB1097" s="82" t="str">
        <f>IFERROR(INDEX('Cost_Components'!$V$2:$V$27,MATCH(E1097,'Cost_Components'!$A$2:$A$27,0)),"")</f>
      </c>
      <c r="AC1097" s="83" t="str">
        <f>IFERROR(INDEX('Cost_Components'!$M$2:$M$27,MATCH(E1097,'Cost_Components'!$A$2:$A$27,0)),"")</f>
      </c>
      <c r="AD1097" s="84" t="str">
        <f>IFERROR(INDEX('Cost_Components'!$N$2:$N$27,MATCH(E1097,'Cost_Components'!$A$2:$A$27,0)),"")</f>
      </c>
      <c r="AE1097" s="20" t="str">
        <f>IFERROR(INDEX('Cost_Components'!$O$2:$O$27,MATCH(E1097,'Cost_Components'!$A$2:$A$27,0)),"")</f>
      </c>
      <c r="AF1097" s="85" t="n">
        <v>5422447.93738502</v>
      </c>
      <c r="AG1097" s="86" t="n">
        <v>5463892.28222306</v>
      </c>
      <c r="AH1097" s="87" t="str">
        <f>IF(H1097="shared-count-once",COUNTIFS($A$2:$A$1353,A1097,$B$2:$B$1353,B1097,$E$2:$E$1353,E1097),1)</f>
      </c>
    </row>
    <row r="1098">
      <c r="A1098" t="s">
        <v>75</v>
      </c>
      <c r="B1098" s="59" t="n">
        <v>2029</v>
      </c>
      <c r="C1098" t="s">
        <v>205</v>
      </c>
      <c r="D1098" t="s">
        <v>180</v>
      </c>
      <c r="E1098" s="60" t="s">
        <v>300</v>
      </c>
      <c r="F1098" s="61" t="s">
        <v>301</v>
      </c>
      <c r="G1098" s="62" t="s">
        <v>206</v>
      </c>
      <c r="H1098" s="63" t="s">
        <v>195</v>
      </c>
      <c r="I1098" s="64" t="s">
        <v>267</v>
      </c>
      <c r="J1098" s="65" t="str">
        <f>IFERROR(INDEX('Cost_Components'!$K$2:$K$27,MATCH(E1098,'Cost_Components'!$A$2:$A$27,0)),"")</f>
      </c>
      <c r="K1098" s="66" t="str">
        <f>IF(OR(L1098="",Z1098="",AA1098="",AB1098=""),"",IF(B1098&lt;AA1098,L1098,IF(B1098&gt;AB1098,Z1098,L1098+(Z1098-L1098)*MIN(MAX((B1098-AA1098+1)/MAX(AB1098-AA1098+1,1),0),1))))</f>
      </c>
      <c r="L1098" s="67" t="str">
        <f>IFERROR(INDEX('Cost_Components'!$S$2:$S$27,MATCH(E1098,'Cost_Components'!$A$2:$A$27,0)),"")</f>
      </c>
      <c r="M1098" s="68" t="str">
        <f>IFERROR(INDEX('Cost_Components'!$L$2:$L$27,MATCH(E1098,'Cost_Components'!$A$2:$A$27,0)),"")</f>
      </c>
      <c r="N1098" s="69" t="str">
        <f>IFERROR(INDEX('Cost_Components'!$P$2:$P$27,MATCH(E1098,'Cost_Components'!$A$2:$A$27,0)),"")</f>
      </c>
      <c r="O1098" s="70" t="str">
        <f>AF1098*J1098</f>
      </c>
      <c r="P1098" s="71" t="str">
        <f>AG1098*J1098</f>
      </c>
      <c r="Q1098" s="72" t="str">
        <f>P1098*L1098*M1098*N1098</f>
      </c>
      <c r="R1098" s="73" t="str">
        <f>O1098*K1098*M1098*N1098</f>
      </c>
      <c r="S1098" s="74" t="str">
        <f>R1098-Q1098</f>
      </c>
      <c r="T1098" s="20" t="str">
        <f>IFERROR(INDEX('Cost_Components'!$R$2:$R$27,MATCH(E1098,'Cost_Components'!$A$2:$A$27,0)),"")</f>
      </c>
      <c r="U1098" s="75" t="str">
        <f>IFERROR(INDEX('Cost_Components'!$Q$2:$Q$27,MATCH(E1098,'Cost_Components'!$A$2:$A$27,0)),"")</f>
      </c>
      <c r="V1098" s="76" t="str">
        <f>1/(1+'Calculation_Assumptions'!$B$5)^(B1098-'Calculation_Assumptions'!$B$2)</f>
      </c>
      <c r="W1098" s="77" t="str">
        <f>Q1098*V1098</f>
      </c>
      <c r="X1098" s="78" t="str">
        <f>R1098*V1098</f>
      </c>
      <c r="Y1098" s="79" t="str">
        <f>S1098*V1098</f>
      </c>
      <c r="Z1098" s="80" t="str">
        <f>IFERROR(INDEX('Cost_Components'!$T$2:$T$27,MATCH(E1098,'Cost_Components'!$A$2:$A$27,0)),"")</f>
      </c>
      <c r="AA1098" s="81" t="str">
        <f>IFERROR(INDEX('Cost_Components'!$U$2:$U$27,MATCH(E1098,'Cost_Components'!$A$2:$A$27,0)),"")</f>
      </c>
      <c r="AB1098" s="82" t="str">
        <f>IFERROR(INDEX('Cost_Components'!$V$2:$V$27,MATCH(E1098,'Cost_Components'!$A$2:$A$27,0)),"")</f>
      </c>
      <c r="AC1098" s="83" t="str">
        <f>IFERROR(INDEX('Cost_Components'!$M$2:$M$27,MATCH(E1098,'Cost_Components'!$A$2:$A$27,0)),"")</f>
      </c>
      <c r="AD1098" s="84" t="str">
        <f>IFERROR(INDEX('Cost_Components'!$N$2:$N$27,MATCH(E1098,'Cost_Components'!$A$2:$A$27,0)),"")</f>
      </c>
      <c r="AE1098" s="20" t="str">
        <f>IFERROR(INDEX('Cost_Components'!$O$2:$O$27,MATCH(E1098,'Cost_Components'!$A$2:$A$27,0)),"")</f>
      </c>
      <c r="AF1098" s="85" t="n">
        <v>5516462.06936288</v>
      </c>
      <c r="AG1098" s="86" t="n">
        <v>5577335.16444688</v>
      </c>
      <c r="AH1098" s="87" t="str">
        <f>IF(H1098="shared-count-once",COUNTIFS($A$2:$A$1353,A1098,$B$2:$B$1353,B1098,$E$2:$E$1353,E1098),1)</f>
      </c>
    </row>
    <row r="1099">
      <c r="A1099" t="s">
        <v>75</v>
      </c>
      <c r="B1099" s="59" t="n">
        <v>2030</v>
      </c>
      <c r="C1099" t="s">
        <v>205</v>
      </c>
      <c r="D1099" t="s">
        <v>180</v>
      </c>
      <c r="E1099" s="60" t="s">
        <v>300</v>
      </c>
      <c r="F1099" s="61" t="s">
        <v>301</v>
      </c>
      <c r="G1099" s="62" t="s">
        <v>206</v>
      </c>
      <c r="H1099" s="63" t="s">
        <v>195</v>
      </c>
      <c r="I1099" s="64" t="s">
        <v>267</v>
      </c>
      <c r="J1099" s="65" t="str">
        <f>IFERROR(INDEX('Cost_Components'!$K$2:$K$27,MATCH(E1099,'Cost_Components'!$A$2:$A$27,0)),"")</f>
      </c>
      <c r="K1099" s="66" t="str">
        <f>IF(OR(L1099="",Z1099="",AA1099="",AB1099=""),"",IF(B1099&lt;AA1099,L1099,IF(B1099&gt;AB1099,Z1099,L1099+(Z1099-L1099)*MIN(MAX((B1099-AA1099+1)/MAX(AB1099-AA1099+1,1),0),1))))</f>
      </c>
      <c r="L1099" s="67" t="str">
        <f>IFERROR(INDEX('Cost_Components'!$S$2:$S$27,MATCH(E1099,'Cost_Components'!$A$2:$A$27,0)),"")</f>
      </c>
      <c r="M1099" s="68" t="str">
        <f>IFERROR(INDEX('Cost_Components'!$L$2:$L$27,MATCH(E1099,'Cost_Components'!$A$2:$A$27,0)),"")</f>
      </c>
      <c r="N1099" s="69" t="str">
        <f>IFERROR(INDEX('Cost_Components'!$P$2:$P$27,MATCH(E1099,'Cost_Components'!$A$2:$A$27,0)),"")</f>
      </c>
      <c r="O1099" s="70" t="str">
        <f>AF1099*J1099</f>
      </c>
      <c r="P1099" s="71" t="str">
        <f>AG1099*J1099</f>
      </c>
      <c r="Q1099" s="72" t="str">
        <f>P1099*L1099*M1099*N1099</f>
      </c>
      <c r="R1099" s="73" t="str">
        <f>O1099*K1099*M1099*N1099</f>
      </c>
      <c r="S1099" s="74" t="str">
        <f>R1099-Q1099</f>
      </c>
      <c r="T1099" s="20" t="str">
        <f>IFERROR(INDEX('Cost_Components'!$R$2:$R$27,MATCH(E1099,'Cost_Components'!$A$2:$A$27,0)),"")</f>
      </c>
      <c r="U1099" s="75" t="str">
        <f>IFERROR(INDEX('Cost_Components'!$Q$2:$Q$27,MATCH(E1099,'Cost_Components'!$A$2:$A$27,0)),"")</f>
      </c>
      <c r="V1099" s="76" t="str">
        <f>1/(1+'Calculation_Assumptions'!$B$5)^(B1099-'Calculation_Assumptions'!$B$2)</f>
      </c>
      <c r="W1099" s="77" t="str">
        <f>Q1099*V1099</f>
      </c>
      <c r="X1099" s="78" t="str">
        <f>R1099*V1099</f>
      </c>
      <c r="Y1099" s="79" t="str">
        <f>S1099*V1099</f>
      </c>
      <c r="Z1099" s="80" t="str">
        <f>IFERROR(INDEX('Cost_Components'!$T$2:$T$27,MATCH(E1099,'Cost_Components'!$A$2:$A$27,0)),"")</f>
      </c>
      <c r="AA1099" s="81" t="str">
        <f>IFERROR(INDEX('Cost_Components'!$U$2:$U$27,MATCH(E1099,'Cost_Components'!$A$2:$A$27,0)),"")</f>
      </c>
      <c r="AB1099" s="82" t="str">
        <f>IFERROR(INDEX('Cost_Components'!$V$2:$V$27,MATCH(E1099,'Cost_Components'!$A$2:$A$27,0)),"")</f>
      </c>
      <c r="AC1099" s="83" t="str">
        <f>IFERROR(INDEX('Cost_Components'!$M$2:$M$27,MATCH(E1099,'Cost_Components'!$A$2:$A$27,0)),"")</f>
      </c>
      <c r="AD1099" s="84" t="str">
        <f>IFERROR(INDEX('Cost_Components'!$N$2:$N$27,MATCH(E1099,'Cost_Components'!$A$2:$A$27,0)),"")</f>
      </c>
      <c r="AE1099" s="20" t="str">
        <f>IFERROR(INDEX('Cost_Components'!$O$2:$O$27,MATCH(E1099,'Cost_Components'!$A$2:$A$27,0)),"")</f>
      </c>
      <c r="AF1099" s="85" t="n">
        <v>5608848.30724705</v>
      </c>
      <c r="AG1099" s="86" t="n">
        <v>5692434.95186848</v>
      </c>
      <c r="AH1099" s="87" t="str">
        <f>IF(H1099="shared-count-once",COUNTIFS($A$2:$A$1353,A1099,$B$2:$B$1353,B1099,$E$2:$E$1353,E1099),1)</f>
      </c>
    </row>
    <row r="1100">
      <c r="A1100" t="s">
        <v>75</v>
      </c>
      <c r="B1100" s="59" t="n">
        <v>2031</v>
      </c>
      <c r="C1100" t="s">
        <v>205</v>
      </c>
      <c r="D1100" t="s">
        <v>180</v>
      </c>
      <c r="E1100" s="60" t="s">
        <v>300</v>
      </c>
      <c r="F1100" s="61" t="s">
        <v>301</v>
      </c>
      <c r="G1100" s="62" t="s">
        <v>206</v>
      </c>
      <c r="H1100" s="63" t="s">
        <v>195</v>
      </c>
      <c r="I1100" s="64" t="s">
        <v>267</v>
      </c>
      <c r="J1100" s="65" t="str">
        <f>IFERROR(INDEX('Cost_Components'!$K$2:$K$27,MATCH(E1100,'Cost_Components'!$A$2:$A$27,0)),"")</f>
      </c>
      <c r="K1100" s="66" t="str">
        <f>IF(OR(L1100="",Z1100="",AA1100="",AB1100=""),"",IF(B1100&lt;AA1100,L1100,IF(B1100&gt;AB1100,Z1100,L1100+(Z1100-L1100)*MIN(MAX((B1100-AA1100+1)/MAX(AB1100-AA1100+1,1),0),1))))</f>
      </c>
      <c r="L1100" s="67" t="str">
        <f>IFERROR(INDEX('Cost_Components'!$S$2:$S$27,MATCH(E1100,'Cost_Components'!$A$2:$A$27,0)),"")</f>
      </c>
      <c r="M1100" s="68" t="str">
        <f>IFERROR(INDEX('Cost_Components'!$L$2:$L$27,MATCH(E1100,'Cost_Components'!$A$2:$A$27,0)),"")</f>
      </c>
      <c r="N1100" s="69" t="str">
        <f>IFERROR(INDEX('Cost_Components'!$P$2:$P$27,MATCH(E1100,'Cost_Components'!$A$2:$A$27,0)),"")</f>
      </c>
      <c r="O1100" s="70" t="str">
        <f>AF1100*J1100</f>
      </c>
      <c r="P1100" s="71" t="str">
        <f>AG1100*J1100</f>
      </c>
      <c r="Q1100" s="72" t="str">
        <f>P1100*L1100*M1100*N1100</f>
      </c>
      <c r="R1100" s="73" t="str">
        <f>O1100*K1100*M1100*N1100</f>
      </c>
      <c r="S1100" s="74" t="str">
        <f>R1100-Q1100</f>
      </c>
      <c r="T1100" s="20" t="str">
        <f>IFERROR(INDEX('Cost_Components'!$R$2:$R$27,MATCH(E1100,'Cost_Components'!$A$2:$A$27,0)),"")</f>
      </c>
      <c r="U1100" s="75" t="str">
        <f>IFERROR(INDEX('Cost_Components'!$Q$2:$Q$27,MATCH(E1100,'Cost_Components'!$A$2:$A$27,0)),"")</f>
      </c>
      <c r="V1100" s="76" t="str">
        <f>1/(1+'Calculation_Assumptions'!$B$5)^(B1100-'Calculation_Assumptions'!$B$2)</f>
      </c>
      <c r="W1100" s="77" t="str">
        <f>Q1100*V1100</f>
      </c>
      <c r="X1100" s="78" t="str">
        <f>R1100*V1100</f>
      </c>
      <c r="Y1100" s="79" t="str">
        <f>S1100*V1100</f>
      </c>
      <c r="Z1100" s="80" t="str">
        <f>IFERROR(INDEX('Cost_Components'!$T$2:$T$27,MATCH(E1100,'Cost_Components'!$A$2:$A$27,0)),"")</f>
      </c>
      <c r="AA1100" s="81" t="str">
        <f>IFERROR(INDEX('Cost_Components'!$U$2:$U$27,MATCH(E1100,'Cost_Components'!$A$2:$A$27,0)),"")</f>
      </c>
      <c r="AB1100" s="82" t="str">
        <f>IFERROR(INDEX('Cost_Components'!$V$2:$V$27,MATCH(E1100,'Cost_Components'!$A$2:$A$27,0)),"")</f>
      </c>
      <c r="AC1100" s="83" t="str">
        <f>IFERROR(INDEX('Cost_Components'!$M$2:$M$27,MATCH(E1100,'Cost_Components'!$A$2:$A$27,0)),"")</f>
      </c>
      <c r="AD1100" s="84" t="str">
        <f>IFERROR(INDEX('Cost_Components'!$N$2:$N$27,MATCH(E1100,'Cost_Components'!$A$2:$A$27,0)),"")</f>
      </c>
      <c r="AE1100" s="20" t="str">
        <f>IFERROR(INDEX('Cost_Components'!$O$2:$O$27,MATCH(E1100,'Cost_Components'!$A$2:$A$27,0)),"")</f>
      </c>
      <c r="AF1100" s="85" t="n">
        <v>5699983.86868012</v>
      </c>
      <c r="AG1100" s="86" t="n">
        <v>5809459.27108144</v>
      </c>
      <c r="AH1100" s="87" t="str">
        <f>IF(H1100="shared-count-once",COUNTIFS($A$2:$A$1353,A1100,$B$2:$B$1353,B1100,$E$2:$E$1353,E1100),1)</f>
      </c>
    </row>
    <row r="1101">
      <c r="A1101" t="s">
        <v>75</v>
      </c>
      <c r="B1101" s="59" t="n">
        <v>2032</v>
      </c>
      <c r="C1101" t="s">
        <v>205</v>
      </c>
      <c r="D1101" t="s">
        <v>180</v>
      </c>
      <c r="E1101" s="60" t="s">
        <v>300</v>
      </c>
      <c r="F1101" s="61" t="s">
        <v>301</v>
      </c>
      <c r="G1101" s="62" t="s">
        <v>206</v>
      </c>
      <c r="H1101" s="63" t="s">
        <v>195</v>
      </c>
      <c r="I1101" s="64" t="s">
        <v>267</v>
      </c>
      <c r="J1101" s="65" t="str">
        <f>IFERROR(INDEX('Cost_Components'!$K$2:$K$27,MATCH(E1101,'Cost_Components'!$A$2:$A$27,0)),"")</f>
      </c>
      <c r="K1101" s="66" t="str">
        <f>IF(OR(L1101="",Z1101="",AA1101="",AB1101=""),"",IF(B1101&lt;AA1101,L1101,IF(B1101&gt;AB1101,Z1101,L1101+(Z1101-L1101)*MIN(MAX((B1101-AA1101+1)/MAX(AB1101-AA1101+1,1),0),1))))</f>
      </c>
      <c r="L1101" s="67" t="str">
        <f>IFERROR(INDEX('Cost_Components'!$S$2:$S$27,MATCH(E1101,'Cost_Components'!$A$2:$A$27,0)),"")</f>
      </c>
      <c r="M1101" s="68" t="str">
        <f>IFERROR(INDEX('Cost_Components'!$L$2:$L$27,MATCH(E1101,'Cost_Components'!$A$2:$A$27,0)),"")</f>
      </c>
      <c r="N1101" s="69" t="str">
        <f>IFERROR(INDEX('Cost_Components'!$P$2:$P$27,MATCH(E1101,'Cost_Components'!$A$2:$A$27,0)),"")</f>
      </c>
      <c r="O1101" s="70" t="str">
        <f>AF1101*J1101</f>
      </c>
      <c r="P1101" s="71" t="str">
        <f>AG1101*J1101</f>
      </c>
      <c r="Q1101" s="72" t="str">
        <f>P1101*L1101*M1101*N1101</f>
      </c>
      <c r="R1101" s="73" t="str">
        <f>O1101*K1101*M1101*N1101</f>
      </c>
      <c r="S1101" s="74" t="str">
        <f>R1101-Q1101</f>
      </c>
      <c r="T1101" s="20" t="str">
        <f>IFERROR(INDEX('Cost_Components'!$R$2:$R$27,MATCH(E1101,'Cost_Components'!$A$2:$A$27,0)),"")</f>
      </c>
      <c r="U1101" s="75" t="str">
        <f>IFERROR(INDEX('Cost_Components'!$Q$2:$Q$27,MATCH(E1101,'Cost_Components'!$A$2:$A$27,0)),"")</f>
      </c>
      <c r="V1101" s="76" t="str">
        <f>1/(1+'Calculation_Assumptions'!$B$5)^(B1101-'Calculation_Assumptions'!$B$2)</f>
      </c>
      <c r="W1101" s="77" t="str">
        <f>Q1101*V1101</f>
      </c>
      <c r="X1101" s="78" t="str">
        <f>R1101*V1101</f>
      </c>
      <c r="Y1101" s="79" t="str">
        <f>S1101*V1101</f>
      </c>
      <c r="Z1101" s="80" t="str">
        <f>IFERROR(INDEX('Cost_Components'!$T$2:$T$27,MATCH(E1101,'Cost_Components'!$A$2:$A$27,0)),"")</f>
      </c>
      <c r="AA1101" s="81" t="str">
        <f>IFERROR(INDEX('Cost_Components'!$U$2:$U$27,MATCH(E1101,'Cost_Components'!$A$2:$A$27,0)),"")</f>
      </c>
      <c r="AB1101" s="82" t="str">
        <f>IFERROR(INDEX('Cost_Components'!$V$2:$V$27,MATCH(E1101,'Cost_Components'!$A$2:$A$27,0)),"")</f>
      </c>
      <c r="AC1101" s="83" t="str">
        <f>IFERROR(INDEX('Cost_Components'!$M$2:$M$27,MATCH(E1101,'Cost_Components'!$A$2:$A$27,0)),"")</f>
      </c>
      <c r="AD1101" s="84" t="str">
        <f>IFERROR(INDEX('Cost_Components'!$N$2:$N$27,MATCH(E1101,'Cost_Components'!$A$2:$A$27,0)),"")</f>
      </c>
      <c r="AE1101" s="20" t="str">
        <f>IFERROR(INDEX('Cost_Components'!$O$2:$O$27,MATCH(E1101,'Cost_Components'!$A$2:$A$27,0)),"")</f>
      </c>
      <c r="AF1101" s="85" t="n">
        <v>5789545.26312717</v>
      </c>
      <c r="AG1101" s="86" t="n">
        <v>5927965.33586751</v>
      </c>
      <c r="AH1101" s="87" t="str">
        <f>IF(H1101="shared-count-once",COUNTIFS($A$2:$A$1353,A1101,$B$2:$B$1353,B1101,$E$2:$E$1353,E1101),1)</f>
      </c>
    </row>
    <row r="1102">
      <c r="A1102" t="s">
        <v>75</v>
      </c>
      <c r="B1102" s="59" t="n">
        <v>2033</v>
      </c>
      <c r="C1102" t="s">
        <v>205</v>
      </c>
      <c r="D1102" t="s">
        <v>180</v>
      </c>
      <c r="E1102" s="60" t="s">
        <v>300</v>
      </c>
      <c r="F1102" s="61" t="s">
        <v>301</v>
      </c>
      <c r="G1102" s="62" t="s">
        <v>206</v>
      </c>
      <c r="H1102" s="63" t="s">
        <v>195</v>
      </c>
      <c r="I1102" s="64" t="s">
        <v>267</v>
      </c>
      <c r="J1102" s="65" t="str">
        <f>IFERROR(INDEX('Cost_Components'!$K$2:$K$27,MATCH(E1102,'Cost_Components'!$A$2:$A$27,0)),"")</f>
      </c>
      <c r="K1102" s="66" t="str">
        <f>IF(OR(L1102="",Z1102="",AA1102="",AB1102=""),"",IF(B1102&lt;AA1102,L1102,IF(B1102&gt;AB1102,Z1102,L1102+(Z1102-L1102)*MIN(MAX((B1102-AA1102+1)/MAX(AB1102-AA1102+1,1),0),1))))</f>
      </c>
      <c r="L1102" s="67" t="str">
        <f>IFERROR(INDEX('Cost_Components'!$S$2:$S$27,MATCH(E1102,'Cost_Components'!$A$2:$A$27,0)),"")</f>
      </c>
      <c r="M1102" s="68" t="str">
        <f>IFERROR(INDEX('Cost_Components'!$L$2:$L$27,MATCH(E1102,'Cost_Components'!$A$2:$A$27,0)),"")</f>
      </c>
      <c r="N1102" s="69" t="str">
        <f>IFERROR(INDEX('Cost_Components'!$P$2:$P$27,MATCH(E1102,'Cost_Components'!$A$2:$A$27,0)),"")</f>
      </c>
      <c r="O1102" s="70" t="str">
        <f>AF1102*J1102</f>
      </c>
      <c r="P1102" s="71" t="str">
        <f>AG1102*J1102</f>
      </c>
      <c r="Q1102" s="72" t="str">
        <f>P1102*L1102*M1102*N1102</f>
      </c>
      <c r="R1102" s="73" t="str">
        <f>O1102*K1102*M1102*N1102</f>
      </c>
      <c r="S1102" s="74" t="str">
        <f>R1102-Q1102</f>
      </c>
      <c r="T1102" s="20" t="str">
        <f>IFERROR(INDEX('Cost_Components'!$R$2:$R$27,MATCH(E1102,'Cost_Components'!$A$2:$A$27,0)),"")</f>
      </c>
      <c r="U1102" s="75" t="str">
        <f>IFERROR(INDEX('Cost_Components'!$Q$2:$Q$27,MATCH(E1102,'Cost_Components'!$A$2:$A$27,0)),"")</f>
      </c>
      <c r="V1102" s="76" t="str">
        <f>1/(1+'Calculation_Assumptions'!$B$5)^(B1102-'Calculation_Assumptions'!$B$2)</f>
      </c>
      <c r="W1102" s="77" t="str">
        <f>Q1102*V1102</f>
      </c>
      <c r="X1102" s="78" t="str">
        <f>R1102*V1102</f>
      </c>
      <c r="Y1102" s="79" t="str">
        <f>S1102*V1102</f>
      </c>
      <c r="Z1102" s="80" t="str">
        <f>IFERROR(INDEX('Cost_Components'!$T$2:$T$27,MATCH(E1102,'Cost_Components'!$A$2:$A$27,0)),"")</f>
      </c>
      <c r="AA1102" s="81" t="str">
        <f>IFERROR(INDEX('Cost_Components'!$U$2:$U$27,MATCH(E1102,'Cost_Components'!$A$2:$A$27,0)),"")</f>
      </c>
      <c r="AB1102" s="82" t="str">
        <f>IFERROR(INDEX('Cost_Components'!$V$2:$V$27,MATCH(E1102,'Cost_Components'!$A$2:$A$27,0)),"")</f>
      </c>
      <c r="AC1102" s="83" t="str">
        <f>IFERROR(INDEX('Cost_Components'!$M$2:$M$27,MATCH(E1102,'Cost_Components'!$A$2:$A$27,0)),"")</f>
      </c>
      <c r="AD1102" s="84" t="str">
        <f>IFERROR(INDEX('Cost_Components'!$N$2:$N$27,MATCH(E1102,'Cost_Components'!$A$2:$A$27,0)),"")</f>
      </c>
      <c r="AE1102" s="20" t="str">
        <f>IFERROR(INDEX('Cost_Components'!$O$2:$O$27,MATCH(E1102,'Cost_Components'!$A$2:$A$27,0)),"")</f>
      </c>
      <c r="AF1102" s="85" t="n">
        <v>5877874.49329935</v>
      </c>
      <c r="AG1102" s="86" t="n">
        <v>6048231.79901667</v>
      </c>
      <c r="AH1102" s="87" t="str">
        <f>IF(H1102="shared-count-once",COUNTIFS($A$2:$A$1353,A1102,$B$2:$B$1353,B1102,$E$2:$E$1353,E1102),1)</f>
      </c>
    </row>
    <row r="1103">
      <c r="A1103" t="s">
        <v>75</v>
      </c>
      <c r="B1103" s="59" t="n">
        <v>2034</v>
      </c>
      <c r="C1103" t="s">
        <v>205</v>
      </c>
      <c r="D1103" t="s">
        <v>180</v>
      </c>
      <c r="E1103" s="60" t="s">
        <v>300</v>
      </c>
      <c r="F1103" s="61" t="s">
        <v>301</v>
      </c>
      <c r="G1103" s="62" t="s">
        <v>206</v>
      </c>
      <c r="H1103" s="63" t="s">
        <v>195</v>
      </c>
      <c r="I1103" s="64" t="s">
        <v>267</v>
      </c>
      <c r="J1103" s="65" t="str">
        <f>IFERROR(INDEX('Cost_Components'!$K$2:$K$27,MATCH(E1103,'Cost_Components'!$A$2:$A$27,0)),"")</f>
      </c>
      <c r="K1103" s="66" t="str">
        <f>IF(OR(L1103="",Z1103="",AA1103="",AB1103=""),"",IF(B1103&lt;AA1103,L1103,IF(B1103&gt;AB1103,Z1103,L1103+(Z1103-L1103)*MIN(MAX((B1103-AA1103+1)/MAX(AB1103-AA1103+1,1),0),1))))</f>
      </c>
      <c r="L1103" s="67" t="str">
        <f>IFERROR(INDEX('Cost_Components'!$S$2:$S$27,MATCH(E1103,'Cost_Components'!$A$2:$A$27,0)),"")</f>
      </c>
      <c r="M1103" s="68" t="str">
        <f>IFERROR(INDEX('Cost_Components'!$L$2:$L$27,MATCH(E1103,'Cost_Components'!$A$2:$A$27,0)),"")</f>
      </c>
      <c r="N1103" s="69" t="str">
        <f>IFERROR(INDEX('Cost_Components'!$P$2:$P$27,MATCH(E1103,'Cost_Components'!$A$2:$A$27,0)),"")</f>
      </c>
      <c r="O1103" s="70" t="str">
        <f>AF1103*J1103</f>
      </c>
      <c r="P1103" s="71" t="str">
        <f>AG1103*J1103</f>
      </c>
      <c r="Q1103" s="72" t="str">
        <f>P1103*L1103*M1103*N1103</f>
      </c>
      <c r="R1103" s="73" t="str">
        <f>O1103*K1103*M1103*N1103</f>
      </c>
      <c r="S1103" s="74" t="str">
        <f>R1103-Q1103</f>
      </c>
      <c r="T1103" s="20" t="str">
        <f>IFERROR(INDEX('Cost_Components'!$R$2:$R$27,MATCH(E1103,'Cost_Components'!$A$2:$A$27,0)),"")</f>
      </c>
      <c r="U1103" s="75" t="str">
        <f>IFERROR(INDEX('Cost_Components'!$Q$2:$Q$27,MATCH(E1103,'Cost_Components'!$A$2:$A$27,0)),"")</f>
      </c>
      <c r="V1103" s="76" t="str">
        <f>1/(1+'Calculation_Assumptions'!$B$5)^(B1103-'Calculation_Assumptions'!$B$2)</f>
      </c>
      <c r="W1103" s="77" t="str">
        <f>Q1103*V1103</f>
      </c>
      <c r="X1103" s="78" t="str">
        <f>R1103*V1103</f>
      </c>
      <c r="Y1103" s="79" t="str">
        <f>S1103*V1103</f>
      </c>
      <c r="Z1103" s="80" t="str">
        <f>IFERROR(INDEX('Cost_Components'!$T$2:$T$27,MATCH(E1103,'Cost_Components'!$A$2:$A$27,0)),"")</f>
      </c>
      <c r="AA1103" s="81" t="str">
        <f>IFERROR(INDEX('Cost_Components'!$U$2:$U$27,MATCH(E1103,'Cost_Components'!$A$2:$A$27,0)),"")</f>
      </c>
      <c r="AB1103" s="82" t="str">
        <f>IFERROR(INDEX('Cost_Components'!$V$2:$V$27,MATCH(E1103,'Cost_Components'!$A$2:$A$27,0)),"")</f>
      </c>
      <c r="AC1103" s="83" t="str">
        <f>IFERROR(INDEX('Cost_Components'!$M$2:$M$27,MATCH(E1103,'Cost_Components'!$A$2:$A$27,0)),"")</f>
      </c>
      <c r="AD1103" s="84" t="str">
        <f>IFERROR(INDEX('Cost_Components'!$N$2:$N$27,MATCH(E1103,'Cost_Components'!$A$2:$A$27,0)),"")</f>
      </c>
      <c r="AE1103" s="20" t="str">
        <f>IFERROR(INDEX('Cost_Components'!$O$2:$O$27,MATCH(E1103,'Cost_Components'!$A$2:$A$27,0)),"")</f>
      </c>
      <c r="AF1103" s="85" t="n">
        <v>5960593.66799164</v>
      </c>
      <c r="AG1103" s="86" t="n">
        <v>6165314.81756487</v>
      </c>
      <c r="AH1103" s="87" t="str">
        <f>IF(H1103="shared-count-once",COUNTIFS($A$2:$A$1353,A1103,$B$2:$B$1353,B1103,$E$2:$E$1353,E1103),1)</f>
      </c>
    </row>
    <row r="1104">
      <c r="A1104" t="s">
        <v>75</v>
      </c>
      <c r="B1104" s="59" t="n">
        <v>2035</v>
      </c>
      <c r="C1104" t="s">
        <v>205</v>
      </c>
      <c r="D1104" t="s">
        <v>180</v>
      </c>
      <c r="E1104" s="60" t="s">
        <v>300</v>
      </c>
      <c r="F1104" s="61" t="s">
        <v>301</v>
      </c>
      <c r="G1104" s="62" t="s">
        <v>206</v>
      </c>
      <c r="H1104" s="63" t="s">
        <v>195</v>
      </c>
      <c r="I1104" s="64" t="s">
        <v>267</v>
      </c>
      <c r="J1104" s="65" t="str">
        <f>IFERROR(INDEX('Cost_Components'!$K$2:$K$27,MATCH(E1104,'Cost_Components'!$A$2:$A$27,0)),"")</f>
      </c>
      <c r="K1104" s="66" t="str">
        <f>IF(OR(L1104="",Z1104="",AA1104="",AB1104=""),"",IF(B1104&lt;AA1104,L1104,IF(B1104&gt;AB1104,Z1104,L1104+(Z1104-L1104)*MIN(MAX((B1104-AA1104+1)/MAX(AB1104-AA1104+1,1),0),1))))</f>
      </c>
      <c r="L1104" s="67" t="str">
        <f>IFERROR(INDEX('Cost_Components'!$S$2:$S$27,MATCH(E1104,'Cost_Components'!$A$2:$A$27,0)),"")</f>
      </c>
      <c r="M1104" s="68" t="str">
        <f>IFERROR(INDEX('Cost_Components'!$L$2:$L$27,MATCH(E1104,'Cost_Components'!$A$2:$A$27,0)),"")</f>
      </c>
      <c r="N1104" s="69" t="str">
        <f>IFERROR(INDEX('Cost_Components'!$P$2:$P$27,MATCH(E1104,'Cost_Components'!$A$2:$A$27,0)),"")</f>
      </c>
      <c r="O1104" s="70" t="str">
        <f>AF1104*J1104</f>
      </c>
      <c r="P1104" s="71" t="str">
        <f>AG1104*J1104</f>
      </c>
      <c r="Q1104" s="72" t="str">
        <f>P1104*L1104*M1104*N1104</f>
      </c>
      <c r="R1104" s="73" t="str">
        <f>O1104*K1104*M1104*N1104</f>
      </c>
      <c r="S1104" s="74" t="str">
        <f>R1104-Q1104</f>
      </c>
      <c r="T1104" s="20" t="str">
        <f>IFERROR(INDEX('Cost_Components'!$R$2:$R$27,MATCH(E1104,'Cost_Components'!$A$2:$A$27,0)),"")</f>
      </c>
      <c r="U1104" s="75" t="str">
        <f>IFERROR(INDEX('Cost_Components'!$Q$2:$Q$27,MATCH(E1104,'Cost_Components'!$A$2:$A$27,0)),"")</f>
      </c>
      <c r="V1104" s="76" t="str">
        <f>1/(1+'Calculation_Assumptions'!$B$5)^(B1104-'Calculation_Assumptions'!$B$2)</f>
      </c>
      <c r="W1104" s="77" t="str">
        <f>Q1104*V1104</f>
      </c>
      <c r="X1104" s="78" t="str">
        <f>R1104*V1104</f>
      </c>
      <c r="Y1104" s="79" t="str">
        <f>S1104*V1104</f>
      </c>
      <c r="Z1104" s="80" t="str">
        <f>IFERROR(INDEX('Cost_Components'!$T$2:$T$27,MATCH(E1104,'Cost_Components'!$A$2:$A$27,0)),"")</f>
      </c>
      <c r="AA1104" s="81" t="str">
        <f>IFERROR(INDEX('Cost_Components'!$U$2:$U$27,MATCH(E1104,'Cost_Components'!$A$2:$A$27,0)),"")</f>
      </c>
      <c r="AB1104" s="82" t="str">
        <f>IFERROR(INDEX('Cost_Components'!$V$2:$V$27,MATCH(E1104,'Cost_Components'!$A$2:$A$27,0)),"")</f>
      </c>
      <c r="AC1104" s="83" t="str">
        <f>IFERROR(INDEX('Cost_Components'!$M$2:$M$27,MATCH(E1104,'Cost_Components'!$A$2:$A$27,0)),"")</f>
      </c>
      <c r="AD1104" s="84" t="str">
        <f>IFERROR(INDEX('Cost_Components'!$N$2:$N$27,MATCH(E1104,'Cost_Components'!$A$2:$A$27,0)),"")</f>
      </c>
      <c r="AE1104" s="20" t="str">
        <f>IFERROR(INDEX('Cost_Components'!$O$2:$O$27,MATCH(E1104,'Cost_Components'!$A$2:$A$27,0)),"")</f>
      </c>
      <c r="AF1104" s="85" t="n">
        <v>6042375.45919993</v>
      </c>
      <c r="AG1104" s="86" t="n">
        <v>6284033.10491271</v>
      </c>
      <c r="AH1104" s="87" t="str">
        <f>IF(H1104="shared-count-once",COUNTIFS($A$2:$A$1353,A1104,$B$2:$B$1353,B1104,$E$2:$E$1353,E1104),1)</f>
      </c>
    </row>
    <row r="1105">
      <c r="A1105" t="s">
        <v>75</v>
      </c>
      <c r="B1105" s="59" t="n">
        <v>2036</v>
      </c>
      <c r="C1105" t="s">
        <v>205</v>
      </c>
      <c r="D1105" t="s">
        <v>180</v>
      </c>
      <c r="E1105" s="60" t="s">
        <v>300</v>
      </c>
      <c r="F1105" s="61" t="s">
        <v>301</v>
      </c>
      <c r="G1105" s="62" t="s">
        <v>206</v>
      </c>
      <c r="H1105" s="63" t="s">
        <v>195</v>
      </c>
      <c r="I1105" s="64" t="s">
        <v>267</v>
      </c>
      <c r="J1105" s="65" t="str">
        <f>IFERROR(INDEX('Cost_Components'!$K$2:$K$27,MATCH(E1105,'Cost_Components'!$A$2:$A$27,0)),"")</f>
      </c>
      <c r="K1105" s="66" t="str">
        <f>IF(OR(L1105="",Z1105="",AA1105="",AB1105=""),"",IF(B1105&lt;AA1105,L1105,IF(B1105&gt;AB1105,Z1105,L1105+(Z1105-L1105)*MIN(MAX((B1105-AA1105+1)/MAX(AB1105-AA1105+1,1),0),1))))</f>
      </c>
      <c r="L1105" s="67" t="str">
        <f>IFERROR(INDEX('Cost_Components'!$S$2:$S$27,MATCH(E1105,'Cost_Components'!$A$2:$A$27,0)),"")</f>
      </c>
      <c r="M1105" s="68" t="str">
        <f>IFERROR(INDEX('Cost_Components'!$L$2:$L$27,MATCH(E1105,'Cost_Components'!$A$2:$A$27,0)),"")</f>
      </c>
      <c r="N1105" s="69" t="str">
        <f>IFERROR(INDEX('Cost_Components'!$P$2:$P$27,MATCH(E1105,'Cost_Components'!$A$2:$A$27,0)),"")</f>
      </c>
      <c r="O1105" s="70" t="str">
        <f>AF1105*J1105</f>
      </c>
      <c r="P1105" s="71" t="str">
        <f>AG1105*J1105</f>
      </c>
      <c r="Q1105" s="72" t="str">
        <f>P1105*L1105*M1105*N1105</f>
      </c>
      <c r="R1105" s="73" t="str">
        <f>O1105*K1105*M1105*N1105</f>
      </c>
      <c r="S1105" s="74" t="str">
        <f>R1105-Q1105</f>
      </c>
      <c r="T1105" s="20" t="str">
        <f>IFERROR(INDEX('Cost_Components'!$R$2:$R$27,MATCH(E1105,'Cost_Components'!$A$2:$A$27,0)),"")</f>
      </c>
      <c r="U1105" s="75" t="str">
        <f>IFERROR(INDEX('Cost_Components'!$Q$2:$Q$27,MATCH(E1105,'Cost_Components'!$A$2:$A$27,0)),"")</f>
      </c>
      <c r="V1105" s="76" t="str">
        <f>1/(1+'Calculation_Assumptions'!$B$5)^(B1105-'Calculation_Assumptions'!$B$2)</f>
      </c>
      <c r="W1105" s="77" t="str">
        <f>Q1105*V1105</f>
      </c>
      <c r="X1105" s="78" t="str">
        <f>R1105*V1105</f>
      </c>
      <c r="Y1105" s="79" t="str">
        <f>S1105*V1105</f>
      </c>
      <c r="Z1105" s="80" t="str">
        <f>IFERROR(INDEX('Cost_Components'!$T$2:$T$27,MATCH(E1105,'Cost_Components'!$A$2:$A$27,0)),"")</f>
      </c>
      <c r="AA1105" s="81" t="str">
        <f>IFERROR(INDEX('Cost_Components'!$U$2:$U$27,MATCH(E1105,'Cost_Components'!$A$2:$A$27,0)),"")</f>
      </c>
      <c r="AB1105" s="82" t="str">
        <f>IFERROR(INDEX('Cost_Components'!$V$2:$V$27,MATCH(E1105,'Cost_Components'!$A$2:$A$27,0)),"")</f>
      </c>
      <c r="AC1105" s="83" t="str">
        <f>IFERROR(INDEX('Cost_Components'!$M$2:$M$27,MATCH(E1105,'Cost_Components'!$A$2:$A$27,0)),"")</f>
      </c>
      <c r="AD1105" s="84" t="str">
        <f>IFERROR(INDEX('Cost_Components'!$N$2:$N$27,MATCH(E1105,'Cost_Components'!$A$2:$A$27,0)),"")</f>
      </c>
      <c r="AE1105" s="20" t="str">
        <f>IFERROR(INDEX('Cost_Components'!$O$2:$O$27,MATCH(E1105,'Cost_Components'!$A$2:$A$27,0)),"")</f>
      </c>
      <c r="AF1105" s="85" t="n">
        <v>6122570.71082653</v>
      </c>
      <c r="AG1105" s="86" t="n">
        <v>6403647.07460713</v>
      </c>
      <c r="AH1105" s="87" t="str">
        <f>IF(H1105="shared-count-once",COUNTIFS($A$2:$A$1353,A1105,$B$2:$B$1353,B1105,$E$2:$E$1353,E1105),1)</f>
      </c>
    </row>
    <row r="1106">
      <c r="A1106" t="s">
        <v>75</v>
      </c>
      <c r="B1106" s="59" t="n">
        <v>2037</v>
      </c>
      <c r="C1106" t="s">
        <v>205</v>
      </c>
      <c r="D1106" t="s">
        <v>180</v>
      </c>
      <c r="E1106" s="60" t="s">
        <v>300</v>
      </c>
      <c r="F1106" s="61" t="s">
        <v>301</v>
      </c>
      <c r="G1106" s="62" t="s">
        <v>206</v>
      </c>
      <c r="H1106" s="63" t="s">
        <v>195</v>
      </c>
      <c r="I1106" s="64" t="s">
        <v>267</v>
      </c>
      <c r="J1106" s="65" t="str">
        <f>IFERROR(INDEX('Cost_Components'!$K$2:$K$27,MATCH(E1106,'Cost_Components'!$A$2:$A$27,0)),"")</f>
      </c>
      <c r="K1106" s="66" t="str">
        <f>IF(OR(L1106="",Z1106="",AA1106="",AB1106=""),"",IF(B1106&lt;AA1106,L1106,IF(B1106&gt;AB1106,Z1106,L1106+(Z1106-L1106)*MIN(MAX((B1106-AA1106+1)/MAX(AB1106-AA1106+1,1),0),1))))</f>
      </c>
      <c r="L1106" s="67" t="str">
        <f>IFERROR(INDEX('Cost_Components'!$S$2:$S$27,MATCH(E1106,'Cost_Components'!$A$2:$A$27,0)),"")</f>
      </c>
      <c r="M1106" s="68" t="str">
        <f>IFERROR(INDEX('Cost_Components'!$L$2:$L$27,MATCH(E1106,'Cost_Components'!$A$2:$A$27,0)),"")</f>
      </c>
      <c r="N1106" s="69" t="str">
        <f>IFERROR(INDEX('Cost_Components'!$P$2:$P$27,MATCH(E1106,'Cost_Components'!$A$2:$A$27,0)),"")</f>
      </c>
      <c r="O1106" s="70" t="str">
        <f>AF1106*J1106</f>
      </c>
      <c r="P1106" s="71" t="str">
        <f>AG1106*J1106</f>
      </c>
      <c r="Q1106" s="72" t="str">
        <f>P1106*L1106*M1106*N1106</f>
      </c>
      <c r="R1106" s="73" t="str">
        <f>O1106*K1106*M1106*N1106</f>
      </c>
      <c r="S1106" s="74" t="str">
        <f>R1106-Q1106</f>
      </c>
      <c r="T1106" s="20" t="str">
        <f>IFERROR(INDEX('Cost_Components'!$R$2:$R$27,MATCH(E1106,'Cost_Components'!$A$2:$A$27,0)),"")</f>
      </c>
      <c r="U1106" s="75" t="str">
        <f>IFERROR(INDEX('Cost_Components'!$Q$2:$Q$27,MATCH(E1106,'Cost_Components'!$A$2:$A$27,0)),"")</f>
      </c>
      <c r="V1106" s="76" t="str">
        <f>1/(1+'Calculation_Assumptions'!$B$5)^(B1106-'Calculation_Assumptions'!$B$2)</f>
      </c>
      <c r="W1106" s="77" t="str">
        <f>Q1106*V1106</f>
      </c>
      <c r="X1106" s="78" t="str">
        <f>R1106*V1106</f>
      </c>
      <c r="Y1106" s="79" t="str">
        <f>S1106*V1106</f>
      </c>
      <c r="Z1106" s="80" t="str">
        <f>IFERROR(INDEX('Cost_Components'!$T$2:$T$27,MATCH(E1106,'Cost_Components'!$A$2:$A$27,0)),"")</f>
      </c>
      <c r="AA1106" s="81" t="str">
        <f>IFERROR(INDEX('Cost_Components'!$U$2:$U$27,MATCH(E1106,'Cost_Components'!$A$2:$A$27,0)),"")</f>
      </c>
      <c r="AB1106" s="82" t="str">
        <f>IFERROR(INDEX('Cost_Components'!$V$2:$V$27,MATCH(E1106,'Cost_Components'!$A$2:$A$27,0)),"")</f>
      </c>
      <c r="AC1106" s="83" t="str">
        <f>IFERROR(INDEX('Cost_Components'!$M$2:$M$27,MATCH(E1106,'Cost_Components'!$A$2:$A$27,0)),"")</f>
      </c>
      <c r="AD1106" s="84" t="str">
        <f>IFERROR(INDEX('Cost_Components'!$N$2:$N$27,MATCH(E1106,'Cost_Components'!$A$2:$A$27,0)),"")</f>
      </c>
      <c r="AE1106" s="20" t="str">
        <f>IFERROR(INDEX('Cost_Components'!$O$2:$O$27,MATCH(E1106,'Cost_Components'!$A$2:$A$27,0)),"")</f>
      </c>
      <c r="AF1106" s="85" t="n">
        <v>6200681.25606434</v>
      </c>
      <c r="AG1106" s="86" t="n">
        <v>6523601.43550817</v>
      </c>
      <c r="AH1106" s="87" t="str">
        <f>IF(H1106="shared-count-once",COUNTIFS($A$2:$A$1353,A1106,$B$2:$B$1353,B1106,$E$2:$E$1353,E1106),1)</f>
      </c>
    </row>
    <row r="1107">
      <c r="A1107" t="s">
        <v>75</v>
      </c>
      <c r="B1107" s="59" t="n">
        <v>2038</v>
      </c>
      <c r="C1107" t="s">
        <v>205</v>
      </c>
      <c r="D1107" t="s">
        <v>180</v>
      </c>
      <c r="E1107" s="60" t="s">
        <v>300</v>
      </c>
      <c r="F1107" s="61" t="s">
        <v>301</v>
      </c>
      <c r="G1107" s="62" t="s">
        <v>206</v>
      </c>
      <c r="H1107" s="63" t="s">
        <v>195</v>
      </c>
      <c r="I1107" s="64" t="s">
        <v>267</v>
      </c>
      <c r="J1107" s="65" t="str">
        <f>IFERROR(INDEX('Cost_Components'!$K$2:$K$27,MATCH(E1107,'Cost_Components'!$A$2:$A$27,0)),"")</f>
      </c>
      <c r="K1107" s="66" t="str">
        <f>IF(OR(L1107="",Z1107="",AA1107="",AB1107=""),"",IF(B1107&lt;AA1107,L1107,IF(B1107&gt;AB1107,Z1107,L1107+(Z1107-L1107)*MIN(MAX((B1107-AA1107+1)/MAX(AB1107-AA1107+1,1),0),1))))</f>
      </c>
      <c r="L1107" s="67" t="str">
        <f>IFERROR(INDEX('Cost_Components'!$S$2:$S$27,MATCH(E1107,'Cost_Components'!$A$2:$A$27,0)),"")</f>
      </c>
      <c r="M1107" s="68" t="str">
        <f>IFERROR(INDEX('Cost_Components'!$L$2:$L$27,MATCH(E1107,'Cost_Components'!$A$2:$A$27,0)),"")</f>
      </c>
      <c r="N1107" s="69" t="str">
        <f>IFERROR(INDEX('Cost_Components'!$P$2:$P$27,MATCH(E1107,'Cost_Components'!$A$2:$A$27,0)),"")</f>
      </c>
      <c r="O1107" s="70" t="str">
        <f>AF1107*J1107</f>
      </c>
      <c r="P1107" s="71" t="str">
        <f>AG1107*J1107</f>
      </c>
      <c r="Q1107" s="72" t="str">
        <f>P1107*L1107*M1107*N1107</f>
      </c>
      <c r="R1107" s="73" t="str">
        <f>O1107*K1107*M1107*N1107</f>
      </c>
      <c r="S1107" s="74" t="str">
        <f>R1107-Q1107</f>
      </c>
      <c r="T1107" s="20" t="str">
        <f>IFERROR(INDEX('Cost_Components'!$R$2:$R$27,MATCH(E1107,'Cost_Components'!$A$2:$A$27,0)),"")</f>
      </c>
      <c r="U1107" s="75" t="str">
        <f>IFERROR(INDEX('Cost_Components'!$Q$2:$Q$27,MATCH(E1107,'Cost_Components'!$A$2:$A$27,0)),"")</f>
      </c>
      <c r="V1107" s="76" t="str">
        <f>1/(1+'Calculation_Assumptions'!$B$5)^(B1107-'Calculation_Assumptions'!$B$2)</f>
      </c>
      <c r="W1107" s="77" t="str">
        <f>Q1107*V1107</f>
      </c>
      <c r="X1107" s="78" t="str">
        <f>R1107*V1107</f>
      </c>
      <c r="Y1107" s="79" t="str">
        <f>S1107*V1107</f>
      </c>
      <c r="Z1107" s="80" t="str">
        <f>IFERROR(INDEX('Cost_Components'!$T$2:$T$27,MATCH(E1107,'Cost_Components'!$A$2:$A$27,0)),"")</f>
      </c>
      <c r="AA1107" s="81" t="str">
        <f>IFERROR(INDEX('Cost_Components'!$U$2:$U$27,MATCH(E1107,'Cost_Components'!$A$2:$A$27,0)),"")</f>
      </c>
      <c r="AB1107" s="82" t="str">
        <f>IFERROR(INDEX('Cost_Components'!$V$2:$V$27,MATCH(E1107,'Cost_Components'!$A$2:$A$27,0)),"")</f>
      </c>
      <c r="AC1107" s="83" t="str">
        <f>IFERROR(INDEX('Cost_Components'!$M$2:$M$27,MATCH(E1107,'Cost_Components'!$A$2:$A$27,0)),"")</f>
      </c>
      <c r="AD1107" s="84" t="str">
        <f>IFERROR(INDEX('Cost_Components'!$N$2:$N$27,MATCH(E1107,'Cost_Components'!$A$2:$A$27,0)),"")</f>
      </c>
      <c r="AE1107" s="20" t="str">
        <f>IFERROR(INDEX('Cost_Components'!$O$2:$O$27,MATCH(E1107,'Cost_Components'!$A$2:$A$27,0)),"")</f>
      </c>
      <c r="AF1107" s="85" t="n">
        <v>6276819.44467613</v>
      </c>
      <c r="AG1107" s="86" t="n">
        <v>6644008.192335</v>
      </c>
      <c r="AH1107" s="87" t="str">
        <f>IF(H1107="shared-count-once",COUNTIFS($A$2:$A$1353,A1107,$B$2:$B$1353,B1107,$E$2:$E$1353,E1107),1)</f>
      </c>
    </row>
    <row r="1108">
      <c r="A1108" t="s">
        <v>75</v>
      </c>
      <c r="B1108" s="59" t="n">
        <v>2039</v>
      </c>
      <c r="C1108" t="s">
        <v>205</v>
      </c>
      <c r="D1108" t="s">
        <v>180</v>
      </c>
      <c r="E1108" s="60" t="s">
        <v>300</v>
      </c>
      <c r="F1108" s="61" t="s">
        <v>301</v>
      </c>
      <c r="G1108" s="62" t="s">
        <v>206</v>
      </c>
      <c r="H1108" s="63" t="s">
        <v>195</v>
      </c>
      <c r="I1108" s="64" t="s">
        <v>267</v>
      </c>
      <c r="J1108" s="65" t="str">
        <f>IFERROR(INDEX('Cost_Components'!$K$2:$K$27,MATCH(E1108,'Cost_Components'!$A$2:$A$27,0)),"")</f>
      </c>
      <c r="K1108" s="66" t="str">
        <f>IF(OR(L1108="",Z1108="",AA1108="",AB1108=""),"",IF(B1108&lt;AA1108,L1108,IF(B1108&gt;AB1108,Z1108,L1108+(Z1108-L1108)*MIN(MAX((B1108-AA1108+1)/MAX(AB1108-AA1108+1,1),0),1))))</f>
      </c>
      <c r="L1108" s="67" t="str">
        <f>IFERROR(INDEX('Cost_Components'!$S$2:$S$27,MATCH(E1108,'Cost_Components'!$A$2:$A$27,0)),"")</f>
      </c>
      <c r="M1108" s="68" t="str">
        <f>IFERROR(INDEX('Cost_Components'!$L$2:$L$27,MATCH(E1108,'Cost_Components'!$A$2:$A$27,0)),"")</f>
      </c>
      <c r="N1108" s="69" t="str">
        <f>IFERROR(INDEX('Cost_Components'!$P$2:$P$27,MATCH(E1108,'Cost_Components'!$A$2:$A$27,0)),"")</f>
      </c>
      <c r="O1108" s="70" t="str">
        <f>AF1108*J1108</f>
      </c>
      <c r="P1108" s="71" t="str">
        <f>AG1108*J1108</f>
      </c>
      <c r="Q1108" s="72" t="str">
        <f>P1108*L1108*M1108*N1108</f>
      </c>
      <c r="R1108" s="73" t="str">
        <f>O1108*K1108*M1108*N1108</f>
      </c>
      <c r="S1108" s="74" t="str">
        <f>R1108-Q1108</f>
      </c>
      <c r="T1108" s="20" t="str">
        <f>IFERROR(INDEX('Cost_Components'!$R$2:$R$27,MATCH(E1108,'Cost_Components'!$A$2:$A$27,0)),"")</f>
      </c>
      <c r="U1108" s="75" t="str">
        <f>IFERROR(INDEX('Cost_Components'!$Q$2:$Q$27,MATCH(E1108,'Cost_Components'!$A$2:$A$27,0)),"")</f>
      </c>
      <c r="V1108" s="76" t="str">
        <f>1/(1+'Calculation_Assumptions'!$B$5)^(B1108-'Calculation_Assumptions'!$B$2)</f>
      </c>
      <c r="W1108" s="77" t="str">
        <f>Q1108*V1108</f>
      </c>
      <c r="X1108" s="78" t="str">
        <f>R1108*V1108</f>
      </c>
      <c r="Y1108" s="79" t="str">
        <f>S1108*V1108</f>
      </c>
      <c r="Z1108" s="80" t="str">
        <f>IFERROR(INDEX('Cost_Components'!$T$2:$T$27,MATCH(E1108,'Cost_Components'!$A$2:$A$27,0)),"")</f>
      </c>
      <c r="AA1108" s="81" t="str">
        <f>IFERROR(INDEX('Cost_Components'!$U$2:$U$27,MATCH(E1108,'Cost_Components'!$A$2:$A$27,0)),"")</f>
      </c>
      <c r="AB1108" s="82" t="str">
        <f>IFERROR(INDEX('Cost_Components'!$V$2:$V$27,MATCH(E1108,'Cost_Components'!$A$2:$A$27,0)),"")</f>
      </c>
      <c r="AC1108" s="83" t="str">
        <f>IFERROR(INDEX('Cost_Components'!$M$2:$M$27,MATCH(E1108,'Cost_Components'!$A$2:$A$27,0)),"")</f>
      </c>
      <c r="AD1108" s="84" t="str">
        <f>IFERROR(INDEX('Cost_Components'!$N$2:$N$27,MATCH(E1108,'Cost_Components'!$A$2:$A$27,0)),"")</f>
      </c>
      <c r="AE1108" s="20" t="str">
        <f>IFERROR(INDEX('Cost_Components'!$O$2:$O$27,MATCH(E1108,'Cost_Components'!$A$2:$A$27,0)),"")</f>
      </c>
      <c r="AF1108" s="85" t="n">
        <v>6347035.69594255</v>
      </c>
      <c r="AG1108" s="86" t="n">
        <v>6760238.21942814</v>
      </c>
      <c r="AH1108" s="87" t="str">
        <f>IF(H1108="shared-count-once",COUNTIFS($A$2:$A$1353,A1108,$B$2:$B$1353,B1108,$E$2:$E$1353,E1108),1)</f>
      </c>
    </row>
    <row r="1109">
      <c r="A1109" t="s">
        <v>75</v>
      </c>
      <c r="B1109" s="59" t="n">
        <v>2040</v>
      </c>
      <c r="C1109" t="s">
        <v>205</v>
      </c>
      <c r="D1109" t="s">
        <v>180</v>
      </c>
      <c r="E1109" s="60" t="s">
        <v>300</v>
      </c>
      <c r="F1109" s="61" t="s">
        <v>301</v>
      </c>
      <c r="G1109" s="62" t="s">
        <v>206</v>
      </c>
      <c r="H1109" s="63" t="s">
        <v>195</v>
      </c>
      <c r="I1109" s="64" t="s">
        <v>267</v>
      </c>
      <c r="J1109" s="65" t="str">
        <f>IFERROR(INDEX('Cost_Components'!$K$2:$K$27,MATCH(E1109,'Cost_Components'!$A$2:$A$27,0)),"")</f>
      </c>
      <c r="K1109" s="66" t="str">
        <f>IF(OR(L1109="",Z1109="",AA1109="",AB1109=""),"",IF(B1109&lt;AA1109,L1109,IF(B1109&gt;AB1109,Z1109,L1109+(Z1109-L1109)*MIN(MAX((B1109-AA1109+1)/MAX(AB1109-AA1109+1,1),0),1))))</f>
      </c>
      <c r="L1109" s="67" t="str">
        <f>IFERROR(INDEX('Cost_Components'!$S$2:$S$27,MATCH(E1109,'Cost_Components'!$A$2:$A$27,0)),"")</f>
      </c>
      <c r="M1109" s="68" t="str">
        <f>IFERROR(INDEX('Cost_Components'!$L$2:$L$27,MATCH(E1109,'Cost_Components'!$A$2:$A$27,0)),"")</f>
      </c>
      <c r="N1109" s="69" t="str">
        <f>IFERROR(INDEX('Cost_Components'!$P$2:$P$27,MATCH(E1109,'Cost_Components'!$A$2:$A$27,0)),"")</f>
      </c>
      <c r="O1109" s="70" t="str">
        <f>AF1109*J1109</f>
      </c>
      <c r="P1109" s="71" t="str">
        <f>AG1109*J1109</f>
      </c>
      <c r="Q1109" s="72" t="str">
        <f>P1109*L1109*M1109*N1109</f>
      </c>
      <c r="R1109" s="73" t="str">
        <f>O1109*K1109*M1109*N1109</f>
      </c>
      <c r="S1109" s="74" t="str">
        <f>R1109-Q1109</f>
      </c>
      <c r="T1109" s="20" t="str">
        <f>IFERROR(INDEX('Cost_Components'!$R$2:$R$27,MATCH(E1109,'Cost_Components'!$A$2:$A$27,0)),"")</f>
      </c>
      <c r="U1109" s="75" t="str">
        <f>IFERROR(INDEX('Cost_Components'!$Q$2:$Q$27,MATCH(E1109,'Cost_Components'!$A$2:$A$27,0)),"")</f>
      </c>
      <c r="V1109" s="76" t="str">
        <f>1/(1+'Calculation_Assumptions'!$B$5)^(B1109-'Calculation_Assumptions'!$B$2)</f>
      </c>
      <c r="W1109" s="77" t="str">
        <f>Q1109*V1109</f>
      </c>
      <c r="X1109" s="78" t="str">
        <f>R1109*V1109</f>
      </c>
      <c r="Y1109" s="79" t="str">
        <f>S1109*V1109</f>
      </c>
      <c r="Z1109" s="80" t="str">
        <f>IFERROR(INDEX('Cost_Components'!$T$2:$T$27,MATCH(E1109,'Cost_Components'!$A$2:$A$27,0)),"")</f>
      </c>
      <c r="AA1109" s="81" t="str">
        <f>IFERROR(INDEX('Cost_Components'!$U$2:$U$27,MATCH(E1109,'Cost_Components'!$A$2:$A$27,0)),"")</f>
      </c>
      <c r="AB1109" s="82" t="str">
        <f>IFERROR(INDEX('Cost_Components'!$V$2:$V$27,MATCH(E1109,'Cost_Components'!$A$2:$A$27,0)),"")</f>
      </c>
      <c r="AC1109" s="83" t="str">
        <f>IFERROR(INDEX('Cost_Components'!$M$2:$M$27,MATCH(E1109,'Cost_Components'!$A$2:$A$27,0)),"")</f>
      </c>
      <c r="AD1109" s="84" t="str">
        <f>IFERROR(INDEX('Cost_Components'!$N$2:$N$27,MATCH(E1109,'Cost_Components'!$A$2:$A$27,0)),"")</f>
      </c>
      <c r="AE1109" s="20" t="str">
        <f>IFERROR(INDEX('Cost_Components'!$O$2:$O$27,MATCH(E1109,'Cost_Components'!$A$2:$A$27,0)),"")</f>
      </c>
      <c r="AF1109" s="85" t="n">
        <v>6414807.14920038</v>
      </c>
      <c r="AG1109" s="86" t="n">
        <v>6876037.34665342</v>
      </c>
      <c r="AH1109" s="87" t="str">
        <f>IF(H1109="shared-count-once",COUNTIFS($A$2:$A$1353,A1109,$B$2:$B$1353,B1109,$E$2:$E$1353,E1109),1)</f>
      </c>
    </row>
    <row r="1110">
      <c r="A1110" t="s">
        <v>75</v>
      </c>
      <c r="B1110" s="59" t="n">
        <v>2041</v>
      </c>
      <c r="C1110" t="s">
        <v>205</v>
      </c>
      <c r="D1110" t="s">
        <v>180</v>
      </c>
      <c r="E1110" s="60" t="s">
        <v>300</v>
      </c>
      <c r="F1110" s="61" t="s">
        <v>301</v>
      </c>
      <c r="G1110" s="62" t="s">
        <v>206</v>
      </c>
      <c r="H1110" s="63" t="s">
        <v>195</v>
      </c>
      <c r="I1110" s="64" t="s">
        <v>267</v>
      </c>
      <c r="J1110" s="65" t="str">
        <f>IFERROR(INDEX('Cost_Components'!$K$2:$K$27,MATCH(E1110,'Cost_Components'!$A$2:$A$27,0)),"")</f>
      </c>
      <c r="K1110" s="66" t="str">
        <f>IF(OR(L1110="",Z1110="",AA1110="",AB1110=""),"",IF(B1110&lt;AA1110,L1110,IF(B1110&gt;AB1110,Z1110,L1110+(Z1110-L1110)*MIN(MAX((B1110-AA1110+1)/MAX(AB1110-AA1110+1,1),0),1))))</f>
      </c>
      <c r="L1110" s="67" t="str">
        <f>IFERROR(INDEX('Cost_Components'!$S$2:$S$27,MATCH(E1110,'Cost_Components'!$A$2:$A$27,0)),"")</f>
      </c>
      <c r="M1110" s="68" t="str">
        <f>IFERROR(INDEX('Cost_Components'!$L$2:$L$27,MATCH(E1110,'Cost_Components'!$A$2:$A$27,0)),"")</f>
      </c>
      <c r="N1110" s="69" t="str">
        <f>IFERROR(INDEX('Cost_Components'!$P$2:$P$27,MATCH(E1110,'Cost_Components'!$A$2:$A$27,0)),"")</f>
      </c>
      <c r="O1110" s="70" t="str">
        <f>AF1110*J1110</f>
      </c>
      <c r="P1110" s="71" t="str">
        <f>AG1110*J1110</f>
      </c>
      <c r="Q1110" s="72" t="str">
        <f>P1110*L1110*M1110*N1110</f>
      </c>
      <c r="R1110" s="73" t="str">
        <f>O1110*K1110*M1110*N1110</f>
      </c>
      <c r="S1110" s="74" t="str">
        <f>R1110-Q1110</f>
      </c>
      <c r="T1110" s="20" t="str">
        <f>IFERROR(INDEX('Cost_Components'!$R$2:$R$27,MATCH(E1110,'Cost_Components'!$A$2:$A$27,0)),"")</f>
      </c>
      <c r="U1110" s="75" t="str">
        <f>IFERROR(INDEX('Cost_Components'!$Q$2:$Q$27,MATCH(E1110,'Cost_Components'!$A$2:$A$27,0)),"")</f>
      </c>
      <c r="V1110" s="76" t="str">
        <f>1/(1+'Calculation_Assumptions'!$B$5)^(B1110-'Calculation_Assumptions'!$B$2)</f>
      </c>
      <c r="W1110" s="77" t="str">
        <f>Q1110*V1110</f>
      </c>
      <c r="X1110" s="78" t="str">
        <f>R1110*V1110</f>
      </c>
      <c r="Y1110" s="79" t="str">
        <f>S1110*V1110</f>
      </c>
      <c r="Z1110" s="80" t="str">
        <f>IFERROR(INDEX('Cost_Components'!$T$2:$T$27,MATCH(E1110,'Cost_Components'!$A$2:$A$27,0)),"")</f>
      </c>
      <c r="AA1110" s="81" t="str">
        <f>IFERROR(INDEX('Cost_Components'!$U$2:$U$27,MATCH(E1110,'Cost_Components'!$A$2:$A$27,0)),"")</f>
      </c>
      <c r="AB1110" s="82" t="str">
        <f>IFERROR(INDEX('Cost_Components'!$V$2:$V$27,MATCH(E1110,'Cost_Components'!$A$2:$A$27,0)),"")</f>
      </c>
      <c r="AC1110" s="83" t="str">
        <f>IFERROR(INDEX('Cost_Components'!$M$2:$M$27,MATCH(E1110,'Cost_Components'!$A$2:$A$27,0)),"")</f>
      </c>
      <c r="AD1110" s="84" t="str">
        <f>IFERROR(INDEX('Cost_Components'!$N$2:$N$27,MATCH(E1110,'Cost_Components'!$A$2:$A$27,0)),"")</f>
      </c>
      <c r="AE1110" s="20" t="str">
        <f>IFERROR(INDEX('Cost_Components'!$O$2:$O$27,MATCH(E1110,'Cost_Components'!$A$2:$A$27,0)),"")</f>
      </c>
      <c r="AF1110" s="85" t="n">
        <v>6479721.09140666</v>
      </c>
      <c r="AG1110" s="86" t="n">
        <v>6990953.04348834</v>
      </c>
      <c r="AH1110" s="87" t="str">
        <f>IF(H1110="shared-count-once",COUNTIFS($A$2:$A$1353,A1110,$B$2:$B$1353,B1110,$E$2:$E$1353,E1110),1)</f>
      </c>
    </row>
    <row r="1111">
      <c r="A1111" t="s">
        <v>75</v>
      </c>
      <c r="B1111" s="59" t="n">
        <v>2042</v>
      </c>
      <c r="C1111" t="s">
        <v>205</v>
      </c>
      <c r="D1111" t="s">
        <v>180</v>
      </c>
      <c r="E1111" s="60" t="s">
        <v>300</v>
      </c>
      <c r="F1111" s="61" t="s">
        <v>301</v>
      </c>
      <c r="G1111" s="62" t="s">
        <v>206</v>
      </c>
      <c r="H1111" s="63" t="s">
        <v>195</v>
      </c>
      <c r="I1111" s="64" t="s">
        <v>267</v>
      </c>
      <c r="J1111" s="65" t="str">
        <f>IFERROR(INDEX('Cost_Components'!$K$2:$K$27,MATCH(E1111,'Cost_Components'!$A$2:$A$27,0)),"")</f>
      </c>
      <c r="K1111" s="66" t="str">
        <f>IF(OR(L1111="",Z1111="",AA1111="",AB1111=""),"",IF(B1111&lt;AA1111,L1111,IF(B1111&gt;AB1111,Z1111,L1111+(Z1111-L1111)*MIN(MAX((B1111-AA1111+1)/MAX(AB1111-AA1111+1,1),0),1))))</f>
      </c>
      <c r="L1111" s="67" t="str">
        <f>IFERROR(INDEX('Cost_Components'!$S$2:$S$27,MATCH(E1111,'Cost_Components'!$A$2:$A$27,0)),"")</f>
      </c>
      <c r="M1111" s="68" t="str">
        <f>IFERROR(INDEX('Cost_Components'!$L$2:$L$27,MATCH(E1111,'Cost_Components'!$A$2:$A$27,0)),"")</f>
      </c>
      <c r="N1111" s="69" t="str">
        <f>IFERROR(INDEX('Cost_Components'!$P$2:$P$27,MATCH(E1111,'Cost_Components'!$A$2:$A$27,0)),"")</f>
      </c>
      <c r="O1111" s="70" t="str">
        <f>AF1111*J1111</f>
      </c>
      <c r="P1111" s="71" t="str">
        <f>AG1111*J1111</f>
      </c>
      <c r="Q1111" s="72" t="str">
        <f>P1111*L1111*M1111*N1111</f>
      </c>
      <c r="R1111" s="73" t="str">
        <f>O1111*K1111*M1111*N1111</f>
      </c>
      <c r="S1111" s="74" t="str">
        <f>R1111-Q1111</f>
      </c>
      <c r="T1111" s="20" t="str">
        <f>IFERROR(INDEX('Cost_Components'!$R$2:$R$27,MATCH(E1111,'Cost_Components'!$A$2:$A$27,0)),"")</f>
      </c>
      <c r="U1111" s="75" t="str">
        <f>IFERROR(INDEX('Cost_Components'!$Q$2:$Q$27,MATCH(E1111,'Cost_Components'!$A$2:$A$27,0)),"")</f>
      </c>
      <c r="V1111" s="76" t="str">
        <f>1/(1+'Calculation_Assumptions'!$B$5)^(B1111-'Calculation_Assumptions'!$B$2)</f>
      </c>
      <c r="W1111" s="77" t="str">
        <f>Q1111*V1111</f>
      </c>
      <c r="X1111" s="78" t="str">
        <f>R1111*V1111</f>
      </c>
      <c r="Y1111" s="79" t="str">
        <f>S1111*V1111</f>
      </c>
      <c r="Z1111" s="80" t="str">
        <f>IFERROR(INDEX('Cost_Components'!$T$2:$T$27,MATCH(E1111,'Cost_Components'!$A$2:$A$27,0)),"")</f>
      </c>
      <c r="AA1111" s="81" t="str">
        <f>IFERROR(INDEX('Cost_Components'!$U$2:$U$27,MATCH(E1111,'Cost_Components'!$A$2:$A$27,0)),"")</f>
      </c>
      <c r="AB1111" s="82" t="str">
        <f>IFERROR(INDEX('Cost_Components'!$V$2:$V$27,MATCH(E1111,'Cost_Components'!$A$2:$A$27,0)),"")</f>
      </c>
      <c r="AC1111" s="83" t="str">
        <f>IFERROR(INDEX('Cost_Components'!$M$2:$M$27,MATCH(E1111,'Cost_Components'!$A$2:$A$27,0)),"")</f>
      </c>
      <c r="AD1111" s="84" t="str">
        <f>IFERROR(INDEX('Cost_Components'!$N$2:$N$27,MATCH(E1111,'Cost_Components'!$A$2:$A$27,0)),"")</f>
      </c>
      <c r="AE1111" s="20" t="str">
        <f>IFERROR(INDEX('Cost_Components'!$O$2:$O$27,MATCH(E1111,'Cost_Components'!$A$2:$A$27,0)),"")</f>
      </c>
      <c r="AF1111" s="85" t="n">
        <v>6541564.34362667</v>
      </c>
      <c r="AG1111" s="86" t="n">
        <v>7104796.47237168</v>
      </c>
      <c r="AH1111" s="87" t="str">
        <f>IF(H1111="shared-count-once",COUNTIFS($A$2:$A$1353,A1111,$B$2:$B$1353,B1111,$E$2:$E$1353,E1111),1)</f>
      </c>
    </row>
    <row r="1112">
      <c r="A1112" t="s">
        <v>75</v>
      </c>
      <c r="B1112" s="59" t="n">
        <v>2043</v>
      </c>
      <c r="C1112" t="s">
        <v>205</v>
      </c>
      <c r="D1112" t="s">
        <v>180</v>
      </c>
      <c r="E1112" s="60" t="s">
        <v>300</v>
      </c>
      <c r="F1112" s="61" t="s">
        <v>301</v>
      </c>
      <c r="G1112" s="62" t="s">
        <v>206</v>
      </c>
      <c r="H1112" s="63" t="s">
        <v>195</v>
      </c>
      <c r="I1112" s="64" t="s">
        <v>267</v>
      </c>
      <c r="J1112" s="65" t="str">
        <f>IFERROR(INDEX('Cost_Components'!$K$2:$K$27,MATCH(E1112,'Cost_Components'!$A$2:$A$27,0)),"")</f>
      </c>
      <c r="K1112" s="66" t="str">
        <f>IF(OR(L1112="",Z1112="",AA1112="",AB1112=""),"",IF(B1112&lt;AA1112,L1112,IF(B1112&gt;AB1112,Z1112,L1112+(Z1112-L1112)*MIN(MAX((B1112-AA1112+1)/MAX(AB1112-AA1112+1,1),0),1))))</f>
      </c>
      <c r="L1112" s="67" t="str">
        <f>IFERROR(INDEX('Cost_Components'!$S$2:$S$27,MATCH(E1112,'Cost_Components'!$A$2:$A$27,0)),"")</f>
      </c>
      <c r="M1112" s="68" t="str">
        <f>IFERROR(INDEX('Cost_Components'!$L$2:$L$27,MATCH(E1112,'Cost_Components'!$A$2:$A$27,0)),"")</f>
      </c>
      <c r="N1112" s="69" t="str">
        <f>IFERROR(INDEX('Cost_Components'!$P$2:$P$27,MATCH(E1112,'Cost_Components'!$A$2:$A$27,0)),"")</f>
      </c>
      <c r="O1112" s="70" t="str">
        <f>AF1112*J1112</f>
      </c>
      <c r="P1112" s="71" t="str">
        <f>AG1112*J1112</f>
      </c>
      <c r="Q1112" s="72" t="str">
        <f>P1112*L1112*M1112*N1112</f>
      </c>
      <c r="R1112" s="73" t="str">
        <f>O1112*K1112*M1112*N1112</f>
      </c>
      <c r="S1112" s="74" t="str">
        <f>R1112-Q1112</f>
      </c>
      <c r="T1112" s="20" t="str">
        <f>IFERROR(INDEX('Cost_Components'!$R$2:$R$27,MATCH(E1112,'Cost_Components'!$A$2:$A$27,0)),"")</f>
      </c>
      <c r="U1112" s="75" t="str">
        <f>IFERROR(INDEX('Cost_Components'!$Q$2:$Q$27,MATCH(E1112,'Cost_Components'!$A$2:$A$27,0)),"")</f>
      </c>
      <c r="V1112" s="76" t="str">
        <f>1/(1+'Calculation_Assumptions'!$B$5)^(B1112-'Calculation_Assumptions'!$B$2)</f>
      </c>
      <c r="W1112" s="77" t="str">
        <f>Q1112*V1112</f>
      </c>
      <c r="X1112" s="78" t="str">
        <f>R1112*V1112</f>
      </c>
      <c r="Y1112" s="79" t="str">
        <f>S1112*V1112</f>
      </c>
      <c r="Z1112" s="80" t="str">
        <f>IFERROR(INDEX('Cost_Components'!$T$2:$T$27,MATCH(E1112,'Cost_Components'!$A$2:$A$27,0)),"")</f>
      </c>
      <c r="AA1112" s="81" t="str">
        <f>IFERROR(INDEX('Cost_Components'!$U$2:$U$27,MATCH(E1112,'Cost_Components'!$A$2:$A$27,0)),"")</f>
      </c>
      <c r="AB1112" s="82" t="str">
        <f>IFERROR(INDEX('Cost_Components'!$V$2:$V$27,MATCH(E1112,'Cost_Components'!$A$2:$A$27,0)),"")</f>
      </c>
      <c r="AC1112" s="83" t="str">
        <f>IFERROR(INDEX('Cost_Components'!$M$2:$M$27,MATCH(E1112,'Cost_Components'!$A$2:$A$27,0)),"")</f>
      </c>
      <c r="AD1112" s="84" t="str">
        <f>IFERROR(INDEX('Cost_Components'!$N$2:$N$27,MATCH(E1112,'Cost_Components'!$A$2:$A$27,0)),"")</f>
      </c>
      <c r="AE1112" s="20" t="str">
        <f>IFERROR(INDEX('Cost_Components'!$O$2:$O$27,MATCH(E1112,'Cost_Components'!$A$2:$A$27,0)),"")</f>
      </c>
      <c r="AF1112" s="85" t="n">
        <v>6600578.65240043</v>
      </c>
      <c r="AG1112" s="86" t="n">
        <v>7217825.7559417</v>
      </c>
      <c r="AH1112" s="87" t="str">
        <f>IF(H1112="shared-count-once",COUNTIFS($A$2:$A$1353,A1112,$B$2:$B$1353,B1112,$E$2:$E$1353,E1112),1)</f>
      </c>
    </row>
    <row r="1113">
      <c r="A1113" t="s">
        <v>75</v>
      </c>
      <c r="B1113" s="59" t="n">
        <v>2044</v>
      </c>
      <c r="C1113" t="s">
        <v>205</v>
      </c>
      <c r="D1113" t="s">
        <v>180</v>
      </c>
      <c r="E1113" s="60" t="s">
        <v>300</v>
      </c>
      <c r="F1113" s="61" t="s">
        <v>301</v>
      </c>
      <c r="G1113" s="62" t="s">
        <v>206</v>
      </c>
      <c r="H1113" s="63" t="s">
        <v>195</v>
      </c>
      <c r="I1113" s="64" t="s">
        <v>267</v>
      </c>
      <c r="J1113" s="65" t="str">
        <f>IFERROR(INDEX('Cost_Components'!$K$2:$K$27,MATCH(E1113,'Cost_Components'!$A$2:$A$27,0)),"")</f>
      </c>
      <c r="K1113" s="66" t="str">
        <f>IF(OR(L1113="",Z1113="",AA1113="",AB1113=""),"",IF(B1113&lt;AA1113,L1113,IF(B1113&gt;AB1113,Z1113,L1113+(Z1113-L1113)*MIN(MAX((B1113-AA1113+1)/MAX(AB1113-AA1113+1,1),0),1))))</f>
      </c>
      <c r="L1113" s="67" t="str">
        <f>IFERROR(INDEX('Cost_Components'!$S$2:$S$27,MATCH(E1113,'Cost_Components'!$A$2:$A$27,0)),"")</f>
      </c>
      <c r="M1113" s="68" t="str">
        <f>IFERROR(INDEX('Cost_Components'!$L$2:$L$27,MATCH(E1113,'Cost_Components'!$A$2:$A$27,0)),"")</f>
      </c>
      <c r="N1113" s="69" t="str">
        <f>IFERROR(INDEX('Cost_Components'!$P$2:$P$27,MATCH(E1113,'Cost_Components'!$A$2:$A$27,0)),"")</f>
      </c>
      <c r="O1113" s="70" t="str">
        <f>AF1113*J1113</f>
      </c>
      <c r="P1113" s="71" t="str">
        <f>AG1113*J1113</f>
      </c>
      <c r="Q1113" s="72" t="str">
        <f>P1113*L1113*M1113*N1113</f>
      </c>
      <c r="R1113" s="73" t="str">
        <f>O1113*K1113*M1113*N1113</f>
      </c>
      <c r="S1113" s="74" t="str">
        <f>R1113-Q1113</f>
      </c>
      <c r="T1113" s="20" t="str">
        <f>IFERROR(INDEX('Cost_Components'!$R$2:$R$27,MATCH(E1113,'Cost_Components'!$A$2:$A$27,0)),"")</f>
      </c>
      <c r="U1113" s="75" t="str">
        <f>IFERROR(INDEX('Cost_Components'!$Q$2:$Q$27,MATCH(E1113,'Cost_Components'!$A$2:$A$27,0)),"")</f>
      </c>
      <c r="V1113" s="76" t="str">
        <f>1/(1+'Calculation_Assumptions'!$B$5)^(B1113-'Calculation_Assumptions'!$B$2)</f>
      </c>
      <c r="W1113" s="77" t="str">
        <f>Q1113*V1113</f>
      </c>
      <c r="X1113" s="78" t="str">
        <f>R1113*V1113</f>
      </c>
      <c r="Y1113" s="79" t="str">
        <f>S1113*V1113</f>
      </c>
      <c r="Z1113" s="80" t="str">
        <f>IFERROR(INDEX('Cost_Components'!$T$2:$T$27,MATCH(E1113,'Cost_Components'!$A$2:$A$27,0)),"")</f>
      </c>
      <c r="AA1113" s="81" t="str">
        <f>IFERROR(INDEX('Cost_Components'!$U$2:$U$27,MATCH(E1113,'Cost_Components'!$A$2:$A$27,0)),"")</f>
      </c>
      <c r="AB1113" s="82" t="str">
        <f>IFERROR(INDEX('Cost_Components'!$V$2:$V$27,MATCH(E1113,'Cost_Components'!$A$2:$A$27,0)),"")</f>
      </c>
      <c r="AC1113" s="83" t="str">
        <f>IFERROR(INDEX('Cost_Components'!$M$2:$M$27,MATCH(E1113,'Cost_Components'!$A$2:$A$27,0)),"")</f>
      </c>
      <c r="AD1113" s="84" t="str">
        <f>IFERROR(INDEX('Cost_Components'!$N$2:$N$27,MATCH(E1113,'Cost_Components'!$A$2:$A$27,0)),"")</f>
      </c>
      <c r="AE1113" s="20" t="str">
        <f>IFERROR(INDEX('Cost_Components'!$O$2:$O$27,MATCH(E1113,'Cost_Components'!$A$2:$A$27,0)),"")</f>
      </c>
      <c r="AF1113" s="85" t="n">
        <v>6653743.00659326</v>
      </c>
      <c r="AG1113" s="86" t="n">
        <v>7326275.74827768</v>
      </c>
      <c r="AH1113" s="87" t="str">
        <f>IF(H1113="shared-count-once",COUNTIFS($A$2:$A$1353,A1113,$B$2:$B$1353,B1113,$E$2:$E$1353,E1113),1)</f>
      </c>
    </row>
    <row r="1114">
      <c r="A1114" t="s">
        <v>75</v>
      </c>
      <c r="B1114" s="59" t="n">
        <v>2045</v>
      </c>
      <c r="C1114" t="s">
        <v>205</v>
      </c>
      <c r="D1114" t="s">
        <v>180</v>
      </c>
      <c r="E1114" s="60" t="s">
        <v>300</v>
      </c>
      <c r="F1114" s="61" t="s">
        <v>301</v>
      </c>
      <c r="G1114" s="62" t="s">
        <v>206</v>
      </c>
      <c r="H1114" s="63" t="s">
        <v>195</v>
      </c>
      <c r="I1114" s="64" t="s">
        <v>267</v>
      </c>
      <c r="J1114" s="65" t="str">
        <f>IFERROR(INDEX('Cost_Components'!$K$2:$K$27,MATCH(E1114,'Cost_Components'!$A$2:$A$27,0)),"")</f>
      </c>
      <c r="K1114" s="66" t="str">
        <f>IF(OR(L1114="",Z1114="",AA1114="",AB1114=""),"",IF(B1114&lt;AA1114,L1114,IF(B1114&gt;AB1114,Z1114,L1114+(Z1114-L1114)*MIN(MAX((B1114-AA1114+1)/MAX(AB1114-AA1114+1,1),0),1))))</f>
      </c>
      <c r="L1114" s="67" t="str">
        <f>IFERROR(INDEX('Cost_Components'!$S$2:$S$27,MATCH(E1114,'Cost_Components'!$A$2:$A$27,0)),"")</f>
      </c>
      <c r="M1114" s="68" t="str">
        <f>IFERROR(INDEX('Cost_Components'!$L$2:$L$27,MATCH(E1114,'Cost_Components'!$A$2:$A$27,0)),"")</f>
      </c>
      <c r="N1114" s="69" t="str">
        <f>IFERROR(INDEX('Cost_Components'!$P$2:$P$27,MATCH(E1114,'Cost_Components'!$A$2:$A$27,0)),"")</f>
      </c>
      <c r="O1114" s="70" t="str">
        <f>AF1114*J1114</f>
      </c>
      <c r="P1114" s="71" t="str">
        <f>AG1114*J1114</f>
      </c>
      <c r="Q1114" s="72" t="str">
        <f>P1114*L1114*M1114*N1114</f>
      </c>
      <c r="R1114" s="73" t="str">
        <f>O1114*K1114*M1114*N1114</f>
      </c>
      <c r="S1114" s="74" t="str">
        <f>R1114-Q1114</f>
      </c>
      <c r="T1114" s="20" t="str">
        <f>IFERROR(INDEX('Cost_Components'!$R$2:$R$27,MATCH(E1114,'Cost_Components'!$A$2:$A$27,0)),"")</f>
      </c>
      <c r="U1114" s="75" t="str">
        <f>IFERROR(INDEX('Cost_Components'!$Q$2:$Q$27,MATCH(E1114,'Cost_Components'!$A$2:$A$27,0)),"")</f>
      </c>
      <c r="V1114" s="76" t="str">
        <f>1/(1+'Calculation_Assumptions'!$B$5)^(B1114-'Calculation_Assumptions'!$B$2)</f>
      </c>
      <c r="W1114" s="77" t="str">
        <f>Q1114*V1114</f>
      </c>
      <c r="X1114" s="78" t="str">
        <f>R1114*V1114</f>
      </c>
      <c r="Y1114" s="79" t="str">
        <f>S1114*V1114</f>
      </c>
      <c r="Z1114" s="80" t="str">
        <f>IFERROR(INDEX('Cost_Components'!$T$2:$T$27,MATCH(E1114,'Cost_Components'!$A$2:$A$27,0)),"")</f>
      </c>
      <c r="AA1114" s="81" t="str">
        <f>IFERROR(INDEX('Cost_Components'!$U$2:$U$27,MATCH(E1114,'Cost_Components'!$A$2:$A$27,0)),"")</f>
      </c>
      <c r="AB1114" s="82" t="str">
        <f>IFERROR(INDEX('Cost_Components'!$V$2:$V$27,MATCH(E1114,'Cost_Components'!$A$2:$A$27,0)),"")</f>
      </c>
      <c r="AC1114" s="83" t="str">
        <f>IFERROR(INDEX('Cost_Components'!$M$2:$M$27,MATCH(E1114,'Cost_Components'!$A$2:$A$27,0)),"")</f>
      </c>
      <c r="AD1114" s="84" t="str">
        <f>IFERROR(INDEX('Cost_Components'!$N$2:$N$27,MATCH(E1114,'Cost_Components'!$A$2:$A$27,0)),"")</f>
      </c>
      <c r="AE1114" s="20" t="str">
        <f>IFERROR(INDEX('Cost_Components'!$O$2:$O$27,MATCH(E1114,'Cost_Components'!$A$2:$A$27,0)),"")</f>
      </c>
      <c r="AF1114" s="85" t="n">
        <v>6703500.73394627</v>
      </c>
      <c r="AG1114" s="86" t="n">
        <v>7432902.55351555</v>
      </c>
      <c r="AH1114" s="87" t="str">
        <f>IF(H1114="shared-count-once",COUNTIFS($A$2:$A$1353,A1114,$B$2:$B$1353,B1114,$E$2:$E$1353,E1114),1)</f>
      </c>
    </row>
    <row r="1115">
      <c r="A1115" t="s">
        <v>75</v>
      </c>
      <c r="B1115" s="59" t="n">
        <v>2046</v>
      </c>
      <c r="C1115" t="s">
        <v>205</v>
      </c>
      <c r="D1115" t="s">
        <v>180</v>
      </c>
      <c r="E1115" s="60" t="s">
        <v>300</v>
      </c>
      <c r="F1115" s="61" t="s">
        <v>301</v>
      </c>
      <c r="G1115" s="62" t="s">
        <v>206</v>
      </c>
      <c r="H1115" s="63" t="s">
        <v>195</v>
      </c>
      <c r="I1115" s="64" t="s">
        <v>267</v>
      </c>
      <c r="J1115" s="65" t="str">
        <f>IFERROR(INDEX('Cost_Components'!$K$2:$K$27,MATCH(E1115,'Cost_Components'!$A$2:$A$27,0)),"")</f>
      </c>
      <c r="K1115" s="66" t="str">
        <f>IF(OR(L1115="",Z1115="",AA1115="",AB1115=""),"",IF(B1115&lt;AA1115,L1115,IF(B1115&gt;AB1115,Z1115,L1115+(Z1115-L1115)*MIN(MAX((B1115-AA1115+1)/MAX(AB1115-AA1115+1,1),0),1))))</f>
      </c>
      <c r="L1115" s="67" t="str">
        <f>IFERROR(INDEX('Cost_Components'!$S$2:$S$27,MATCH(E1115,'Cost_Components'!$A$2:$A$27,0)),"")</f>
      </c>
      <c r="M1115" s="68" t="str">
        <f>IFERROR(INDEX('Cost_Components'!$L$2:$L$27,MATCH(E1115,'Cost_Components'!$A$2:$A$27,0)),"")</f>
      </c>
      <c r="N1115" s="69" t="str">
        <f>IFERROR(INDEX('Cost_Components'!$P$2:$P$27,MATCH(E1115,'Cost_Components'!$A$2:$A$27,0)),"")</f>
      </c>
      <c r="O1115" s="70" t="str">
        <f>AF1115*J1115</f>
      </c>
      <c r="P1115" s="71" t="str">
        <f>AG1115*J1115</f>
      </c>
      <c r="Q1115" s="72" t="str">
        <f>P1115*L1115*M1115*N1115</f>
      </c>
      <c r="R1115" s="73" t="str">
        <f>O1115*K1115*M1115*N1115</f>
      </c>
      <c r="S1115" s="74" t="str">
        <f>R1115-Q1115</f>
      </c>
      <c r="T1115" s="20" t="str">
        <f>IFERROR(INDEX('Cost_Components'!$R$2:$R$27,MATCH(E1115,'Cost_Components'!$A$2:$A$27,0)),"")</f>
      </c>
      <c r="U1115" s="75" t="str">
        <f>IFERROR(INDEX('Cost_Components'!$Q$2:$Q$27,MATCH(E1115,'Cost_Components'!$A$2:$A$27,0)),"")</f>
      </c>
      <c r="V1115" s="76" t="str">
        <f>1/(1+'Calculation_Assumptions'!$B$5)^(B1115-'Calculation_Assumptions'!$B$2)</f>
      </c>
      <c r="W1115" s="77" t="str">
        <f>Q1115*V1115</f>
      </c>
      <c r="X1115" s="78" t="str">
        <f>R1115*V1115</f>
      </c>
      <c r="Y1115" s="79" t="str">
        <f>S1115*V1115</f>
      </c>
      <c r="Z1115" s="80" t="str">
        <f>IFERROR(INDEX('Cost_Components'!$T$2:$T$27,MATCH(E1115,'Cost_Components'!$A$2:$A$27,0)),"")</f>
      </c>
      <c r="AA1115" s="81" t="str">
        <f>IFERROR(INDEX('Cost_Components'!$U$2:$U$27,MATCH(E1115,'Cost_Components'!$A$2:$A$27,0)),"")</f>
      </c>
      <c r="AB1115" s="82" t="str">
        <f>IFERROR(INDEX('Cost_Components'!$V$2:$V$27,MATCH(E1115,'Cost_Components'!$A$2:$A$27,0)),"")</f>
      </c>
      <c r="AC1115" s="83" t="str">
        <f>IFERROR(INDEX('Cost_Components'!$M$2:$M$27,MATCH(E1115,'Cost_Components'!$A$2:$A$27,0)),"")</f>
      </c>
      <c r="AD1115" s="84" t="str">
        <f>IFERROR(INDEX('Cost_Components'!$N$2:$N$27,MATCH(E1115,'Cost_Components'!$A$2:$A$27,0)),"")</f>
      </c>
      <c r="AE1115" s="20" t="str">
        <f>IFERROR(INDEX('Cost_Components'!$O$2:$O$27,MATCH(E1115,'Cost_Components'!$A$2:$A$27,0)),"")</f>
      </c>
      <c r="AF1115" s="85" t="n">
        <v>6749668.67551818</v>
      </c>
      <c r="AG1115" s="86" t="n">
        <v>7537569.08606469</v>
      </c>
      <c r="AH1115" s="87" t="str">
        <f>IF(H1115="shared-count-once",COUNTIFS($A$2:$A$1353,A1115,$B$2:$B$1353,B1115,$E$2:$E$1353,E1115),1)</f>
      </c>
    </row>
    <row r="1116">
      <c r="A1116" t="s">
        <v>75</v>
      </c>
      <c r="B1116" s="59" t="n">
        <v>2047</v>
      </c>
      <c r="C1116" t="s">
        <v>205</v>
      </c>
      <c r="D1116" t="s">
        <v>180</v>
      </c>
      <c r="E1116" s="60" t="s">
        <v>300</v>
      </c>
      <c r="F1116" s="61" t="s">
        <v>301</v>
      </c>
      <c r="G1116" s="62" t="s">
        <v>206</v>
      </c>
      <c r="H1116" s="63" t="s">
        <v>195</v>
      </c>
      <c r="I1116" s="64" t="s">
        <v>267</v>
      </c>
      <c r="J1116" s="65" t="str">
        <f>IFERROR(INDEX('Cost_Components'!$K$2:$K$27,MATCH(E1116,'Cost_Components'!$A$2:$A$27,0)),"")</f>
      </c>
      <c r="K1116" s="66" t="str">
        <f>IF(OR(L1116="",Z1116="",AA1116="",AB1116=""),"",IF(B1116&lt;AA1116,L1116,IF(B1116&gt;AB1116,Z1116,L1116+(Z1116-L1116)*MIN(MAX((B1116-AA1116+1)/MAX(AB1116-AA1116+1,1),0),1))))</f>
      </c>
      <c r="L1116" s="67" t="str">
        <f>IFERROR(INDEX('Cost_Components'!$S$2:$S$27,MATCH(E1116,'Cost_Components'!$A$2:$A$27,0)),"")</f>
      </c>
      <c r="M1116" s="68" t="str">
        <f>IFERROR(INDEX('Cost_Components'!$L$2:$L$27,MATCH(E1116,'Cost_Components'!$A$2:$A$27,0)),"")</f>
      </c>
      <c r="N1116" s="69" t="str">
        <f>IFERROR(INDEX('Cost_Components'!$P$2:$P$27,MATCH(E1116,'Cost_Components'!$A$2:$A$27,0)),"")</f>
      </c>
      <c r="O1116" s="70" t="str">
        <f>AF1116*J1116</f>
      </c>
      <c r="P1116" s="71" t="str">
        <f>AG1116*J1116</f>
      </c>
      <c r="Q1116" s="72" t="str">
        <f>P1116*L1116*M1116*N1116</f>
      </c>
      <c r="R1116" s="73" t="str">
        <f>O1116*K1116*M1116*N1116</f>
      </c>
      <c r="S1116" s="74" t="str">
        <f>R1116-Q1116</f>
      </c>
      <c r="T1116" s="20" t="str">
        <f>IFERROR(INDEX('Cost_Components'!$R$2:$R$27,MATCH(E1116,'Cost_Components'!$A$2:$A$27,0)),"")</f>
      </c>
      <c r="U1116" s="75" t="str">
        <f>IFERROR(INDEX('Cost_Components'!$Q$2:$Q$27,MATCH(E1116,'Cost_Components'!$A$2:$A$27,0)),"")</f>
      </c>
      <c r="V1116" s="76" t="str">
        <f>1/(1+'Calculation_Assumptions'!$B$5)^(B1116-'Calculation_Assumptions'!$B$2)</f>
      </c>
      <c r="W1116" s="77" t="str">
        <f>Q1116*V1116</f>
      </c>
      <c r="X1116" s="78" t="str">
        <f>R1116*V1116</f>
      </c>
      <c r="Y1116" s="79" t="str">
        <f>S1116*V1116</f>
      </c>
      <c r="Z1116" s="80" t="str">
        <f>IFERROR(INDEX('Cost_Components'!$T$2:$T$27,MATCH(E1116,'Cost_Components'!$A$2:$A$27,0)),"")</f>
      </c>
      <c r="AA1116" s="81" t="str">
        <f>IFERROR(INDEX('Cost_Components'!$U$2:$U$27,MATCH(E1116,'Cost_Components'!$A$2:$A$27,0)),"")</f>
      </c>
      <c r="AB1116" s="82" t="str">
        <f>IFERROR(INDEX('Cost_Components'!$V$2:$V$27,MATCH(E1116,'Cost_Components'!$A$2:$A$27,0)),"")</f>
      </c>
      <c r="AC1116" s="83" t="str">
        <f>IFERROR(INDEX('Cost_Components'!$M$2:$M$27,MATCH(E1116,'Cost_Components'!$A$2:$A$27,0)),"")</f>
      </c>
      <c r="AD1116" s="84" t="str">
        <f>IFERROR(INDEX('Cost_Components'!$N$2:$N$27,MATCH(E1116,'Cost_Components'!$A$2:$A$27,0)),"")</f>
      </c>
      <c r="AE1116" s="20" t="str">
        <f>IFERROR(INDEX('Cost_Components'!$O$2:$O$27,MATCH(E1116,'Cost_Components'!$A$2:$A$27,0)),"")</f>
      </c>
      <c r="AF1116" s="85" t="n">
        <v>6792234.49116238</v>
      </c>
      <c r="AG1116" s="86" t="n">
        <v>7640350.68929373</v>
      </c>
      <c r="AH1116" s="87" t="str">
        <f>IF(H1116="shared-count-once",COUNTIFS($A$2:$A$1353,A1116,$B$2:$B$1353,B1116,$E$2:$E$1353,E1116),1)</f>
      </c>
    </row>
    <row r="1117">
      <c r="A1117" t="s">
        <v>75</v>
      </c>
      <c r="B1117" s="59" t="n">
        <v>2048</v>
      </c>
      <c r="C1117" t="s">
        <v>205</v>
      </c>
      <c r="D1117" t="s">
        <v>180</v>
      </c>
      <c r="E1117" s="60" t="s">
        <v>300</v>
      </c>
      <c r="F1117" s="61" t="s">
        <v>301</v>
      </c>
      <c r="G1117" s="62" t="s">
        <v>206</v>
      </c>
      <c r="H1117" s="63" t="s">
        <v>195</v>
      </c>
      <c r="I1117" s="64" t="s">
        <v>267</v>
      </c>
      <c r="J1117" s="65" t="str">
        <f>IFERROR(INDEX('Cost_Components'!$K$2:$K$27,MATCH(E1117,'Cost_Components'!$A$2:$A$27,0)),"")</f>
      </c>
      <c r="K1117" s="66" t="str">
        <f>IF(OR(L1117="",Z1117="",AA1117="",AB1117=""),"",IF(B1117&lt;AA1117,L1117,IF(B1117&gt;AB1117,Z1117,L1117+(Z1117-L1117)*MIN(MAX((B1117-AA1117+1)/MAX(AB1117-AA1117+1,1),0),1))))</f>
      </c>
      <c r="L1117" s="67" t="str">
        <f>IFERROR(INDEX('Cost_Components'!$S$2:$S$27,MATCH(E1117,'Cost_Components'!$A$2:$A$27,0)),"")</f>
      </c>
      <c r="M1117" s="68" t="str">
        <f>IFERROR(INDEX('Cost_Components'!$L$2:$L$27,MATCH(E1117,'Cost_Components'!$A$2:$A$27,0)),"")</f>
      </c>
      <c r="N1117" s="69" t="str">
        <f>IFERROR(INDEX('Cost_Components'!$P$2:$P$27,MATCH(E1117,'Cost_Components'!$A$2:$A$27,0)),"")</f>
      </c>
      <c r="O1117" s="70" t="str">
        <f>AF1117*J1117</f>
      </c>
      <c r="P1117" s="71" t="str">
        <f>AG1117*J1117</f>
      </c>
      <c r="Q1117" s="72" t="str">
        <f>P1117*L1117*M1117*N1117</f>
      </c>
      <c r="R1117" s="73" t="str">
        <f>O1117*K1117*M1117*N1117</f>
      </c>
      <c r="S1117" s="74" t="str">
        <f>R1117-Q1117</f>
      </c>
      <c r="T1117" s="20" t="str">
        <f>IFERROR(INDEX('Cost_Components'!$R$2:$R$27,MATCH(E1117,'Cost_Components'!$A$2:$A$27,0)),"")</f>
      </c>
      <c r="U1117" s="75" t="str">
        <f>IFERROR(INDEX('Cost_Components'!$Q$2:$Q$27,MATCH(E1117,'Cost_Components'!$A$2:$A$27,0)),"")</f>
      </c>
      <c r="V1117" s="76" t="str">
        <f>1/(1+'Calculation_Assumptions'!$B$5)^(B1117-'Calculation_Assumptions'!$B$2)</f>
      </c>
      <c r="W1117" s="77" t="str">
        <f>Q1117*V1117</f>
      </c>
      <c r="X1117" s="78" t="str">
        <f>R1117*V1117</f>
      </c>
      <c r="Y1117" s="79" t="str">
        <f>S1117*V1117</f>
      </c>
      <c r="Z1117" s="80" t="str">
        <f>IFERROR(INDEX('Cost_Components'!$T$2:$T$27,MATCH(E1117,'Cost_Components'!$A$2:$A$27,0)),"")</f>
      </c>
      <c r="AA1117" s="81" t="str">
        <f>IFERROR(INDEX('Cost_Components'!$U$2:$U$27,MATCH(E1117,'Cost_Components'!$A$2:$A$27,0)),"")</f>
      </c>
      <c r="AB1117" s="82" t="str">
        <f>IFERROR(INDEX('Cost_Components'!$V$2:$V$27,MATCH(E1117,'Cost_Components'!$A$2:$A$27,0)),"")</f>
      </c>
      <c r="AC1117" s="83" t="str">
        <f>IFERROR(INDEX('Cost_Components'!$M$2:$M$27,MATCH(E1117,'Cost_Components'!$A$2:$A$27,0)),"")</f>
      </c>
      <c r="AD1117" s="84" t="str">
        <f>IFERROR(INDEX('Cost_Components'!$N$2:$N$27,MATCH(E1117,'Cost_Components'!$A$2:$A$27,0)),"")</f>
      </c>
      <c r="AE1117" s="20" t="str">
        <f>IFERROR(INDEX('Cost_Components'!$O$2:$O$27,MATCH(E1117,'Cost_Components'!$A$2:$A$27,0)),"")</f>
      </c>
      <c r="AF1117" s="85" t="n">
        <v>6831699.11403677</v>
      </c>
      <c r="AG1117" s="86" t="n">
        <v>7741657.53723872</v>
      </c>
      <c r="AH1117" s="87" t="str">
        <f>IF(H1117="shared-count-once",COUNTIFS($A$2:$A$1353,A1117,$B$2:$B$1353,B1117,$E$2:$E$1353,E1117),1)</f>
      </c>
    </row>
    <row r="1118">
      <c r="A1118" t="s">
        <v>75</v>
      </c>
      <c r="B1118" s="59" t="n">
        <v>2049</v>
      </c>
      <c r="C1118" t="s">
        <v>205</v>
      </c>
      <c r="D1118" t="s">
        <v>180</v>
      </c>
      <c r="E1118" s="60" t="s">
        <v>300</v>
      </c>
      <c r="F1118" s="61" t="s">
        <v>301</v>
      </c>
      <c r="G1118" s="62" t="s">
        <v>206</v>
      </c>
      <c r="H1118" s="63" t="s">
        <v>195</v>
      </c>
      <c r="I1118" s="64" t="s">
        <v>267</v>
      </c>
      <c r="J1118" s="65" t="str">
        <f>IFERROR(INDEX('Cost_Components'!$K$2:$K$27,MATCH(E1118,'Cost_Components'!$A$2:$A$27,0)),"")</f>
      </c>
      <c r="K1118" s="66" t="str">
        <f>IF(OR(L1118="",Z1118="",AA1118="",AB1118=""),"",IF(B1118&lt;AA1118,L1118,IF(B1118&gt;AB1118,Z1118,L1118+(Z1118-L1118)*MIN(MAX((B1118-AA1118+1)/MAX(AB1118-AA1118+1,1),0),1))))</f>
      </c>
      <c r="L1118" s="67" t="str">
        <f>IFERROR(INDEX('Cost_Components'!$S$2:$S$27,MATCH(E1118,'Cost_Components'!$A$2:$A$27,0)),"")</f>
      </c>
      <c r="M1118" s="68" t="str">
        <f>IFERROR(INDEX('Cost_Components'!$L$2:$L$27,MATCH(E1118,'Cost_Components'!$A$2:$A$27,0)),"")</f>
      </c>
      <c r="N1118" s="69" t="str">
        <f>IFERROR(INDEX('Cost_Components'!$P$2:$P$27,MATCH(E1118,'Cost_Components'!$A$2:$A$27,0)),"")</f>
      </c>
      <c r="O1118" s="70" t="str">
        <f>AF1118*J1118</f>
      </c>
      <c r="P1118" s="71" t="str">
        <f>AG1118*J1118</f>
      </c>
      <c r="Q1118" s="72" t="str">
        <f>P1118*L1118*M1118*N1118</f>
      </c>
      <c r="R1118" s="73" t="str">
        <f>O1118*K1118*M1118*N1118</f>
      </c>
      <c r="S1118" s="74" t="str">
        <f>R1118-Q1118</f>
      </c>
      <c r="T1118" s="20" t="str">
        <f>IFERROR(INDEX('Cost_Components'!$R$2:$R$27,MATCH(E1118,'Cost_Components'!$A$2:$A$27,0)),"")</f>
      </c>
      <c r="U1118" s="75" t="str">
        <f>IFERROR(INDEX('Cost_Components'!$Q$2:$Q$27,MATCH(E1118,'Cost_Components'!$A$2:$A$27,0)),"")</f>
      </c>
      <c r="V1118" s="76" t="str">
        <f>1/(1+'Calculation_Assumptions'!$B$5)^(B1118-'Calculation_Assumptions'!$B$2)</f>
      </c>
      <c r="W1118" s="77" t="str">
        <f>Q1118*V1118</f>
      </c>
      <c r="X1118" s="78" t="str">
        <f>R1118*V1118</f>
      </c>
      <c r="Y1118" s="79" t="str">
        <f>S1118*V1118</f>
      </c>
      <c r="Z1118" s="80" t="str">
        <f>IFERROR(INDEX('Cost_Components'!$T$2:$T$27,MATCH(E1118,'Cost_Components'!$A$2:$A$27,0)),"")</f>
      </c>
      <c r="AA1118" s="81" t="str">
        <f>IFERROR(INDEX('Cost_Components'!$U$2:$U$27,MATCH(E1118,'Cost_Components'!$A$2:$A$27,0)),"")</f>
      </c>
      <c r="AB1118" s="82" t="str">
        <f>IFERROR(INDEX('Cost_Components'!$V$2:$V$27,MATCH(E1118,'Cost_Components'!$A$2:$A$27,0)),"")</f>
      </c>
      <c r="AC1118" s="83" t="str">
        <f>IFERROR(INDEX('Cost_Components'!$M$2:$M$27,MATCH(E1118,'Cost_Components'!$A$2:$A$27,0)),"")</f>
      </c>
      <c r="AD1118" s="84" t="str">
        <f>IFERROR(INDEX('Cost_Components'!$N$2:$N$27,MATCH(E1118,'Cost_Components'!$A$2:$A$27,0)),"")</f>
      </c>
      <c r="AE1118" s="20" t="str">
        <f>IFERROR(INDEX('Cost_Components'!$O$2:$O$27,MATCH(E1118,'Cost_Components'!$A$2:$A$27,0)),"")</f>
      </c>
      <c r="AF1118" s="85" t="n">
        <v>6865605.93681908</v>
      </c>
      <c r="AG1118" s="86" t="n">
        <v>7838208.38053693</v>
      </c>
      <c r="AH1118" s="87" t="str">
        <f>IF(H1118="shared-count-once",COUNTIFS($A$2:$A$1353,A1118,$B$2:$B$1353,B1118,$E$2:$E$1353,E1118),1)</f>
      </c>
    </row>
    <row r="1119">
      <c r="A1119" t="s">
        <v>75</v>
      </c>
      <c r="B1119" s="59" t="n">
        <v>2050</v>
      </c>
      <c r="C1119" t="s">
        <v>205</v>
      </c>
      <c r="D1119" t="s">
        <v>180</v>
      </c>
      <c r="E1119" s="60" t="s">
        <v>300</v>
      </c>
      <c r="F1119" s="61" t="s">
        <v>301</v>
      </c>
      <c r="G1119" s="62" t="s">
        <v>206</v>
      </c>
      <c r="H1119" s="63" t="s">
        <v>195</v>
      </c>
      <c r="I1119" s="64" t="s">
        <v>267</v>
      </c>
      <c r="J1119" s="65" t="str">
        <f>IFERROR(INDEX('Cost_Components'!$K$2:$K$27,MATCH(E1119,'Cost_Components'!$A$2:$A$27,0)),"")</f>
      </c>
      <c r="K1119" s="66" t="str">
        <f>IF(OR(L1119="",Z1119="",AA1119="",AB1119=""),"",IF(B1119&lt;AA1119,L1119,IF(B1119&gt;AB1119,Z1119,L1119+(Z1119-L1119)*MIN(MAX((B1119-AA1119+1)/MAX(AB1119-AA1119+1,1),0),1))))</f>
      </c>
      <c r="L1119" s="67" t="str">
        <f>IFERROR(INDEX('Cost_Components'!$S$2:$S$27,MATCH(E1119,'Cost_Components'!$A$2:$A$27,0)),"")</f>
      </c>
      <c r="M1119" s="68" t="str">
        <f>IFERROR(INDEX('Cost_Components'!$L$2:$L$27,MATCH(E1119,'Cost_Components'!$A$2:$A$27,0)),"")</f>
      </c>
      <c r="N1119" s="69" t="str">
        <f>IFERROR(INDEX('Cost_Components'!$P$2:$P$27,MATCH(E1119,'Cost_Components'!$A$2:$A$27,0)),"")</f>
      </c>
      <c r="O1119" s="70" t="str">
        <f>AF1119*J1119</f>
      </c>
      <c r="P1119" s="71" t="str">
        <f>AG1119*J1119</f>
      </c>
      <c r="Q1119" s="72" t="str">
        <f>P1119*L1119*M1119*N1119</f>
      </c>
      <c r="R1119" s="73" t="str">
        <f>O1119*K1119*M1119*N1119</f>
      </c>
      <c r="S1119" s="74" t="str">
        <f>R1119-Q1119</f>
      </c>
      <c r="T1119" s="20" t="str">
        <f>IFERROR(INDEX('Cost_Components'!$R$2:$R$27,MATCH(E1119,'Cost_Components'!$A$2:$A$27,0)),"")</f>
      </c>
      <c r="U1119" s="75" t="str">
        <f>IFERROR(INDEX('Cost_Components'!$Q$2:$Q$27,MATCH(E1119,'Cost_Components'!$A$2:$A$27,0)),"")</f>
      </c>
      <c r="V1119" s="76" t="str">
        <f>1/(1+'Calculation_Assumptions'!$B$5)^(B1119-'Calculation_Assumptions'!$B$2)</f>
      </c>
      <c r="W1119" s="77" t="str">
        <f>Q1119*V1119</f>
      </c>
      <c r="X1119" s="78" t="str">
        <f>R1119*V1119</f>
      </c>
      <c r="Y1119" s="79" t="str">
        <f>S1119*V1119</f>
      </c>
      <c r="Z1119" s="80" t="str">
        <f>IFERROR(INDEX('Cost_Components'!$T$2:$T$27,MATCH(E1119,'Cost_Components'!$A$2:$A$27,0)),"")</f>
      </c>
      <c r="AA1119" s="81" t="str">
        <f>IFERROR(INDEX('Cost_Components'!$U$2:$U$27,MATCH(E1119,'Cost_Components'!$A$2:$A$27,0)),"")</f>
      </c>
      <c r="AB1119" s="82" t="str">
        <f>IFERROR(INDEX('Cost_Components'!$V$2:$V$27,MATCH(E1119,'Cost_Components'!$A$2:$A$27,0)),"")</f>
      </c>
      <c r="AC1119" s="83" t="str">
        <f>IFERROR(INDEX('Cost_Components'!$M$2:$M$27,MATCH(E1119,'Cost_Components'!$A$2:$A$27,0)),"")</f>
      </c>
      <c r="AD1119" s="84" t="str">
        <f>IFERROR(INDEX('Cost_Components'!$N$2:$N$27,MATCH(E1119,'Cost_Components'!$A$2:$A$27,0)),"")</f>
      </c>
      <c r="AE1119" s="20" t="str">
        <f>IFERROR(INDEX('Cost_Components'!$O$2:$O$27,MATCH(E1119,'Cost_Components'!$A$2:$A$27,0)),"")</f>
      </c>
      <c r="AF1119" s="85" t="n">
        <v>6895922.272967</v>
      </c>
      <c r="AG1119" s="86" t="n">
        <v>7932343.49493125</v>
      </c>
      <c r="AH1119" s="87" t="str">
        <f>IF(H1119="shared-count-once",COUNTIFS($A$2:$A$1353,A1119,$B$2:$B$1353,B1119,$E$2:$E$1353,E1119),1)</f>
      </c>
    </row>
    <row r="1120">
      <c r="A1120" t="s">
        <v>75</v>
      </c>
      <c r="B1120" s="59" t="n">
        <v>2025</v>
      </c>
      <c r="C1120" t="s">
        <v>208</v>
      </c>
      <c r="D1120" t="s">
        <v>212</v>
      </c>
      <c r="E1120" s="60" t="s">
        <v>303</v>
      </c>
      <c r="F1120" s="61" t="s">
        <v>304</v>
      </c>
      <c r="G1120" s="62" t="s">
        <v>209</v>
      </c>
      <c r="H1120" s="63" t="s">
        <v>195</v>
      </c>
      <c r="I1120" s="64" t="s">
        <v>267</v>
      </c>
      <c r="J1120" s="65" t="str">
        <f>IFERROR(INDEX('Cost_Components'!$K$2:$K$27,MATCH(E1120,'Cost_Components'!$A$2:$A$27,0)),"")</f>
      </c>
      <c r="K1120" s="66" t="str">
        <f>IF(OR(L1120="",Z1120="",AA1120="",AB1120=""),"",IF(B1120&lt;AA1120,L1120,IF(B1120&gt;AB1120,Z1120,L1120+(Z1120-L1120)*MIN(MAX((B1120-AA1120+1)/MAX(AB1120-AA1120+1,1),0),1))))</f>
      </c>
      <c r="L1120" s="67" t="str">
        <f>IFERROR(INDEX('Cost_Components'!$S$2:$S$27,MATCH(E1120,'Cost_Components'!$A$2:$A$27,0)),"")</f>
      </c>
      <c r="M1120" s="68" t="str">
        <f>IFERROR(INDEX('Cost_Components'!$L$2:$L$27,MATCH(E1120,'Cost_Components'!$A$2:$A$27,0)),"")</f>
      </c>
      <c r="N1120" s="69" t="str">
        <f>IFERROR(INDEX('Cost_Components'!$P$2:$P$27,MATCH(E1120,'Cost_Components'!$A$2:$A$27,0)),"")</f>
      </c>
      <c r="O1120" s="70" t="str">
        <f>AF1120*J1120</f>
      </c>
      <c r="P1120" s="71" t="str">
        <f>AG1120*J1120</f>
      </c>
      <c r="Q1120" s="72" t="str">
        <f>P1120*L1120*M1120*N1120</f>
      </c>
      <c r="R1120" s="73" t="str">
        <f>O1120*K1120*M1120*N1120</f>
      </c>
      <c r="S1120" s="74" t="str">
        <f>R1120-Q1120</f>
      </c>
      <c r="T1120" s="20" t="str">
        <f>IFERROR(INDEX('Cost_Components'!$R$2:$R$27,MATCH(E1120,'Cost_Components'!$A$2:$A$27,0)),"")</f>
      </c>
      <c r="U1120" s="75" t="str">
        <f>IFERROR(INDEX('Cost_Components'!$Q$2:$Q$27,MATCH(E1120,'Cost_Components'!$A$2:$A$27,0)),"")</f>
      </c>
      <c r="V1120" s="76" t="str">
        <f>1/(1+'Calculation_Assumptions'!$B$5)^(B1120-'Calculation_Assumptions'!$B$2)</f>
      </c>
      <c r="W1120" s="77" t="str">
        <f>Q1120*V1120</f>
      </c>
      <c r="X1120" s="78" t="str">
        <f>R1120*V1120</f>
      </c>
      <c r="Y1120" s="79" t="str">
        <f>S1120*V1120</f>
      </c>
      <c r="Z1120" s="80" t="str">
        <f>IFERROR(INDEX('Cost_Components'!$T$2:$T$27,MATCH(E1120,'Cost_Components'!$A$2:$A$27,0)),"")</f>
      </c>
      <c r="AA1120" s="81" t="str">
        <f>IFERROR(INDEX('Cost_Components'!$U$2:$U$27,MATCH(E1120,'Cost_Components'!$A$2:$A$27,0)),"")</f>
      </c>
      <c r="AB1120" s="82" t="str">
        <f>IFERROR(INDEX('Cost_Components'!$V$2:$V$27,MATCH(E1120,'Cost_Components'!$A$2:$A$27,0)),"")</f>
      </c>
      <c r="AC1120" s="83" t="str">
        <f>IFERROR(INDEX('Cost_Components'!$M$2:$M$27,MATCH(E1120,'Cost_Components'!$A$2:$A$27,0)),"")</f>
      </c>
      <c r="AD1120" s="84" t="str">
        <f>IFERROR(INDEX('Cost_Components'!$N$2:$N$27,MATCH(E1120,'Cost_Components'!$A$2:$A$27,0)),"")</f>
      </c>
      <c r="AE1120" s="20" t="str">
        <f>IFERROR(INDEX('Cost_Components'!$O$2:$O$27,MATCH(E1120,'Cost_Components'!$A$2:$A$27,0)),"")</f>
      </c>
      <c r="AF1120" s="85" t="n">
        <v>779812.466083352</v>
      </c>
      <c r="AG1120" s="86" t="n">
        <v>779783.393080781</v>
      </c>
      <c r="AH1120" s="87" t="str">
        <f>IF(H1120="shared-count-once",COUNTIFS($A$2:$A$1353,A1120,$B$2:$B$1353,B1120,$E$2:$E$1353,E1120),1)</f>
      </c>
    </row>
    <row r="1121">
      <c r="A1121" t="s">
        <v>75</v>
      </c>
      <c r="B1121" s="59" t="n">
        <v>2026</v>
      </c>
      <c r="C1121" t="s">
        <v>208</v>
      </c>
      <c r="D1121" t="s">
        <v>212</v>
      </c>
      <c r="E1121" s="60" t="s">
        <v>303</v>
      </c>
      <c r="F1121" s="61" t="s">
        <v>304</v>
      </c>
      <c r="G1121" s="62" t="s">
        <v>209</v>
      </c>
      <c r="H1121" s="63" t="s">
        <v>195</v>
      </c>
      <c r="I1121" s="64" t="s">
        <v>267</v>
      </c>
      <c r="J1121" s="65" t="str">
        <f>IFERROR(INDEX('Cost_Components'!$K$2:$K$27,MATCH(E1121,'Cost_Components'!$A$2:$A$27,0)),"")</f>
      </c>
      <c r="K1121" s="66" t="str">
        <f>IF(OR(L1121="",Z1121="",AA1121="",AB1121=""),"",IF(B1121&lt;AA1121,L1121,IF(B1121&gt;AB1121,Z1121,L1121+(Z1121-L1121)*MIN(MAX((B1121-AA1121+1)/MAX(AB1121-AA1121+1,1),0),1))))</f>
      </c>
      <c r="L1121" s="67" t="str">
        <f>IFERROR(INDEX('Cost_Components'!$S$2:$S$27,MATCH(E1121,'Cost_Components'!$A$2:$A$27,0)),"")</f>
      </c>
      <c r="M1121" s="68" t="str">
        <f>IFERROR(INDEX('Cost_Components'!$L$2:$L$27,MATCH(E1121,'Cost_Components'!$A$2:$A$27,0)),"")</f>
      </c>
      <c r="N1121" s="69" t="str">
        <f>IFERROR(INDEX('Cost_Components'!$P$2:$P$27,MATCH(E1121,'Cost_Components'!$A$2:$A$27,0)),"")</f>
      </c>
      <c r="O1121" s="70" t="str">
        <f>AF1121*J1121</f>
      </c>
      <c r="P1121" s="71" t="str">
        <f>AG1121*J1121</f>
      </c>
      <c r="Q1121" s="72" t="str">
        <f>P1121*L1121*M1121*N1121</f>
      </c>
      <c r="R1121" s="73" t="str">
        <f>O1121*K1121*M1121*N1121</f>
      </c>
      <c r="S1121" s="74" t="str">
        <f>R1121-Q1121</f>
      </c>
      <c r="T1121" s="20" t="str">
        <f>IFERROR(INDEX('Cost_Components'!$R$2:$R$27,MATCH(E1121,'Cost_Components'!$A$2:$A$27,0)),"")</f>
      </c>
      <c r="U1121" s="75" t="str">
        <f>IFERROR(INDEX('Cost_Components'!$Q$2:$Q$27,MATCH(E1121,'Cost_Components'!$A$2:$A$27,0)),"")</f>
      </c>
      <c r="V1121" s="76" t="str">
        <f>1/(1+'Calculation_Assumptions'!$B$5)^(B1121-'Calculation_Assumptions'!$B$2)</f>
      </c>
      <c r="W1121" s="77" t="str">
        <f>Q1121*V1121</f>
      </c>
      <c r="X1121" s="78" t="str">
        <f>R1121*V1121</f>
      </c>
      <c r="Y1121" s="79" t="str">
        <f>S1121*V1121</f>
      </c>
      <c r="Z1121" s="80" t="str">
        <f>IFERROR(INDEX('Cost_Components'!$T$2:$T$27,MATCH(E1121,'Cost_Components'!$A$2:$A$27,0)),"")</f>
      </c>
      <c r="AA1121" s="81" t="str">
        <f>IFERROR(INDEX('Cost_Components'!$U$2:$U$27,MATCH(E1121,'Cost_Components'!$A$2:$A$27,0)),"")</f>
      </c>
      <c r="AB1121" s="82" t="str">
        <f>IFERROR(INDEX('Cost_Components'!$V$2:$V$27,MATCH(E1121,'Cost_Components'!$A$2:$A$27,0)),"")</f>
      </c>
      <c r="AC1121" s="83" t="str">
        <f>IFERROR(INDEX('Cost_Components'!$M$2:$M$27,MATCH(E1121,'Cost_Components'!$A$2:$A$27,0)),"")</f>
      </c>
      <c r="AD1121" s="84" t="str">
        <f>IFERROR(INDEX('Cost_Components'!$N$2:$N$27,MATCH(E1121,'Cost_Components'!$A$2:$A$27,0)),"")</f>
      </c>
      <c r="AE1121" s="20" t="str">
        <f>IFERROR(INDEX('Cost_Components'!$O$2:$O$27,MATCH(E1121,'Cost_Components'!$A$2:$A$27,0)),"")</f>
      </c>
      <c r="AF1121" s="85" t="n">
        <v>780123.334710906</v>
      </c>
      <c r="AG1121" s="86" t="n">
        <v>780040.473687521</v>
      </c>
      <c r="AH1121" s="87" t="str">
        <f>IF(H1121="shared-count-once",COUNTIFS($A$2:$A$1353,A1121,$B$2:$B$1353,B1121,$E$2:$E$1353,E1121),1)</f>
      </c>
    </row>
    <row r="1122">
      <c r="A1122" t="s">
        <v>75</v>
      </c>
      <c r="B1122" s="59" t="n">
        <v>2027</v>
      </c>
      <c r="C1122" t="s">
        <v>208</v>
      </c>
      <c r="D1122" t="s">
        <v>212</v>
      </c>
      <c r="E1122" s="60" t="s">
        <v>303</v>
      </c>
      <c r="F1122" s="61" t="s">
        <v>304</v>
      </c>
      <c r="G1122" s="62" t="s">
        <v>209</v>
      </c>
      <c r="H1122" s="63" t="s">
        <v>195</v>
      </c>
      <c r="I1122" s="64" t="s">
        <v>267</v>
      </c>
      <c r="J1122" s="65" t="str">
        <f>IFERROR(INDEX('Cost_Components'!$K$2:$K$27,MATCH(E1122,'Cost_Components'!$A$2:$A$27,0)),"")</f>
      </c>
      <c r="K1122" s="66" t="str">
        <f>IF(OR(L1122="",Z1122="",AA1122="",AB1122=""),"",IF(B1122&lt;AA1122,L1122,IF(B1122&gt;AB1122,Z1122,L1122+(Z1122-L1122)*MIN(MAX((B1122-AA1122+1)/MAX(AB1122-AA1122+1,1),0),1))))</f>
      </c>
      <c r="L1122" s="67" t="str">
        <f>IFERROR(INDEX('Cost_Components'!$S$2:$S$27,MATCH(E1122,'Cost_Components'!$A$2:$A$27,0)),"")</f>
      </c>
      <c r="M1122" s="68" t="str">
        <f>IFERROR(INDEX('Cost_Components'!$L$2:$L$27,MATCH(E1122,'Cost_Components'!$A$2:$A$27,0)),"")</f>
      </c>
      <c r="N1122" s="69" t="str">
        <f>IFERROR(INDEX('Cost_Components'!$P$2:$P$27,MATCH(E1122,'Cost_Components'!$A$2:$A$27,0)),"")</f>
      </c>
      <c r="O1122" s="70" t="str">
        <f>AF1122*J1122</f>
      </c>
      <c r="P1122" s="71" t="str">
        <f>AG1122*J1122</f>
      </c>
      <c r="Q1122" s="72" t="str">
        <f>P1122*L1122*M1122*N1122</f>
      </c>
      <c r="R1122" s="73" t="str">
        <f>O1122*K1122*M1122*N1122</f>
      </c>
      <c r="S1122" s="74" t="str">
        <f>R1122-Q1122</f>
      </c>
      <c r="T1122" s="20" t="str">
        <f>IFERROR(INDEX('Cost_Components'!$R$2:$R$27,MATCH(E1122,'Cost_Components'!$A$2:$A$27,0)),"")</f>
      </c>
      <c r="U1122" s="75" t="str">
        <f>IFERROR(INDEX('Cost_Components'!$Q$2:$Q$27,MATCH(E1122,'Cost_Components'!$A$2:$A$27,0)),"")</f>
      </c>
      <c r="V1122" s="76" t="str">
        <f>1/(1+'Calculation_Assumptions'!$B$5)^(B1122-'Calculation_Assumptions'!$B$2)</f>
      </c>
      <c r="W1122" s="77" t="str">
        <f>Q1122*V1122</f>
      </c>
      <c r="X1122" s="78" t="str">
        <f>R1122*V1122</f>
      </c>
      <c r="Y1122" s="79" t="str">
        <f>S1122*V1122</f>
      </c>
      <c r="Z1122" s="80" t="str">
        <f>IFERROR(INDEX('Cost_Components'!$T$2:$T$27,MATCH(E1122,'Cost_Components'!$A$2:$A$27,0)),"")</f>
      </c>
      <c r="AA1122" s="81" t="str">
        <f>IFERROR(INDEX('Cost_Components'!$U$2:$U$27,MATCH(E1122,'Cost_Components'!$A$2:$A$27,0)),"")</f>
      </c>
      <c r="AB1122" s="82" t="str">
        <f>IFERROR(INDEX('Cost_Components'!$V$2:$V$27,MATCH(E1122,'Cost_Components'!$A$2:$A$27,0)),"")</f>
      </c>
      <c r="AC1122" s="83" t="str">
        <f>IFERROR(INDEX('Cost_Components'!$M$2:$M$27,MATCH(E1122,'Cost_Components'!$A$2:$A$27,0)),"")</f>
      </c>
      <c r="AD1122" s="84" t="str">
        <f>IFERROR(INDEX('Cost_Components'!$N$2:$N$27,MATCH(E1122,'Cost_Components'!$A$2:$A$27,0)),"")</f>
      </c>
      <c r="AE1122" s="20" t="str">
        <f>IFERROR(INDEX('Cost_Components'!$O$2:$O$27,MATCH(E1122,'Cost_Components'!$A$2:$A$27,0)),"")</f>
      </c>
      <c r="AF1122" s="85" t="n">
        <v>781951.026526623</v>
      </c>
      <c r="AG1122" s="86" t="n">
        <v>781793.224118119</v>
      </c>
      <c r="AH1122" s="87" t="str">
        <f>IF(H1122="shared-count-once",COUNTIFS($A$2:$A$1353,A1122,$B$2:$B$1353,B1122,$E$2:$E$1353,E1122),1)</f>
      </c>
    </row>
    <row r="1123">
      <c r="A1123" t="s">
        <v>75</v>
      </c>
      <c r="B1123" s="59" t="n">
        <v>2028</v>
      </c>
      <c r="C1123" t="s">
        <v>208</v>
      </c>
      <c r="D1123" t="s">
        <v>212</v>
      </c>
      <c r="E1123" s="60" t="s">
        <v>303</v>
      </c>
      <c r="F1123" s="61" t="s">
        <v>304</v>
      </c>
      <c r="G1123" s="62" t="s">
        <v>209</v>
      </c>
      <c r="H1123" s="63" t="s">
        <v>195</v>
      </c>
      <c r="I1123" s="64" t="s">
        <v>267</v>
      </c>
      <c r="J1123" s="65" t="str">
        <f>IFERROR(INDEX('Cost_Components'!$K$2:$K$27,MATCH(E1123,'Cost_Components'!$A$2:$A$27,0)),"")</f>
      </c>
      <c r="K1123" s="66" t="str">
        <f>IF(OR(L1123="",Z1123="",AA1123="",AB1123=""),"",IF(B1123&lt;AA1123,L1123,IF(B1123&gt;AB1123,Z1123,L1123+(Z1123-L1123)*MIN(MAX((B1123-AA1123+1)/MAX(AB1123-AA1123+1,1),0),1))))</f>
      </c>
      <c r="L1123" s="67" t="str">
        <f>IFERROR(INDEX('Cost_Components'!$S$2:$S$27,MATCH(E1123,'Cost_Components'!$A$2:$A$27,0)),"")</f>
      </c>
      <c r="M1123" s="68" t="str">
        <f>IFERROR(INDEX('Cost_Components'!$L$2:$L$27,MATCH(E1123,'Cost_Components'!$A$2:$A$27,0)),"")</f>
      </c>
      <c r="N1123" s="69" t="str">
        <f>IFERROR(INDEX('Cost_Components'!$P$2:$P$27,MATCH(E1123,'Cost_Components'!$A$2:$A$27,0)),"")</f>
      </c>
      <c r="O1123" s="70" t="str">
        <f>AF1123*J1123</f>
      </c>
      <c r="P1123" s="71" t="str">
        <f>AG1123*J1123</f>
      </c>
      <c r="Q1123" s="72" t="str">
        <f>P1123*L1123*M1123*N1123</f>
      </c>
      <c r="R1123" s="73" t="str">
        <f>O1123*K1123*M1123*N1123</f>
      </c>
      <c r="S1123" s="74" t="str">
        <f>R1123-Q1123</f>
      </c>
      <c r="T1123" s="20" t="str">
        <f>IFERROR(INDEX('Cost_Components'!$R$2:$R$27,MATCH(E1123,'Cost_Components'!$A$2:$A$27,0)),"")</f>
      </c>
      <c r="U1123" s="75" t="str">
        <f>IFERROR(INDEX('Cost_Components'!$Q$2:$Q$27,MATCH(E1123,'Cost_Components'!$A$2:$A$27,0)),"")</f>
      </c>
      <c r="V1123" s="76" t="str">
        <f>1/(1+'Calculation_Assumptions'!$B$5)^(B1123-'Calculation_Assumptions'!$B$2)</f>
      </c>
      <c r="W1123" s="77" t="str">
        <f>Q1123*V1123</f>
      </c>
      <c r="X1123" s="78" t="str">
        <f>R1123*V1123</f>
      </c>
      <c r="Y1123" s="79" t="str">
        <f>S1123*V1123</f>
      </c>
      <c r="Z1123" s="80" t="str">
        <f>IFERROR(INDEX('Cost_Components'!$T$2:$T$27,MATCH(E1123,'Cost_Components'!$A$2:$A$27,0)),"")</f>
      </c>
      <c r="AA1123" s="81" t="str">
        <f>IFERROR(INDEX('Cost_Components'!$U$2:$U$27,MATCH(E1123,'Cost_Components'!$A$2:$A$27,0)),"")</f>
      </c>
      <c r="AB1123" s="82" t="str">
        <f>IFERROR(INDEX('Cost_Components'!$V$2:$V$27,MATCH(E1123,'Cost_Components'!$A$2:$A$27,0)),"")</f>
      </c>
      <c r="AC1123" s="83" t="str">
        <f>IFERROR(INDEX('Cost_Components'!$M$2:$M$27,MATCH(E1123,'Cost_Components'!$A$2:$A$27,0)),"")</f>
      </c>
      <c r="AD1123" s="84" t="str">
        <f>IFERROR(INDEX('Cost_Components'!$N$2:$N$27,MATCH(E1123,'Cost_Components'!$A$2:$A$27,0)),"")</f>
      </c>
      <c r="AE1123" s="20" t="str">
        <f>IFERROR(INDEX('Cost_Components'!$O$2:$O$27,MATCH(E1123,'Cost_Components'!$A$2:$A$27,0)),"")</f>
      </c>
      <c r="AF1123" s="85" t="n">
        <v>783482.241756102</v>
      </c>
      <c r="AG1123" s="86" t="n">
        <v>783231.313089594</v>
      </c>
      <c r="AH1123" s="87" t="str">
        <f>IF(H1123="shared-count-once",COUNTIFS($A$2:$A$1353,A1123,$B$2:$B$1353,B1123,$E$2:$E$1353,E1123),1)</f>
      </c>
    </row>
    <row r="1124">
      <c r="A1124" t="s">
        <v>75</v>
      </c>
      <c r="B1124" s="59" t="n">
        <v>2029</v>
      </c>
      <c r="C1124" t="s">
        <v>208</v>
      </c>
      <c r="D1124" t="s">
        <v>212</v>
      </c>
      <c r="E1124" s="60" t="s">
        <v>303</v>
      </c>
      <c r="F1124" s="61" t="s">
        <v>304</v>
      </c>
      <c r="G1124" s="62" t="s">
        <v>209</v>
      </c>
      <c r="H1124" s="63" t="s">
        <v>195</v>
      </c>
      <c r="I1124" s="64" t="s">
        <v>267</v>
      </c>
      <c r="J1124" s="65" t="str">
        <f>IFERROR(INDEX('Cost_Components'!$K$2:$K$27,MATCH(E1124,'Cost_Components'!$A$2:$A$27,0)),"")</f>
      </c>
      <c r="K1124" s="66" t="str">
        <f>IF(OR(L1124="",Z1124="",AA1124="",AB1124=""),"",IF(B1124&lt;AA1124,L1124,IF(B1124&gt;AB1124,Z1124,L1124+(Z1124-L1124)*MIN(MAX((B1124-AA1124+1)/MAX(AB1124-AA1124+1,1),0),1))))</f>
      </c>
      <c r="L1124" s="67" t="str">
        <f>IFERROR(INDEX('Cost_Components'!$S$2:$S$27,MATCH(E1124,'Cost_Components'!$A$2:$A$27,0)),"")</f>
      </c>
      <c r="M1124" s="68" t="str">
        <f>IFERROR(INDEX('Cost_Components'!$L$2:$L$27,MATCH(E1124,'Cost_Components'!$A$2:$A$27,0)),"")</f>
      </c>
      <c r="N1124" s="69" t="str">
        <f>IFERROR(INDEX('Cost_Components'!$P$2:$P$27,MATCH(E1124,'Cost_Components'!$A$2:$A$27,0)),"")</f>
      </c>
      <c r="O1124" s="70" t="str">
        <f>AF1124*J1124</f>
      </c>
      <c r="P1124" s="71" t="str">
        <f>AG1124*J1124</f>
      </c>
      <c r="Q1124" s="72" t="str">
        <f>P1124*L1124*M1124*N1124</f>
      </c>
      <c r="R1124" s="73" t="str">
        <f>O1124*K1124*M1124*N1124</f>
      </c>
      <c r="S1124" s="74" t="str">
        <f>R1124-Q1124</f>
      </c>
      <c r="T1124" s="20" t="str">
        <f>IFERROR(INDEX('Cost_Components'!$R$2:$R$27,MATCH(E1124,'Cost_Components'!$A$2:$A$27,0)),"")</f>
      </c>
      <c r="U1124" s="75" t="str">
        <f>IFERROR(INDEX('Cost_Components'!$Q$2:$Q$27,MATCH(E1124,'Cost_Components'!$A$2:$A$27,0)),"")</f>
      </c>
      <c r="V1124" s="76" t="str">
        <f>1/(1+'Calculation_Assumptions'!$B$5)^(B1124-'Calculation_Assumptions'!$B$2)</f>
      </c>
      <c r="W1124" s="77" t="str">
        <f>Q1124*V1124</f>
      </c>
      <c r="X1124" s="78" t="str">
        <f>R1124*V1124</f>
      </c>
      <c r="Y1124" s="79" t="str">
        <f>S1124*V1124</f>
      </c>
      <c r="Z1124" s="80" t="str">
        <f>IFERROR(INDEX('Cost_Components'!$T$2:$T$27,MATCH(E1124,'Cost_Components'!$A$2:$A$27,0)),"")</f>
      </c>
      <c r="AA1124" s="81" t="str">
        <f>IFERROR(INDEX('Cost_Components'!$U$2:$U$27,MATCH(E1124,'Cost_Components'!$A$2:$A$27,0)),"")</f>
      </c>
      <c r="AB1124" s="82" t="str">
        <f>IFERROR(INDEX('Cost_Components'!$V$2:$V$27,MATCH(E1124,'Cost_Components'!$A$2:$A$27,0)),"")</f>
      </c>
      <c r="AC1124" s="83" t="str">
        <f>IFERROR(INDEX('Cost_Components'!$M$2:$M$27,MATCH(E1124,'Cost_Components'!$A$2:$A$27,0)),"")</f>
      </c>
      <c r="AD1124" s="84" t="str">
        <f>IFERROR(INDEX('Cost_Components'!$N$2:$N$27,MATCH(E1124,'Cost_Components'!$A$2:$A$27,0)),"")</f>
      </c>
      <c r="AE1124" s="20" t="str">
        <f>IFERROR(INDEX('Cost_Components'!$O$2:$O$27,MATCH(E1124,'Cost_Components'!$A$2:$A$27,0)),"")</f>
      </c>
      <c r="AF1124" s="85" t="n">
        <v>784593.3439807</v>
      </c>
      <c r="AG1124" s="86" t="n">
        <v>784232.620093967</v>
      </c>
      <c r="AH1124" s="87" t="str">
        <f>IF(H1124="shared-count-once",COUNTIFS($A$2:$A$1353,A1124,$B$2:$B$1353,B1124,$E$2:$E$1353,E1124),1)</f>
      </c>
    </row>
    <row r="1125">
      <c r="A1125" t="s">
        <v>75</v>
      </c>
      <c r="B1125" s="59" t="n">
        <v>2030</v>
      </c>
      <c r="C1125" t="s">
        <v>208</v>
      </c>
      <c r="D1125" t="s">
        <v>212</v>
      </c>
      <c r="E1125" s="60" t="s">
        <v>303</v>
      </c>
      <c r="F1125" s="61" t="s">
        <v>304</v>
      </c>
      <c r="G1125" s="62" t="s">
        <v>209</v>
      </c>
      <c r="H1125" s="63" t="s">
        <v>195</v>
      </c>
      <c r="I1125" s="64" t="s">
        <v>267</v>
      </c>
      <c r="J1125" s="65" t="str">
        <f>IFERROR(INDEX('Cost_Components'!$K$2:$K$27,MATCH(E1125,'Cost_Components'!$A$2:$A$27,0)),"")</f>
      </c>
      <c r="K1125" s="66" t="str">
        <f>IF(OR(L1125="",Z1125="",AA1125="",AB1125=""),"",IF(B1125&lt;AA1125,L1125,IF(B1125&gt;AB1125,Z1125,L1125+(Z1125-L1125)*MIN(MAX((B1125-AA1125+1)/MAX(AB1125-AA1125+1,1),0),1))))</f>
      </c>
      <c r="L1125" s="67" t="str">
        <f>IFERROR(INDEX('Cost_Components'!$S$2:$S$27,MATCH(E1125,'Cost_Components'!$A$2:$A$27,0)),"")</f>
      </c>
      <c r="M1125" s="68" t="str">
        <f>IFERROR(INDEX('Cost_Components'!$L$2:$L$27,MATCH(E1125,'Cost_Components'!$A$2:$A$27,0)),"")</f>
      </c>
      <c r="N1125" s="69" t="str">
        <f>IFERROR(INDEX('Cost_Components'!$P$2:$P$27,MATCH(E1125,'Cost_Components'!$A$2:$A$27,0)),"")</f>
      </c>
      <c r="O1125" s="70" t="str">
        <f>AF1125*J1125</f>
      </c>
      <c r="P1125" s="71" t="str">
        <f>AG1125*J1125</f>
      </c>
      <c r="Q1125" s="72" t="str">
        <f>P1125*L1125*M1125*N1125</f>
      </c>
      <c r="R1125" s="73" t="str">
        <f>O1125*K1125*M1125*N1125</f>
      </c>
      <c r="S1125" s="74" t="str">
        <f>R1125-Q1125</f>
      </c>
      <c r="T1125" s="20" t="str">
        <f>IFERROR(INDEX('Cost_Components'!$R$2:$R$27,MATCH(E1125,'Cost_Components'!$A$2:$A$27,0)),"")</f>
      </c>
      <c r="U1125" s="75" t="str">
        <f>IFERROR(INDEX('Cost_Components'!$Q$2:$Q$27,MATCH(E1125,'Cost_Components'!$A$2:$A$27,0)),"")</f>
      </c>
      <c r="V1125" s="76" t="str">
        <f>1/(1+'Calculation_Assumptions'!$B$5)^(B1125-'Calculation_Assumptions'!$B$2)</f>
      </c>
      <c r="W1125" s="77" t="str">
        <f>Q1125*V1125</f>
      </c>
      <c r="X1125" s="78" t="str">
        <f>R1125*V1125</f>
      </c>
      <c r="Y1125" s="79" t="str">
        <f>S1125*V1125</f>
      </c>
      <c r="Z1125" s="80" t="str">
        <f>IFERROR(INDEX('Cost_Components'!$T$2:$T$27,MATCH(E1125,'Cost_Components'!$A$2:$A$27,0)),"")</f>
      </c>
      <c r="AA1125" s="81" t="str">
        <f>IFERROR(INDEX('Cost_Components'!$U$2:$U$27,MATCH(E1125,'Cost_Components'!$A$2:$A$27,0)),"")</f>
      </c>
      <c r="AB1125" s="82" t="str">
        <f>IFERROR(INDEX('Cost_Components'!$V$2:$V$27,MATCH(E1125,'Cost_Components'!$A$2:$A$27,0)),"")</f>
      </c>
      <c r="AC1125" s="83" t="str">
        <f>IFERROR(INDEX('Cost_Components'!$M$2:$M$27,MATCH(E1125,'Cost_Components'!$A$2:$A$27,0)),"")</f>
      </c>
      <c r="AD1125" s="84" t="str">
        <f>IFERROR(INDEX('Cost_Components'!$N$2:$N$27,MATCH(E1125,'Cost_Components'!$A$2:$A$27,0)),"")</f>
      </c>
      <c r="AE1125" s="20" t="str">
        <f>IFERROR(INDEX('Cost_Components'!$O$2:$O$27,MATCH(E1125,'Cost_Components'!$A$2:$A$27,0)),"")</f>
      </c>
      <c r="AF1125" s="85" t="n">
        <v>786333.697607824</v>
      </c>
      <c r="AG1125" s="86" t="n">
        <v>785851.071188409</v>
      </c>
      <c r="AH1125" s="87" t="str">
        <f>IF(H1125="shared-count-once",COUNTIFS($A$2:$A$1353,A1125,$B$2:$B$1353,B1125,$E$2:$E$1353,E1125),1)</f>
      </c>
    </row>
    <row r="1126">
      <c r="A1126" t="s">
        <v>75</v>
      </c>
      <c r="B1126" s="59" t="n">
        <v>2031</v>
      </c>
      <c r="C1126" t="s">
        <v>208</v>
      </c>
      <c r="D1126" t="s">
        <v>212</v>
      </c>
      <c r="E1126" s="60" t="s">
        <v>303</v>
      </c>
      <c r="F1126" s="61" t="s">
        <v>304</v>
      </c>
      <c r="G1126" s="62" t="s">
        <v>209</v>
      </c>
      <c r="H1126" s="63" t="s">
        <v>195</v>
      </c>
      <c r="I1126" s="64" t="s">
        <v>267</v>
      </c>
      <c r="J1126" s="65" t="str">
        <f>IFERROR(INDEX('Cost_Components'!$K$2:$K$27,MATCH(E1126,'Cost_Components'!$A$2:$A$27,0)),"")</f>
      </c>
      <c r="K1126" s="66" t="str">
        <f>IF(OR(L1126="",Z1126="",AA1126="",AB1126=""),"",IF(B1126&lt;AA1126,L1126,IF(B1126&gt;AB1126,Z1126,L1126+(Z1126-L1126)*MIN(MAX((B1126-AA1126+1)/MAX(AB1126-AA1126+1,1),0),1))))</f>
      </c>
      <c r="L1126" s="67" t="str">
        <f>IFERROR(INDEX('Cost_Components'!$S$2:$S$27,MATCH(E1126,'Cost_Components'!$A$2:$A$27,0)),"")</f>
      </c>
      <c r="M1126" s="68" t="str">
        <f>IFERROR(INDEX('Cost_Components'!$L$2:$L$27,MATCH(E1126,'Cost_Components'!$A$2:$A$27,0)),"")</f>
      </c>
      <c r="N1126" s="69" t="str">
        <f>IFERROR(INDEX('Cost_Components'!$P$2:$P$27,MATCH(E1126,'Cost_Components'!$A$2:$A$27,0)),"")</f>
      </c>
      <c r="O1126" s="70" t="str">
        <f>AF1126*J1126</f>
      </c>
      <c r="P1126" s="71" t="str">
        <f>AG1126*J1126</f>
      </c>
      <c r="Q1126" s="72" t="str">
        <f>P1126*L1126*M1126*N1126</f>
      </c>
      <c r="R1126" s="73" t="str">
        <f>O1126*K1126*M1126*N1126</f>
      </c>
      <c r="S1126" s="74" t="str">
        <f>R1126-Q1126</f>
      </c>
      <c r="T1126" s="20" t="str">
        <f>IFERROR(INDEX('Cost_Components'!$R$2:$R$27,MATCH(E1126,'Cost_Components'!$A$2:$A$27,0)),"")</f>
      </c>
      <c r="U1126" s="75" t="str">
        <f>IFERROR(INDEX('Cost_Components'!$Q$2:$Q$27,MATCH(E1126,'Cost_Components'!$A$2:$A$27,0)),"")</f>
      </c>
      <c r="V1126" s="76" t="str">
        <f>1/(1+'Calculation_Assumptions'!$B$5)^(B1126-'Calculation_Assumptions'!$B$2)</f>
      </c>
      <c r="W1126" s="77" t="str">
        <f>Q1126*V1126</f>
      </c>
      <c r="X1126" s="78" t="str">
        <f>R1126*V1126</f>
      </c>
      <c r="Y1126" s="79" t="str">
        <f>S1126*V1126</f>
      </c>
      <c r="Z1126" s="80" t="str">
        <f>IFERROR(INDEX('Cost_Components'!$T$2:$T$27,MATCH(E1126,'Cost_Components'!$A$2:$A$27,0)),"")</f>
      </c>
      <c r="AA1126" s="81" t="str">
        <f>IFERROR(INDEX('Cost_Components'!$U$2:$U$27,MATCH(E1126,'Cost_Components'!$A$2:$A$27,0)),"")</f>
      </c>
      <c r="AB1126" s="82" t="str">
        <f>IFERROR(INDEX('Cost_Components'!$V$2:$V$27,MATCH(E1126,'Cost_Components'!$A$2:$A$27,0)),"")</f>
      </c>
      <c r="AC1126" s="83" t="str">
        <f>IFERROR(INDEX('Cost_Components'!$M$2:$M$27,MATCH(E1126,'Cost_Components'!$A$2:$A$27,0)),"")</f>
      </c>
      <c r="AD1126" s="84" t="str">
        <f>IFERROR(INDEX('Cost_Components'!$N$2:$N$27,MATCH(E1126,'Cost_Components'!$A$2:$A$27,0)),"")</f>
      </c>
      <c r="AE1126" s="20" t="str">
        <f>IFERROR(INDEX('Cost_Components'!$O$2:$O$27,MATCH(E1126,'Cost_Components'!$A$2:$A$27,0)),"")</f>
      </c>
      <c r="AF1126" s="85" t="n">
        <v>789274.106768165</v>
      </c>
      <c r="AG1126" s="86" t="n">
        <v>788657.972568027</v>
      </c>
      <c r="AH1126" s="87" t="str">
        <f>IF(H1126="shared-count-once",COUNTIFS($A$2:$A$1353,A1126,$B$2:$B$1353,B1126,$E$2:$E$1353,E1126),1)</f>
      </c>
    </row>
    <row r="1127">
      <c r="A1127" t="s">
        <v>75</v>
      </c>
      <c r="B1127" s="59" t="n">
        <v>2032</v>
      </c>
      <c r="C1127" t="s">
        <v>208</v>
      </c>
      <c r="D1127" t="s">
        <v>212</v>
      </c>
      <c r="E1127" s="60" t="s">
        <v>303</v>
      </c>
      <c r="F1127" s="61" t="s">
        <v>304</v>
      </c>
      <c r="G1127" s="62" t="s">
        <v>209</v>
      </c>
      <c r="H1127" s="63" t="s">
        <v>195</v>
      </c>
      <c r="I1127" s="64" t="s">
        <v>267</v>
      </c>
      <c r="J1127" s="65" t="str">
        <f>IFERROR(INDEX('Cost_Components'!$K$2:$K$27,MATCH(E1127,'Cost_Components'!$A$2:$A$27,0)),"")</f>
      </c>
      <c r="K1127" s="66" t="str">
        <f>IF(OR(L1127="",Z1127="",AA1127="",AB1127=""),"",IF(B1127&lt;AA1127,L1127,IF(B1127&gt;AB1127,Z1127,L1127+(Z1127-L1127)*MIN(MAX((B1127-AA1127+1)/MAX(AB1127-AA1127+1,1),0),1))))</f>
      </c>
      <c r="L1127" s="67" t="str">
        <f>IFERROR(INDEX('Cost_Components'!$S$2:$S$27,MATCH(E1127,'Cost_Components'!$A$2:$A$27,0)),"")</f>
      </c>
      <c r="M1127" s="68" t="str">
        <f>IFERROR(INDEX('Cost_Components'!$L$2:$L$27,MATCH(E1127,'Cost_Components'!$A$2:$A$27,0)),"")</f>
      </c>
      <c r="N1127" s="69" t="str">
        <f>IFERROR(INDEX('Cost_Components'!$P$2:$P$27,MATCH(E1127,'Cost_Components'!$A$2:$A$27,0)),"")</f>
      </c>
      <c r="O1127" s="70" t="str">
        <f>AF1127*J1127</f>
      </c>
      <c r="P1127" s="71" t="str">
        <f>AG1127*J1127</f>
      </c>
      <c r="Q1127" s="72" t="str">
        <f>P1127*L1127*M1127*N1127</f>
      </c>
      <c r="R1127" s="73" t="str">
        <f>O1127*K1127*M1127*N1127</f>
      </c>
      <c r="S1127" s="74" t="str">
        <f>R1127-Q1127</f>
      </c>
      <c r="T1127" s="20" t="str">
        <f>IFERROR(INDEX('Cost_Components'!$R$2:$R$27,MATCH(E1127,'Cost_Components'!$A$2:$A$27,0)),"")</f>
      </c>
      <c r="U1127" s="75" t="str">
        <f>IFERROR(INDEX('Cost_Components'!$Q$2:$Q$27,MATCH(E1127,'Cost_Components'!$A$2:$A$27,0)),"")</f>
      </c>
      <c r="V1127" s="76" t="str">
        <f>1/(1+'Calculation_Assumptions'!$B$5)^(B1127-'Calculation_Assumptions'!$B$2)</f>
      </c>
      <c r="W1127" s="77" t="str">
        <f>Q1127*V1127</f>
      </c>
      <c r="X1127" s="78" t="str">
        <f>R1127*V1127</f>
      </c>
      <c r="Y1127" s="79" t="str">
        <f>S1127*V1127</f>
      </c>
      <c r="Z1127" s="80" t="str">
        <f>IFERROR(INDEX('Cost_Components'!$T$2:$T$27,MATCH(E1127,'Cost_Components'!$A$2:$A$27,0)),"")</f>
      </c>
      <c r="AA1127" s="81" t="str">
        <f>IFERROR(INDEX('Cost_Components'!$U$2:$U$27,MATCH(E1127,'Cost_Components'!$A$2:$A$27,0)),"")</f>
      </c>
      <c r="AB1127" s="82" t="str">
        <f>IFERROR(INDEX('Cost_Components'!$V$2:$V$27,MATCH(E1127,'Cost_Components'!$A$2:$A$27,0)),"")</f>
      </c>
      <c r="AC1127" s="83" t="str">
        <f>IFERROR(INDEX('Cost_Components'!$M$2:$M$27,MATCH(E1127,'Cost_Components'!$A$2:$A$27,0)),"")</f>
      </c>
      <c r="AD1127" s="84" t="str">
        <f>IFERROR(INDEX('Cost_Components'!$N$2:$N$27,MATCH(E1127,'Cost_Components'!$A$2:$A$27,0)),"")</f>
      </c>
      <c r="AE1127" s="20" t="str">
        <f>IFERROR(INDEX('Cost_Components'!$O$2:$O$27,MATCH(E1127,'Cost_Components'!$A$2:$A$27,0)),"")</f>
      </c>
      <c r="AF1127" s="85" t="n">
        <v>793012.842616312</v>
      </c>
      <c r="AG1127" s="86" t="n">
        <v>792252.163195315</v>
      </c>
      <c r="AH1127" s="87" t="str">
        <f>IF(H1127="shared-count-once",COUNTIFS($A$2:$A$1353,A1127,$B$2:$B$1353,B1127,$E$2:$E$1353,E1127),1)</f>
      </c>
    </row>
    <row r="1128">
      <c r="A1128" t="s">
        <v>75</v>
      </c>
      <c r="B1128" s="59" t="n">
        <v>2033</v>
      </c>
      <c r="C1128" t="s">
        <v>208</v>
      </c>
      <c r="D1128" t="s">
        <v>212</v>
      </c>
      <c r="E1128" s="60" t="s">
        <v>303</v>
      </c>
      <c r="F1128" s="61" t="s">
        <v>304</v>
      </c>
      <c r="G1128" s="62" t="s">
        <v>209</v>
      </c>
      <c r="H1128" s="63" t="s">
        <v>195</v>
      </c>
      <c r="I1128" s="64" t="s">
        <v>267</v>
      </c>
      <c r="J1128" s="65" t="str">
        <f>IFERROR(INDEX('Cost_Components'!$K$2:$K$27,MATCH(E1128,'Cost_Components'!$A$2:$A$27,0)),"")</f>
      </c>
      <c r="K1128" s="66" t="str">
        <f>IF(OR(L1128="",Z1128="",AA1128="",AB1128=""),"",IF(B1128&lt;AA1128,L1128,IF(B1128&gt;AB1128,Z1128,L1128+(Z1128-L1128)*MIN(MAX((B1128-AA1128+1)/MAX(AB1128-AA1128+1,1),0),1))))</f>
      </c>
      <c r="L1128" s="67" t="str">
        <f>IFERROR(INDEX('Cost_Components'!$S$2:$S$27,MATCH(E1128,'Cost_Components'!$A$2:$A$27,0)),"")</f>
      </c>
      <c r="M1128" s="68" t="str">
        <f>IFERROR(INDEX('Cost_Components'!$L$2:$L$27,MATCH(E1128,'Cost_Components'!$A$2:$A$27,0)),"")</f>
      </c>
      <c r="N1128" s="69" t="str">
        <f>IFERROR(INDEX('Cost_Components'!$P$2:$P$27,MATCH(E1128,'Cost_Components'!$A$2:$A$27,0)),"")</f>
      </c>
      <c r="O1128" s="70" t="str">
        <f>AF1128*J1128</f>
      </c>
      <c r="P1128" s="71" t="str">
        <f>AG1128*J1128</f>
      </c>
      <c r="Q1128" s="72" t="str">
        <f>P1128*L1128*M1128*N1128</f>
      </c>
      <c r="R1128" s="73" t="str">
        <f>O1128*K1128*M1128*N1128</f>
      </c>
      <c r="S1128" s="74" t="str">
        <f>R1128-Q1128</f>
      </c>
      <c r="T1128" s="20" t="str">
        <f>IFERROR(INDEX('Cost_Components'!$R$2:$R$27,MATCH(E1128,'Cost_Components'!$A$2:$A$27,0)),"")</f>
      </c>
      <c r="U1128" s="75" t="str">
        <f>IFERROR(INDEX('Cost_Components'!$Q$2:$Q$27,MATCH(E1128,'Cost_Components'!$A$2:$A$27,0)),"")</f>
      </c>
      <c r="V1128" s="76" t="str">
        <f>1/(1+'Calculation_Assumptions'!$B$5)^(B1128-'Calculation_Assumptions'!$B$2)</f>
      </c>
      <c r="W1128" s="77" t="str">
        <f>Q1128*V1128</f>
      </c>
      <c r="X1128" s="78" t="str">
        <f>R1128*V1128</f>
      </c>
      <c r="Y1128" s="79" t="str">
        <f>S1128*V1128</f>
      </c>
      <c r="Z1128" s="80" t="str">
        <f>IFERROR(INDEX('Cost_Components'!$T$2:$T$27,MATCH(E1128,'Cost_Components'!$A$2:$A$27,0)),"")</f>
      </c>
      <c r="AA1128" s="81" t="str">
        <f>IFERROR(INDEX('Cost_Components'!$U$2:$U$27,MATCH(E1128,'Cost_Components'!$A$2:$A$27,0)),"")</f>
      </c>
      <c r="AB1128" s="82" t="str">
        <f>IFERROR(INDEX('Cost_Components'!$V$2:$V$27,MATCH(E1128,'Cost_Components'!$A$2:$A$27,0)),"")</f>
      </c>
      <c r="AC1128" s="83" t="str">
        <f>IFERROR(INDEX('Cost_Components'!$M$2:$M$27,MATCH(E1128,'Cost_Components'!$A$2:$A$27,0)),"")</f>
      </c>
      <c r="AD1128" s="84" t="str">
        <f>IFERROR(INDEX('Cost_Components'!$N$2:$N$27,MATCH(E1128,'Cost_Components'!$A$2:$A$27,0)),"")</f>
      </c>
      <c r="AE1128" s="20" t="str">
        <f>IFERROR(INDEX('Cost_Components'!$O$2:$O$27,MATCH(E1128,'Cost_Components'!$A$2:$A$27,0)),"")</f>
      </c>
      <c r="AF1128" s="85" t="n">
        <v>796344.231717856</v>
      </c>
      <c r="AG1128" s="86" t="n">
        <v>795429.785850317</v>
      </c>
      <c r="AH1128" s="87" t="str">
        <f>IF(H1128="shared-count-once",COUNTIFS($A$2:$A$1353,A1128,$B$2:$B$1353,B1128,$E$2:$E$1353,E1128),1)</f>
      </c>
    </row>
    <row r="1129">
      <c r="A1129" t="s">
        <v>75</v>
      </c>
      <c r="B1129" s="59" t="n">
        <v>2034</v>
      </c>
      <c r="C1129" t="s">
        <v>208</v>
      </c>
      <c r="D1129" t="s">
        <v>212</v>
      </c>
      <c r="E1129" s="60" t="s">
        <v>303</v>
      </c>
      <c r="F1129" s="61" t="s">
        <v>304</v>
      </c>
      <c r="G1129" s="62" t="s">
        <v>209</v>
      </c>
      <c r="H1129" s="63" t="s">
        <v>195</v>
      </c>
      <c r="I1129" s="64" t="s">
        <v>267</v>
      </c>
      <c r="J1129" s="65" t="str">
        <f>IFERROR(INDEX('Cost_Components'!$K$2:$K$27,MATCH(E1129,'Cost_Components'!$A$2:$A$27,0)),"")</f>
      </c>
      <c r="K1129" s="66" t="str">
        <f>IF(OR(L1129="",Z1129="",AA1129="",AB1129=""),"",IF(B1129&lt;AA1129,L1129,IF(B1129&gt;AB1129,Z1129,L1129+(Z1129-L1129)*MIN(MAX((B1129-AA1129+1)/MAX(AB1129-AA1129+1,1),0),1))))</f>
      </c>
      <c r="L1129" s="67" t="str">
        <f>IFERROR(INDEX('Cost_Components'!$S$2:$S$27,MATCH(E1129,'Cost_Components'!$A$2:$A$27,0)),"")</f>
      </c>
      <c r="M1129" s="68" t="str">
        <f>IFERROR(INDEX('Cost_Components'!$L$2:$L$27,MATCH(E1129,'Cost_Components'!$A$2:$A$27,0)),"")</f>
      </c>
      <c r="N1129" s="69" t="str">
        <f>IFERROR(INDEX('Cost_Components'!$P$2:$P$27,MATCH(E1129,'Cost_Components'!$A$2:$A$27,0)),"")</f>
      </c>
      <c r="O1129" s="70" t="str">
        <f>AF1129*J1129</f>
      </c>
      <c r="P1129" s="71" t="str">
        <f>AG1129*J1129</f>
      </c>
      <c r="Q1129" s="72" t="str">
        <f>P1129*L1129*M1129*N1129</f>
      </c>
      <c r="R1129" s="73" t="str">
        <f>O1129*K1129*M1129*N1129</f>
      </c>
      <c r="S1129" s="74" t="str">
        <f>R1129-Q1129</f>
      </c>
      <c r="T1129" s="20" t="str">
        <f>IFERROR(INDEX('Cost_Components'!$R$2:$R$27,MATCH(E1129,'Cost_Components'!$A$2:$A$27,0)),"")</f>
      </c>
      <c r="U1129" s="75" t="str">
        <f>IFERROR(INDEX('Cost_Components'!$Q$2:$Q$27,MATCH(E1129,'Cost_Components'!$A$2:$A$27,0)),"")</f>
      </c>
      <c r="V1129" s="76" t="str">
        <f>1/(1+'Calculation_Assumptions'!$B$5)^(B1129-'Calculation_Assumptions'!$B$2)</f>
      </c>
      <c r="W1129" s="77" t="str">
        <f>Q1129*V1129</f>
      </c>
      <c r="X1129" s="78" t="str">
        <f>R1129*V1129</f>
      </c>
      <c r="Y1129" s="79" t="str">
        <f>S1129*V1129</f>
      </c>
      <c r="Z1129" s="80" t="str">
        <f>IFERROR(INDEX('Cost_Components'!$T$2:$T$27,MATCH(E1129,'Cost_Components'!$A$2:$A$27,0)),"")</f>
      </c>
      <c r="AA1129" s="81" t="str">
        <f>IFERROR(INDEX('Cost_Components'!$U$2:$U$27,MATCH(E1129,'Cost_Components'!$A$2:$A$27,0)),"")</f>
      </c>
      <c r="AB1129" s="82" t="str">
        <f>IFERROR(INDEX('Cost_Components'!$V$2:$V$27,MATCH(E1129,'Cost_Components'!$A$2:$A$27,0)),"")</f>
      </c>
      <c r="AC1129" s="83" t="str">
        <f>IFERROR(INDEX('Cost_Components'!$M$2:$M$27,MATCH(E1129,'Cost_Components'!$A$2:$A$27,0)),"")</f>
      </c>
      <c r="AD1129" s="84" t="str">
        <f>IFERROR(INDEX('Cost_Components'!$N$2:$N$27,MATCH(E1129,'Cost_Components'!$A$2:$A$27,0)),"")</f>
      </c>
      <c r="AE1129" s="20" t="str">
        <f>IFERROR(INDEX('Cost_Components'!$O$2:$O$27,MATCH(E1129,'Cost_Components'!$A$2:$A$27,0)),"")</f>
      </c>
      <c r="AF1129" s="85" t="n">
        <v>795948.109368944</v>
      </c>
      <c r="AG1129" s="86" t="n">
        <v>794876.378496577</v>
      </c>
      <c r="AH1129" s="87" t="str">
        <f>IF(H1129="shared-count-once",COUNTIFS($A$2:$A$1353,A1129,$B$2:$B$1353,B1129,$E$2:$E$1353,E1129),1)</f>
      </c>
    </row>
    <row r="1130">
      <c r="A1130" t="s">
        <v>75</v>
      </c>
      <c r="B1130" s="59" t="n">
        <v>2035</v>
      </c>
      <c r="C1130" t="s">
        <v>208</v>
      </c>
      <c r="D1130" t="s">
        <v>212</v>
      </c>
      <c r="E1130" s="60" t="s">
        <v>303</v>
      </c>
      <c r="F1130" s="61" t="s">
        <v>304</v>
      </c>
      <c r="G1130" s="62" t="s">
        <v>209</v>
      </c>
      <c r="H1130" s="63" t="s">
        <v>195</v>
      </c>
      <c r="I1130" s="64" t="s">
        <v>267</v>
      </c>
      <c r="J1130" s="65" t="str">
        <f>IFERROR(INDEX('Cost_Components'!$K$2:$K$27,MATCH(E1130,'Cost_Components'!$A$2:$A$27,0)),"")</f>
      </c>
      <c r="K1130" s="66" t="str">
        <f>IF(OR(L1130="",Z1130="",AA1130="",AB1130=""),"",IF(B1130&lt;AA1130,L1130,IF(B1130&gt;AB1130,Z1130,L1130+(Z1130-L1130)*MIN(MAX((B1130-AA1130+1)/MAX(AB1130-AA1130+1,1),0),1))))</f>
      </c>
      <c r="L1130" s="67" t="str">
        <f>IFERROR(INDEX('Cost_Components'!$S$2:$S$27,MATCH(E1130,'Cost_Components'!$A$2:$A$27,0)),"")</f>
      </c>
      <c r="M1130" s="68" t="str">
        <f>IFERROR(INDEX('Cost_Components'!$L$2:$L$27,MATCH(E1130,'Cost_Components'!$A$2:$A$27,0)),"")</f>
      </c>
      <c r="N1130" s="69" t="str">
        <f>IFERROR(INDEX('Cost_Components'!$P$2:$P$27,MATCH(E1130,'Cost_Components'!$A$2:$A$27,0)),"")</f>
      </c>
      <c r="O1130" s="70" t="str">
        <f>AF1130*J1130</f>
      </c>
      <c r="P1130" s="71" t="str">
        <f>AG1130*J1130</f>
      </c>
      <c r="Q1130" s="72" t="str">
        <f>P1130*L1130*M1130*N1130</f>
      </c>
      <c r="R1130" s="73" t="str">
        <f>O1130*K1130*M1130*N1130</f>
      </c>
      <c r="S1130" s="74" t="str">
        <f>R1130-Q1130</f>
      </c>
      <c r="T1130" s="20" t="str">
        <f>IFERROR(INDEX('Cost_Components'!$R$2:$R$27,MATCH(E1130,'Cost_Components'!$A$2:$A$27,0)),"")</f>
      </c>
      <c r="U1130" s="75" t="str">
        <f>IFERROR(INDEX('Cost_Components'!$Q$2:$Q$27,MATCH(E1130,'Cost_Components'!$A$2:$A$27,0)),"")</f>
      </c>
      <c r="V1130" s="76" t="str">
        <f>1/(1+'Calculation_Assumptions'!$B$5)^(B1130-'Calculation_Assumptions'!$B$2)</f>
      </c>
      <c r="W1130" s="77" t="str">
        <f>Q1130*V1130</f>
      </c>
      <c r="X1130" s="78" t="str">
        <f>R1130*V1130</f>
      </c>
      <c r="Y1130" s="79" t="str">
        <f>S1130*V1130</f>
      </c>
      <c r="Z1130" s="80" t="str">
        <f>IFERROR(INDEX('Cost_Components'!$T$2:$T$27,MATCH(E1130,'Cost_Components'!$A$2:$A$27,0)),"")</f>
      </c>
      <c r="AA1130" s="81" t="str">
        <f>IFERROR(INDEX('Cost_Components'!$U$2:$U$27,MATCH(E1130,'Cost_Components'!$A$2:$A$27,0)),"")</f>
      </c>
      <c r="AB1130" s="82" t="str">
        <f>IFERROR(INDEX('Cost_Components'!$V$2:$V$27,MATCH(E1130,'Cost_Components'!$A$2:$A$27,0)),"")</f>
      </c>
      <c r="AC1130" s="83" t="str">
        <f>IFERROR(INDEX('Cost_Components'!$M$2:$M$27,MATCH(E1130,'Cost_Components'!$A$2:$A$27,0)),"")</f>
      </c>
      <c r="AD1130" s="84" t="str">
        <f>IFERROR(INDEX('Cost_Components'!$N$2:$N$27,MATCH(E1130,'Cost_Components'!$A$2:$A$27,0)),"")</f>
      </c>
      <c r="AE1130" s="20" t="str">
        <f>IFERROR(INDEX('Cost_Components'!$O$2:$O$27,MATCH(E1130,'Cost_Components'!$A$2:$A$27,0)),"")</f>
      </c>
      <c r="AF1130" s="85" t="n">
        <v>795490.98412403</v>
      </c>
      <c r="AG1130" s="86" t="n">
        <v>794257.71251772</v>
      </c>
      <c r="AH1130" s="87" t="str">
        <f>IF(H1130="shared-count-once",COUNTIFS($A$2:$A$1353,A1130,$B$2:$B$1353,B1130,$E$2:$E$1353,E1130),1)</f>
      </c>
    </row>
    <row r="1131">
      <c r="A1131" t="s">
        <v>75</v>
      </c>
      <c r="B1131" s="59" t="n">
        <v>2036</v>
      </c>
      <c r="C1131" t="s">
        <v>208</v>
      </c>
      <c r="D1131" t="s">
        <v>212</v>
      </c>
      <c r="E1131" s="60" t="s">
        <v>303</v>
      </c>
      <c r="F1131" s="61" t="s">
        <v>304</v>
      </c>
      <c r="G1131" s="62" t="s">
        <v>209</v>
      </c>
      <c r="H1131" s="63" t="s">
        <v>195</v>
      </c>
      <c r="I1131" s="64" t="s">
        <v>267</v>
      </c>
      <c r="J1131" s="65" t="str">
        <f>IFERROR(INDEX('Cost_Components'!$K$2:$K$27,MATCH(E1131,'Cost_Components'!$A$2:$A$27,0)),"")</f>
      </c>
      <c r="K1131" s="66" t="str">
        <f>IF(OR(L1131="",Z1131="",AA1131="",AB1131=""),"",IF(B1131&lt;AA1131,L1131,IF(B1131&gt;AB1131,Z1131,L1131+(Z1131-L1131)*MIN(MAX((B1131-AA1131+1)/MAX(AB1131-AA1131+1,1),0),1))))</f>
      </c>
      <c r="L1131" s="67" t="str">
        <f>IFERROR(INDEX('Cost_Components'!$S$2:$S$27,MATCH(E1131,'Cost_Components'!$A$2:$A$27,0)),"")</f>
      </c>
      <c r="M1131" s="68" t="str">
        <f>IFERROR(INDEX('Cost_Components'!$L$2:$L$27,MATCH(E1131,'Cost_Components'!$A$2:$A$27,0)),"")</f>
      </c>
      <c r="N1131" s="69" t="str">
        <f>IFERROR(INDEX('Cost_Components'!$P$2:$P$27,MATCH(E1131,'Cost_Components'!$A$2:$A$27,0)),"")</f>
      </c>
      <c r="O1131" s="70" t="str">
        <f>AF1131*J1131</f>
      </c>
      <c r="P1131" s="71" t="str">
        <f>AG1131*J1131</f>
      </c>
      <c r="Q1131" s="72" t="str">
        <f>P1131*L1131*M1131*N1131</f>
      </c>
      <c r="R1131" s="73" t="str">
        <f>O1131*K1131*M1131*N1131</f>
      </c>
      <c r="S1131" s="74" t="str">
        <f>R1131-Q1131</f>
      </c>
      <c r="T1131" s="20" t="str">
        <f>IFERROR(INDEX('Cost_Components'!$R$2:$R$27,MATCH(E1131,'Cost_Components'!$A$2:$A$27,0)),"")</f>
      </c>
      <c r="U1131" s="75" t="str">
        <f>IFERROR(INDEX('Cost_Components'!$Q$2:$Q$27,MATCH(E1131,'Cost_Components'!$A$2:$A$27,0)),"")</f>
      </c>
      <c r="V1131" s="76" t="str">
        <f>1/(1+'Calculation_Assumptions'!$B$5)^(B1131-'Calculation_Assumptions'!$B$2)</f>
      </c>
      <c r="W1131" s="77" t="str">
        <f>Q1131*V1131</f>
      </c>
      <c r="X1131" s="78" t="str">
        <f>R1131*V1131</f>
      </c>
      <c r="Y1131" s="79" t="str">
        <f>S1131*V1131</f>
      </c>
      <c r="Z1131" s="80" t="str">
        <f>IFERROR(INDEX('Cost_Components'!$T$2:$T$27,MATCH(E1131,'Cost_Components'!$A$2:$A$27,0)),"")</f>
      </c>
      <c r="AA1131" s="81" t="str">
        <f>IFERROR(INDEX('Cost_Components'!$U$2:$U$27,MATCH(E1131,'Cost_Components'!$A$2:$A$27,0)),"")</f>
      </c>
      <c r="AB1131" s="82" t="str">
        <f>IFERROR(INDEX('Cost_Components'!$V$2:$V$27,MATCH(E1131,'Cost_Components'!$A$2:$A$27,0)),"")</f>
      </c>
      <c r="AC1131" s="83" t="str">
        <f>IFERROR(INDEX('Cost_Components'!$M$2:$M$27,MATCH(E1131,'Cost_Components'!$A$2:$A$27,0)),"")</f>
      </c>
      <c r="AD1131" s="84" t="str">
        <f>IFERROR(INDEX('Cost_Components'!$N$2:$N$27,MATCH(E1131,'Cost_Components'!$A$2:$A$27,0)),"")</f>
      </c>
      <c r="AE1131" s="20" t="str">
        <f>IFERROR(INDEX('Cost_Components'!$O$2:$O$27,MATCH(E1131,'Cost_Components'!$A$2:$A$27,0)),"")</f>
      </c>
      <c r="AF1131" s="85" t="n">
        <v>795605.815191189</v>
      </c>
      <c r="AG1131" s="86" t="n">
        <v>794206.317918489</v>
      </c>
      <c r="AH1131" s="87" t="str">
        <f>IF(H1131="shared-count-once",COUNTIFS($A$2:$A$1353,A1131,$B$2:$B$1353,B1131,$E$2:$E$1353,E1131),1)</f>
      </c>
    </row>
    <row r="1132">
      <c r="A1132" t="s">
        <v>75</v>
      </c>
      <c r="B1132" s="59" t="n">
        <v>2037</v>
      </c>
      <c r="C1132" t="s">
        <v>208</v>
      </c>
      <c r="D1132" t="s">
        <v>212</v>
      </c>
      <c r="E1132" s="60" t="s">
        <v>303</v>
      </c>
      <c r="F1132" s="61" t="s">
        <v>304</v>
      </c>
      <c r="G1132" s="62" t="s">
        <v>209</v>
      </c>
      <c r="H1132" s="63" t="s">
        <v>195</v>
      </c>
      <c r="I1132" s="64" t="s">
        <v>267</v>
      </c>
      <c r="J1132" s="65" t="str">
        <f>IFERROR(INDEX('Cost_Components'!$K$2:$K$27,MATCH(E1132,'Cost_Components'!$A$2:$A$27,0)),"")</f>
      </c>
      <c r="K1132" s="66" t="str">
        <f>IF(OR(L1132="",Z1132="",AA1132="",AB1132=""),"",IF(B1132&lt;AA1132,L1132,IF(B1132&gt;AB1132,Z1132,L1132+(Z1132-L1132)*MIN(MAX((B1132-AA1132+1)/MAX(AB1132-AA1132+1,1),0),1))))</f>
      </c>
      <c r="L1132" s="67" t="str">
        <f>IFERROR(INDEX('Cost_Components'!$S$2:$S$27,MATCH(E1132,'Cost_Components'!$A$2:$A$27,0)),"")</f>
      </c>
      <c r="M1132" s="68" t="str">
        <f>IFERROR(INDEX('Cost_Components'!$L$2:$L$27,MATCH(E1132,'Cost_Components'!$A$2:$A$27,0)),"")</f>
      </c>
      <c r="N1132" s="69" t="str">
        <f>IFERROR(INDEX('Cost_Components'!$P$2:$P$27,MATCH(E1132,'Cost_Components'!$A$2:$A$27,0)),"")</f>
      </c>
      <c r="O1132" s="70" t="str">
        <f>AF1132*J1132</f>
      </c>
      <c r="P1132" s="71" t="str">
        <f>AG1132*J1132</f>
      </c>
      <c r="Q1132" s="72" t="str">
        <f>P1132*L1132*M1132*N1132</f>
      </c>
      <c r="R1132" s="73" t="str">
        <f>O1132*K1132*M1132*N1132</f>
      </c>
      <c r="S1132" s="74" t="str">
        <f>R1132-Q1132</f>
      </c>
      <c r="T1132" s="20" t="str">
        <f>IFERROR(INDEX('Cost_Components'!$R$2:$R$27,MATCH(E1132,'Cost_Components'!$A$2:$A$27,0)),"")</f>
      </c>
      <c r="U1132" s="75" t="str">
        <f>IFERROR(INDEX('Cost_Components'!$Q$2:$Q$27,MATCH(E1132,'Cost_Components'!$A$2:$A$27,0)),"")</f>
      </c>
      <c r="V1132" s="76" t="str">
        <f>1/(1+'Calculation_Assumptions'!$B$5)^(B1132-'Calculation_Assumptions'!$B$2)</f>
      </c>
      <c r="W1132" s="77" t="str">
        <f>Q1132*V1132</f>
      </c>
      <c r="X1132" s="78" t="str">
        <f>R1132*V1132</f>
      </c>
      <c r="Y1132" s="79" t="str">
        <f>S1132*V1132</f>
      </c>
      <c r="Z1132" s="80" t="str">
        <f>IFERROR(INDEX('Cost_Components'!$T$2:$T$27,MATCH(E1132,'Cost_Components'!$A$2:$A$27,0)),"")</f>
      </c>
      <c r="AA1132" s="81" t="str">
        <f>IFERROR(INDEX('Cost_Components'!$U$2:$U$27,MATCH(E1132,'Cost_Components'!$A$2:$A$27,0)),"")</f>
      </c>
      <c r="AB1132" s="82" t="str">
        <f>IFERROR(INDEX('Cost_Components'!$V$2:$V$27,MATCH(E1132,'Cost_Components'!$A$2:$A$27,0)),"")</f>
      </c>
      <c r="AC1132" s="83" t="str">
        <f>IFERROR(INDEX('Cost_Components'!$M$2:$M$27,MATCH(E1132,'Cost_Components'!$A$2:$A$27,0)),"")</f>
      </c>
      <c r="AD1132" s="84" t="str">
        <f>IFERROR(INDEX('Cost_Components'!$N$2:$N$27,MATCH(E1132,'Cost_Components'!$A$2:$A$27,0)),"")</f>
      </c>
      <c r="AE1132" s="20" t="str">
        <f>IFERROR(INDEX('Cost_Components'!$O$2:$O$27,MATCH(E1132,'Cost_Components'!$A$2:$A$27,0)),"")</f>
      </c>
      <c r="AF1132" s="85" t="n">
        <v>795906.030348148</v>
      </c>
      <c r="AG1132" s="86" t="n">
        <v>794335.652188085</v>
      </c>
      <c r="AH1132" s="87" t="str">
        <f>IF(H1132="shared-count-once",COUNTIFS($A$2:$A$1353,A1132,$B$2:$B$1353,B1132,$E$2:$E$1353,E1132),1)</f>
      </c>
    </row>
    <row r="1133">
      <c r="A1133" t="s">
        <v>75</v>
      </c>
      <c r="B1133" s="59" t="n">
        <v>2038</v>
      </c>
      <c r="C1133" t="s">
        <v>208</v>
      </c>
      <c r="D1133" t="s">
        <v>212</v>
      </c>
      <c r="E1133" s="60" t="s">
        <v>303</v>
      </c>
      <c r="F1133" s="61" t="s">
        <v>304</v>
      </c>
      <c r="G1133" s="62" t="s">
        <v>209</v>
      </c>
      <c r="H1133" s="63" t="s">
        <v>195</v>
      </c>
      <c r="I1133" s="64" t="s">
        <v>267</v>
      </c>
      <c r="J1133" s="65" t="str">
        <f>IFERROR(INDEX('Cost_Components'!$K$2:$K$27,MATCH(E1133,'Cost_Components'!$A$2:$A$27,0)),"")</f>
      </c>
      <c r="K1133" s="66" t="str">
        <f>IF(OR(L1133="",Z1133="",AA1133="",AB1133=""),"",IF(B1133&lt;AA1133,L1133,IF(B1133&gt;AB1133,Z1133,L1133+(Z1133-L1133)*MIN(MAX((B1133-AA1133+1)/MAX(AB1133-AA1133+1,1),0),1))))</f>
      </c>
      <c r="L1133" s="67" t="str">
        <f>IFERROR(INDEX('Cost_Components'!$S$2:$S$27,MATCH(E1133,'Cost_Components'!$A$2:$A$27,0)),"")</f>
      </c>
      <c r="M1133" s="68" t="str">
        <f>IFERROR(INDEX('Cost_Components'!$L$2:$L$27,MATCH(E1133,'Cost_Components'!$A$2:$A$27,0)),"")</f>
      </c>
      <c r="N1133" s="69" t="str">
        <f>IFERROR(INDEX('Cost_Components'!$P$2:$P$27,MATCH(E1133,'Cost_Components'!$A$2:$A$27,0)),"")</f>
      </c>
      <c r="O1133" s="70" t="str">
        <f>AF1133*J1133</f>
      </c>
      <c r="P1133" s="71" t="str">
        <f>AG1133*J1133</f>
      </c>
      <c r="Q1133" s="72" t="str">
        <f>P1133*L1133*M1133*N1133</f>
      </c>
      <c r="R1133" s="73" t="str">
        <f>O1133*K1133*M1133*N1133</f>
      </c>
      <c r="S1133" s="74" t="str">
        <f>R1133-Q1133</f>
      </c>
      <c r="T1133" s="20" t="str">
        <f>IFERROR(INDEX('Cost_Components'!$R$2:$R$27,MATCH(E1133,'Cost_Components'!$A$2:$A$27,0)),"")</f>
      </c>
      <c r="U1133" s="75" t="str">
        <f>IFERROR(INDEX('Cost_Components'!$Q$2:$Q$27,MATCH(E1133,'Cost_Components'!$A$2:$A$27,0)),"")</f>
      </c>
      <c r="V1133" s="76" t="str">
        <f>1/(1+'Calculation_Assumptions'!$B$5)^(B1133-'Calculation_Assumptions'!$B$2)</f>
      </c>
      <c r="W1133" s="77" t="str">
        <f>Q1133*V1133</f>
      </c>
      <c r="X1133" s="78" t="str">
        <f>R1133*V1133</f>
      </c>
      <c r="Y1133" s="79" t="str">
        <f>S1133*V1133</f>
      </c>
      <c r="Z1133" s="80" t="str">
        <f>IFERROR(INDEX('Cost_Components'!$T$2:$T$27,MATCH(E1133,'Cost_Components'!$A$2:$A$27,0)),"")</f>
      </c>
      <c r="AA1133" s="81" t="str">
        <f>IFERROR(INDEX('Cost_Components'!$U$2:$U$27,MATCH(E1133,'Cost_Components'!$A$2:$A$27,0)),"")</f>
      </c>
      <c r="AB1133" s="82" t="str">
        <f>IFERROR(INDEX('Cost_Components'!$V$2:$V$27,MATCH(E1133,'Cost_Components'!$A$2:$A$27,0)),"")</f>
      </c>
      <c r="AC1133" s="83" t="str">
        <f>IFERROR(INDEX('Cost_Components'!$M$2:$M$27,MATCH(E1133,'Cost_Components'!$A$2:$A$27,0)),"")</f>
      </c>
      <c r="AD1133" s="84" t="str">
        <f>IFERROR(INDEX('Cost_Components'!$N$2:$N$27,MATCH(E1133,'Cost_Components'!$A$2:$A$27,0)),"")</f>
      </c>
      <c r="AE1133" s="20" t="str">
        <f>IFERROR(INDEX('Cost_Components'!$O$2:$O$27,MATCH(E1133,'Cost_Components'!$A$2:$A$27,0)),"")</f>
      </c>
      <c r="AF1133" s="85" t="n">
        <v>796638.751160213</v>
      </c>
      <c r="AG1133" s="86" t="n">
        <v>794892.967244092</v>
      </c>
      <c r="AH1133" s="87" t="str">
        <f>IF(H1133="shared-count-once",COUNTIFS($A$2:$A$1353,A1133,$B$2:$B$1353,B1133,$E$2:$E$1353,E1133),1)</f>
      </c>
    </row>
    <row r="1134">
      <c r="A1134" t="s">
        <v>75</v>
      </c>
      <c r="B1134" s="59" t="n">
        <v>2039</v>
      </c>
      <c r="C1134" t="s">
        <v>208</v>
      </c>
      <c r="D1134" t="s">
        <v>212</v>
      </c>
      <c r="E1134" s="60" t="s">
        <v>303</v>
      </c>
      <c r="F1134" s="61" t="s">
        <v>304</v>
      </c>
      <c r="G1134" s="62" t="s">
        <v>209</v>
      </c>
      <c r="H1134" s="63" t="s">
        <v>195</v>
      </c>
      <c r="I1134" s="64" t="s">
        <v>267</v>
      </c>
      <c r="J1134" s="65" t="str">
        <f>IFERROR(INDEX('Cost_Components'!$K$2:$K$27,MATCH(E1134,'Cost_Components'!$A$2:$A$27,0)),"")</f>
      </c>
      <c r="K1134" s="66" t="str">
        <f>IF(OR(L1134="",Z1134="",AA1134="",AB1134=""),"",IF(B1134&lt;AA1134,L1134,IF(B1134&gt;AB1134,Z1134,L1134+(Z1134-L1134)*MIN(MAX((B1134-AA1134+1)/MAX(AB1134-AA1134+1,1),0),1))))</f>
      </c>
      <c r="L1134" s="67" t="str">
        <f>IFERROR(INDEX('Cost_Components'!$S$2:$S$27,MATCH(E1134,'Cost_Components'!$A$2:$A$27,0)),"")</f>
      </c>
      <c r="M1134" s="68" t="str">
        <f>IFERROR(INDEX('Cost_Components'!$L$2:$L$27,MATCH(E1134,'Cost_Components'!$A$2:$A$27,0)),"")</f>
      </c>
      <c r="N1134" s="69" t="str">
        <f>IFERROR(INDEX('Cost_Components'!$P$2:$P$27,MATCH(E1134,'Cost_Components'!$A$2:$A$27,0)),"")</f>
      </c>
      <c r="O1134" s="70" t="str">
        <f>AF1134*J1134</f>
      </c>
      <c r="P1134" s="71" t="str">
        <f>AG1134*J1134</f>
      </c>
      <c r="Q1134" s="72" t="str">
        <f>P1134*L1134*M1134*N1134</f>
      </c>
      <c r="R1134" s="73" t="str">
        <f>O1134*K1134*M1134*N1134</f>
      </c>
      <c r="S1134" s="74" t="str">
        <f>R1134-Q1134</f>
      </c>
      <c r="T1134" s="20" t="str">
        <f>IFERROR(INDEX('Cost_Components'!$R$2:$R$27,MATCH(E1134,'Cost_Components'!$A$2:$A$27,0)),"")</f>
      </c>
      <c r="U1134" s="75" t="str">
        <f>IFERROR(INDEX('Cost_Components'!$Q$2:$Q$27,MATCH(E1134,'Cost_Components'!$A$2:$A$27,0)),"")</f>
      </c>
      <c r="V1134" s="76" t="str">
        <f>1/(1+'Calculation_Assumptions'!$B$5)^(B1134-'Calculation_Assumptions'!$B$2)</f>
      </c>
      <c r="W1134" s="77" t="str">
        <f>Q1134*V1134</f>
      </c>
      <c r="X1134" s="78" t="str">
        <f>R1134*V1134</f>
      </c>
      <c r="Y1134" s="79" t="str">
        <f>S1134*V1134</f>
      </c>
      <c r="Z1134" s="80" t="str">
        <f>IFERROR(INDEX('Cost_Components'!$T$2:$T$27,MATCH(E1134,'Cost_Components'!$A$2:$A$27,0)),"")</f>
      </c>
      <c r="AA1134" s="81" t="str">
        <f>IFERROR(INDEX('Cost_Components'!$U$2:$U$27,MATCH(E1134,'Cost_Components'!$A$2:$A$27,0)),"")</f>
      </c>
      <c r="AB1134" s="82" t="str">
        <f>IFERROR(INDEX('Cost_Components'!$V$2:$V$27,MATCH(E1134,'Cost_Components'!$A$2:$A$27,0)),"")</f>
      </c>
      <c r="AC1134" s="83" t="str">
        <f>IFERROR(INDEX('Cost_Components'!$M$2:$M$27,MATCH(E1134,'Cost_Components'!$A$2:$A$27,0)),"")</f>
      </c>
      <c r="AD1134" s="84" t="str">
        <f>IFERROR(INDEX('Cost_Components'!$N$2:$N$27,MATCH(E1134,'Cost_Components'!$A$2:$A$27,0)),"")</f>
      </c>
      <c r="AE1134" s="20" t="str">
        <f>IFERROR(INDEX('Cost_Components'!$O$2:$O$27,MATCH(E1134,'Cost_Components'!$A$2:$A$27,0)),"")</f>
      </c>
      <c r="AF1134" s="85" t="n">
        <v>791317.933015583</v>
      </c>
      <c r="AG1134" s="86" t="n">
        <v>789411.742429264</v>
      </c>
      <c r="AH1134" s="87" t="str">
        <f>IF(H1134="shared-count-once",COUNTIFS($A$2:$A$1353,A1134,$B$2:$B$1353,B1134,$E$2:$E$1353,E1134),1)</f>
      </c>
    </row>
    <row r="1135">
      <c r="A1135" t="s">
        <v>75</v>
      </c>
      <c r="B1135" s="59" t="n">
        <v>2040</v>
      </c>
      <c r="C1135" t="s">
        <v>208</v>
      </c>
      <c r="D1135" t="s">
        <v>212</v>
      </c>
      <c r="E1135" s="60" t="s">
        <v>303</v>
      </c>
      <c r="F1135" s="61" t="s">
        <v>304</v>
      </c>
      <c r="G1135" s="62" t="s">
        <v>209</v>
      </c>
      <c r="H1135" s="63" t="s">
        <v>195</v>
      </c>
      <c r="I1135" s="64" t="s">
        <v>267</v>
      </c>
      <c r="J1135" s="65" t="str">
        <f>IFERROR(INDEX('Cost_Components'!$K$2:$K$27,MATCH(E1135,'Cost_Components'!$A$2:$A$27,0)),"")</f>
      </c>
      <c r="K1135" s="66" t="str">
        <f>IF(OR(L1135="",Z1135="",AA1135="",AB1135=""),"",IF(B1135&lt;AA1135,L1135,IF(B1135&gt;AB1135,Z1135,L1135+(Z1135-L1135)*MIN(MAX((B1135-AA1135+1)/MAX(AB1135-AA1135+1,1),0),1))))</f>
      </c>
      <c r="L1135" s="67" t="str">
        <f>IFERROR(INDEX('Cost_Components'!$S$2:$S$27,MATCH(E1135,'Cost_Components'!$A$2:$A$27,0)),"")</f>
      </c>
      <c r="M1135" s="68" t="str">
        <f>IFERROR(INDEX('Cost_Components'!$L$2:$L$27,MATCH(E1135,'Cost_Components'!$A$2:$A$27,0)),"")</f>
      </c>
      <c r="N1135" s="69" t="str">
        <f>IFERROR(INDEX('Cost_Components'!$P$2:$P$27,MATCH(E1135,'Cost_Components'!$A$2:$A$27,0)),"")</f>
      </c>
      <c r="O1135" s="70" t="str">
        <f>AF1135*J1135</f>
      </c>
      <c r="P1135" s="71" t="str">
        <f>AG1135*J1135</f>
      </c>
      <c r="Q1135" s="72" t="str">
        <f>P1135*L1135*M1135*N1135</f>
      </c>
      <c r="R1135" s="73" t="str">
        <f>O1135*K1135*M1135*N1135</f>
      </c>
      <c r="S1135" s="74" t="str">
        <f>R1135-Q1135</f>
      </c>
      <c r="T1135" s="20" t="str">
        <f>IFERROR(INDEX('Cost_Components'!$R$2:$R$27,MATCH(E1135,'Cost_Components'!$A$2:$A$27,0)),"")</f>
      </c>
      <c r="U1135" s="75" t="str">
        <f>IFERROR(INDEX('Cost_Components'!$Q$2:$Q$27,MATCH(E1135,'Cost_Components'!$A$2:$A$27,0)),"")</f>
      </c>
      <c r="V1135" s="76" t="str">
        <f>1/(1+'Calculation_Assumptions'!$B$5)^(B1135-'Calculation_Assumptions'!$B$2)</f>
      </c>
      <c r="W1135" s="77" t="str">
        <f>Q1135*V1135</f>
      </c>
      <c r="X1135" s="78" t="str">
        <f>R1135*V1135</f>
      </c>
      <c r="Y1135" s="79" t="str">
        <f>S1135*V1135</f>
      </c>
      <c r="Z1135" s="80" t="str">
        <f>IFERROR(INDEX('Cost_Components'!$T$2:$T$27,MATCH(E1135,'Cost_Components'!$A$2:$A$27,0)),"")</f>
      </c>
      <c r="AA1135" s="81" t="str">
        <f>IFERROR(INDEX('Cost_Components'!$U$2:$U$27,MATCH(E1135,'Cost_Components'!$A$2:$A$27,0)),"")</f>
      </c>
      <c r="AB1135" s="82" t="str">
        <f>IFERROR(INDEX('Cost_Components'!$V$2:$V$27,MATCH(E1135,'Cost_Components'!$A$2:$A$27,0)),"")</f>
      </c>
      <c r="AC1135" s="83" t="str">
        <f>IFERROR(INDEX('Cost_Components'!$M$2:$M$27,MATCH(E1135,'Cost_Components'!$A$2:$A$27,0)),"")</f>
      </c>
      <c r="AD1135" s="84" t="str">
        <f>IFERROR(INDEX('Cost_Components'!$N$2:$N$27,MATCH(E1135,'Cost_Components'!$A$2:$A$27,0)),"")</f>
      </c>
      <c r="AE1135" s="20" t="str">
        <f>IFERROR(INDEX('Cost_Components'!$O$2:$O$27,MATCH(E1135,'Cost_Components'!$A$2:$A$27,0)),"")</f>
      </c>
      <c r="AF1135" s="85" t="n">
        <v>787754.691931219</v>
      </c>
      <c r="AG1135" s="86" t="n">
        <v>785686.389962096</v>
      </c>
      <c r="AH1135" s="87" t="str">
        <f>IF(H1135="shared-count-once",COUNTIFS($A$2:$A$1353,A1135,$B$2:$B$1353,B1135,$E$2:$E$1353,E1135),1)</f>
      </c>
    </row>
    <row r="1136">
      <c r="A1136" t="s">
        <v>75</v>
      </c>
      <c r="B1136" s="59" t="n">
        <v>2041</v>
      </c>
      <c r="C1136" t="s">
        <v>208</v>
      </c>
      <c r="D1136" t="s">
        <v>212</v>
      </c>
      <c r="E1136" s="60" t="s">
        <v>303</v>
      </c>
      <c r="F1136" s="61" t="s">
        <v>304</v>
      </c>
      <c r="G1136" s="62" t="s">
        <v>209</v>
      </c>
      <c r="H1136" s="63" t="s">
        <v>195</v>
      </c>
      <c r="I1136" s="64" t="s">
        <v>267</v>
      </c>
      <c r="J1136" s="65" t="str">
        <f>IFERROR(INDEX('Cost_Components'!$K$2:$K$27,MATCH(E1136,'Cost_Components'!$A$2:$A$27,0)),"")</f>
      </c>
      <c r="K1136" s="66" t="str">
        <f>IF(OR(L1136="",Z1136="",AA1136="",AB1136=""),"",IF(B1136&lt;AA1136,L1136,IF(B1136&gt;AB1136,Z1136,L1136+(Z1136-L1136)*MIN(MAX((B1136-AA1136+1)/MAX(AB1136-AA1136+1,1),0),1))))</f>
      </c>
      <c r="L1136" s="67" t="str">
        <f>IFERROR(INDEX('Cost_Components'!$S$2:$S$27,MATCH(E1136,'Cost_Components'!$A$2:$A$27,0)),"")</f>
      </c>
      <c r="M1136" s="68" t="str">
        <f>IFERROR(INDEX('Cost_Components'!$L$2:$L$27,MATCH(E1136,'Cost_Components'!$A$2:$A$27,0)),"")</f>
      </c>
      <c r="N1136" s="69" t="str">
        <f>IFERROR(INDEX('Cost_Components'!$P$2:$P$27,MATCH(E1136,'Cost_Components'!$A$2:$A$27,0)),"")</f>
      </c>
      <c r="O1136" s="70" t="str">
        <f>AF1136*J1136</f>
      </c>
      <c r="P1136" s="71" t="str">
        <f>AG1136*J1136</f>
      </c>
      <c r="Q1136" s="72" t="str">
        <f>P1136*L1136*M1136*N1136</f>
      </c>
      <c r="R1136" s="73" t="str">
        <f>O1136*K1136*M1136*N1136</f>
      </c>
      <c r="S1136" s="74" t="str">
        <f>R1136-Q1136</f>
      </c>
      <c r="T1136" s="20" t="str">
        <f>IFERROR(INDEX('Cost_Components'!$R$2:$R$27,MATCH(E1136,'Cost_Components'!$A$2:$A$27,0)),"")</f>
      </c>
      <c r="U1136" s="75" t="str">
        <f>IFERROR(INDEX('Cost_Components'!$Q$2:$Q$27,MATCH(E1136,'Cost_Components'!$A$2:$A$27,0)),"")</f>
      </c>
      <c r="V1136" s="76" t="str">
        <f>1/(1+'Calculation_Assumptions'!$B$5)^(B1136-'Calculation_Assumptions'!$B$2)</f>
      </c>
      <c r="W1136" s="77" t="str">
        <f>Q1136*V1136</f>
      </c>
      <c r="X1136" s="78" t="str">
        <f>R1136*V1136</f>
      </c>
      <c r="Y1136" s="79" t="str">
        <f>S1136*V1136</f>
      </c>
      <c r="Z1136" s="80" t="str">
        <f>IFERROR(INDEX('Cost_Components'!$T$2:$T$27,MATCH(E1136,'Cost_Components'!$A$2:$A$27,0)),"")</f>
      </c>
      <c r="AA1136" s="81" t="str">
        <f>IFERROR(INDEX('Cost_Components'!$U$2:$U$27,MATCH(E1136,'Cost_Components'!$A$2:$A$27,0)),"")</f>
      </c>
      <c r="AB1136" s="82" t="str">
        <f>IFERROR(INDEX('Cost_Components'!$V$2:$V$27,MATCH(E1136,'Cost_Components'!$A$2:$A$27,0)),"")</f>
      </c>
      <c r="AC1136" s="83" t="str">
        <f>IFERROR(INDEX('Cost_Components'!$M$2:$M$27,MATCH(E1136,'Cost_Components'!$A$2:$A$27,0)),"")</f>
      </c>
      <c r="AD1136" s="84" t="str">
        <f>IFERROR(INDEX('Cost_Components'!$N$2:$N$27,MATCH(E1136,'Cost_Components'!$A$2:$A$27,0)),"")</f>
      </c>
      <c r="AE1136" s="20" t="str">
        <f>IFERROR(INDEX('Cost_Components'!$O$2:$O$27,MATCH(E1136,'Cost_Components'!$A$2:$A$27,0)),"")</f>
      </c>
      <c r="AF1136" s="85" t="n">
        <v>785185.784196107</v>
      </c>
      <c r="AG1136" s="86" t="n">
        <v>782955.571298593</v>
      </c>
      <c r="AH1136" s="87" t="str">
        <f>IF(H1136="shared-count-once",COUNTIFS($A$2:$A$1353,A1136,$B$2:$B$1353,B1136,$E$2:$E$1353,E1136),1)</f>
      </c>
    </row>
    <row r="1137">
      <c r="A1137" t="s">
        <v>75</v>
      </c>
      <c r="B1137" s="59" t="n">
        <v>2042</v>
      </c>
      <c r="C1137" t="s">
        <v>208</v>
      </c>
      <c r="D1137" t="s">
        <v>212</v>
      </c>
      <c r="E1137" s="60" t="s">
        <v>303</v>
      </c>
      <c r="F1137" s="61" t="s">
        <v>304</v>
      </c>
      <c r="G1137" s="62" t="s">
        <v>209</v>
      </c>
      <c r="H1137" s="63" t="s">
        <v>195</v>
      </c>
      <c r="I1137" s="64" t="s">
        <v>267</v>
      </c>
      <c r="J1137" s="65" t="str">
        <f>IFERROR(INDEX('Cost_Components'!$K$2:$K$27,MATCH(E1137,'Cost_Components'!$A$2:$A$27,0)),"")</f>
      </c>
      <c r="K1137" s="66" t="str">
        <f>IF(OR(L1137="",Z1137="",AA1137="",AB1137=""),"",IF(B1137&lt;AA1137,L1137,IF(B1137&gt;AB1137,Z1137,L1137+(Z1137-L1137)*MIN(MAX((B1137-AA1137+1)/MAX(AB1137-AA1137+1,1),0),1))))</f>
      </c>
      <c r="L1137" s="67" t="str">
        <f>IFERROR(INDEX('Cost_Components'!$S$2:$S$27,MATCH(E1137,'Cost_Components'!$A$2:$A$27,0)),"")</f>
      </c>
      <c r="M1137" s="68" t="str">
        <f>IFERROR(INDEX('Cost_Components'!$L$2:$L$27,MATCH(E1137,'Cost_Components'!$A$2:$A$27,0)),"")</f>
      </c>
      <c r="N1137" s="69" t="str">
        <f>IFERROR(INDEX('Cost_Components'!$P$2:$P$27,MATCH(E1137,'Cost_Components'!$A$2:$A$27,0)),"")</f>
      </c>
      <c r="O1137" s="70" t="str">
        <f>AF1137*J1137</f>
      </c>
      <c r="P1137" s="71" t="str">
        <f>AG1137*J1137</f>
      </c>
      <c r="Q1137" s="72" t="str">
        <f>P1137*L1137*M1137*N1137</f>
      </c>
      <c r="R1137" s="73" t="str">
        <f>O1137*K1137*M1137*N1137</f>
      </c>
      <c r="S1137" s="74" t="str">
        <f>R1137-Q1137</f>
      </c>
      <c r="T1137" s="20" t="str">
        <f>IFERROR(INDEX('Cost_Components'!$R$2:$R$27,MATCH(E1137,'Cost_Components'!$A$2:$A$27,0)),"")</f>
      </c>
      <c r="U1137" s="75" t="str">
        <f>IFERROR(INDEX('Cost_Components'!$Q$2:$Q$27,MATCH(E1137,'Cost_Components'!$A$2:$A$27,0)),"")</f>
      </c>
      <c r="V1137" s="76" t="str">
        <f>1/(1+'Calculation_Assumptions'!$B$5)^(B1137-'Calculation_Assumptions'!$B$2)</f>
      </c>
      <c r="W1137" s="77" t="str">
        <f>Q1137*V1137</f>
      </c>
      <c r="X1137" s="78" t="str">
        <f>R1137*V1137</f>
      </c>
      <c r="Y1137" s="79" t="str">
        <f>S1137*V1137</f>
      </c>
      <c r="Z1137" s="80" t="str">
        <f>IFERROR(INDEX('Cost_Components'!$T$2:$T$27,MATCH(E1137,'Cost_Components'!$A$2:$A$27,0)),"")</f>
      </c>
      <c r="AA1137" s="81" t="str">
        <f>IFERROR(INDEX('Cost_Components'!$U$2:$U$27,MATCH(E1137,'Cost_Components'!$A$2:$A$27,0)),"")</f>
      </c>
      <c r="AB1137" s="82" t="str">
        <f>IFERROR(INDEX('Cost_Components'!$V$2:$V$27,MATCH(E1137,'Cost_Components'!$A$2:$A$27,0)),"")</f>
      </c>
      <c r="AC1137" s="83" t="str">
        <f>IFERROR(INDEX('Cost_Components'!$M$2:$M$27,MATCH(E1137,'Cost_Components'!$A$2:$A$27,0)),"")</f>
      </c>
      <c r="AD1137" s="84" t="str">
        <f>IFERROR(INDEX('Cost_Components'!$N$2:$N$27,MATCH(E1137,'Cost_Components'!$A$2:$A$27,0)),"")</f>
      </c>
      <c r="AE1137" s="20" t="str">
        <f>IFERROR(INDEX('Cost_Components'!$O$2:$O$27,MATCH(E1137,'Cost_Components'!$A$2:$A$27,0)),"")</f>
      </c>
      <c r="AF1137" s="85" t="n">
        <v>783442.009097641</v>
      </c>
      <c r="AG1137" s="86" t="n">
        <v>781049.51355789</v>
      </c>
      <c r="AH1137" s="87" t="str">
        <f>IF(H1137="shared-count-once",COUNTIFS($A$2:$A$1353,A1137,$B$2:$B$1353,B1137,$E$2:$E$1353,E1137),1)</f>
      </c>
    </row>
    <row r="1138">
      <c r="A1138" t="s">
        <v>75</v>
      </c>
      <c r="B1138" s="59" t="n">
        <v>2043</v>
      </c>
      <c r="C1138" t="s">
        <v>208</v>
      </c>
      <c r="D1138" t="s">
        <v>212</v>
      </c>
      <c r="E1138" s="60" t="s">
        <v>303</v>
      </c>
      <c r="F1138" s="61" t="s">
        <v>304</v>
      </c>
      <c r="G1138" s="62" t="s">
        <v>209</v>
      </c>
      <c r="H1138" s="63" t="s">
        <v>195</v>
      </c>
      <c r="I1138" s="64" t="s">
        <v>267</v>
      </c>
      <c r="J1138" s="65" t="str">
        <f>IFERROR(INDEX('Cost_Components'!$K$2:$K$27,MATCH(E1138,'Cost_Components'!$A$2:$A$27,0)),"")</f>
      </c>
      <c r="K1138" s="66" t="str">
        <f>IF(OR(L1138="",Z1138="",AA1138="",AB1138=""),"",IF(B1138&lt;AA1138,L1138,IF(B1138&gt;AB1138,Z1138,L1138+(Z1138-L1138)*MIN(MAX((B1138-AA1138+1)/MAX(AB1138-AA1138+1,1),0),1))))</f>
      </c>
      <c r="L1138" s="67" t="str">
        <f>IFERROR(INDEX('Cost_Components'!$S$2:$S$27,MATCH(E1138,'Cost_Components'!$A$2:$A$27,0)),"")</f>
      </c>
      <c r="M1138" s="68" t="str">
        <f>IFERROR(INDEX('Cost_Components'!$L$2:$L$27,MATCH(E1138,'Cost_Components'!$A$2:$A$27,0)),"")</f>
      </c>
      <c r="N1138" s="69" t="str">
        <f>IFERROR(INDEX('Cost_Components'!$P$2:$P$27,MATCH(E1138,'Cost_Components'!$A$2:$A$27,0)),"")</f>
      </c>
      <c r="O1138" s="70" t="str">
        <f>AF1138*J1138</f>
      </c>
      <c r="P1138" s="71" t="str">
        <f>AG1138*J1138</f>
      </c>
      <c r="Q1138" s="72" t="str">
        <f>P1138*L1138*M1138*N1138</f>
      </c>
      <c r="R1138" s="73" t="str">
        <f>O1138*K1138*M1138*N1138</f>
      </c>
      <c r="S1138" s="74" t="str">
        <f>R1138-Q1138</f>
      </c>
      <c r="T1138" s="20" t="str">
        <f>IFERROR(INDEX('Cost_Components'!$R$2:$R$27,MATCH(E1138,'Cost_Components'!$A$2:$A$27,0)),"")</f>
      </c>
      <c r="U1138" s="75" t="str">
        <f>IFERROR(INDEX('Cost_Components'!$Q$2:$Q$27,MATCH(E1138,'Cost_Components'!$A$2:$A$27,0)),"")</f>
      </c>
      <c r="V1138" s="76" t="str">
        <f>1/(1+'Calculation_Assumptions'!$B$5)^(B1138-'Calculation_Assumptions'!$B$2)</f>
      </c>
      <c r="W1138" s="77" t="str">
        <f>Q1138*V1138</f>
      </c>
      <c r="X1138" s="78" t="str">
        <f>R1138*V1138</f>
      </c>
      <c r="Y1138" s="79" t="str">
        <f>S1138*V1138</f>
      </c>
      <c r="Z1138" s="80" t="str">
        <f>IFERROR(INDEX('Cost_Components'!$T$2:$T$27,MATCH(E1138,'Cost_Components'!$A$2:$A$27,0)),"")</f>
      </c>
      <c r="AA1138" s="81" t="str">
        <f>IFERROR(INDEX('Cost_Components'!$U$2:$U$27,MATCH(E1138,'Cost_Components'!$A$2:$A$27,0)),"")</f>
      </c>
      <c r="AB1138" s="82" t="str">
        <f>IFERROR(INDEX('Cost_Components'!$V$2:$V$27,MATCH(E1138,'Cost_Components'!$A$2:$A$27,0)),"")</f>
      </c>
      <c r="AC1138" s="83" t="str">
        <f>IFERROR(INDEX('Cost_Components'!$M$2:$M$27,MATCH(E1138,'Cost_Components'!$A$2:$A$27,0)),"")</f>
      </c>
      <c r="AD1138" s="84" t="str">
        <f>IFERROR(INDEX('Cost_Components'!$N$2:$N$27,MATCH(E1138,'Cost_Components'!$A$2:$A$27,0)),"")</f>
      </c>
      <c r="AE1138" s="20" t="str">
        <f>IFERROR(INDEX('Cost_Components'!$O$2:$O$27,MATCH(E1138,'Cost_Components'!$A$2:$A$27,0)),"")</f>
      </c>
      <c r="AF1138" s="85" t="n">
        <v>783612.614256836</v>
      </c>
      <c r="AG1138" s="86" t="n">
        <v>781053.475801929</v>
      </c>
      <c r="AH1138" s="87" t="str">
        <f>IF(H1138="shared-count-once",COUNTIFS($A$2:$A$1353,A1138,$B$2:$B$1353,B1138,$E$2:$E$1353,E1138),1)</f>
      </c>
    </row>
    <row r="1139">
      <c r="A1139" t="s">
        <v>75</v>
      </c>
      <c r="B1139" s="59" t="n">
        <v>2044</v>
      </c>
      <c r="C1139" t="s">
        <v>208</v>
      </c>
      <c r="D1139" t="s">
        <v>212</v>
      </c>
      <c r="E1139" s="60" t="s">
        <v>303</v>
      </c>
      <c r="F1139" s="61" t="s">
        <v>304</v>
      </c>
      <c r="G1139" s="62" t="s">
        <v>209</v>
      </c>
      <c r="H1139" s="63" t="s">
        <v>195</v>
      </c>
      <c r="I1139" s="64" t="s">
        <v>267</v>
      </c>
      <c r="J1139" s="65" t="str">
        <f>IFERROR(INDEX('Cost_Components'!$K$2:$K$27,MATCH(E1139,'Cost_Components'!$A$2:$A$27,0)),"")</f>
      </c>
      <c r="K1139" s="66" t="str">
        <f>IF(OR(L1139="",Z1139="",AA1139="",AB1139=""),"",IF(B1139&lt;AA1139,L1139,IF(B1139&gt;AB1139,Z1139,L1139+(Z1139-L1139)*MIN(MAX((B1139-AA1139+1)/MAX(AB1139-AA1139+1,1),0),1))))</f>
      </c>
      <c r="L1139" s="67" t="str">
        <f>IFERROR(INDEX('Cost_Components'!$S$2:$S$27,MATCH(E1139,'Cost_Components'!$A$2:$A$27,0)),"")</f>
      </c>
      <c r="M1139" s="68" t="str">
        <f>IFERROR(INDEX('Cost_Components'!$L$2:$L$27,MATCH(E1139,'Cost_Components'!$A$2:$A$27,0)),"")</f>
      </c>
      <c r="N1139" s="69" t="str">
        <f>IFERROR(INDEX('Cost_Components'!$P$2:$P$27,MATCH(E1139,'Cost_Components'!$A$2:$A$27,0)),"")</f>
      </c>
      <c r="O1139" s="70" t="str">
        <f>AF1139*J1139</f>
      </c>
      <c r="P1139" s="71" t="str">
        <f>AG1139*J1139</f>
      </c>
      <c r="Q1139" s="72" t="str">
        <f>P1139*L1139*M1139*N1139</f>
      </c>
      <c r="R1139" s="73" t="str">
        <f>O1139*K1139*M1139*N1139</f>
      </c>
      <c r="S1139" s="74" t="str">
        <f>R1139-Q1139</f>
      </c>
      <c r="T1139" s="20" t="str">
        <f>IFERROR(INDEX('Cost_Components'!$R$2:$R$27,MATCH(E1139,'Cost_Components'!$A$2:$A$27,0)),"")</f>
      </c>
      <c r="U1139" s="75" t="str">
        <f>IFERROR(INDEX('Cost_Components'!$Q$2:$Q$27,MATCH(E1139,'Cost_Components'!$A$2:$A$27,0)),"")</f>
      </c>
      <c r="V1139" s="76" t="str">
        <f>1/(1+'Calculation_Assumptions'!$B$5)^(B1139-'Calculation_Assumptions'!$B$2)</f>
      </c>
      <c r="W1139" s="77" t="str">
        <f>Q1139*V1139</f>
      </c>
      <c r="X1139" s="78" t="str">
        <f>R1139*V1139</f>
      </c>
      <c r="Y1139" s="79" t="str">
        <f>S1139*V1139</f>
      </c>
      <c r="Z1139" s="80" t="str">
        <f>IFERROR(INDEX('Cost_Components'!$T$2:$T$27,MATCH(E1139,'Cost_Components'!$A$2:$A$27,0)),"")</f>
      </c>
      <c r="AA1139" s="81" t="str">
        <f>IFERROR(INDEX('Cost_Components'!$U$2:$U$27,MATCH(E1139,'Cost_Components'!$A$2:$A$27,0)),"")</f>
      </c>
      <c r="AB1139" s="82" t="str">
        <f>IFERROR(INDEX('Cost_Components'!$V$2:$V$27,MATCH(E1139,'Cost_Components'!$A$2:$A$27,0)),"")</f>
      </c>
      <c r="AC1139" s="83" t="str">
        <f>IFERROR(INDEX('Cost_Components'!$M$2:$M$27,MATCH(E1139,'Cost_Components'!$A$2:$A$27,0)),"")</f>
      </c>
      <c r="AD1139" s="84" t="str">
        <f>IFERROR(INDEX('Cost_Components'!$N$2:$N$27,MATCH(E1139,'Cost_Components'!$A$2:$A$27,0)),"")</f>
      </c>
      <c r="AE1139" s="20" t="str">
        <f>IFERROR(INDEX('Cost_Components'!$O$2:$O$27,MATCH(E1139,'Cost_Components'!$A$2:$A$27,0)),"")</f>
      </c>
      <c r="AF1139" s="85" t="n">
        <v>775090.944678075</v>
      </c>
      <c r="AG1139" s="86" t="n">
        <v>772406.583523927</v>
      </c>
      <c r="AH1139" s="87" t="str">
        <f>IF(H1139="shared-count-once",COUNTIFS($A$2:$A$1353,A1139,$B$2:$B$1353,B1139,$E$2:$E$1353,E1139),1)</f>
      </c>
    </row>
    <row r="1140">
      <c r="A1140" t="s">
        <v>75</v>
      </c>
      <c r="B1140" s="59" t="n">
        <v>2045</v>
      </c>
      <c r="C1140" t="s">
        <v>208</v>
      </c>
      <c r="D1140" t="s">
        <v>212</v>
      </c>
      <c r="E1140" s="60" t="s">
        <v>303</v>
      </c>
      <c r="F1140" s="61" t="s">
        <v>304</v>
      </c>
      <c r="G1140" s="62" t="s">
        <v>209</v>
      </c>
      <c r="H1140" s="63" t="s">
        <v>195</v>
      </c>
      <c r="I1140" s="64" t="s">
        <v>267</v>
      </c>
      <c r="J1140" s="65" t="str">
        <f>IFERROR(INDEX('Cost_Components'!$K$2:$K$27,MATCH(E1140,'Cost_Components'!$A$2:$A$27,0)),"")</f>
      </c>
      <c r="K1140" s="66" t="str">
        <f>IF(OR(L1140="",Z1140="",AA1140="",AB1140=""),"",IF(B1140&lt;AA1140,L1140,IF(B1140&gt;AB1140,Z1140,L1140+(Z1140-L1140)*MIN(MAX((B1140-AA1140+1)/MAX(AB1140-AA1140+1,1),0),1))))</f>
      </c>
      <c r="L1140" s="67" t="str">
        <f>IFERROR(INDEX('Cost_Components'!$S$2:$S$27,MATCH(E1140,'Cost_Components'!$A$2:$A$27,0)),"")</f>
      </c>
      <c r="M1140" s="68" t="str">
        <f>IFERROR(INDEX('Cost_Components'!$L$2:$L$27,MATCH(E1140,'Cost_Components'!$A$2:$A$27,0)),"")</f>
      </c>
      <c r="N1140" s="69" t="str">
        <f>IFERROR(INDEX('Cost_Components'!$P$2:$P$27,MATCH(E1140,'Cost_Components'!$A$2:$A$27,0)),"")</f>
      </c>
      <c r="O1140" s="70" t="str">
        <f>AF1140*J1140</f>
      </c>
      <c r="P1140" s="71" t="str">
        <f>AG1140*J1140</f>
      </c>
      <c r="Q1140" s="72" t="str">
        <f>P1140*L1140*M1140*N1140</f>
      </c>
      <c r="R1140" s="73" t="str">
        <f>O1140*K1140*M1140*N1140</f>
      </c>
      <c r="S1140" s="74" t="str">
        <f>R1140-Q1140</f>
      </c>
      <c r="T1140" s="20" t="str">
        <f>IFERROR(INDEX('Cost_Components'!$R$2:$R$27,MATCH(E1140,'Cost_Components'!$A$2:$A$27,0)),"")</f>
      </c>
      <c r="U1140" s="75" t="str">
        <f>IFERROR(INDEX('Cost_Components'!$Q$2:$Q$27,MATCH(E1140,'Cost_Components'!$A$2:$A$27,0)),"")</f>
      </c>
      <c r="V1140" s="76" t="str">
        <f>1/(1+'Calculation_Assumptions'!$B$5)^(B1140-'Calculation_Assumptions'!$B$2)</f>
      </c>
      <c r="W1140" s="77" t="str">
        <f>Q1140*V1140</f>
      </c>
      <c r="X1140" s="78" t="str">
        <f>R1140*V1140</f>
      </c>
      <c r="Y1140" s="79" t="str">
        <f>S1140*V1140</f>
      </c>
      <c r="Z1140" s="80" t="str">
        <f>IFERROR(INDEX('Cost_Components'!$T$2:$T$27,MATCH(E1140,'Cost_Components'!$A$2:$A$27,0)),"")</f>
      </c>
      <c r="AA1140" s="81" t="str">
        <f>IFERROR(INDEX('Cost_Components'!$U$2:$U$27,MATCH(E1140,'Cost_Components'!$A$2:$A$27,0)),"")</f>
      </c>
      <c r="AB1140" s="82" t="str">
        <f>IFERROR(INDEX('Cost_Components'!$V$2:$V$27,MATCH(E1140,'Cost_Components'!$A$2:$A$27,0)),"")</f>
      </c>
      <c r="AC1140" s="83" t="str">
        <f>IFERROR(INDEX('Cost_Components'!$M$2:$M$27,MATCH(E1140,'Cost_Components'!$A$2:$A$27,0)),"")</f>
      </c>
      <c r="AD1140" s="84" t="str">
        <f>IFERROR(INDEX('Cost_Components'!$N$2:$N$27,MATCH(E1140,'Cost_Components'!$A$2:$A$27,0)),"")</f>
      </c>
      <c r="AE1140" s="20" t="str">
        <f>IFERROR(INDEX('Cost_Components'!$O$2:$O$27,MATCH(E1140,'Cost_Components'!$A$2:$A$27,0)),"")</f>
      </c>
      <c r="AF1140" s="85" t="n">
        <v>767833.979787233</v>
      </c>
      <c r="AG1140" s="86" t="n">
        <v>765028.493496705</v>
      </c>
      <c r="AH1140" s="87" t="str">
        <f>IF(H1140="shared-count-once",COUNTIFS($A$2:$A$1353,A1140,$B$2:$B$1353,B1140,$E$2:$E$1353,E1140),1)</f>
      </c>
    </row>
    <row r="1141">
      <c r="A1141" t="s">
        <v>75</v>
      </c>
      <c r="B1141" s="59" t="n">
        <v>2046</v>
      </c>
      <c r="C1141" t="s">
        <v>208</v>
      </c>
      <c r="D1141" t="s">
        <v>212</v>
      </c>
      <c r="E1141" s="60" t="s">
        <v>303</v>
      </c>
      <c r="F1141" s="61" t="s">
        <v>304</v>
      </c>
      <c r="G1141" s="62" t="s">
        <v>209</v>
      </c>
      <c r="H1141" s="63" t="s">
        <v>195</v>
      </c>
      <c r="I1141" s="64" t="s">
        <v>267</v>
      </c>
      <c r="J1141" s="65" t="str">
        <f>IFERROR(INDEX('Cost_Components'!$K$2:$K$27,MATCH(E1141,'Cost_Components'!$A$2:$A$27,0)),"")</f>
      </c>
      <c r="K1141" s="66" t="str">
        <f>IF(OR(L1141="",Z1141="",AA1141="",AB1141=""),"",IF(B1141&lt;AA1141,L1141,IF(B1141&gt;AB1141,Z1141,L1141+(Z1141-L1141)*MIN(MAX((B1141-AA1141+1)/MAX(AB1141-AA1141+1,1),0),1))))</f>
      </c>
      <c r="L1141" s="67" t="str">
        <f>IFERROR(INDEX('Cost_Components'!$S$2:$S$27,MATCH(E1141,'Cost_Components'!$A$2:$A$27,0)),"")</f>
      </c>
      <c r="M1141" s="68" t="str">
        <f>IFERROR(INDEX('Cost_Components'!$L$2:$L$27,MATCH(E1141,'Cost_Components'!$A$2:$A$27,0)),"")</f>
      </c>
      <c r="N1141" s="69" t="str">
        <f>IFERROR(INDEX('Cost_Components'!$P$2:$P$27,MATCH(E1141,'Cost_Components'!$A$2:$A$27,0)),"")</f>
      </c>
      <c r="O1141" s="70" t="str">
        <f>AF1141*J1141</f>
      </c>
      <c r="P1141" s="71" t="str">
        <f>AG1141*J1141</f>
      </c>
      <c r="Q1141" s="72" t="str">
        <f>P1141*L1141*M1141*N1141</f>
      </c>
      <c r="R1141" s="73" t="str">
        <f>O1141*K1141*M1141*N1141</f>
      </c>
      <c r="S1141" s="74" t="str">
        <f>R1141-Q1141</f>
      </c>
      <c r="T1141" s="20" t="str">
        <f>IFERROR(INDEX('Cost_Components'!$R$2:$R$27,MATCH(E1141,'Cost_Components'!$A$2:$A$27,0)),"")</f>
      </c>
      <c r="U1141" s="75" t="str">
        <f>IFERROR(INDEX('Cost_Components'!$Q$2:$Q$27,MATCH(E1141,'Cost_Components'!$A$2:$A$27,0)),"")</f>
      </c>
      <c r="V1141" s="76" t="str">
        <f>1/(1+'Calculation_Assumptions'!$B$5)^(B1141-'Calculation_Assumptions'!$B$2)</f>
      </c>
      <c r="W1141" s="77" t="str">
        <f>Q1141*V1141</f>
      </c>
      <c r="X1141" s="78" t="str">
        <f>R1141*V1141</f>
      </c>
      <c r="Y1141" s="79" t="str">
        <f>S1141*V1141</f>
      </c>
      <c r="Z1141" s="80" t="str">
        <f>IFERROR(INDEX('Cost_Components'!$T$2:$T$27,MATCH(E1141,'Cost_Components'!$A$2:$A$27,0)),"")</f>
      </c>
      <c r="AA1141" s="81" t="str">
        <f>IFERROR(INDEX('Cost_Components'!$U$2:$U$27,MATCH(E1141,'Cost_Components'!$A$2:$A$27,0)),"")</f>
      </c>
      <c r="AB1141" s="82" t="str">
        <f>IFERROR(INDEX('Cost_Components'!$V$2:$V$27,MATCH(E1141,'Cost_Components'!$A$2:$A$27,0)),"")</f>
      </c>
      <c r="AC1141" s="83" t="str">
        <f>IFERROR(INDEX('Cost_Components'!$M$2:$M$27,MATCH(E1141,'Cost_Components'!$A$2:$A$27,0)),"")</f>
      </c>
      <c r="AD1141" s="84" t="str">
        <f>IFERROR(INDEX('Cost_Components'!$N$2:$N$27,MATCH(E1141,'Cost_Components'!$A$2:$A$27,0)),"")</f>
      </c>
      <c r="AE1141" s="20" t="str">
        <f>IFERROR(INDEX('Cost_Components'!$O$2:$O$27,MATCH(E1141,'Cost_Components'!$A$2:$A$27,0)),"")</f>
      </c>
      <c r="AF1141" s="85" t="n">
        <v>761332.47612487</v>
      </c>
      <c r="AG1141" s="86" t="n">
        <v>758412.157996352</v>
      </c>
      <c r="AH1141" s="87" t="str">
        <f>IF(H1141="shared-count-once",COUNTIFS($A$2:$A$1353,A1141,$B$2:$B$1353,B1141,$E$2:$E$1353,E1141),1)</f>
      </c>
    </row>
    <row r="1142">
      <c r="A1142" t="s">
        <v>75</v>
      </c>
      <c r="B1142" s="59" t="n">
        <v>2047</v>
      </c>
      <c r="C1142" t="s">
        <v>208</v>
      </c>
      <c r="D1142" t="s">
        <v>212</v>
      </c>
      <c r="E1142" s="60" t="s">
        <v>303</v>
      </c>
      <c r="F1142" s="61" t="s">
        <v>304</v>
      </c>
      <c r="G1142" s="62" t="s">
        <v>209</v>
      </c>
      <c r="H1142" s="63" t="s">
        <v>195</v>
      </c>
      <c r="I1142" s="64" t="s">
        <v>267</v>
      </c>
      <c r="J1142" s="65" t="str">
        <f>IFERROR(INDEX('Cost_Components'!$K$2:$K$27,MATCH(E1142,'Cost_Components'!$A$2:$A$27,0)),"")</f>
      </c>
      <c r="K1142" s="66" t="str">
        <f>IF(OR(L1142="",Z1142="",AA1142="",AB1142=""),"",IF(B1142&lt;AA1142,L1142,IF(B1142&gt;AB1142,Z1142,L1142+(Z1142-L1142)*MIN(MAX((B1142-AA1142+1)/MAX(AB1142-AA1142+1,1),0),1))))</f>
      </c>
      <c r="L1142" s="67" t="str">
        <f>IFERROR(INDEX('Cost_Components'!$S$2:$S$27,MATCH(E1142,'Cost_Components'!$A$2:$A$27,0)),"")</f>
      </c>
      <c r="M1142" s="68" t="str">
        <f>IFERROR(INDEX('Cost_Components'!$L$2:$L$27,MATCH(E1142,'Cost_Components'!$A$2:$A$27,0)),"")</f>
      </c>
      <c r="N1142" s="69" t="str">
        <f>IFERROR(INDEX('Cost_Components'!$P$2:$P$27,MATCH(E1142,'Cost_Components'!$A$2:$A$27,0)),"")</f>
      </c>
      <c r="O1142" s="70" t="str">
        <f>AF1142*J1142</f>
      </c>
      <c r="P1142" s="71" t="str">
        <f>AG1142*J1142</f>
      </c>
      <c r="Q1142" s="72" t="str">
        <f>P1142*L1142*M1142*N1142</f>
      </c>
      <c r="R1142" s="73" t="str">
        <f>O1142*K1142*M1142*N1142</f>
      </c>
      <c r="S1142" s="74" t="str">
        <f>R1142-Q1142</f>
      </c>
      <c r="T1142" s="20" t="str">
        <f>IFERROR(INDEX('Cost_Components'!$R$2:$R$27,MATCH(E1142,'Cost_Components'!$A$2:$A$27,0)),"")</f>
      </c>
      <c r="U1142" s="75" t="str">
        <f>IFERROR(INDEX('Cost_Components'!$Q$2:$Q$27,MATCH(E1142,'Cost_Components'!$A$2:$A$27,0)),"")</f>
      </c>
      <c r="V1142" s="76" t="str">
        <f>1/(1+'Calculation_Assumptions'!$B$5)^(B1142-'Calculation_Assumptions'!$B$2)</f>
      </c>
      <c r="W1142" s="77" t="str">
        <f>Q1142*V1142</f>
      </c>
      <c r="X1142" s="78" t="str">
        <f>R1142*V1142</f>
      </c>
      <c r="Y1142" s="79" t="str">
        <f>S1142*V1142</f>
      </c>
      <c r="Z1142" s="80" t="str">
        <f>IFERROR(INDEX('Cost_Components'!$T$2:$T$27,MATCH(E1142,'Cost_Components'!$A$2:$A$27,0)),"")</f>
      </c>
      <c r="AA1142" s="81" t="str">
        <f>IFERROR(INDEX('Cost_Components'!$U$2:$U$27,MATCH(E1142,'Cost_Components'!$A$2:$A$27,0)),"")</f>
      </c>
      <c r="AB1142" s="82" t="str">
        <f>IFERROR(INDEX('Cost_Components'!$V$2:$V$27,MATCH(E1142,'Cost_Components'!$A$2:$A$27,0)),"")</f>
      </c>
      <c r="AC1142" s="83" t="str">
        <f>IFERROR(INDEX('Cost_Components'!$M$2:$M$27,MATCH(E1142,'Cost_Components'!$A$2:$A$27,0)),"")</f>
      </c>
      <c r="AD1142" s="84" t="str">
        <f>IFERROR(INDEX('Cost_Components'!$N$2:$N$27,MATCH(E1142,'Cost_Components'!$A$2:$A$27,0)),"")</f>
      </c>
      <c r="AE1142" s="20" t="str">
        <f>IFERROR(INDEX('Cost_Components'!$O$2:$O$27,MATCH(E1142,'Cost_Components'!$A$2:$A$27,0)),"")</f>
      </c>
      <c r="AF1142" s="85" t="n">
        <v>755617.994645861</v>
      </c>
      <c r="AG1142" s="86" t="n">
        <v>752587.863064363</v>
      </c>
      <c r="AH1142" s="87" t="str">
        <f>IF(H1142="shared-count-once",COUNTIFS($A$2:$A$1353,A1142,$B$2:$B$1353,B1142,$E$2:$E$1353,E1142),1)</f>
      </c>
    </row>
    <row r="1143">
      <c r="A1143" t="s">
        <v>75</v>
      </c>
      <c r="B1143" s="59" t="n">
        <v>2048</v>
      </c>
      <c r="C1143" t="s">
        <v>208</v>
      </c>
      <c r="D1143" t="s">
        <v>212</v>
      </c>
      <c r="E1143" s="60" t="s">
        <v>303</v>
      </c>
      <c r="F1143" s="61" t="s">
        <v>304</v>
      </c>
      <c r="G1143" s="62" t="s">
        <v>209</v>
      </c>
      <c r="H1143" s="63" t="s">
        <v>195</v>
      </c>
      <c r="I1143" s="64" t="s">
        <v>267</v>
      </c>
      <c r="J1143" s="65" t="str">
        <f>IFERROR(INDEX('Cost_Components'!$K$2:$K$27,MATCH(E1143,'Cost_Components'!$A$2:$A$27,0)),"")</f>
      </c>
      <c r="K1143" s="66" t="str">
        <f>IF(OR(L1143="",Z1143="",AA1143="",AB1143=""),"",IF(B1143&lt;AA1143,L1143,IF(B1143&gt;AB1143,Z1143,L1143+(Z1143-L1143)*MIN(MAX((B1143-AA1143+1)/MAX(AB1143-AA1143+1,1),0),1))))</f>
      </c>
      <c r="L1143" s="67" t="str">
        <f>IFERROR(INDEX('Cost_Components'!$S$2:$S$27,MATCH(E1143,'Cost_Components'!$A$2:$A$27,0)),"")</f>
      </c>
      <c r="M1143" s="68" t="str">
        <f>IFERROR(INDEX('Cost_Components'!$L$2:$L$27,MATCH(E1143,'Cost_Components'!$A$2:$A$27,0)),"")</f>
      </c>
      <c r="N1143" s="69" t="str">
        <f>IFERROR(INDEX('Cost_Components'!$P$2:$P$27,MATCH(E1143,'Cost_Components'!$A$2:$A$27,0)),"")</f>
      </c>
      <c r="O1143" s="70" t="str">
        <f>AF1143*J1143</f>
      </c>
      <c r="P1143" s="71" t="str">
        <f>AG1143*J1143</f>
      </c>
      <c r="Q1143" s="72" t="str">
        <f>P1143*L1143*M1143*N1143</f>
      </c>
      <c r="R1143" s="73" t="str">
        <f>O1143*K1143*M1143*N1143</f>
      </c>
      <c r="S1143" s="74" t="str">
        <f>R1143-Q1143</f>
      </c>
      <c r="T1143" s="20" t="str">
        <f>IFERROR(INDEX('Cost_Components'!$R$2:$R$27,MATCH(E1143,'Cost_Components'!$A$2:$A$27,0)),"")</f>
      </c>
      <c r="U1143" s="75" t="str">
        <f>IFERROR(INDEX('Cost_Components'!$Q$2:$Q$27,MATCH(E1143,'Cost_Components'!$A$2:$A$27,0)),"")</f>
      </c>
      <c r="V1143" s="76" t="str">
        <f>1/(1+'Calculation_Assumptions'!$B$5)^(B1143-'Calculation_Assumptions'!$B$2)</f>
      </c>
      <c r="W1143" s="77" t="str">
        <f>Q1143*V1143</f>
      </c>
      <c r="X1143" s="78" t="str">
        <f>R1143*V1143</f>
      </c>
      <c r="Y1143" s="79" t="str">
        <f>S1143*V1143</f>
      </c>
      <c r="Z1143" s="80" t="str">
        <f>IFERROR(INDEX('Cost_Components'!$T$2:$T$27,MATCH(E1143,'Cost_Components'!$A$2:$A$27,0)),"")</f>
      </c>
      <c r="AA1143" s="81" t="str">
        <f>IFERROR(INDEX('Cost_Components'!$U$2:$U$27,MATCH(E1143,'Cost_Components'!$A$2:$A$27,0)),"")</f>
      </c>
      <c r="AB1143" s="82" t="str">
        <f>IFERROR(INDEX('Cost_Components'!$V$2:$V$27,MATCH(E1143,'Cost_Components'!$A$2:$A$27,0)),"")</f>
      </c>
      <c r="AC1143" s="83" t="str">
        <f>IFERROR(INDEX('Cost_Components'!$M$2:$M$27,MATCH(E1143,'Cost_Components'!$A$2:$A$27,0)),"")</f>
      </c>
      <c r="AD1143" s="84" t="str">
        <f>IFERROR(INDEX('Cost_Components'!$N$2:$N$27,MATCH(E1143,'Cost_Components'!$A$2:$A$27,0)),"")</f>
      </c>
      <c r="AE1143" s="20" t="str">
        <f>IFERROR(INDEX('Cost_Components'!$O$2:$O$27,MATCH(E1143,'Cost_Components'!$A$2:$A$27,0)),"")</f>
      </c>
      <c r="AF1143" s="85" t="n">
        <v>752523.837989701</v>
      </c>
      <c r="AG1143" s="86" t="n">
        <v>749377.162912068</v>
      </c>
      <c r="AH1143" s="87" t="str">
        <f>IF(H1143="shared-count-once",COUNTIFS($A$2:$A$1353,A1143,$B$2:$B$1353,B1143,$E$2:$E$1353,E1143),1)</f>
      </c>
    </row>
    <row r="1144">
      <c r="A1144" t="s">
        <v>75</v>
      </c>
      <c r="B1144" s="59" t="n">
        <v>2049</v>
      </c>
      <c r="C1144" t="s">
        <v>208</v>
      </c>
      <c r="D1144" t="s">
        <v>212</v>
      </c>
      <c r="E1144" s="60" t="s">
        <v>303</v>
      </c>
      <c r="F1144" s="61" t="s">
        <v>304</v>
      </c>
      <c r="G1144" s="62" t="s">
        <v>209</v>
      </c>
      <c r="H1144" s="63" t="s">
        <v>195</v>
      </c>
      <c r="I1144" s="64" t="s">
        <v>267</v>
      </c>
      <c r="J1144" s="65" t="str">
        <f>IFERROR(INDEX('Cost_Components'!$K$2:$K$27,MATCH(E1144,'Cost_Components'!$A$2:$A$27,0)),"")</f>
      </c>
      <c r="K1144" s="66" t="str">
        <f>IF(OR(L1144="",Z1144="",AA1144="",AB1144=""),"",IF(B1144&lt;AA1144,L1144,IF(B1144&gt;AB1144,Z1144,L1144+(Z1144-L1144)*MIN(MAX((B1144-AA1144+1)/MAX(AB1144-AA1144+1,1),0),1))))</f>
      </c>
      <c r="L1144" s="67" t="str">
        <f>IFERROR(INDEX('Cost_Components'!$S$2:$S$27,MATCH(E1144,'Cost_Components'!$A$2:$A$27,0)),"")</f>
      </c>
      <c r="M1144" s="68" t="str">
        <f>IFERROR(INDEX('Cost_Components'!$L$2:$L$27,MATCH(E1144,'Cost_Components'!$A$2:$A$27,0)),"")</f>
      </c>
      <c r="N1144" s="69" t="str">
        <f>IFERROR(INDEX('Cost_Components'!$P$2:$P$27,MATCH(E1144,'Cost_Components'!$A$2:$A$27,0)),"")</f>
      </c>
      <c r="O1144" s="70" t="str">
        <f>AF1144*J1144</f>
      </c>
      <c r="P1144" s="71" t="str">
        <f>AG1144*J1144</f>
      </c>
      <c r="Q1144" s="72" t="str">
        <f>P1144*L1144*M1144*N1144</f>
      </c>
      <c r="R1144" s="73" t="str">
        <f>O1144*K1144*M1144*N1144</f>
      </c>
      <c r="S1144" s="74" t="str">
        <f>R1144-Q1144</f>
      </c>
      <c r="T1144" s="20" t="str">
        <f>IFERROR(INDEX('Cost_Components'!$R$2:$R$27,MATCH(E1144,'Cost_Components'!$A$2:$A$27,0)),"")</f>
      </c>
      <c r="U1144" s="75" t="str">
        <f>IFERROR(INDEX('Cost_Components'!$Q$2:$Q$27,MATCH(E1144,'Cost_Components'!$A$2:$A$27,0)),"")</f>
      </c>
      <c r="V1144" s="76" t="str">
        <f>1/(1+'Calculation_Assumptions'!$B$5)^(B1144-'Calculation_Assumptions'!$B$2)</f>
      </c>
      <c r="W1144" s="77" t="str">
        <f>Q1144*V1144</f>
      </c>
      <c r="X1144" s="78" t="str">
        <f>R1144*V1144</f>
      </c>
      <c r="Y1144" s="79" t="str">
        <f>S1144*V1144</f>
      </c>
      <c r="Z1144" s="80" t="str">
        <f>IFERROR(INDEX('Cost_Components'!$T$2:$T$27,MATCH(E1144,'Cost_Components'!$A$2:$A$27,0)),"")</f>
      </c>
      <c r="AA1144" s="81" t="str">
        <f>IFERROR(INDEX('Cost_Components'!$U$2:$U$27,MATCH(E1144,'Cost_Components'!$A$2:$A$27,0)),"")</f>
      </c>
      <c r="AB1144" s="82" t="str">
        <f>IFERROR(INDEX('Cost_Components'!$V$2:$V$27,MATCH(E1144,'Cost_Components'!$A$2:$A$27,0)),"")</f>
      </c>
      <c r="AC1144" s="83" t="str">
        <f>IFERROR(INDEX('Cost_Components'!$M$2:$M$27,MATCH(E1144,'Cost_Components'!$A$2:$A$27,0)),"")</f>
      </c>
      <c r="AD1144" s="84" t="str">
        <f>IFERROR(INDEX('Cost_Components'!$N$2:$N$27,MATCH(E1144,'Cost_Components'!$A$2:$A$27,0)),"")</f>
      </c>
      <c r="AE1144" s="20" t="str">
        <f>IFERROR(INDEX('Cost_Components'!$O$2:$O$27,MATCH(E1144,'Cost_Components'!$A$2:$A$27,0)),"")</f>
      </c>
      <c r="AF1144" s="85" t="n">
        <v>744393.167267242</v>
      </c>
      <c r="AG1144" s="86" t="n">
        <v>741169.665357036</v>
      </c>
      <c r="AH1144" s="87" t="str">
        <f>IF(H1144="shared-count-once",COUNTIFS($A$2:$A$1353,A1144,$B$2:$B$1353,B1144,$E$2:$E$1353,E1144),1)</f>
      </c>
    </row>
    <row r="1145">
      <c r="A1145" t="s">
        <v>75</v>
      </c>
      <c r="B1145" s="59" t="n">
        <v>2050</v>
      </c>
      <c r="C1145" t="s">
        <v>208</v>
      </c>
      <c r="D1145" t="s">
        <v>212</v>
      </c>
      <c r="E1145" s="60" t="s">
        <v>303</v>
      </c>
      <c r="F1145" s="61" t="s">
        <v>304</v>
      </c>
      <c r="G1145" s="62" t="s">
        <v>209</v>
      </c>
      <c r="H1145" s="63" t="s">
        <v>195</v>
      </c>
      <c r="I1145" s="64" t="s">
        <v>267</v>
      </c>
      <c r="J1145" s="65" t="str">
        <f>IFERROR(INDEX('Cost_Components'!$K$2:$K$27,MATCH(E1145,'Cost_Components'!$A$2:$A$27,0)),"")</f>
      </c>
      <c r="K1145" s="66" t="str">
        <f>IF(OR(L1145="",Z1145="",AA1145="",AB1145=""),"",IF(B1145&lt;AA1145,L1145,IF(B1145&gt;AB1145,Z1145,L1145+(Z1145-L1145)*MIN(MAX((B1145-AA1145+1)/MAX(AB1145-AA1145+1,1),0),1))))</f>
      </c>
      <c r="L1145" s="67" t="str">
        <f>IFERROR(INDEX('Cost_Components'!$S$2:$S$27,MATCH(E1145,'Cost_Components'!$A$2:$A$27,0)),"")</f>
      </c>
      <c r="M1145" s="68" t="str">
        <f>IFERROR(INDEX('Cost_Components'!$L$2:$L$27,MATCH(E1145,'Cost_Components'!$A$2:$A$27,0)),"")</f>
      </c>
      <c r="N1145" s="69" t="str">
        <f>IFERROR(INDEX('Cost_Components'!$P$2:$P$27,MATCH(E1145,'Cost_Components'!$A$2:$A$27,0)),"")</f>
      </c>
      <c r="O1145" s="70" t="str">
        <f>AF1145*J1145</f>
      </c>
      <c r="P1145" s="71" t="str">
        <f>AG1145*J1145</f>
      </c>
      <c r="Q1145" s="72" t="str">
        <f>P1145*L1145*M1145*N1145</f>
      </c>
      <c r="R1145" s="73" t="str">
        <f>O1145*K1145*M1145*N1145</f>
      </c>
      <c r="S1145" s="74" t="str">
        <f>R1145-Q1145</f>
      </c>
      <c r="T1145" s="20" t="str">
        <f>IFERROR(INDEX('Cost_Components'!$R$2:$R$27,MATCH(E1145,'Cost_Components'!$A$2:$A$27,0)),"")</f>
      </c>
      <c r="U1145" s="75" t="str">
        <f>IFERROR(INDEX('Cost_Components'!$Q$2:$Q$27,MATCH(E1145,'Cost_Components'!$A$2:$A$27,0)),"")</f>
      </c>
      <c r="V1145" s="76" t="str">
        <f>1/(1+'Calculation_Assumptions'!$B$5)^(B1145-'Calculation_Assumptions'!$B$2)</f>
      </c>
      <c r="W1145" s="77" t="str">
        <f>Q1145*V1145</f>
      </c>
      <c r="X1145" s="78" t="str">
        <f>R1145*V1145</f>
      </c>
      <c r="Y1145" s="79" t="str">
        <f>S1145*V1145</f>
      </c>
      <c r="Z1145" s="80" t="str">
        <f>IFERROR(INDEX('Cost_Components'!$T$2:$T$27,MATCH(E1145,'Cost_Components'!$A$2:$A$27,0)),"")</f>
      </c>
      <c r="AA1145" s="81" t="str">
        <f>IFERROR(INDEX('Cost_Components'!$U$2:$U$27,MATCH(E1145,'Cost_Components'!$A$2:$A$27,0)),"")</f>
      </c>
      <c r="AB1145" s="82" t="str">
        <f>IFERROR(INDEX('Cost_Components'!$V$2:$V$27,MATCH(E1145,'Cost_Components'!$A$2:$A$27,0)),"")</f>
      </c>
      <c r="AC1145" s="83" t="str">
        <f>IFERROR(INDEX('Cost_Components'!$M$2:$M$27,MATCH(E1145,'Cost_Components'!$A$2:$A$27,0)),"")</f>
      </c>
      <c r="AD1145" s="84" t="str">
        <f>IFERROR(INDEX('Cost_Components'!$N$2:$N$27,MATCH(E1145,'Cost_Components'!$A$2:$A$27,0)),"")</f>
      </c>
      <c r="AE1145" s="20" t="str">
        <f>IFERROR(INDEX('Cost_Components'!$O$2:$O$27,MATCH(E1145,'Cost_Components'!$A$2:$A$27,0)),"")</f>
      </c>
      <c r="AF1145" s="85" t="n">
        <v>737255.651974608</v>
      </c>
      <c r="AG1145" s="86" t="n">
        <v>733959.82012224</v>
      </c>
      <c r="AH1145" s="87" t="str">
        <f>IF(H1145="shared-count-once",COUNTIFS($A$2:$A$1353,A1145,$B$2:$B$1353,B1145,$E$2:$E$1353,E1145),1)</f>
      </c>
    </row>
    <row r="1146">
      <c r="A1146" t="s">
        <v>75</v>
      </c>
      <c r="B1146" s="59" t="n">
        <v>2025</v>
      </c>
      <c r="C1146" t="s">
        <v>215</v>
      </c>
      <c r="D1146" t="s">
        <v>212</v>
      </c>
      <c r="E1146" s="60" t="s">
        <v>306</v>
      </c>
      <c r="F1146" s="61" t="s">
        <v>307</v>
      </c>
      <c r="G1146" s="62" t="s">
        <v>216</v>
      </c>
      <c r="H1146" s="63" t="s">
        <v>195</v>
      </c>
      <c r="I1146" s="64" t="s">
        <v>267</v>
      </c>
      <c r="J1146" s="65" t="str">
        <f>IFERROR(INDEX('Cost_Components'!$K$2:$K$27,MATCH(E1146,'Cost_Components'!$A$2:$A$27,0)),"")</f>
      </c>
      <c r="K1146" s="66" t="str">
        <f>IF(OR(L1146="",Z1146="",AA1146="",AB1146=""),"",IF(B1146&lt;AA1146,L1146,IF(B1146&gt;AB1146,Z1146,L1146+(Z1146-L1146)*MIN(MAX((B1146-AA1146+1)/MAX(AB1146-AA1146+1,1),0),1))))</f>
      </c>
      <c r="L1146" s="67" t="str">
        <f>IFERROR(INDEX('Cost_Components'!$S$2:$S$27,MATCH(E1146,'Cost_Components'!$A$2:$A$27,0)),"")</f>
      </c>
      <c r="M1146" s="68" t="str">
        <f>IFERROR(INDEX('Cost_Components'!$L$2:$L$27,MATCH(E1146,'Cost_Components'!$A$2:$A$27,0)),"")</f>
      </c>
      <c r="N1146" s="69" t="str">
        <f>IFERROR(INDEX('Cost_Components'!$P$2:$P$27,MATCH(E1146,'Cost_Components'!$A$2:$A$27,0)),"")</f>
      </c>
      <c r="O1146" s="70" t="str">
        <f>AF1146*J1146</f>
      </c>
      <c r="P1146" s="71" t="str">
        <f>AG1146*J1146</f>
      </c>
      <c r="Q1146" s="72" t="str">
        <f>P1146*L1146*M1146*N1146</f>
      </c>
      <c r="R1146" s="73" t="str">
        <f>O1146*K1146*M1146*N1146</f>
      </c>
      <c r="S1146" s="74" t="str">
        <f>R1146-Q1146</f>
      </c>
      <c r="T1146" s="20" t="str">
        <f>IFERROR(INDEX('Cost_Components'!$R$2:$R$27,MATCH(E1146,'Cost_Components'!$A$2:$A$27,0)),"")</f>
      </c>
      <c r="U1146" s="75" t="str">
        <f>IFERROR(INDEX('Cost_Components'!$Q$2:$Q$27,MATCH(E1146,'Cost_Components'!$A$2:$A$27,0)),"")</f>
      </c>
      <c r="V1146" s="76" t="str">
        <f>1/(1+'Calculation_Assumptions'!$B$5)^(B1146-'Calculation_Assumptions'!$B$2)</f>
      </c>
      <c r="W1146" s="77" t="str">
        <f>Q1146*V1146</f>
      </c>
      <c r="X1146" s="78" t="str">
        <f>R1146*V1146</f>
      </c>
      <c r="Y1146" s="79" t="str">
        <f>S1146*V1146</f>
      </c>
      <c r="Z1146" s="80" t="str">
        <f>IFERROR(INDEX('Cost_Components'!$T$2:$T$27,MATCH(E1146,'Cost_Components'!$A$2:$A$27,0)),"")</f>
      </c>
      <c r="AA1146" s="81" t="str">
        <f>IFERROR(INDEX('Cost_Components'!$U$2:$U$27,MATCH(E1146,'Cost_Components'!$A$2:$A$27,0)),"")</f>
      </c>
      <c r="AB1146" s="82" t="str">
        <f>IFERROR(INDEX('Cost_Components'!$V$2:$V$27,MATCH(E1146,'Cost_Components'!$A$2:$A$27,0)),"")</f>
      </c>
      <c r="AC1146" s="83" t="str">
        <f>IFERROR(INDEX('Cost_Components'!$M$2:$M$27,MATCH(E1146,'Cost_Components'!$A$2:$A$27,0)),"")</f>
      </c>
      <c r="AD1146" s="84" t="str">
        <f>IFERROR(INDEX('Cost_Components'!$N$2:$N$27,MATCH(E1146,'Cost_Components'!$A$2:$A$27,0)),"")</f>
      </c>
      <c r="AE1146" s="20" t="str">
        <f>IFERROR(INDEX('Cost_Components'!$O$2:$O$27,MATCH(E1146,'Cost_Components'!$A$2:$A$27,0)),"")</f>
      </c>
      <c r="AF1146" s="85" t="n">
        <v>814887.6427796</v>
      </c>
      <c r="AG1146" s="86" t="n">
        <v>814857.427728063</v>
      </c>
      <c r="AH1146" s="87" t="str">
        <f>IF(H1146="shared-count-once",COUNTIFS($A$2:$A$1353,A1146,$B$2:$B$1353,B1146,$E$2:$E$1353,E1146),1)</f>
      </c>
    </row>
    <row r="1147">
      <c r="A1147" t="s">
        <v>75</v>
      </c>
      <c r="B1147" s="59" t="n">
        <v>2026</v>
      </c>
      <c r="C1147" t="s">
        <v>215</v>
      </c>
      <c r="D1147" t="s">
        <v>212</v>
      </c>
      <c r="E1147" s="60" t="s">
        <v>306</v>
      </c>
      <c r="F1147" s="61" t="s">
        <v>307</v>
      </c>
      <c r="G1147" s="62" t="s">
        <v>216</v>
      </c>
      <c r="H1147" s="63" t="s">
        <v>195</v>
      </c>
      <c r="I1147" s="64" t="s">
        <v>267</v>
      </c>
      <c r="J1147" s="65" t="str">
        <f>IFERROR(INDEX('Cost_Components'!$K$2:$K$27,MATCH(E1147,'Cost_Components'!$A$2:$A$27,0)),"")</f>
      </c>
      <c r="K1147" s="66" t="str">
        <f>IF(OR(L1147="",Z1147="",AA1147="",AB1147=""),"",IF(B1147&lt;AA1147,L1147,IF(B1147&gt;AB1147,Z1147,L1147+(Z1147-L1147)*MIN(MAX((B1147-AA1147+1)/MAX(AB1147-AA1147+1,1),0),1))))</f>
      </c>
      <c r="L1147" s="67" t="str">
        <f>IFERROR(INDEX('Cost_Components'!$S$2:$S$27,MATCH(E1147,'Cost_Components'!$A$2:$A$27,0)),"")</f>
      </c>
      <c r="M1147" s="68" t="str">
        <f>IFERROR(INDEX('Cost_Components'!$L$2:$L$27,MATCH(E1147,'Cost_Components'!$A$2:$A$27,0)),"")</f>
      </c>
      <c r="N1147" s="69" t="str">
        <f>IFERROR(INDEX('Cost_Components'!$P$2:$P$27,MATCH(E1147,'Cost_Components'!$A$2:$A$27,0)),"")</f>
      </c>
      <c r="O1147" s="70" t="str">
        <f>AF1147*J1147</f>
      </c>
      <c r="P1147" s="71" t="str">
        <f>AG1147*J1147</f>
      </c>
      <c r="Q1147" s="72" t="str">
        <f>P1147*L1147*M1147*N1147</f>
      </c>
      <c r="R1147" s="73" t="str">
        <f>O1147*K1147*M1147*N1147</f>
      </c>
      <c r="S1147" s="74" t="str">
        <f>R1147-Q1147</f>
      </c>
      <c r="T1147" s="20" t="str">
        <f>IFERROR(INDEX('Cost_Components'!$R$2:$R$27,MATCH(E1147,'Cost_Components'!$A$2:$A$27,0)),"")</f>
      </c>
      <c r="U1147" s="75" t="str">
        <f>IFERROR(INDEX('Cost_Components'!$Q$2:$Q$27,MATCH(E1147,'Cost_Components'!$A$2:$A$27,0)),"")</f>
      </c>
      <c r="V1147" s="76" t="str">
        <f>1/(1+'Calculation_Assumptions'!$B$5)^(B1147-'Calculation_Assumptions'!$B$2)</f>
      </c>
      <c r="W1147" s="77" t="str">
        <f>Q1147*V1147</f>
      </c>
      <c r="X1147" s="78" t="str">
        <f>R1147*V1147</f>
      </c>
      <c r="Y1147" s="79" t="str">
        <f>S1147*V1147</f>
      </c>
      <c r="Z1147" s="80" t="str">
        <f>IFERROR(INDEX('Cost_Components'!$T$2:$T$27,MATCH(E1147,'Cost_Components'!$A$2:$A$27,0)),"")</f>
      </c>
      <c r="AA1147" s="81" t="str">
        <f>IFERROR(INDEX('Cost_Components'!$U$2:$U$27,MATCH(E1147,'Cost_Components'!$A$2:$A$27,0)),"")</f>
      </c>
      <c r="AB1147" s="82" t="str">
        <f>IFERROR(INDEX('Cost_Components'!$V$2:$V$27,MATCH(E1147,'Cost_Components'!$A$2:$A$27,0)),"")</f>
      </c>
      <c r="AC1147" s="83" t="str">
        <f>IFERROR(INDEX('Cost_Components'!$M$2:$M$27,MATCH(E1147,'Cost_Components'!$A$2:$A$27,0)),"")</f>
      </c>
      <c r="AD1147" s="84" t="str">
        <f>IFERROR(INDEX('Cost_Components'!$N$2:$N$27,MATCH(E1147,'Cost_Components'!$A$2:$A$27,0)),"")</f>
      </c>
      <c r="AE1147" s="20" t="str">
        <f>IFERROR(INDEX('Cost_Components'!$O$2:$O$27,MATCH(E1147,'Cost_Components'!$A$2:$A$27,0)),"")</f>
      </c>
      <c r="AF1147" s="85" t="n">
        <v>814220.56870169</v>
      </c>
      <c r="AG1147" s="86" t="n">
        <v>814134.268823925</v>
      </c>
      <c r="AH1147" s="87" t="str">
        <f>IF(H1147="shared-count-once",COUNTIFS($A$2:$A$1353,A1147,$B$2:$B$1353,B1147,$E$2:$E$1353,E1147),1)</f>
      </c>
    </row>
    <row r="1148">
      <c r="A1148" t="s">
        <v>75</v>
      </c>
      <c r="B1148" s="59" t="n">
        <v>2027</v>
      </c>
      <c r="C1148" t="s">
        <v>215</v>
      </c>
      <c r="D1148" t="s">
        <v>212</v>
      </c>
      <c r="E1148" s="60" t="s">
        <v>306</v>
      </c>
      <c r="F1148" s="61" t="s">
        <v>307</v>
      </c>
      <c r="G1148" s="62" t="s">
        <v>216</v>
      </c>
      <c r="H1148" s="63" t="s">
        <v>195</v>
      </c>
      <c r="I1148" s="64" t="s">
        <v>267</v>
      </c>
      <c r="J1148" s="65" t="str">
        <f>IFERROR(INDEX('Cost_Components'!$K$2:$K$27,MATCH(E1148,'Cost_Components'!$A$2:$A$27,0)),"")</f>
      </c>
      <c r="K1148" s="66" t="str">
        <f>IF(OR(L1148="",Z1148="",AA1148="",AB1148=""),"",IF(B1148&lt;AA1148,L1148,IF(B1148&gt;AB1148,Z1148,L1148+(Z1148-L1148)*MIN(MAX((B1148-AA1148+1)/MAX(AB1148-AA1148+1,1),0),1))))</f>
      </c>
      <c r="L1148" s="67" t="str">
        <f>IFERROR(INDEX('Cost_Components'!$S$2:$S$27,MATCH(E1148,'Cost_Components'!$A$2:$A$27,0)),"")</f>
      </c>
      <c r="M1148" s="68" t="str">
        <f>IFERROR(INDEX('Cost_Components'!$L$2:$L$27,MATCH(E1148,'Cost_Components'!$A$2:$A$27,0)),"")</f>
      </c>
      <c r="N1148" s="69" t="str">
        <f>IFERROR(INDEX('Cost_Components'!$P$2:$P$27,MATCH(E1148,'Cost_Components'!$A$2:$A$27,0)),"")</f>
      </c>
      <c r="O1148" s="70" t="str">
        <f>AF1148*J1148</f>
      </c>
      <c r="P1148" s="71" t="str">
        <f>AG1148*J1148</f>
      </c>
      <c r="Q1148" s="72" t="str">
        <f>P1148*L1148*M1148*N1148</f>
      </c>
      <c r="R1148" s="73" t="str">
        <f>O1148*K1148*M1148*N1148</f>
      </c>
      <c r="S1148" s="74" t="str">
        <f>R1148-Q1148</f>
      </c>
      <c r="T1148" s="20" t="str">
        <f>IFERROR(INDEX('Cost_Components'!$R$2:$R$27,MATCH(E1148,'Cost_Components'!$A$2:$A$27,0)),"")</f>
      </c>
      <c r="U1148" s="75" t="str">
        <f>IFERROR(INDEX('Cost_Components'!$Q$2:$Q$27,MATCH(E1148,'Cost_Components'!$A$2:$A$27,0)),"")</f>
      </c>
      <c r="V1148" s="76" t="str">
        <f>1/(1+'Calculation_Assumptions'!$B$5)^(B1148-'Calculation_Assumptions'!$B$2)</f>
      </c>
      <c r="W1148" s="77" t="str">
        <f>Q1148*V1148</f>
      </c>
      <c r="X1148" s="78" t="str">
        <f>R1148*V1148</f>
      </c>
      <c r="Y1148" s="79" t="str">
        <f>S1148*V1148</f>
      </c>
      <c r="Z1148" s="80" t="str">
        <f>IFERROR(INDEX('Cost_Components'!$T$2:$T$27,MATCH(E1148,'Cost_Components'!$A$2:$A$27,0)),"")</f>
      </c>
      <c r="AA1148" s="81" t="str">
        <f>IFERROR(INDEX('Cost_Components'!$U$2:$U$27,MATCH(E1148,'Cost_Components'!$A$2:$A$27,0)),"")</f>
      </c>
      <c r="AB1148" s="82" t="str">
        <f>IFERROR(INDEX('Cost_Components'!$V$2:$V$27,MATCH(E1148,'Cost_Components'!$A$2:$A$27,0)),"")</f>
      </c>
      <c r="AC1148" s="83" t="str">
        <f>IFERROR(INDEX('Cost_Components'!$M$2:$M$27,MATCH(E1148,'Cost_Components'!$A$2:$A$27,0)),"")</f>
      </c>
      <c r="AD1148" s="84" t="str">
        <f>IFERROR(INDEX('Cost_Components'!$N$2:$N$27,MATCH(E1148,'Cost_Components'!$A$2:$A$27,0)),"")</f>
      </c>
      <c r="AE1148" s="20" t="str">
        <f>IFERROR(INDEX('Cost_Components'!$O$2:$O$27,MATCH(E1148,'Cost_Components'!$A$2:$A$27,0)),"")</f>
      </c>
      <c r="AF1148" s="85" t="n">
        <v>815210.899370791</v>
      </c>
      <c r="AG1148" s="86" t="n">
        <v>815046.40369598</v>
      </c>
      <c r="AH1148" s="87" t="str">
        <f>IF(H1148="shared-count-once",COUNTIFS($A$2:$A$1353,A1148,$B$2:$B$1353,B1148,$E$2:$E$1353,E1148),1)</f>
      </c>
    </row>
    <row r="1149">
      <c r="A1149" t="s">
        <v>75</v>
      </c>
      <c r="B1149" s="59" t="n">
        <v>2028</v>
      </c>
      <c r="C1149" t="s">
        <v>215</v>
      </c>
      <c r="D1149" t="s">
        <v>212</v>
      </c>
      <c r="E1149" s="60" t="s">
        <v>306</v>
      </c>
      <c r="F1149" s="61" t="s">
        <v>307</v>
      </c>
      <c r="G1149" s="62" t="s">
        <v>216</v>
      </c>
      <c r="H1149" s="63" t="s">
        <v>195</v>
      </c>
      <c r="I1149" s="64" t="s">
        <v>267</v>
      </c>
      <c r="J1149" s="65" t="str">
        <f>IFERROR(INDEX('Cost_Components'!$K$2:$K$27,MATCH(E1149,'Cost_Components'!$A$2:$A$27,0)),"")</f>
      </c>
      <c r="K1149" s="66" t="str">
        <f>IF(OR(L1149="",Z1149="",AA1149="",AB1149=""),"",IF(B1149&lt;AA1149,L1149,IF(B1149&gt;AB1149,Z1149,L1149+(Z1149-L1149)*MIN(MAX((B1149-AA1149+1)/MAX(AB1149-AA1149+1,1),0),1))))</f>
      </c>
      <c r="L1149" s="67" t="str">
        <f>IFERROR(INDEX('Cost_Components'!$S$2:$S$27,MATCH(E1149,'Cost_Components'!$A$2:$A$27,0)),"")</f>
      </c>
      <c r="M1149" s="68" t="str">
        <f>IFERROR(INDEX('Cost_Components'!$L$2:$L$27,MATCH(E1149,'Cost_Components'!$A$2:$A$27,0)),"")</f>
      </c>
      <c r="N1149" s="69" t="str">
        <f>IFERROR(INDEX('Cost_Components'!$P$2:$P$27,MATCH(E1149,'Cost_Components'!$A$2:$A$27,0)),"")</f>
      </c>
      <c r="O1149" s="70" t="str">
        <f>AF1149*J1149</f>
      </c>
      <c r="P1149" s="71" t="str">
        <f>AG1149*J1149</f>
      </c>
      <c r="Q1149" s="72" t="str">
        <f>P1149*L1149*M1149*N1149</f>
      </c>
      <c r="R1149" s="73" t="str">
        <f>O1149*K1149*M1149*N1149</f>
      </c>
      <c r="S1149" s="74" t="str">
        <f>R1149-Q1149</f>
      </c>
      <c r="T1149" s="20" t="str">
        <f>IFERROR(INDEX('Cost_Components'!$R$2:$R$27,MATCH(E1149,'Cost_Components'!$A$2:$A$27,0)),"")</f>
      </c>
      <c r="U1149" s="75" t="str">
        <f>IFERROR(INDEX('Cost_Components'!$Q$2:$Q$27,MATCH(E1149,'Cost_Components'!$A$2:$A$27,0)),"")</f>
      </c>
      <c r="V1149" s="76" t="str">
        <f>1/(1+'Calculation_Assumptions'!$B$5)^(B1149-'Calculation_Assumptions'!$B$2)</f>
      </c>
      <c r="W1149" s="77" t="str">
        <f>Q1149*V1149</f>
      </c>
      <c r="X1149" s="78" t="str">
        <f>R1149*V1149</f>
      </c>
      <c r="Y1149" s="79" t="str">
        <f>S1149*V1149</f>
      </c>
      <c r="Z1149" s="80" t="str">
        <f>IFERROR(INDEX('Cost_Components'!$T$2:$T$27,MATCH(E1149,'Cost_Components'!$A$2:$A$27,0)),"")</f>
      </c>
      <c r="AA1149" s="81" t="str">
        <f>IFERROR(INDEX('Cost_Components'!$U$2:$U$27,MATCH(E1149,'Cost_Components'!$A$2:$A$27,0)),"")</f>
      </c>
      <c r="AB1149" s="82" t="str">
        <f>IFERROR(INDEX('Cost_Components'!$V$2:$V$27,MATCH(E1149,'Cost_Components'!$A$2:$A$27,0)),"")</f>
      </c>
      <c r="AC1149" s="83" t="str">
        <f>IFERROR(INDEX('Cost_Components'!$M$2:$M$27,MATCH(E1149,'Cost_Components'!$A$2:$A$27,0)),"")</f>
      </c>
      <c r="AD1149" s="84" t="str">
        <f>IFERROR(INDEX('Cost_Components'!$N$2:$N$27,MATCH(E1149,'Cost_Components'!$A$2:$A$27,0)),"")</f>
      </c>
      <c r="AE1149" s="20" t="str">
        <f>IFERROR(INDEX('Cost_Components'!$O$2:$O$27,MATCH(E1149,'Cost_Components'!$A$2:$A$27,0)),"")</f>
      </c>
      <c r="AF1149" s="85" t="n">
        <v>817252.479786755</v>
      </c>
      <c r="AG1149" s="86" t="n">
        <v>816990.516938807</v>
      </c>
      <c r="AH1149" s="87" t="str">
        <f>IF(H1149="shared-count-once",COUNTIFS($A$2:$A$1353,A1149,$B$2:$B$1353,B1149,$E$2:$E$1353,E1149),1)</f>
      </c>
    </row>
    <row r="1150">
      <c r="A1150" t="s">
        <v>75</v>
      </c>
      <c r="B1150" s="59" t="n">
        <v>2029</v>
      </c>
      <c r="C1150" t="s">
        <v>215</v>
      </c>
      <c r="D1150" t="s">
        <v>212</v>
      </c>
      <c r="E1150" s="60" t="s">
        <v>306</v>
      </c>
      <c r="F1150" s="61" t="s">
        <v>307</v>
      </c>
      <c r="G1150" s="62" t="s">
        <v>216</v>
      </c>
      <c r="H1150" s="63" t="s">
        <v>195</v>
      </c>
      <c r="I1150" s="64" t="s">
        <v>267</v>
      </c>
      <c r="J1150" s="65" t="str">
        <f>IFERROR(INDEX('Cost_Components'!$K$2:$K$27,MATCH(E1150,'Cost_Components'!$A$2:$A$27,0)),"")</f>
      </c>
      <c r="K1150" s="66" t="str">
        <f>IF(OR(L1150="",Z1150="",AA1150="",AB1150=""),"",IF(B1150&lt;AA1150,L1150,IF(B1150&gt;AB1150,Z1150,L1150+(Z1150-L1150)*MIN(MAX((B1150-AA1150+1)/MAX(AB1150-AA1150+1,1),0),1))))</f>
      </c>
      <c r="L1150" s="67" t="str">
        <f>IFERROR(INDEX('Cost_Components'!$S$2:$S$27,MATCH(E1150,'Cost_Components'!$A$2:$A$27,0)),"")</f>
      </c>
      <c r="M1150" s="68" t="str">
        <f>IFERROR(INDEX('Cost_Components'!$L$2:$L$27,MATCH(E1150,'Cost_Components'!$A$2:$A$27,0)),"")</f>
      </c>
      <c r="N1150" s="69" t="str">
        <f>IFERROR(INDEX('Cost_Components'!$P$2:$P$27,MATCH(E1150,'Cost_Components'!$A$2:$A$27,0)),"")</f>
      </c>
      <c r="O1150" s="70" t="str">
        <f>AF1150*J1150</f>
      </c>
      <c r="P1150" s="71" t="str">
        <f>AG1150*J1150</f>
      </c>
      <c r="Q1150" s="72" t="str">
        <f>P1150*L1150*M1150*N1150</f>
      </c>
      <c r="R1150" s="73" t="str">
        <f>O1150*K1150*M1150*N1150</f>
      </c>
      <c r="S1150" s="74" t="str">
        <f>R1150-Q1150</f>
      </c>
      <c r="T1150" s="20" t="str">
        <f>IFERROR(INDEX('Cost_Components'!$R$2:$R$27,MATCH(E1150,'Cost_Components'!$A$2:$A$27,0)),"")</f>
      </c>
      <c r="U1150" s="75" t="str">
        <f>IFERROR(INDEX('Cost_Components'!$Q$2:$Q$27,MATCH(E1150,'Cost_Components'!$A$2:$A$27,0)),"")</f>
      </c>
      <c r="V1150" s="76" t="str">
        <f>1/(1+'Calculation_Assumptions'!$B$5)^(B1150-'Calculation_Assumptions'!$B$2)</f>
      </c>
      <c r="W1150" s="77" t="str">
        <f>Q1150*V1150</f>
      </c>
      <c r="X1150" s="78" t="str">
        <f>R1150*V1150</f>
      </c>
      <c r="Y1150" s="79" t="str">
        <f>S1150*V1150</f>
      </c>
      <c r="Z1150" s="80" t="str">
        <f>IFERROR(INDEX('Cost_Components'!$T$2:$T$27,MATCH(E1150,'Cost_Components'!$A$2:$A$27,0)),"")</f>
      </c>
      <c r="AA1150" s="81" t="str">
        <f>IFERROR(INDEX('Cost_Components'!$U$2:$U$27,MATCH(E1150,'Cost_Components'!$A$2:$A$27,0)),"")</f>
      </c>
      <c r="AB1150" s="82" t="str">
        <f>IFERROR(INDEX('Cost_Components'!$V$2:$V$27,MATCH(E1150,'Cost_Components'!$A$2:$A$27,0)),"")</f>
      </c>
      <c r="AC1150" s="83" t="str">
        <f>IFERROR(INDEX('Cost_Components'!$M$2:$M$27,MATCH(E1150,'Cost_Components'!$A$2:$A$27,0)),"")</f>
      </c>
      <c r="AD1150" s="84" t="str">
        <f>IFERROR(INDEX('Cost_Components'!$N$2:$N$27,MATCH(E1150,'Cost_Components'!$A$2:$A$27,0)),"")</f>
      </c>
      <c r="AE1150" s="20" t="str">
        <f>IFERROR(INDEX('Cost_Components'!$O$2:$O$27,MATCH(E1150,'Cost_Components'!$A$2:$A$27,0)),"")</f>
      </c>
      <c r="AF1150" s="85" t="n">
        <v>818511.212583439</v>
      </c>
      <c r="AG1150" s="86" t="n">
        <v>818134.424832171</v>
      </c>
      <c r="AH1150" s="87" t="str">
        <f>IF(H1150="shared-count-once",COUNTIFS($A$2:$A$1353,A1150,$B$2:$B$1353,B1150,$E$2:$E$1353,E1150),1)</f>
      </c>
    </row>
    <row r="1151">
      <c r="A1151" t="s">
        <v>75</v>
      </c>
      <c r="B1151" s="59" t="n">
        <v>2030</v>
      </c>
      <c r="C1151" t="s">
        <v>215</v>
      </c>
      <c r="D1151" t="s">
        <v>212</v>
      </c>
      <c r="E1151" s="60" t="s">
        <v>306</v>
      </c>
      <c r="F1151" s="61" t="s">
        <v>307</v>
      </c>
      <c r="G1151" s="62" t="s">
        <v>216</v>
      </c>
      <c r="H1151" s="63" t="s">
        <v>195</v>
      </c>
      <c r="I1151" s="64" t="s">
        <v>267</v>
      </c>
      <c r="J1151" s="65" t="str">
        <f>IFERROR(INDEX('Cost_Components'!$K$2:$K$27,MATCH(E1151,'Cost_Components'!$A$2:$A$27,0)),"")</f>
      </c>
      <c r="K1151" s="66" t="str">
        <f>IF(OR(L1151="",Z1151="",AA1151="",AB1151=""),"",IF(B1151&lt;AA1151,L1151,IF(B1151&gt;AB1151,Z1151,L1151+(Z1151-L1151)*MIN(MAX((B1151-AA1151+1)/MAX(AB1151-AA1151+1,1),0),1))))</f>
      </c>
      <c r="L1151" s="67" t="str">
        <f>IFERROR(INDEX('Cost_Components'!$S$2:$S$27,MATCH(E1151,'Cost_Components'!$A$2:$A$27,0)),"")</f>
      </c>
      <c r="M1151" s="68" t="str">
        <f>IFERROR(INDEX('Cost_Components'!$L$2:$L$27,MATCH(E1151,'Cost_Components'!$A$2:$A$27,0)),"")</f>
      </c>
      <c r="N1151" s="69" t="str">
        <f>IFERROR(INDEX('Cost_Components'!$P$2:$P$27,MATCH(E1151,'Cost_Components'!$A$2:$A$27,0)),"")</f>
      </c>
      <c r="O1151" s="70" t="str">
        <f>AF1151*J1151</f>
      </c>
      <c r="P1151" s="71" t="str">
        <f>AG1151*J1151</f>
      </c>
      <c r="Q1151" s="72" t="str">
        <f>P1151*L1151*M1151*N1151</f>
      </c>
      <c r="R1151" s="73" t="str">
        <f>O1151*K1151*M1151*N1151</f>
      </c>
      <c r="S1151" s="74" t="str">
        <f>R1151-Q1151</f>
      </c>
      <c r="T1151" s="20" t="str">
        <f>IFERROR(INDEX('Cost_Components'!$R$2:$R$27,MATCH(E1151,'Cost_Components'!$A$2:$A$27,0)),"")</f>
      </c>
      <c r="U1151" s="75" t="str">
        <f>IFERROR(INDEX('Cost_Components'!$Q$2:$Q$27,MATCH(E1151,'Cost_Components'!$A$2:$A$27,0)),"")</f>
      </c>
      <c r="V1151" s="76" t="str">
        <f>1/(1+'Calculation_Assumptions'!$B$5)^(B1151-'Calculation_Assumptions'!$B$2)</f>
      </c>
      <c r="W1151" s="77" t="str">
        <f>Q1151*V1151</f>
      </c>
      <c r="X1151" s="78" t="str">
        <f>R1151*V1151</f>
      </c>
      <c r="Y1151" s="79" t="str">
        <f>S1151*V1151</f>
      </c>
      <c r="Z1151" s="80" t="str">
        <f>IFERROR(INDEX('Cost_Components'!$T$2:$T$27,MATCH(E1151,'Cost_Components'!$A$2:$A$27,0)),"")</f>
      </c>
      <c r="AA1151" s="81" t="str">
        <f>IFERROR(INDEX('Cost_Components'!$U$2:$U$27,MATCH(E1151,'Cost_Components'!$A$2:$A$27,0)),"")</f>
      </c>
      <c r="AB1151" s="82" t="str">
        <f>IFERROR(INDEX('Cost_Components'!$V$2:$V$27,MATCH(E1151,'Cost_Components'!$A$2:$A$27,0)),"")</f>
      </c>
      <c r="AC1151" s="83" t="str">
        <f>IFERROR(INDEX('Cost_Components'!$M$2:$M$27,MATCH(E1151,'Cost_Components'!$A$2:$A$27,0)),"")</f>
      </c>
      <c r="AD1151" s="84" t="str">
        <f>IFERROR(INDEX('Cost_Components'!$N$2:$N$27,MATCH(E1151,'Cost_Components'!$A$2:$A$27,0)),"")</f>
      </c>
      <c r="AE1151" s="20" t="str">
        <f>IFERROR(INDEX('Cost_Components'!$O$2:$O$27,MATCH(E1151,'Cost_Components'!$A$2:$A$27,0)),"")</f>
      </c>
      <c r="AF1151" s="85" t="n">
        <v>819981.359131981</v>
      </c>
      <c r="AG1151" s="86" t="n">
        <v>819477.312158002</v>
      </c>
      <c r="AH1151" s="87" t="str">
        <f>IF(H1151="shared-count-once",COUNTIFS($A$2:$A$1353,A1151,$B$2:$B$1353,B1151,$E$2:$E$1353,E1151),1)</f>
      </c>
    </row>
    <row r="1152">
      <c r="A1152" t="s">
        <v>75</v>
      </c>
      <c r="B1152" s="59" t="n">
        <v>2031</v>
      </c>
      <c r="C1152" t="s">
        <v>215</v>
      </c>
      <c r="D1152" t="s">
        <v>212</v>
      </c>
      <c r="E1152" s="60" t="s">
        <v>306</v>
      </c>
      <c r="F1152" s="61" t="s">
        <v>307</v>
      </c>
      <c r="G1152" s="62" t="s">
        <v>216</v>
      </c>
      <c r="H1152" s="63" t="s">
        <v>195</v>
      </c>
      <c r="I1152" s="64" t="s">
        <v>267</v>
      </c>
      <c r="J1152" s="65" t="str">
        <f>IFERROR(INDEX('Cost_Components'!$K$2:$K$27,MATCH(E1152,'Cost_Components'!$A$2:$A$27,0)),"")</f>
      </c>
      <c r="K1152" s="66" t="str">
        <f>IF(OR(L1152="",Z1152="",AA1152="",AB1152=""),"",IF(B1152&lt;AA1152,L1152,IF(B1152&gt;AB1152,Z1152,L1152+(Z1152-L1152)*MIN(MAX((B1152-AA1152+1)/MAX(AB1152-AA1152+1,1),0),1))))</f>
      </c>
      <c r="L1152" s="67" t="str">
        <f>IFERROR(INDEX('Cost_Components'!$S$2:$S$27,MATCH(E1152,'Cost_Components'!$A$2:$A$27,0)),"")</f>
      </c>
      <c r="M1152" s="68" t="str">
        <f>IFERROR(INDEX('Cost_Components'!$L$2:$L$27,MATCH(E1152,'Cost_Components'!$A$2:$A$27,0)),"")</f>
      </c>
      <c r="N1152" s="69" t="str">
        <f>IFERROR(INDEX('Cost_Components'!$P$2:$P$27,MATCH(E1152,'Cost_Components'!$A$2:$A$27,0)),"")</f>
      </c>
      <c r="O1152" s="70" t="str">
        <f>AF1152*J1152</f>
      </c>
      <c r="P1152" s="71" t="str">
        <f>AG1152*J1152</f>
      </c>
      <c r="Q1152" s="72" t="str">
        <f>P1152*L1152*M1152*N1152</f>
      </c>
      <c r="R1152" s="73" t="str">
        <f>O1152*K1152*M1152*N1152</f>
      </c>
      <c r="S1152" s="74" t="str">
        <f>R1152-Q1152</f>
      </c>
      <c r="T1152" s="20" t="str">
        <f>IFERROR(INDEX('Cost_Components'!$R$2:$R$27,MATCH(E1152,'Cost_Components'!$A$2:$A$27,0)),"")</f>
      </c>
      <c r="U1152" s="75" t="str">
        <f>IFERROR(INDEX('Cost_Components'!$Q$2:$Q$27,MATCH(E1152,'Cost_Components'!$A$2:$A$27,0)),"")</f>
      </c>
      <c r="V1152" s="76" t="str">
        <f>1/(1+'Calculation_Assumptions'!$B$5)^(B1152-'Calculation_Assumptions'!$B$2)</f>
      </c>
      <c r="W1152" s="77" t="str">
        <f>Q1152*V1152</f>
      </c>
      <c r="X1152" s="78" t="str">
        <f>R1152*V1152</f>
      </c>
      <c r="Y1152" s="79" t="str">
        <f>S1152*V1152</f>
      </c>
      <c r="Z1152" s="80" t="str">
        <f>IFERROR(INDEX('Cost_Components'!$T$2:$T$27,MATCH(E1152,'Cost_Components'!$A$2:$A$27,0)),"")</f>
      </c>
      <c r="AA1152" s="81" t="str">
        <f>IFERROR(INDEX('Cost_Components'!$U$2:$U$27,MATCH(E1152,'Cost_Components'!$A$2:$A$27,0)),"")</f>
      </c>
      <c r="AB1152" s="82" t="str">
        <f>IFERROR(INDEX('Cost_Components'!$V$2:$V$27,MATCH(E1152,'Cost_Components'!$A$2:$A$27,0)),"")</f>
      </c>
      <c r="AC1152" s="83" t="str">
        <f>IFERROR(INDEX('Cost_Components'!$M$2:$M$27,MATCH(E1152,'Cost_Components'!$A$2:$A$27,0)),"")</f>
      </c>
      <c r="AD1152" s="84" t="str">
        <f>IFERROR(INDEX('Cost_Components'!$N$2:$N$27,MATCH(E1152,'Cost_Components'!$A$2:$A$27,0)),"")</f>
      </c>
      <c r="AE1152" s="20" t="str">
        <f>IFERROR(INDEX('Cost_Components'!$O$2:$O$27,MATCH(E1152,'Cost_Components'!$A$2:$A$27,0)),"")</f>
      </c>
      <c r="AF1152" s="85" t="n">
        <v>821994.251871751</v>
      </c>
      <c r="AG1152" s="86" t="n">
        <v>821351.265680467</v>
      </c>
      <c r="AH1152" s="87" t="str">
        <f>IF(H1152="shared-count-once",COUNTIFS($A$2:$A$1353,A1152,$B$2:$B$1353,B1152,$E$2:$E$1353,E1152),1)</f>
      </c>
    </row>
    <row r="1153">
      <c r="A1153" t="s">
        <v>75</v>
      </c>
      <c r="B1153" s="59" t="n">
        <v>2032</v>
      </c>
      <c r="C1153" t="s">
        <v>215</v>
      </c>
      <c r="D1153" t="s">
        <v>212</v>
      </c>
      <c r="E1153" s="60" t="s">
        <v>306</v>
      </c>
      <c r="F1153" s="61" t="s">
        <v>307</v>
      </c>
      <c r="G1153" s="62" t="s">
        <v>216</v>
      </c>
      <c r="H1153" s="63" t="s">
        <v>195</v>
      </c>
      <c r="I1153" s="64" t="s">
        <v>267</v>
      </c>
      <c r="J1153" s="65" t="str">
        <f>IFERROR(INDEX('Cost_Components'!$K$2:$K$27,MATCH(E1153,'Cost_Components'!$A$2:$A$27,0)),"")</f>
      </c>
      <c r="K1153" s="66" t="str">
        <f>IF(OR(L1153="",Z1153="",AA1153="",AB1153=""),"",IF(B1153&lt;AA1153,L1153,IF(B1153&gt;AB1153,Z1153,L1153+(Z1153-L1153)*MIN(MAX((B1153-AA1153+1)/MAX(AB1153-AA1153+1,1),0),1))))</f>
      </c>
      <c r="L1153" s="67" t="str">
        <f>IFERROR(INDEX('Cost_Components'!$S$2:$S$27,MATCH(E1153,'Cost_Components'!$A$2:$A$27,0)),"")</f>
      </c>
      <c r="M1153" s="68" t="str">
        <f>IFERROR(INDEX('Cost_Components'!$L$2:$L$27,MATCH(E1153,'Cost_Components'!$A$2:$A$27,0)),"")</f>
      </c>
      <c r="N1153" s="69" t="str">
        <f>IFERROR(INDEX('Cost_Components'!$P$2:$P$27,MATCH(E1153,'Cost_Components'!$A$2:$A$27,0)),"")</f>
      </c>
      <c r="O1153" s="70" t="str">
        <f>AF1153*J1153</f>
      </c>
      <c r="P1153" s="71" t="str">
        <f>AG1153*J1153</f>
      </c>
      <c r="Q1153" s="72" t="str">
        <f>P1153*L1153*M1153*N1153</f>
      </c>
      <c r="R1153" s="73" t="str">
        <f>O1153*K1153*M1153*N1153</f>
      </c>
      <c r="S1153" s="74" t="str">
        <f>R1153-Q1153</f>
      </c>
      <c r="T1153" s="20" t="str">
        <f>IFERROR(INDEX('Cost_Components'!$R$2:$R$27,MATCH(E1153,'Cost_Components'!$A$2:$A$27,0)),"")</f>
      </c>
      <c r="U1153" s="75" t="str">
        <f>IFERROR(INDEX('Cost_Components'!$Q$2:$Q$27,MATCH(E1153,'Cost_Components'!$A$2:$A$27,0)),"")</f>
      </c>
      <c r="V1153" s="76" t="str">
        <f>1/(1+'Calculation_Assumptions'!$B$5)^(B1153-'Calculation_Assumptions'!$B$2)</f>
      </c>
      <c r="W1153" s="77" t="str">
        <f>Q1153*V1153</f>
      </c>
      <c r="X1153" s="78" t="str">
        <f>R1153*V1153</f>
      </c>
      <c r="Y1153" s="79" t="str">
        <f>S1153*V1153</f>
      </c>
      <c r="Z1153" s="80" t="str">
        <f>IFERROR(INDEX('Cost_Components'!$T$2:$T$27,MATCH(E1153,'Cost_Components'!$A$2:$A$27,0)),"")</f>
      </c>
      <c r="AA1153" s="81" t="str">
        <f>IFERROR(INDEX('Cost_Components'!$U$2:$U$27,MATCH(E1153,'Cost_Components'!$A$2:$A$27,0)),"")</f>
      </c>
      <c r="AB1153" s="82" t="str">
        <f>IFERROR(INDEX('Cost_Components'!$V$2:$V$27,MATCH(E1153,'Cost_Components'!$A$2:$A$27,0)),"")</f>
      </c>
      <c r="AC1153" s="83" t="str">
        <f>IFERROR(INDEX('Cost_Components'!$M$2:$M$27,MATCH(E1153,'Cost_Components'!$A$2:$A$27,0)),"")</f>
      </c>
      <c r="AD1153" s="84" t="str">
        <f>IFERROR(INDEX('Cost_Components'!$N$2:$N$27,MATCH(E1153,'Cost_Components'!$A$2:$A$27,0)),"")</f>
      </c>
      <c r="AE1153" s="20" t="str">
        <f>IFERROR(INDEX('Cost_Components'!$O$2:$O$27,MATCH(E1153,'Cost_Components'!$A$2:$A$27,0)),"")</f>
      </c>
      <c r="AF1153" s="85" t="n">
        <v>824856.511041044</v>
      </c>
      <c r="AG1153" s="86" t="n">
        <v>824063.322687065</v>
      </c>
      <c r="AH1153" s="87" t="str">
        <f>IF(H1153="shared-count-once",COUNTIFS($A$2:$A$1353,A1153,$B$2:$B$1353,B1153,$E$2:$E$1353,E1153),1)</f>
      </c>
    </row>
    <row r="1154">
      <c r="A1154" t="s">
        <v>75</v>
      </c>
      <c r="B1154" s="59" t="n">
        <v>2033</v>
      </c>
      <c r="C1154" t="s">
        <v>215</v>
      </c>
      <c r="D1154" t="s">
        <v>212</v>
      </c>
      <c r="E1154" s="60" t="s">
        <v>306</v>
      </c>
      <c r="F1154" s="61" t="s">
        <v>307</v>
      </c>
      <c r="G1154" s="62" t="s">
        <v>216</v>
      </c>
      <c r="H1154" s="63" t="s">
        <v>195</v>
      </c>
      <c r="I1154" s="64" t="s">
        <v>267</v>
      </c>
      <c r="J1154" s="65" t="str">
        <f>IFERROR(INDEX('Cost_Components'!$K$2:$K$27,MATCH(E1154,'Cost_Components'!$A$2:$A$27,0)),"")</f>
      </c>
      <c r="K1154" s="66" t="str">
        <f>IF(OR(L1154="",Z1154="",AA1154="",AB1154=""),"",IF(B1154&lt;AA1154,L1154,IF(B1154&gt;AB1154,Z1154,L1154+(Z1154-L1154)*MIN(MAX((B1154-AA1154+1)/MAX(AB1154-AA1154+1,1),0),1))))</f>
      </c>
      <c r="L1154" s="67" t="str">
        <f>IFERROR(INDEX('Cost_Components'!$S$2:$S$27,MATCH(E1154,'Cost_Components'!$A$2:$A$27,0)),"")</f>
      </c>
      <c r="M1154" s="68" t="str">
        <f>IFERROR(INDEX('Cost_Components'!$L$2:$L$27,MATCH(E1154,'Cost_Components'!$A$2:$A$27,0)),"")</f>
      </c>
      <c r="N1154" s="69" t="str">
        <f>IFERROR(INDEX('Cost_Components'!$P$2:$P$27,MATCH(E1154,'Cost_Components'!$A$2:$A$27,0)),"")</f>
      </c>
      <c r="O1154" s="70" t="str">
        <f>AF1154*J1154</f>
      </c>
      <c r="P1154" s="71" t="str">
        <f>AG1154*J1154</f>
      </c>
      <c r="Q1154" s="72" t="str">
        <f>P1154*L1154*M1154*N1154</f>
      </c>
      <c r="R1154" s="73" t="str">
        <f>O1154*K1154*M1154*N1154</f>
      </c>
      <c r="S1154" s="74" t="str">
        <f>R1154-Q1154</f>
      </c>
      <c r="T1154" s="20" t="str">
        <f>IFERROR(INDEX('Cost_Components'!$R$2:$R$27,MATCH(E1154,'Cost_Components'!$A$2:$A$27,0)),"")</f>
      </c>
      <c r="U1154" s="75" t="str">
        <f>IFERROR(INDEX('Cost_Components'!$Q$2:$Q$27,MATCH(E1154,'Cost_Components'!$A$2:$A$27,0)),"")</f>
      </c>
      <c r="V1154" s="76" t="str">
        <f>1/(1+'Calculation_Assumptions'!$B$5)^(B1154-'Calculation_Assumptions'!$B$2)</f>
      </c>
      <c r="W1154" s="77" t="str">
        <f>Q1154*V1154</f>
      </c>
      <c r="X1154" s="78" t="str">
        <f>R1154*V1154</f>
      </c>
      <c r="Y1154" s="79" t="str">
        <f>S1154*V1154</f>
      </c>
      <c r="Z1154" s="80" t="str">
        <f>IFERROR(INDEX('Cost_Components'!$T$2:$T$27,MATCH(E1154,'Cost_Components'!$A$2:$A$27,0)),"")</f>
      </c>
      <c r="AA1154" s="81" t="str">
        <f>IFERROR(INDEX('Cost_Components'!$U$2:$U$27,MATCH(E1154,'Cost_Components'!$A$2:$A$27,0)),"")</f>
      </c>
      <c r="AB1154" s="82" t="str">
        <f>IFERROR(INDEX('Cost_Components'!$V$2:$V$27,MATCH(E1154,'Cost_Components'!$A$2:$A$27,0)),"")</f>
      </c>
      <c r="AC1154" s="83" t="str">
        <f>IFERROR(INDEX('Cost_Components'!$M$2:$M$27,MATCH(E1154,'Cost_Components'!$A$2:$A$27,0)),"")</f>
      </c>
      <c r="AD1154" s="84" t="str">
        <f>IFERROR(INDEX('Cost_Components'!$N$2:$N$27,MATCH(E1154,'Cost_Components'!$A$2:$A$27,0)),"")</f>
      </c>
      <c r="AE1154" s="20" t="str">
        <f>IFERROR(INDEX('Cost_Components'!$O$2:$O$27,MATCH(E1154,'Cost_Components'!$A$2:$A$27,0)),"")</f>
      </c>
      <c r="AF1154" s="85" t="n">
        <v>828411.660147917</v>
      </c>
      <c r="AG1154" s="86" t="n">
        <v>827457.794774075</v>
      </c>
      <c r="AH1154" s="87" t="str">
        <f>IF(H1154="shared-count-once",COUNTIFS($A$2:$A$1353,A1154,$B$2:$B$1353,B1154,$E$2:$E$1353,E1154),1)</f>
      </c>
    </row>
    <row r="1155">
      <c r="A1155" t="s">
        <v>75</v>
      </c>
      <c r="B1155" s="59" t="n">
        <v>2034</v>
      </c>
      <c r="C1155" t="s">
        <v>215</v>
      </c>
      <c r="D1155" t="s">
        <v>212</v>
      </c>
      <c r="E1155" s="60" t="s">
        <v>306</v>
      </c>
      <c r="F1155" s="61" t="s">
        <v>307</v>
      </c>
      <c r="G1155" s="62" t="s">
        <v>216</v>
      </c>
      <c r="H1155" s="63" t="s">
        <v>195</v>
      </c>
      <c r="I1155" s="64" t="s">
        <v>267</v>
      </c>
      <c r="J1155" s="65" t="str">
        <f>IFERROR(INDEX('Cost_Components'!$K$2:$K$27,MATCH(E1155,'Cost_Components'!$A$2:$A$27,0)),"")</f>
      </c>
      <c r="K1155" s="66" t="str">
        <f>IF(OR(L1155="",Z1155="",AA1155="",AB1155=""),"",IF(B1155&lt;AA1155,L1155,IF(B1155&gt;AB1155,Z1155,L1155+(Z1155-L1155)*MIN(MAX((B1155-AA1155+1)/MAX(AB1155-AA1155+1,1),0),1))))</f>
      </c>
      <c r="L1155" s="67" t="str">
        <f>IFERROR(INDEX('Cost_Components'!$S$2:$S$27,MATCH(E1155,'Cost_Components'!$A$2:$A$27,0)),"")</f>
      </c>
      <c r="M1155" s="68" t="str">
        <f>IFERROR(INDEX('Cost_Components'!$L$2:$L$27,MATCH(E1155,'Cost_Components'!$A$2:$A$27,0)),"")</f>
      </c>
      <c r="N1155" s="69" t="str">
        <f>IFERROR(INDEX('Cost_Components'!$P$2:$P$27,MATCH(E1155,'Cost_Components'!$A$2:$A$27,0)),"")</f>
      </c>
      <c r="O1155" s="70" t="str">
        <f>AF1155*J1155</f>
      </c>
      <c r="P1155" s="71" t="str">
        <f>AG1155*J1155</f>
      </c>
      <c r="Q1155" s="72" t="str">
        <f>P1155*L1155*M1155*N1155</f>
      </c>
      <c r="R1155" s="73" t="str">
        <f>O1155*K1155*M1155*N1155</f>
      </c>
      <c r="S1155" s="74" t="str">
        <f>R1155-Q1155</f>
      </c>
      <c r="T1155" s="20" t="str">
        <f>IFERROR(INDEX('Cost_Components'!$R$2:$R$27,MATCH(E1155,'Cost_Components'!$A$2:$A$27,0)),"")</f>
      </c>
      <c r="U1155" s="75" t="str">
        <f>IFERROR(INDEX('Cost_Components'!$Q$2:$Q$27,MATCH(E1155,'Cost_Components'!$A$2:$A$27,0)),"")</f>
      </c>
      <c r="V1155" s="76" t="str">
        <f>1/(1+'Calculation_Assumptions'!$B$5)^(B1155-'Calculation_Assumptions'!$B$2)</f>
      </c>
      <c r="W1155" s="77" t="str">
        <f>Q1155*V1155</f>
      </c>
      <c r="X1155" s="78" t="str">
        <f>R1155*V1155</f>
      </c>
      <c r="Y1155" s="79" t="str">
        <f>S1155*V1155</f>
      </c>
      <c r="Z1155" s="80" t="str">
        <f>IFERROR(INDEX('Cost_Components'!$T$2:$T$27,MATCH(E1155,'Cost_Components'!$A$2:$A$27,0)),"")</f>
      </c>
      <c r="AA1155" s="81" t="str">
        <f>IFERROR(INDEX('Cost_Components'!$U$2:$U$27,MATCH(E1155,'Cost_Components'!$A$2:$A$27,0)),"")</f>
      </c>
      <c r="AB1155" s="82" t="str">
        <f>IFERROR(INDEX('Cost_Components'!$V$2:$V$27,MATCH(E1155,'Cost_Components'!$A$2:$A$27,0)),"")</f>
      </c>
      <c r="AC1155" s="83" t="str">
        <f>IFERROR(INDEX('Cost_Components'!$M$2:$M$27,MATCH(E1155,'Cost_Components'!$A$2:$A$27,0)),"")</f>
      </c>
      <c r="AD1155" s="84" t="str">
        <f>IFERROR(INDEX('Cost_Components'!$N$2:$N$27,MATCH(E1155,'Cost_Components'!$A$2:$A$27,0)),"")</f>
      </c>
      <c r="AE1155" s="20" t="str">
        <f>IFERROR(INDEX('Cost_Components'!$O$2:$O$27,MATCH(E1155,'Cost_Components'!$A$2:$A$27,0)),"")</f>
      </c>
      <c r="AF1155" s="85" t="n">
        <v>831398.720421836</v>
      </c>
      <c r="AG1155" s="86" t="n">
        <v>830275.560324906</v>
      </c>
      <c r="AH1155" s="87" t="str">
        <f>IF(H1155="shared-count-once",COUNTIFS($A$2:$A$1353,A1155,$B$2:$B$1353,B1155,$E$2:$E$1353,E1155),1)</f>
      </c>
    </row>
    <row r="1156">
      <c r="A1156" t="s">
        <v>75</v>
      </c>
      <c r="B1156" s="59" t="n">
        <v>2035</v>
      </c>
      <c r="C1156" t="s">
        <v>215</v>
      </c>
      <c r="D1156" t="s">
        <v>212</v>
      </c>
      <c r="E1156" s="60" t="s">
        <v>306</v>
      </c>
      <c r="F1156" s="61" t="s">
        <v>307</v>
      </c>
      <c r="G1156" s="62" t="s">
        <v>216</v>
      </c>
      <c r="H1156" s="63" t="s">
        <v>195</v>
      </c>
      <c r="I1156" s="64" t="s">
        <v>267</v>
      </c>
      <c r="J1156" s="65" t="str">
        <f>IFERROR(INDEX('Cost_Components'!$K$2:$K$27,MATCH(E1156,'Cost_Components'!$A$2:$A$27,0)),"")</f>
      </c>
      <c r="K1156" s="66" t="str">
        <f>IF(OR(L1156="",Z1156="",AA1156="",AB1156=""),"",IF(B1156&lt;AA1156,L1156,IF(B1156&gt;AB1156,Z1156,L1156+(Z1156-L1156)*MIN(MAX((B1156-AA1156+1)/MAX(AB1156-AA1156+1,1),0),1))))</f>
      </c>
      <c r="L1156" s="67" t="str">
        <f>IFERROR(INDEX('Cost_Components'!$S$2:$S$27,MATCH(E1156,'Cost_Components'!$A$2:$A$27,0)),"")</f>
      </c>
      <c r="M1156" s="68" t="str">
        <f>IFERROR(INDEX('Cost_Components'!$L$2:$L$27,MATCH(E1156,'Cost_Components'!$A$2:$A$27,0)),"")</f>
      </c>
      <c r="N1156" s="69" t="str">
        <f>IFERROR(INDEX('Cost_Components'!$P$2:$P$27,MATCH(E1156,'Cost_Components'!$A$2:$A$27,0)),"")</f>
      </c>
      <c r="O1156" s="70" t="str">
        <f>AF1156*J1156</f>
      </c>
      <c r="P1156" s="71" t="str">
        <f>AG1156*J1156</f>
      </c>
      <c r="Q1156" s="72" t="str">
        <f>P1156*L1156*M1156*N1156</f>
      </c>
      <c r="R1156" s="73" t="str">
        <f>O1156*K1156*M1156*N1156</f>
      </c>
      <c r="S1156" s="74" t="str">
        <f>R1156-Q1156</f>
      </c>
      <c r="T1156" s="20" t="str">
        <f>IFERROR(INDEX('Cost_Components'!$R$2:$R$27,MATCH(E1156,'Cost_Components'!$A$2:$A$27,0)),"")</f>
      </c>
      <c r="U1156" s="75" t="str">
        <f>IFERROR(INDEX('Cost_Components'!$Q$2:$Q$27,MATCH(E1156,'Cost_Components'!$A$2:$A$27,0)),"")</f>
      </c>
      <c r="V1156" s="76" t="str">
        <f>1/(1+'Calculation_Assumptions'!$B$5)^(B1156-'Calculation_Assumptions'!$B$2)</f>
      </c>
      <c r="W1156" s="77" t="str">
        <f>Q1156*V1156</f>
      </c>
      <c r="X1156" s="78" t="str">
        <f>R1156*V1156</f>
      </c>
      <c r="Y1156" s="79" t="str">
        <f>S1156*V1156</f>
      </c>
      <c r="Z1156" s="80" t="str">
        <f>IFERROR(INDEX('Cost_Components'!$T$2:$T$27,MATCH(E1156,'Cost_Components'!$A$2:$A$27,0)),"")</f>
      </c>
      <c r="AA1156" s="81" t="str">
        <f>IFERROR(INDEX('Cost_Components'!$U$2:$U$27,MATCH(E1156,'Cost_Components'!$A$2:$A$27,0)),"")</f>
      </c>
      <c r="AB1156" s="82" t="str">
        <f>IFERROR(INDEX('Cost_Components'!$V$2:$V$27,MATCH(E1156,'Cost_Components'!$A$2:$A$27,0)),"")</f>
      </c>
      <c r="AC1156" s="83" t="str">
        <f>IFERROR(INDEX('Cost_Components'!$M$2:$M$27,MATCH(E1156,'Cost_Components'!$A$2:$A$27,0)),"")</f>
      </c>
      <c r="AD1156" s="84" t="str">
        <f>IFERROR(INDEX('Cost_Components'!$N$2:$N$27,MATCH(E1156,'Cost_Components'!$A$2:$A$27,0)),"")</f>
      </c>
      <c r="AE1156" s="20" t="str">
        <f>IFERROR(INDEX('Cost_Components'!$O$2:$O$27,MATCH(E1156,'Cost_Components'!$A$2:$A$27,0)),"")</f>
      </c>
      <c r="AF1156" s="85" t="n">
        <v>830957.220964831</v>
      </c>
      <c r="AG1156" s="86" t="n">
        <v>829664.484720266</v>
      </c>
      <c r="AH1156" s="87" t="str">
        <f>IF(H1156="shared-count-once",COUNTIFS($A$2:$A$1353,A1156,$B$2:$B$1353,B1156,$E$2:$E$1353,E1156),1)</f>
      </c>
    </row>
    <row r="1157">
      <c r="A1157" t="s">
        <v>75</v>
      </c>
      <c r="B1157" s="59" t="n">
        <v>2036</v>
      </c>
      <c r="C1157" t="s">
        <v>215</v>
      </c>
      <c r="D1157" t="s">
        <v>212</v>
      </c>
      <c r="E1157" s="60" t="s">
        <v>306</v>
      </c>
      <c r="F1157" s="61" t="s">
        <v>307</v>
      </c>
      <c r="G1157" s="62" t="s">
        <v>216</v>
      </c>
      <c r="H1157" s="63" t="s">
        <v>195</v>
      </c>
      <c r="I1157" s="64" t="s">
        <v>267</v>
      </c>
      <c r="J1157" s="65" t="str">
        <f>IFERROR(INDEX('Cost_Components'!$K$2:$K$27,MATCH(E1157,'Cost_Components'!$A$2:$A$27,0)),"")</f>
      </c>
      <c r="K1157" s="66" t="str">
        <f>IF(OR(L1157="",Z1157="",AA1157="",AB1157=""),"",IF(B1157&lt;AA1157,L1157,IF(B1157&gt;AB1157,Z1157,L1157+(Z1157-L1157)*MIN(MAX((B1157-AA1157+1)/MAX(AB1157-AA1157+1,1),0),1))))</f>
      </c>
      <c r="L1157" s="67" t="str">
        <f>IFERROR(INDEX('Cost_Components'!$S$2:$S$27,MATCH(E1157,'Cost_Components'!$A$2:$A$27,0)),"")</f>
      </c>
      <c r="M1157" s="68" t="str">
        <f>IFERROR(INDEX('Cost_Components'!$L$2:$L$27,MATCH(E1157,'Cost_Components'!$A$2:$A$27,0)),"")</f>
      </c>
      <c r="N1157" s="69" t="str">
        <f>IFERROR(INDEX('Cost_Components'!$P$2:$P$27,MATCH(E1157,'Cost_Components'!$A$2:$A$27,0)),"")</f>
      </c>
      <c r="O1157" s="70" t="str">
        <f>AF1157*J1157</f>
      </c>
      <c r="P1157" s="71" t="str">
        <f>AG1157*J1157</f>
      </c>
      <c r="Q1157" s="72" t="str">
        <f>P1157*L1157*M1157*N1157</f>
      </c>
      <c r="R1157" s="73" t="str">
        <f>O1157*K1157*M1157*N1157</f>
      </c>
      <c r="S1157" s="74" t="str">
        <f>R1157-Q1157</f>
      </c>
      <c r="T1157" s="20" t="str">
        <f>IFERROR(INDEX('Cost_Components'!$R$2:$R$27,MATCH(E1157,'Cost_Components'!$A$2:$A$27,0)),"")</f>
      </c>
      <c r="U1157" s="75" t="str">
        <f>IFERROR(INDEX('Cost_Components'!$Q$2:$Q$27,MATCH(E1157,'Cost_Components'!$A$2:$A$27,0)),"")</f>
      </c>
      <c r="V1157" s="76" t="str">
        <f>1/(1+'Calculation_Assumptions'!$B$5)^(B1157-'Calculation_Assumptions'!$B$2)</f>
      </c>
      <c r="W1157" s="77" t="str">
        <f>Q1157*V1157</f>
      </c>
      <c r="X1157" s="78" t="str">
        <f>R1157*V1157</f>
      </c>
      <c r="Y1157" s="79" t="str">
        <f>S1157*V1157</f>
      </c>
      <c r="Z1157" s="80" t="str">
        <f>IFERROR(INDEX('Cost_Components'!$T$2:$T$27,MATCH(E1157,'Cost_Components'!$A$2:$A$27,0)),"")</f>
      </c>
      <c r="AA1157" s="81" t="str">
        <f>IFERROR(INDEX('Cost_Components'!$U$2:$U$27,MATCH(E1157,'Cost_Components'!$A$2:$A$27,0)),"")</f>
      </c>
      <c r="AB1157" s="82" t="str">
        <f>IFERROR(INDEX('Cost_Components'!$V$2:$V$27,MATCH(E1157,'Cost_Components'!$A$2:$A$27,0)),"")</f>
      </c>
      <c r="AC1157" s="83" t="str">
        <f>IFERROR(INDEX('Cost_Components'!$M$2:$M$27,MATCH(E1157,'Cost_Components'!$A$2:$A$27,0)),"")</f>
      </c>
      <c r="AD1157" s="84" t="str">
        <f>IFERROR(INDEX('Cost_Components'!$N$2:$N$27,MATCH(E1157,'Cost_Components'!$A$2:$A$27,0)),"")</f>
      </c>
      <c r="AE1157" s="20" t="str">
        <f>IFERROR(INDEX('Cost_Components'!$O$2:$O$27,MATCH(E1157,'Cost_Components'!$A$2:$A$27,0)),"")</f>
      </c>
      <c r="AF1157" s="85" t="n">
        <v>830576.600510449</v>
      </c>
      <c r="AG1157" s="86" t="n">
        <v>829110.320762237</v>
      </c>
      <c r="AH1157" s="87" t="str">
        <f>IF(H1157="shared-count-once",COUNTIFS($A$2:$A$1353,A1157,$B$2:$B$1353,B1157,$E$2:$E$1353,E1157),1)</f>
      </c>
    </row>
    <row r="1158">
      <c r="A1158" t="s">
        <v>75</v>
      </c>
      <c r="B1158" s="59" t="n">
        <v>2037</v>
      </c>
      <c r="C1158" t="s">
        <v>215</v>
      </c>
      <c r="D1158" t="s">
        <v>212</v>
      </c>
      <c r="E1158" s="60" t="s">
        <v>306</v>
      </c>
      <c r="F1158" s="61" t="s">
        <v>307</v>
      </c>
      <c r="G1158" s="62" t="s">
        <v>216</v>
      </c>
      <c r="H1158" s="63" t="s">
        <v>195</v>
      </c>
      <c r="I1158" s="64" t="s">
        <v>267</v>
      </c>
      <c r="J1158" s="65" t="str">
        <f>IFERROR(INDEX('Cost_Components'!$K$2:$K$27,MATCH(E1158,'Cost_Components'!$A$2:$A$27,0)),"")</f>
      </c>
      <c r="K1158" s="66" t="str">
        <f>IF(OR(L1158="",Z1158="",AA1158="",AB1158=""),"",IF(B1158&lt;AA1158,L1158,IF(B1158&gt;AB1158,Z1158,L1158+(Z1158-L1158)*MIN(MAX((B1158-AA1158+1)/MAX(AB1158-AA1158+1,1),0),1))))</f>
      </c>
      <c r="L1158" s="67" t="str">
        <f>IFERROR(INDEX('Cost_Components'!$S$2:$S$27,MATCH(E1158,'Cost_Components'!$A$2:$A$27,0)),"")</f>
      </c>
      <c r="M1158" s="68" t="str">
        <f>IFERROR(INDEX('Cost_Components'!$L$2:$L$27,MATCH(E1158,'Cost_Components'!$A$2:$A$27,0)),"")</f>
      </c>
      <c r="N1158" s="69" t="str">
        <f>IFERROR(INDEX('Cost_Components'!$P$2:$P$27,MATCH(E1158,'Cost_Components'!$A$2:$A$27,0)),"")</f>
      </c>
      <c r="O1158" s="70" t="str">
        <f>AF1158*J1158</f>
      </c>
      <c r="P1158" s="71" t="str">
        <f>AG1158*J1158</f>
      </c>
      <c r="Q1158" s="72" t="str">
        <f>P1158*L1158*M1158*N1158</f>
      </c>
      <c r="R1158" s="73" t="str">
        <f>O1158*K1158*M1158*N1158</f>
      </c>
      <c r="S1158" s="74" t="str">
        <f>R1158-Q1158</f>
      </c>
      <c r="T1158" s="20" t="str">
        <f>IFERROR(INDEX('Cost_Components'!$R$2:$R$27,MATCH(E1158,'Cost_Components'!$A$2:$A$27,0)),"")</f>
      </c>
      <c r="U1158" s="75" t="str">
        <f>IFERROR(INDEX('Cost_Components'!$Q$2:$Q$27,MATCH(E1158,'Cost_Components'!$A$2:$A$27,0)),"")</f>
      </c>
      <c r="V1158" s="76" t="str">
        <f>1/(1+'Calculation_Assumptions'!$B$5)^(B1158-'Calculation_Assumptions'!$B$2)</f>
      </c>
      <c r="W1158" s="77" t="str">
        <f>Q1158*V1158</f>
      </c>
      <c r="X1158" s="78" t="str">
        <f>R1158*V1158</f>
      </c>
      <c r="Y1158" s="79" t="str">
        <f>S1158*V1158</f>
      </c>
      <c r="Z1158" s="80" t="str">
        <f>IFERROR(INDEX('Cost_Components'!$T$2:$T$27,MATCH(E1158,'Cost_Components'!$A$2:$A$27,0)),"")</f>
      </c>
      <c r="AA1158" s="81" t="str">
        <f>IFERROR(INDEX('Cost_Components'!$U$2:$U$27,MATCH(E1158,'Cost_Components'!$A$2:$A$27,0)),"")</f>
      </c>
      <c r="AB1158" s="82" t="str">
        <f>IFERROR(INDEX('Cost_Components'!$V$2:$V$27,MATCH(E1158,'Cost_Components'!$A$2:$A$27,0)),"")</f>
      </c>
      <c r="AC1158" s="83" t="str">
        <f>IFERROR(INDEX('Cost_Components'!$M$2:$M$27,MATCH(E1158,'Cost_Components'!$A$2:$A$27,0)),"")</f>
      </c>
      <c r="AD1158" s="84" t="str">
        <f>IFERROR(INDEX('Cost_Components'!$N$2:$N$27,MATCH(E1158,'Cost_Components'!$A$2:$A$27,0)),"")</f>
      </c>
      <c r="AE1158" s="20" t="str">
        <f>IFERROR(INDEX('Cost_Components'!$O$2:$O$27,MATCH(E1158,'Cost_Components'!$A$2:$A$27,0)),"")</f>
      </c>
      <c r="AF1158" s="85" t="n">
        <v>830308.679617109</v>
      </c>
      <c r="AG1158" s="86" t="n">
        <v>828664.43987636</v>
      </c>
      <c r="AH1158" s="87" t="str">
        <f>IF(H1158="shared-count-once",COUNTIFS($A$2:$A$1353,A1158,$B$2:$B$1353,B1158,$E$2:$E$1353,E1158),1)</f>
      </c>
    </row>
    <row r="1159">
      <c r="A1159" t="s">
        <v>75</v>
      </c>
      <c r="B1159" s="59" t="n">
        <v>2038</v>
      </c>
      <c r="C1159" t="s">
        <v>215</v>
      </c>
      <c r="D1159" t="s">
        <v>212</v>
      </c>
      <c r="E1159" s="60" t="s">
        <v>306</v>
      </c>
      <c r="F1159" s="61" t="s">
        <v>307</v>
      </c>
      <c r="G1159" s="62" t="s">
        <v>216</v>
      </c>
      <c r="H1159" s="63" t="s">
        <v>195</v>
      </c>
      <c r="I1159" s="64" t="s">
        <v>267</v>
      </c>
      <c r="J1159" s="65" t="str">
        <f>IFERROR(INDEX('Cost_Components'!$K$2:$K$27,MATCH(E1159,'Cost_Components'!$A$2:$A$27,0)),"")</f>
      </c>
      <c r="K1159" s="66" t="str">
        <f>IF(OR(L1159="",Z1159="",AA1159="",AB1159=""),"",IF(B1159&lt;AA1159,L1159,IF(B1159&gt;AB1159,Z1159,L1159+(Z1159-L1159)*MIN(MAX((B1159-AA1159+1)/MAX(AB1159-AA1159+1,1),0),1))))</f>
      </c>
      <c r="L1159" s="67" t="str">
        <f>IFERROR(INDEX('Cost_Components'!$S$2:$S$27,MATCH(E1159,'Cost_Components'!$A$2:$A$27,0)),"")</f>
      </c>
      <c r="M1159" s="68" t="str">
        <f>IFERROR(INDEX('Cost_Components'!$L$2:$L$27,MATCH(E1159,'Cost_Components'!$A$2:$A$27,0)),"")</f>
      </c>
      <c r="N1159" s="69" t="str">
        <f>IFERROR(INDEX('Cost_Components'!$P$2:$P$27,MATCH(E1159,'Cost_Components'!$A$2:$A$27,0)),"")</f>
      </c>
      <c r="O1159" s="70" t="str">
        <f>AF1159*J1159</f>
      </c>
      <c r="P1159" s="71" t="str">
        <f>AG1159*J1159</f>
      </c>
      <c r="Q1159" s="72" t="str">
        <f>P1159*L1159*M1159*N1159</f>
      </c>
      <c r="R1159" s="73" t="str">
        <f>O1159*K1159*M1159*N1159</f>
      </c>
      <c r="S1159" s="74" t="str">
        <f>R1159-Q1159</f>
      </c>
      <c r="T1159" s="20" t="str">
        <f>IFERROR(INDEX('Cost_Components'!$R$2:$R$27,MATCH(E1159,'Cost_Components'!$A$2:$A$27,0)),"")</f>
      </c>
      <c r="U1159" s="75" t="str">
        <f>IFERROR(INDEX('Cost_Components'!$Q$2:$Q$27,MATCH(E1159,'Cost_Components'!$A$2:$A$27,0)),"")</f>
      </c>
      <c r="V1159" s="76" t="str">
        <f>1/(1+'Calculation_Assumptions'!$B$5)^(B1159-'Calculation_Assumptions'!$B$2)</f>
      </c>
      <c r="W1159" s="77" t="str">
        <f>Q1159*V1159</f>
      </c>
      <c r="X1159" s="78" t="str">
        <f>R1159*V1159</f>
      </c>
      <c r="Y1159" s="79" t="str">
        <f>S1159*V1159</f>
      </c>
      <c r="Z1159" s="80" t="str">
        <f>IFERROR(INDEX('Cost_Components'!$T$2:$T$27,MATCH(E1159,'Cost_Components'!$A$2:$A$27,0)),"")</f>
      </c>
      <c r="AA1159" s="81" t="str">
        <f>IFERROR(INDEX('Cost_Components'!$U$2:$U$27,MATCH(E1159,'Cost_Components'!$A$2:$A$27,0)),"")</f>
      </c>
      <c r="AB1159" s="82" t="str">
        <f>IFERROR(INDEX('Cost_Components'!$V$2:$V$27,MATCH(E1159,'Cost_Components'!$A$2:$A$27,0)),"")</f>
      </c>
      <c r="AC1159" s="83" t="str">
        <f>IFERROR(INDEX('Cost_Components'!$M$2:$M$27,MATCH(E1159,'Cost_Components'!$A$2:$A$27,0)),"")</f>
      </c>
      <c r="AD1159" s="84" t="str">
        <f>IFERROR(INDEX('Cost_Components'!$N$2:$N$27,MATCH(E1159,'Cost_Components'!$A$2:$A$27,0)),"")</f>
      </c>
      <c r="AE1159" s="20" t="str">
        <f>IFERROR(INDEX('Cost_Components'!$O$2:$O$27,MATCH(E1159,'Cost_Components'!$A$2:$A$27,0)),"")</f>
      </c>
      <c r="AF1159" s="85" t="n">
        <v>830378.965858823</v>
      </c>
      <c r="AG1159" s="86" t="n">
        <v>828552.367883504</v>
      </c>
      <c r="AH1159" s="87" t="str">
        <f>IF(H1159="shared-count-once",COUNTIFS($A$2:$A$1353,A1159,$B$2:$B$1353,B1159,$E$2:$E$1353,E1159),1)</f>
      </c>
    </row>
    <row r="1160">
      <c r="A1160" t="s">
        <v>75</v>
      </c>
      <c r="B1160" s="59" t="n">
        <v>2039</v>
      </c>
      <c r="C1160" t="s">
        <v>215</v>
      </c>
      <c r="D1160" t="s">
        <v>212</v>
      </c>
      <c r="E1160" s="60" t="s">
        <v>306</v>
      </c>
      <c r="F1160" s="61" t="s">
        <v>307</v>
      </c>
      <c r="G1160" s="62" t="s">
        <v>216</v>
      </c>
      <c r="H1160" s="63" t="s">
        <v>195</v>
      </c>
      <c r="I1160" s="64" t="s">
        <v>267</v>
      </c>
      <c r="J1160" s="65" t="str">
        <f>IFERROR(INDEX('Cost_Components'!$K$2:$K$27,MATCH(E1160,'Cost_Components'!$A$2:$A$27,0)),"")</f>
      </c>
      <c r="K1160" s="66" t="str">
        <f>IF(OR(L1160="",Z1160="",AA1160="",AB1160=""),"",IF(B1160&lt;AA1160,L1160,IF(B1160&gt;AB1160,Z1160,L1160+(Z1160-L1160)*MIN(MAX((B1160-AA1160+1)/MAX(AB1160-AA1160+1,1),0),1))))</f>
      </c>
      <c r="L1160" s="67" t="str">
        <f>IFERROR(INDEX('Cost_Components'!$S$2:$S$27,MATCH(E1160,'Cost_Components'!$A$2:$A$27,0)),"")</f>
      </c>
      <c r="M1160" s="68" t="str">
        <f>IFERROR(INDEX('Cost_Components'!$L$2:$L$27,MATCH(E1160,'Cost_Components'!$A$2:$A$27,0)),"")</f>
      </c>
      <c r="N1160" s="69" t="str">
        <f>IFERROR(INDEX('Cost_Components'!$P$2:$P$27,MATCH(E1160,'Cost_Components'!$A$2:$A$27,0)),"")</f>
      </c>
      <c r="O1160" s="70" t="str">
        <f>AF1160*J1160</f>
      </c>
      <c r="P1160" s="71" t="str">
        <f>AG1160*J1160</f>
      </c>
      <c r="Q1160" s="72" t="str">
        <f>P1160*L1160*M1160*N1160</f>
      </c>
      <c r="R1160" s="73" t="str">
        <f>O1160*K1160*M1160*N1160</f>
      </c>
      <c r="S1160" s="74" t="str">
        <f>R1160-Q1160</f>
      </c>
      <c r="T1160" s="20" t="str">
        <f>IFERROR(INDEX('Cost_Components'!$R$2:$R$27,MATCH(E1160,'Cost_Components'!$A$2:$A$27,0)),"")</f>
      </c>
      <c r="U1160" s="75" t="str">
        <f>IFERROR(INDEX('Cost_Components'!$Q$2:$Q$27,MATCH(E1160,'Cost_Components'!$A$2:$A$27,0)),"")</f>
      </c>
      <c r="V1160" s="76" t="str">
        <f>1/(1+'Calculation_Assumptions'!$B$5)^(B1160-'Calculation_Assumptions'!$B$2)</f>
      </c>
      <c r="W1160" s="77" t="str">
        <f>Q1160*V1160</f>
      </c>
      <c r="X1160" s="78" t="str">
        <f>R1160*V1160</f>
      </c>
      <c r="Y1160" s="79" t="str">
        <f>S1160*V1160</f>
      </c>
      <c r="Z1160" s="80" t="str">
        <f>IFERROR(INDEX('Cost_Components'!$T$2:$T$27,MATCH(E1160,'Cost_Components'!$A$2:$A$27,0)),"")</f>
      </c>
      <c r="AA1160" s="81" t="str">
        <f>IFERROR(INDEX('Cost_Components'!$U$2:$U$27,MATCH(E1160,'Cost_Components'!$A$2:$A$27,0)),"")</f>
      </c>
      <c r="AB1160" s="82" t="str">
        <f>IFERROR(INDEX('Cost_Components'!$V$2:$V$27,MATCH(E1160,'Cost_Components'!$A$2:$A$27,0)),"")</f>
      </c>
      <c r="AC1160" s="83" t="str">
        <f>IFERROR(INDEX('Cost_Components'!$M$2:$M$27,MATCH(E1160,'Cost_Components'!$A$2:$A$27,0)),"")</f>
      </c>
      <c r="AD1160" s="84" t="str">
        <f>IFERROR(INDEX('Cost_Components'!$N$2:$N$27,MATCH(E1160,'Cost_Components'!$A$2:$A$27,0)),"")</f>
      </c>
      <c r="AE1160" s="20" t="str">
        <f>IFERROR(INDEX('Cost_Components'!$O$2:$O$27,MATCH(E1160,'Cost_Components'!$A$2:$A$27,0)),"")</f>
      </c>
      <c r="AF1160" s="85" t="n">
        <v>830791.474421153</v>
      </c>
      <c r="AG1160" s="86" t="n">
        <v>828779.869131263</v>
      </c>
      <c r="AH1160" s="87" t="str">
        <f>IF(H1160="shared-count-once",COUNTIFS($A$2:$A$1353,A1160,$B$2:$B$1353,B1160,$E$2:$E$1353,E1160),1)</f>
      </c>
    </row>
    <row r="1161">
      <c r="A1161" t="s">
        <v>75</v>
      </c>
      <c r="B1161" s="59" t="n">
        <v>2040</v>
      </c>
      <c r="C1161" t="s">
        <v>215</v>
      </c>
      <c r="D1161" t="s">
        <v>212</v>
      </c>
      <c r="E1161" s="60" t="s">
        <v>306</v>
      </c>
      <c r="F1161" s="61" t="s">
        <v>307</v>
      </c>
      <c r="G1161" s="62" t="s">
        <v>216</v>
      </c>
      <c r="H1161" s="63" t="s">
        <v>195</v>
      </c>
      <c r="I1161" s="64" t="s">
        <v>267</v>
      </c>
      <c r="J1161" s="65" t="str">
        <f>IFERROR(INDEX('Cost_Components'!$K$2:$K$27,MATCH(E1161,'Cost_Components'!$A$2:$A$27,0)),"")</f>
      </c>
      <c r="K1161" s="66" t="str">
        <f>IF(OR(L1161="",Z1161="",AA1161="",AB1161=""),"",IF(B1161&lt;AA1161,L1161,IF(B1161&gt;AB1161,Z1161,L1161+(Z1161-L1161)*MIN(MAX((B1161-AA1161+1)/MAX(AB1161-AA1161+1,1),0),1))))</f>
      </c>
      <c r="L1161" s="67" t="str">
        <f>IFERROR(INDEX('Cost_Components'!$S$2:$S$27,MATCH(E1161,'Cost_Components'!$A$2:$A$27,0)),"")</f>
      </c>
      <c r="M1161" s="68" t="str">
        <f>IFERROR(INDEX('Cost_Components'!$L$2:$L$27,MATCH(E1161,'Cost_Components'!$A$2:$A$27,0)),"")</f>
      </c>
      <c r="N1161" s="69" t="str">
        <f>IFERROR(INDEX('Cost_Components'!$P$2:$P$27,MATCH(E1161,'Cost_Components'!$A$2:$A$27,0)),"")</f>
      </c>
      <c r="O1161" s="70" t="str">
        <f>AF1161*J1161</f>
      </c>
      <c r="P1161" s="71" t="str">
        <f>AG1161*J1161</f>
      </c>
      <c r="Q1161" s="72" t="str">
        <f>P1161*L1161*M1161*N1161</f>
      </c>
      <c r="R1161" s="73" t="str">
        <f>O1161*K1161*M1161*N1161</f>
      </c>
      <c r="S1161" s="74" t="str">
        <f>R1161-Q1161</f>
      </c>
      <c r="T1161" s="20" t="str">
        <f>IFERROR(INDEX('Cost_Components'!$R$2:$R$27,MATCH(E1161,'Cost_Components'!$A$2:$A$27,0)),"")</f>
      </c>
      <c r="U1161" s="75" t="str">
        <f>IFERROR(INDEX('Cost_Components'!$Q$2:$Q$27,MATCH(E1161,'Cost_Components'!$A$2:$A$27,0)),"")</f>
      </c>
      <c r="V1161" s="76" t="str">
        <f>1/(1+'Calculation_Assumptions'!$B$5)^(B1161-'Calculation_Assumptions'!$B$2)</f>
      </c>
      <c r="W1161" s="77" t="str">
        <f>Q1161*V1161</f>
      </c>
      <c r="X1161" s="78" t="str">
        <f>R1161*V1161</f>
      </c>
      <c r="Y1161" s="79" t="str">
        <f>S1161*V1161</f>
      </c>
      <c r="Z1161" s="80" t="str">
        <f>IFERROR(INDEX('Cost_Components'!$T$2:$T$27,MATCH(E1161,'Cost_Components'!$A$2:$A$27,0)),"")</f>
      </c>
      <c r="AA1161" s="81" t="str">
        <f>IFERROR(INDEX('Cost_Components'!$U$2:$U$27,MATCH(E1161,'Cost_Components'!$A$2:$A$27,0)),"")</f>
      </c>
      <c r="AB1161" s="82" t="str">
        <f>IFERROR(INDEX('Cost_Components'!$V$2:$V$27,MATCH(E1161,'Cost_Components'!$A$2:$A$27,0)),"")</f>
      </c>
      <c r="AC1161" s="83" t="str">
        <f>IFERROR(INDEX('Cost_Components'!$M$2:$M$27,MATCH(E1161,'Cost_Components'!$A$2:$A$27,0)),"")</f>
      </c>
      <c r="AD1161" s="84" t="str">
        <f>IFERROR(INDEX('Cost_Components'!$N$2:$N$27,MATCH(E1161,'Cost_Components'!$A$2:$A$27,0)),"")</f>
      </c>
      <c r="AE1161" s="20" t="str">
        <f>IFERROR(INDEX('Cost_Components'!$O$2:$O$27,MATCH(E1161,'Cost_Components'!$A$2:$A$27,0)),"")</f>
      </c>
      <c r="AF1161" s="85" t="n">
        <v>825370.211500134</v>
      </c>
      <c r="AG1161" s="86" t="n">
        <v>823191.745208456</v>
      </c>
      <c r="AH1161" s="87" t="str">
        <f>IF(H1161="shared-count-once",COUNTIFS($A$2:$A$1353,A1161,$B$2:$B$1353,B1161,$E$2:$E$1353,E1161),1)</f>
      </c>
    </row>
    <row r="1162">
      <c r="A1162" t="s">
        <v>75</v>
      </c>
      <c r="B1162" s="59" t="n">
        <v>2041</v>
      </c>
      <c r="C1162" t="s">
        <v>215</v>
      </c>
      <c r="D1162" t="s">
        <v>212</v>
      </c>
      <c r="E1162" s="60" t="s">
        <v>306</v>
      </c>
      <c r="F1162" s="61" t="s">
        <v>307</v>
      </c>
      <c r="G1162" s="62" t="s">
        <v>216</v>
      </c>
      <c r="H1162" s="63" t="s">
        <v>195</v>
      </c>
      <c r="I1162" s="64" t="s">
        <v>267</v>
      </c>
      <c r="J1162" s="65" t="str">
        <f>IFERROR(INDEX('Cost_Components'!$K$2:$K$27,MATCH(E1162,'Cost_Components'!$A$2:$A$27,0)),"")</f>
      </c>
      <c r="K1162" s="66" t="str">
        <f>IF(OR(L1162="",Z1162="",AA1162="",AB1162=""),"",IF(B1162&lt;AA1162,L1162,IF(B1162&gt;AB1162,Z1162,L1162+(Z1162-L1162)*MIN(MAX((B1162-AA1162+1)/MAX(AB1162-AA1162+1,1),0),1))))</f>
      </c>
      <c r="L1162" s="67" t="str">
        <f>IFERROR(INDEX('Cost_Components'!$S$2:$S$27,MATCH(E1162,'Cost_Components'!$A$2:$A$27,0)),"")</f>
      </c>
      <c r="M1162" s="68" t="str">
        <f>IFERROR(INDEX('Cost_Components'!$L$2:$L$27,MATCH(E1162,'Cost_Components'!$A$2:$A$27,0)),"")</f>
      </c>
      <c r="N1162" s="69" t="str">
        <f>IFERROR(INDEX('Cost_Components'!$P$2:$P$27,MATCH(E1162,'Cost_Components'!$A$2:$A$27,0)),"")</f>
      </c>
      <c r="O1162" s="70" t="str">
        <f>AF1162*J1162</f>
      </c>
      <c r="P1162" s="71" t="str">
        <f>AG1162*J1162</f>
      </c>
      <c r="Q1162" s="72" t="str">
        <f>P1162*L1162*M1162*N1162</f>
      </c>
      <c r="R1162" s="73" t="str">
        <f>O1162*K1162*M1162*N1162</f>
      </c>
      <c r="S1162" s="74" t="str">
        <f>R1162-Q1162</f>
      </c>
      <c r="T1162" s="20" t="str">
        <f>IFERROR(INDEX('Cost_Components'!$R$2:$R$27,MATCH(E1162,'Cost_Components'!$A$2:$A$27,0)),"")</f>
      </c>
      <c r="U1162" s="75" t="str">
        <f>IFERROR(INDEX('Cost_Components'!$Q$2:$Q$27,MATCH(E1162,'Cost_Components'!$A$2:$A$27,0)),"")</f>
      </c>
      <c r="V1162" s="76" t="str">
        <f>1/(1+'Calculation_Assumptions'!$B$5)^(B1162-'Calculation_Assumptions'!$B$2)</f>
      </c>
      <c r="W1162" s="77" t="str">
        <f>Q1162*V1162</f>
      </c>
      <c r="X1162" s="78" t="str">
        <f>R1162*V1162</f>
      </c>
      <c r="Y1162" s="79" t="str">
        <f>S1162*V1162</f>
      </c>
      <c r="Z1162" s="80" t="str">
        <f>IFERROR(INDEX('Cost_Components'!$T$2:$T$27,MATCH(E1162,'Cost_Components'!$A$2:$A$27,0)),"")</f>
      </c>
      <c r="AA1162" s="81" t="str">
        <f>IFERROR(INDEX('Cost_Components'!$U$2:$U$27,MATCH(E1162,'Cost_Components'!$A$2:$A$27,0)),"")</f>
      </c>
      <c r="AB1162" s="82" t="str">
        <f>IFERROR(INDEX('Cost_Components'!$V$2:$V$27,MATCH(E1162,'Cost_Components'!$A$2:$A$27,0)),"")</f>
      </c>
      <c r="AC1162" s="83" t="str">
        <f>IFERROR(INDEX('Cost_Components'!$M$2:$M$27,MATCH(E1162,'Cost_Components'!$A$2:$A$27,0)),"")</f>
      </c>
      <c r="AD1162" s="84" t="str">
        <f>IFERROR(INDEX('Cost_Components'!$N$2:$N$27,MATCH(E1162,'Cost_Components'!$A$2:$A$27,0)),"")</f>
      </c>
      <c r="AE1162" s="20" t="str">
        <f>IFERROR(INDEX('Cost_Components'!$O$2:$O$27,MATCH(E1162,'Cost_Components'!$A$2:$A$27,0)),"")</f>
      </c>
      <c r="AF1162" s="85" t="n">
        <v>821767.039591102</v>
      </c>
      <c r="AG1162" s="86" t="n">
        <v>819420.087329932</v>
      </c>
      <c r="AH1162" s="87" t="str">
        <f>IF(H1162="shared-count-once",COUNTIFS($A$2:$A$1353,A1162,$B$2:$B$1353,B1162,$E$2:$E$1353,E1162),1)</f>
      </c>
    </row>
    <row r="1163">
      <c r="A1163" t="s">
        <v>75</v>
      </c>
      <c r="B1163" s="59" t="n">
        <v>2042</v>
      </c>
      <c r="C1163" t="s">
        <v>215</v>
      </c>
      <c r="D1163" t="s">
        <v>212</v>
      </c>
      <c r="E1163" s="60" t="s">
        <v>306</v>
      </c>
      <c r="F1163" s="61" t="s">
        <v>307</v>
      </c>
      <c r="G1163" s="62" t="s">
        <v>216</v>
      </c>
      <c r="H1163" s="63" t="s">
        <v>195</v>
      </c>
      <c r="I1163" s="64" t="s">
        <v>267</v>
      </c>
      <c r="J1163" s="65" t="str">
        <f>IFERROR(INDEX('Cost_Components'!$K$2:$K$27,MATCH(E1163,'Cost_Components'!$A$2:$A$27,0)),"")</f>
      </c>
      <c r="K1163" s="66" t="str">
        <f>IF(OR(L1163="",Z1163="",AA1163="",AB1163=""),"",IF(B1163&lt;AA1163,L1163,IF(B1163&gt;AB1163,Z1163,L1163+(Z1163-L1163)*MIN(MAX((B1163-AA1163+1)/MAX(AB1163-AA1163+1,1),0),1))))</f>
      </c>
      <c r="L1163" s="67" t="str">
        <f>IFERROR(INDEX('Cost_Components'!$S$2:$S$27,MATCH(E1163,'Cost_Components'!$A$2:$A$27,0)),"")</f>
      </c>
      <c r="M1163" s="68" t="str">
        <f>IFERROR(INDEX('Cost_Components'!$L$2:$L$27,MATCH(E1163,'Cost_Components'!$A$2:$A$27,0)),"")</f>
      </c>
      <c r="N1163" s="69" t="str">
        <f>IFERROR(INDEX('Cost_Components'!$P$2:$P$27,MATCH(E1163,'Cost_Components'!$A$2:$A$27,0)),"")</f>
      </c>
      <c r="O1163" s="70" t="str">
        <f>AF1163*J1163</f>
      </c>
      <c r="P1163" s="71" t="str">
        <f>AG1163*J1163</f>
      </c>
      <c r="Q1163" s="72" t="str">
        <f>P1163*L1163*M1163*N1163</f>
      </c>
      <c r="R1163" s="73" t="str">
        <f>O1163*K1163*M1163*N1163</f>
      </c>
      <c r="S1163" s="74" t="str">
        <f>R1163-Q1163</f>
      </c>
      <c r="T1163" s="20" t="str">
        <f>IFERROR(INDEX('Cost_Components'!$R$2:$R$27,MATCH(E1163,'Cost_Components'!$A$2:$A$27,0)),"")</f>
      </c>
      <c r="U1163" s="75" t="str">
        <f>IFERROR(INDEX('Cost_Components'!$Q$2:$Q$27,MATCH(E1163,'Cost_Components'!$A$2:$A$27,0)),"")</f>
      </c>
      <c r="V1163" s="76" t="str">
        <f>1/(1+'Calculation_Assumptions'!$B$5)^(B1163-'Calculation_Assumptions'!$B$2)</f>
      </c>
      <c r="W1163" s="77" t="str">
        <f>Q1163*V1163</f>
      </c>
      <c r="X1163" s="78" t="str">
        <f>R1163*V1163</f>
      </c>
      <c r="Y1163" s="79" t="str">
        <f>S1163*V1163</f>
      </c>
      <c r="Z1163" s="80" t="str">
        <f>IFERROR(INDEX('Cost_Components'!$T$2:$T$27,MATCH(E1163,'Cost_Components'!$A$2:$A$27,0)),"")</f>
      </c>
      <c r="AA1163" s="81" t="str">
        <f>IFERROR(INDEX('Cost_Components'!$U$2:$U$27,MATCH(E1163,'Cost_Components'!$A$2:$A$27,0)),"")</f>
      </c>
      <c r="AB1163" s="82" t="str">
        <f>IFERROR(INDEX('Cost_Components'!$V$2:$V$27,MATCH(E1163,'Cost_Components'!$A$2:$A$27,0)),"")</f>
      </c>
      <c r="AC1163" s="83" t="str">
        <f>IFERROR(INDEX('Cost_Components'!$M$2:$M$27,MATCH(E1163,'Cost_Components'!$A$2:$A$27,0)),"")</f>
      </c>
      <c r="AD1163" s="84" t="str">
        <f>IFERROR(INDEX('Cost_Components'!$N$2:$N$27,MATCH(E1163,'Cost_Components'!$A$2:$A$27,0)),"")</f>
      </c>
      <c r="AE1163" s="20" t="str">
        <f>IFERROR(INDEX('Cost_Components'!$O$2:$O$27,MATCH(E1163,'Cost_Components'!$A$2:$A$27,0)),"")</f>
      </c>
      <c r="AF1163" s="85" t="n">
        <v>818875.962838538</v>
      </c>
      <c r="AG1163" s="86" t="n">
        <v>816361.181284443</v>
      </c>
      <c r="AH1163" s="87" t="str">
        <f>IF(H1163="shared-count-once",COUNTIFS($A$2:$A$1353,A1163,$B$2:$B$1353,B1163,$E$2:$E$1353,E1163),1)</f>
      </c>
    </row>
    <row r="1164">
      <c r="A1164" t="s">
        <v>75</v>
      </c>
      <c r="B1164" s="59" t="n">
        <v>2043</v>
      </c>
      <c r="C1164" t="s">
        <v>215</v>
      </c>
      <c r="D1164" t="s">
        <v>212</v>
      </c>
      <c r="E1164" s="60" t="s">
        <v>306</v>
      </c>
      <c r="F1164" s="61" t="s">
        <v>307</v>
      </c>
      <c r="G1164" s="62" t="s">
        <v>216</v>
      </c>
      <c r="H1164" s="63" t="s">
        <v>195</v>
      </c>
      <c r="I1164" s="64" t="s">
        <v>267</v>
      </c>
      <c r="J1164" s="65" t="str">
        <f>IFERROR(INDEX('Cost_Components'!$K$2:$K$27,MATCH(E1164,'Cost_Components'!$A$2:$A$27,0)),"")</f>
      </c>
      <c r="K1164" s="66" t="str">
        <f>IF(OR(L1164="",Z1164="",AA1164="",AB1164=""),"",IF(B1164&lt;AA1164,L1164,IF(B1164&gt;AB1164,Z1164,L1164+(Z1164-L1164)*MIN(MAX((B1164-AA1164+1)/MAX(AB1164-AA1164+1,1),0),1))))</f>
      </c>
      <c r="L1164" s="67" t="str">
        <f>IFERROR(INDEX('Cost_Components'!$S$2:$S$27,MATCH(E1164,'Cost_Components'!$A$2:$A$27,0)),"")</f>
      </c>
      <c r="M1164" s="68" t="str">
        <f>IFERROR(INDEX('Cost_Components'!$L$2:$L$27,MATCH(E1164,'Cost_Components'!$A$2:$A$27,0)),"")</f>
      </c>
      <c r="N1164" s="69" t="str">
        <f>IFERROR(INDEX('Cost_Components'!$P$2:$P$27,MATCH(E1164,'Cost_Components'!$A$2:$A$27,0)),"")</f>
      </c>
      <c r="O1164" s="70" t="str">
        <f>AF1164*J1164</f>
      </c>
      <c r="P1164" s="71" t="str">
        <f>AG1164*J1164</f>
      </c>
      <c r="Q1164" s="72" t="str">
        <f>P1164*L1164*M1164*N1164</f>
      </c>
      <c r="R1164" s="73" t="str">
        <f>O1164*K1164*M1164*N1164</f>
      </c>
      <c r="S1164" s="74" t="str">
        <f>R1164-Q1164</f>
      </c>
      <c r="T1164" s="20" t="str">
        <f>IFERROR(INDEX('Cost_Components'!$R$2:$R$27,MATCH(E1164,'Cost_Components'!$A$2:$A$27,0)),"")</f>
      </c>
      <c r="U1164" s="75" t="str">
        <f>IFERROR(INDEX('Cost_Components'!$Q$2:$Q$27,MATCH(E1164,'Cost_Components'!$A$2:$A$27,0)),"")</f>
      </c>
      <c r="V1164" s="76" t="str">
        <f>1/(1+'Calculation_Assumptions'!$B$5)^(B1164-'Calculation_Assumptions'!$B$2)</f>
      </c>
      <c r="W1164" s="77" t="str">
        <f>Q1164*V1164</f>
      </c>
      <c r="X1164" s="78" t="str">
        <f>R1164*V1164</f>
      </c>
      <c r="Y1164" s="79" t="str">
        <f>S1164*V1164</f>
      </c>
      <c r="Z1164" s="80" t="str">
        <f>IFERROR(INDEX('Cost_Components'!$T$2:$T$27,MATCH(E1164,'Cost_Components'!$A$2:$A$27,0)),"")</f>
      </c>
      <c r="AA1164" s="81" t="str">
        <f>IFERROR(INDEX('Cost_Components'!$U$2:$U$27,MATCH(E1164,'Cost_Components'!$A$2:$A$27,0)),"")</f>
      </c>
      <c r="AB1164" s="82" t="str">
        <f>IFERROR(INDEX('Cost_Components'!$V$2:$V$27,MATCH(E1164,'Cost_Components'!$A$2:$A$27,0)),"")</f>
      </c>
      <c r="AC1164" s="83" t="str">
        <f>IFERROR(INDEX('Cost_Components'!$M$2:$M$27,MATCH(E1164,'Cost_Components'!$A$2:$A$27,0)),"")</f>
      </c>
      <c r="AD1164" s="84" t="str">
        <f>IFERROR(INDEX('Cost_Components'!$N$2:$N$27,MATCH(E1164,'Cost_Components'!$A$2:$A$27,0)),"")</f>
      </c>
      <c r="AE1164" s="20" t="str">
        <f>IFERROR(INDEX('Cost_Components'!$O$2:$O$27,MATCH(E1164,'Cost_Components'!$A$2:$A$27,0)),"")</f>
      </c>
      <c r="AF1164" s="85" t="n">
        <v>816998.192076182</v>
      </c>
      <c r="AG1164" s="86" t="n">
        <v>814315.335878567</v>
      </c>
      <c r="AH1164" s="87" t="str">
        <f>IF(H1164="shared-count-once",COUNTIFS($A$2:$A$1353,A1164,$B$2:$B$1353,B1164,$E$2:$E$1353,E1164),1)</f>
      </c>
    </row>
    <row r="1165">
      <c r="A1165" t="s">
        <v>75</v>
      </c>
      <c r="B1165" s="59" t="n">
        <v>2044</v>
      </c>
      <c r="C1165" t="s">
        <v>215</v>
      </c>
      <c r="D1165" t="s">
        <v>212</v>
      </c>
      <c r="E1165" s="60" t="s">
        <v>306</v>
      </c>
      <c r="F1165" s="61" t="s">
        <v>307</v>
      </c>
      <c r="G1165" s="62" t="s">
        <v>216</v>
      </c>
      <c r="H1165" s="63" t="s">
        <v>195</v>
      </c>
      <c r="I1165" s="64" t="s">
        <v>267</v>
      </c>
      <c r="J1165" s="65" t="str">
        <f>IFERROR(INDEX('Cost_Components'!$K$2:$K$27,MATCH(E1165,'Cost_Components'!$A$2:$A$27,0)),"")</f>
      </c>
      <c r="K1165" s="66" t="str">
        <f>IF(OR(L1165="",Z1165="",AA1165="",AB1165=""),"",IF(B1165&lt;AA1165,L1165,IF(B1165&gt;AB1165,Z1165,L1165+(Z1165-L1165)*MIN(MAX((B1165-AA1165+1)/MAX(AB1165-AA1165+1,1),0),1))))</f>
      </c>
      <c r="L1165" s="67" t="str">
        <f>IFERROR(INDEX('Cost_Components'!$S$2:$S$27,MATCH(E1165,'Cost_Components'!$A$2:$A$27,0)),"")</f>
      </c>
      <c r="M1165" s="68" t="str">
        <f>IFERROR(INDEX('Cost_Components'!$L$2:$L$27,MATCH(E1165,'Cost_Components'!$A$2:$A$27,0)),"")</f>
      </c>
      <c r="N1165" s="69" t="str">
        <f>IFERROR(INDEX('Cost_Components'!$P$2:$P$27,MATCH(E1165,'Cost_Components'!$A$2:$A$27,0)),"")</f>
      </c>
      <c r="O1165" s="70" t="str">
        <f>AF1165*J1165</f>
      </c>
      <c r="P1165" s="71" t="str">
        <f>AG1165*J1165</f>
      </c>
      <c r="Q1165" s="72" t="str">
        <f>P1165*L1165*M1165*N1165</f>
      </c>
      <c r="R1165" s="73" t="str">
        <f>O1165*K1165*M1165*N1165</f>
      </c>
      <c r="S1165" s="74" t="str">
        <f>R1165-Q1165</f>
      </c>
      <c r="T1165" s="20" t="str">
        <f>IFERROR(INDEX('Cost_Components'!$R$2:$R$27,MATCH(E1165,'Cost_Components'!$A$2:$A$27,0)),"")</f>
      </c>
      <c r="U1165" s="75" t="str">
        <f>IFERROR(INDEX('Cost_Components'!$Q$2:$Q$27,MATCH(E1165,'Cost_Components'!$A$2:$A$27,0)),"")</f>
      </c>
      <c r="V1165" s="76" t="str">
        <f>1/(1+'Calculation_Assumptions'!$B$5)^(B1165-'Calculation_Assumptions'!$B$2)</f>
      </c>
      <c r="W1165" s="77" t="str">
        <f>Q1165*V1165</f>
      </c>
      <c r="X1165" s="78" t="str">
        <f>R1165*V1165</f>
      </c>
      <c r="Y1165" s="79" t="str">
        <f>S1165*V1165</f>
      </c>
      <c r="Z1165" s="80" t="str">
        <f>IFERROR(INDEX('Cost_Components'!$T$2:$T$27,MATCH(E1165,'Cost_Components'!$A$2:$A$27,0)),"")</f>
      </c>
      <c r="AA1165" s="81" t="str">
        <f>IFERROR(INDEX('Cost_Components'!$U$2:$U$27,MATCH(E1165,'Cost_Components'!$A$2:$A$27,0)),"")</f>
      </c>
      <c r="AB1165" s="82" t="str">
        <f>IFERROR(INDEX('Cost_Components'!$V$2:$V$27,MATCH(E1165,'Cost_Components'!$A$2:$A$27,0)),"")</f>
      </c>
      <c r="AC1165" s="83" t="str">
        <f>IFERROR(INDEX('Cost_Components'!$M$2:$M$27,MATCH(E1165,'Cost_Components'!$A$2:$A$27,0)),"")</f>
      </c>
      <c r="AD1165" s="84" t="str">
        <f>IFERROR(INDEX('Cost_Components'!$N$2:$N$27,MATCH(E1165,'Cost_Components'!$A$2:$A$27,0)),"")</f>
      </c>
      <c r="AE1165" s="20" t="str">
        <f>IFERROR(INDEX('Cost_Components'!$O$2:$O$27,MATCH(E1165,'Cost_Components'!$A$2:$A$27,0)),"")</f>
      </c>
      <c r="AF1165" s="85" t="n">
        <v>816938.652940001</v>
      </c>
      <c r="AG1165" s="86" t="n">
        <v>814084.929618606</v>
      </c>
      <c r="AH1165" s="87" t="str">
        <f>IF(H1165="shared-count-once",COUNTIFS($A$2:$A$1353,A1165,$B$2:$B$1353,B1165,$E$2:$E$1353,E1165),1)</f>
      </c>
    </row>
    <row r="1166">
      <c r="A1166" t="s">
        <v>75</v>
      </c>
      <c r="B1166" s="59" t="n">
        <v>2045</v>
      </c>
      <c r="C1166" t="s">
        <v>215</v>
      </c>
      <c r="D1166" t="s">
        <v>212</v>
      </c>
      <c r="E1166" s="60" t="s">
        <v>306</v>
      </c>
      <c r="F1166" s="61" t="s">
        <v>307</v>
      </c>
      <c r="G1166" s="62" t="s">
        <v>216</v>
      </c>
      <c r="H1166" s="63" t="s">
        <v>195</v>
      </c>
      <c r="I1166" s="64" t="s">
        <v>267</v>
      </c>
      <c r="J1166" s="65" t="str">
        <f>IFERROR(INDEX('Cost_Components'!$K$2:$K$27,MATCH(E1166,'Cost_Components'!$A$2:$A$27,0)),"")</f>
      </c>
      <c r="K1166" s="66" t="str">
        <f>IF(OR(L1166="",Z1166="",AA1166="",AB1166=""),"",IF(B1166&lt;AA1166,L1166,IF(B1166&gt;AB1166,Z1166,L1166+(Z1166-L1166)*MIN(MAX((B1166-AA1166+1)/MAX(AB1166-AA1166+1,1),0),1))))</f>
      </c>
      <c r="L1166" s="67" t="str">
        <f>IFERROR(INDEX('Cost_Components'!$S$2:$S$27,MATCH(E1166,'Cost_Components'!$A$2:$A$27,0)),"")</f>
      </c>
      <c r="M1166" s="68" t="str">
        <f>IFERROR(INDEX('Cost_Components'!$L$2:$L$27,MATCH(E1166,'Cost_Components'!$A$2:$A$27,0)),"")</f>
      </c>
      <c r="N1166" s="69" t="str">
        <f>IFERROR(INDEX('Cost_Components'!$P$2:$P$27,MATCH(E1166,'Cost_Components'!$A$2:$A$27,0)),"")</f>
      </c>
      <c r="O1166" s="70" t="str">
        <f>AF1166*J1166</f>
      </c>
      <c r="P1166" s="71" t="str">
        <f>AG1166*J1166</f>
      </c>
      <c r="Q1166" s="72" t="str">
        <f>P1166*L1166*M1166*N1166</f>
      </c>
      <c r="R1166" s="73" t="str">
        <f>O1166*K1166*M1166*N1166</f>
      </c>
      <c r="S1166" s="74" t="str">
        <f>R1166-Q1166</f>
      </c>
      <c r="T1166" s="20" t="str">
        <f>IFERROR(INDEX('Cost_Components'!$R$2:$R$27,MATCH(E1166,'Cost_Components'!$A$2:$A$27,0)),"")</f>
      </c>
      <c r="U1166" s="75" t="str">
        <f>IFERROR(INDEX('Cost_Components'!$Q$2:$Q$27,MATCH(E1166,'Cost_Components'!$A$2:$A$27,0)),"")</f>
      </c>
      <c r="V1166" s="76" t="str">
        <f>1/(1+'Calculation_Assumptions'!$B$5)^(B1166-'Calculation_Assumptions'!$B$2)</f>
      </c>
      <c r="W1166" s="77" t="str">
        <f>Q1166*V1166</f>
      </c>
      <c r="X1166" s="78" t="str">
        <f>R1166*V1166</f>
      </c>
      <c r="Y1166" s="79" t="str">
        <f>S1166*V1166</f>
      </c>
      <c r="Z1166" s="80" t="str">
        <f>IFERROR(INDEX('Cost_Components'!$T$2:$T$27,MATCH(E1166,'Cost_Components'!$A$2:$A$27,0)),"")</f>
      </c>
      <c r="AA1166" s="81" t="str">
        <f>IFERROR(INDEX('Cost_Components'!$U$2:$U$27,MATCH(E1166,'Cost_Components'!$A$2:$A$27,0)),"")</f>
      </c>
      <c r="AB1166" s="82" t="str">
        <f>IFERROR(INDEX('Cost_Components'!$V$2:$V$27,MATCH(E1166,'Cost_Components'!$A$2:$A$27,0)),"")</f>
      </c>
      <c r="AC1166" s="83" t="str">
        <f>IFERROR(INDEX('Cost_Components'!$M$2:$M$27,MATCH(E1166,'Cost_Components'!$A$2:$A$27,0)),"")</f>
      </c>
      <c r="AD1166" s="84" t="str">
        <f>IFERROR(INDEX('Cost_Components'!$N$2:$N$27,MATCH(E1166,'Cost_Components'!$A$2:$A$27,0)),"")</f>
      </c>
      <c r="AE1166" s="20" t="str">
        <f>IFERROR(INDEX('Cost_Components'!$O$2:$O$27,MATCH(E1166,'Cost_Components'!$A$2:$A$27,0)),"")</f>
      </c>
      <c r="AF1166" s="85" t="n">
        <v>808286.051274938</v>
      </c>
      <c r="AG1166" s="86" t="n">
        <v>805305.922795679</v>
      </c>
      <c r="AH1166" s="87" t="str">
        <f>IF(H1166="shared-count-once",COUNTIFS($A$2:$A$1353,A1166,$B$2:$B$1353,B1166,$E$2:$E$1353,E1166),1)</f>
      </c>
    </row>
    <row r="1167">
      <c r="A1167" t="s">
        <v>75</v>
      </c>
      <c r="B1167" s="59" t="n">
        <v>2046</v>
      </c>
      <c r="C1167" t="s">
        <v>215</v>
      </c>
      <c r="D1167" t="s">
        <v>212</v>
      </c>
      <c r="E1167" s="60" t="s">
        <v>306</v>
      </c>
      <c r="F1167" s="61" t="s">
        <v>307</v>
      </c>
      <c r="G1167" s="62" t="s">
        <v>216</v>
      </c>
      <c r="H1167" s="63" t="s">
        <v>195</v>
      </c>
      <c r="I1167" s="64" t="s">
        <v>267</v>
      </c>
      <c r="J1167" s="65" t="str">
        <f>IFERROR(INDEX('Cost_Components'!$K$2:$K$27,MATCH(E1167,'Cost_Components'!$A$2:$A$27,0)),"")</f>
      </c>
      <c r="K1167" s="66" t="str">
        <f>IF(OR(L1167="",Z1167="",AA1167="",AB1167=""),"",IF(B1167&lt;AA1167,L1167,IF(B1167&gt;AB1167,Z1167,L1167+(Z1167-L1167)*MIN(MAX((B1167-AA1167+1)/MAX(AB1167-AA1167+1,1),0),1))))</f>
      </c>
      <c r="L1167" s="67" t="str">
        <f>IFERROR(INDEX('Cost_Components'!$S$2:$S$27,MATCH(E1167,'Cost_Components'!$A$2:$A$27,0)),"")</f>
      </c>
      <c r="M1167" s="68" t="str">
        <f>IFERROR(INDEX('Cost_Components'!$L$2:$L$27,MATCH(E1167,'Cost_Components'!$A$2:$A$27,0)),"")</f>
      </c>
      <c r="N1167" s="69" t="str">
        <f>IFERROR(INDEX('Cost_Components'!$P$2:$P$27,MATCH(E1167,'Cost_Components'!$A$2:$A$27,0)),"")</f>
      </c>
      <c r="O1167" s="70" t="str">
        <f>AF1167*J1167</f>
      </c>
      <c r="P1167" s="71" t="str">
        <f>AG1167*J1167</f>
      </c>
      <c r="Q1167" s="72" t="str">
        <f>P1167*L1167*M1167*N1167</f>
      </c>
      <c r="R1167" s="73" t="str">
        <f>O1167*K1167*M1167*N1167</f>
      </c>
      <c r="S1167" s="74" t="str">
        <f>R1167-Q1167</f>
      </c>
      <c r="T1167" s="20" t="str">
        <f>IFERROR(INDEX('Cost_Components'!$R$2:$R$27,MATCH(E1167,'Cost_Components'!$A$2:$A$27,0)),"")</f>
      </c>
      <c r="U1167" s="75" t="str">
        <f>IFERROR(INDEX('Cost_Components'!$Q$2:$Q$27,MATCH(E1167,'Cost_Components'!$A$2:$A$27,0)),"")</f>
      </c>
      <c r="V1167" s="76" t="str">
        <f>1/(1+'Calculation_Assumptions'!$B$5)^(B1167-'Calculation_Assumptions'!$B$2)</f>
      </c>
      <c r="W1167" s="77" t="str">
        <f>Q1167*V1167</f>
      </c>
      <c r="X1167" s="78" t="str">
        <f>R1167*V1167</f>
      </c>
      <c r="Y1167" s="79" t="str">
        <f>S1167*V1167</f>
      </c>
      <c r="Z1167" s="80" t="str">
        <f>IFERROR(INDEX('Cost_Components'!$T$2:$T$27,MATCH(E1167,'Cost_Components'!$A$2:$A$27,0)),"")</f>
      </c>
      <c r="AA1167" s="81" t="str">
        <f>IFERROR(INDEX('Cost_Components'!$U$2:$U$27,MATCH(E1167,'Cost_Components'!$A$2:$A$27,0)),"")</f>
      </c>
      <c r="AB1167" s="82" t="str">
        <f>IFERROR(INDEX('Cost_Components'!$V$2:$V$27,MATCH(E1167,'Cost_Components'!$A$2:$A$27,0)),"")</f>
      </c>
      <c r="AC1167" s="83" t="str">
        <f>IFERROR(INDEX('Cost_Components'!$M$2:$M$27,MATCH(E1167,'Cost_Components'!$A$2:$A$27,0)),"")</f>
      </c>
      <c r="AD1167" s="84" t="str">
        <f>IFERROR(INDEX('Cost_Components'!$N$2:$N$27,MATCH(E1167,'Cost_Components'!$A$2:$A$27,0)),"")</f>
      </c>
      <c r="AE1167" s="20" t="str">
        <f>IFERROR(INDEX('Cost_Components'!$O$2:$O$27,MATCH(E1167,'Cost_Components'!$A$2:$A$27,0)),"")</f>
      </c>
      <c r="AF1167" s="85" t="n">
        <v>800935.248764497</v>
      </c>
      <c r="AG1167" s="86" t="n">
        <v>797833.003280589</v>
      </c>
      <c r="AH1167" s="87" t="str">
        <f>IF(H1167="shared-count-once",COUNTIFS($A$2:$A$1353,A1167,$B$2:$B$1353,B1167,$E$2:$E$1353,E1167),1)</f>
      </c>
    </row>
    <row r="1168">
      <c r="A1168" t="s">
        <v>75</v>
      </c>
      <c r="B1168" s="59" t="n">
        <v>2047</v>
      </c>
      <c r="C1168" t="s">
        <v>215</v>
      </c>
      <c r="D1168" t="s">
        <v>212</v>
      </c>
      <c r="E1168" s="60" t="s">
        <v>306</v>
      </c>
      <c r="F1168" s="61" t="s">
        <v>307</v>
      </c>
      <c r="G1168" s="62" t="s">
        <v>216</v>
      </c>
      <c r="H1168" s="63" t="s">
        <v>195</v>
      </c>
      <c r="I1168" s="64" t="s">
        <v>267</v>
      </c>
      <c r="J1168" s="65" t="str">
        <f>IFERROR(INDEX('Cost_Components'!$K$2:$K$27,MATCH(E1168,'Cost_Components'!$A$2:$A$27,0)),"")</f>
      </c>
      <c r="K1168" s="66" t="str">
        <f>IF(OR(L1168="",Z1168="",AA1168="",AB1168=""),"",IF(B1168&lt;AA1168,L1168,IF(B1168&gt;AB1168,Z1168,L1168+(Z1168-L1168)*MIN(MAX((B1168-AA1168+1)/MAX(AB1168-AA1168+1,1),0),1))))</f>
      </c>
      <c r="L1168" s="67" t="str">
        <f>IFERROR(INDEX('Cost_Components'!$S$2:$S$27,MATCH(E1168,'Cost_Components'!$A$2:$A$27,0)),"")</f>
      </c>
      <c r="M1168" s="68" t="str">
        <f>IFERROR(INDEX('Cost_Components'!$L$2:$L$27,MATCH(E1168,'Cost_Components'!$A$2:$A$27,0)),"")</f>
      </c>
      <c r="N1168" s="69" t="str">
        <f>IFERROR(INDEX('Cost_Components'!$P$2:$P$27,MATCH(E1168,'Cost_Components'!$A$2:$A$27,0)),"")</f>
      </c>
      <c r="O1168" s="70" t="str">
        <f>AF1168*J1168</f>
      </c>
      <c r="P1168" s="71" t="str">
        <f>AG1168*J1168</f>
      </c>
      <c r="Q1168" s="72" t="str">
        <f>P1168*L1168*M1168*N1168</f>
      </c>
      <c r="R1168" s="73" t="str">
        <f>O1168*K1168*M1168*N1168</f>
      </c>
      <c r="S1168" s="74" t="str">
        <f>R1168-Q1168</f>
      </c>
      <c r="T1168" s="20" t="str">
        <f>IFERROR(INDEX('Cost_Components'!$R$2:$R$27,MATCH(E1168,'Cost_Components'!$A$2:$A$27,0)),"")</f>
      </c>
      <c r="U1168" s="75" t="str">
        <f>IFERROR(INDEX('Cost_Components'!$Q$2:$Q$27,MATCH(E1168,'Cost_Components'!$A$2:$A$27,0)),"")</f>
      </c>
      <c r="V1168" s="76" t="str">
        <f>1/(1+'Calculation_Assumptions'!$B$5)^(B1168-'Calculation_Assumptions'!$B$2)</f>
      </c>
      <c r="W1168" s="77" t="str">
        <f>Q1168*V1168</f>
      </c>
      <c r="X1168" s="78" t="str">
        <f>R1168*V1168</f>
      </c>
      <c r="Y1168" s="79" t="str">
        <f>S1168*V1168</f>
      </c>
      <c r="Z1168" s="80" t="str">
        <f>IFERROR(INDEX('Cost_Components'!$T$2:$T$27,MATCH(E1168,'Cost_Components'!$A$2:$A$27,0)),"")</f>
      </c>
      <c r="AA1168" s="81" t="str">
        <f>IFERROR(INDEX('Cost_Components'!$U$2:$U$27,MATCH(E1168,'Cost_Components'!$A$2:$A$27,0)),"")</f>
      </c>
      <c r="AB1168" s="82" t="str">
        <f>IFERROR(INDEX('Cost_Components'!$V$2:$V$27,MATCH(E1168,'Cost_Components'!$A$2:$A$27,0)),"")</f>
      </c>
      <c r="AC1168" s="83" t="str">
        <f>IFERROR(INDEX('Cost_Components'!$M$2:$M$27,MATCH(E1168,'Cost_Components'!$A$2:$A$27,0)),"")</f>
      </c>
      <c r="AD1168" s="84" t="str">
        <f>IFERROR(INDEX('Cost_Components'!$N$2:$N$27,MATCH(E1168,'Cost_Components'!$A$2:$A$27,0)),"")</f>
      </c>
      <c r="AE1168" s="20" t="str">
        <f>IFERROR(INDEX('Cost_Components'!$O$2:$O$27,MATCH(E1168,'Cost_Components'!$A$2:$A$27,0)),"")</f>
      </c>
      <c r="AF1168" s="85" t="n">
        <v>794206.901496526</v>
      </c>
      <c r="AG1168" s="86" t="n">
        <v>790988.996687497</v>
      </c>
      <c r="AH1168" s="87" t="str">
        <f>IF(H1168="shared-count-once",COUNTIFS($A$2:$A$1353,A1168,$B$2:$B$1353,B1168,$E$2:$E$1353,E1168),1)</f>
      </c>
    </row>
    <row r="1169">
      <c r="A1169" t="s">
        <v>75</v>
      </c>
      <c r="B1169" s="59" t="n">
        <v>2048</v>
      </c>
      <c r="C1169" t="s">
        <v>215</v>
      </c>
      <c r="D1169" t="s">
        <v>212</v>
      </c>
      <c r="E1169" s="60" t="s">
        <v>306</v>
      </c>
      <c r="F1169" s="61" t="s">
        <v>307</v>
      </c>
      <c r="G1169" s="62" t="s">
        <v>216</v>
      </c>
      <c r="H1169" s="63" t="s">
        <v>195</v>
      </c>
      <c r="I1169" s="64" t="s">
        <v>267</v>
      </c>
      <c r="J1169" s="65" t="str">
        <f>IFERROR(INDEX('Cost_Components'!$K$2:$K$27,MATCH(E1169,'Cost_Components'!$A$2:$A$27,0)),"")</f>
      </c>
      <c r="K1169" s="66" t="str">
        <f>IF(OR(L1169="",Z1169="",AA1169="",AB1169=""),"",IF(B1169&lt;AA1169,L1169,IF(B1169&gt;AB1169,Z1169,L1169+(Z1169-L1169)*MIN(MAX((B1169-AA1169+1)/MAX(AB1169-AA1169+1,1),0),1))))</f>
      </c>
      <c r="L1169" s="67" t="str">
        <f>IFERROR(INDEX('Cost_Components'!$S$2:$S$27,MATCH(E1169,'Cost_Components'!$A$2:$A$27,0)),"")</f>
      </c>
      <c r="M1169" s="68" t="str">
        <f>IFERROR(INDEX('Cost_Components'!$L$2:$L$27,MATCH(E1169,'Cost_Components'!$A$2:$A$27,0)),"")</f>
      </c>
      <c r="N1169" s="69" t="str">
        <f>IFERROR(INDEX('Cost_Components'!$P$2:$P$27,MATCH(E1169,'Cost_Components'!$A$2:$A$27,0)),"")</f>
      </c>
      <c r="O1169" s="70" t="str">
        <f>AF1169*J1169</f>
      </c>
      <c r="P1169" s="71" t="str">
        <f>AG1169*J1169</f>
      </c>
      <c r="Q1169" s="72" t="str">
        <f>P1169*L1169*M1169*N1169</f>
      </c>
      <c r="R1169" s="73" t="str">
        <f>O1169*K1169*M1169*N1169</f>
      </c>
      <c r="S1169" s="74" t="str">
        <f>R1169-Q1169</f>
      </c>
      <c r="T1169" s="20" t="str">
        <f>IFERROR(INDEX('Cost_Components'!$R$2:$R$27,MATCH(E1169,'Cost_Components'!$A$2:$A$27,0)),"")</f>
      </c>
      <c r="U1169" s="75" t="str">
        <f>IFERROR(INDEX('Cost_Components'!$Q$2:$Q$27,MATCH(E1169,'Cost_Components'!$A$2:$A$27,0)),"")</f>
      </c>
      <c r="V1169" s="76" t="str">
        <f>1/(1+'Calculation_Assumptions'!$B$5)^(B1169-'Calculation_Assumptions'!$B$2)</f>
      </c>
      <c r="W1169" s="77" t="str">
        <f>Q1169*V1169</f>
      </c>
      <c r="X1169" s="78" t="str">
        <f>R1169*V1169</f>
      </c>
      <c r="Y1169" s="79" t="str">
        <f>S1169*V1169</f>
      </c>
      <c r="Z1169" s="80" t="str">
        <f>IFERROR(INDEX('Cost_Components'!$T$2:$T$27,MATCH(E1169,'Cost_Components'!$A$2:$A$27,0)),"")</f>
      </c>
      <c r="AA1169" s="81" t="str">
        <f>IFERROR(INDEX('Cost_Components'!$U$2:$U$27,MATCH(E1169,'Cost_Components'!$A$2:$A$27,0)),"")</f>
      </c>
      <c r="AB1169" s="82" t="str">
        <f>IFERROR(INDEX('Cost_Components'!$V$2:$V$27,MATCH(E1169,'Cost_Components'!$A$2:$A$27,0)),"")</f>
      </c>
      <c r="AC1169" s="83" t="str">
        <f>IFERROR(INDEX('Cost_Components'!$M$2:$M$27,MATCH(E1169,'Cost_Components'!$A$2:$A$27,0)),"")</f>
      </c>
      <c r="AD1169" s="84" t="str">
        <f>IFERROR(INDEX('Cost_Components'!$N$2:$N$27,MATCH(E1169,'Cost_Components'!$A$2:$A$27,0)),"")</f>
      </c>
      <c r="AE1169" s="20" t="str">
        <f>IFERROR(INDEX('Cost_Components'!$O$2:$O$27,MATCH(E1169,'Cost_Components'!$A$2:$A$27,0)),"")</f>
      </c>
      <c r="AF1169" s="85" t="n">
        <v>788421.898293169</v>
      </c>
      <c r="AG1169" s="86" t="n">
        <v>785093.120897151</v>
      </c>
      <c r="AH1169" s="87" t="str">
        <f>IF(H1169="shared-count-once",COUNTIFS($A$2:$A$1353,A1169,$B$2:$B$1353,B1169,$E$2:$E$1353,E1169),1)</f>
      </c>
    </row>
    <row r="1170">
      <c r="A1170" t="s">
        <v>75</v>
      </c>
      <c r="B1170" s="59" t="n">
        <v>2049</v>
      </c>
      <c r="C1170" t="s">
        <v>215</v>
      </c>
      <c r="D1170" t="s">
        <v>212</v>
      </c>
      <c r="E1170" s="60" t="s">
        <v>306</v>
      </c>
      <c r="F1170" s="61" t="s">
        <v>307</v>
      </c>
      <c r="G1170" s="62" t="s">
        <v>216</v>
      </c>
      <c r="H1170" s="63" t="s">
        <v>195</v>
      </c>
      <c r="I1170" s="64" t="s">
        <v>267</v>
      </c>
      <c r="J1170" s="65" t="str">
        <f>IFERROR(INDEX('Cost_Components'!$K$2:$K$27,MATCH(E1170,'Cost_Components'!$A$2:$A$27,0)),"")</f>
      </c>
      <c r="K1170" s="66" t="str">
        <f>IF(OR(L1170="",Z1170="",AA1170="",AB1170=""),"",IF(B1170&lt;AA1170,L1170,IF(B1170&gt;AB1170,Z1170,L1170+(Z1170-L1170)*MIN(MAX((B1170-AA1170+1)/MAX(AB1170-AA1170+1,1),0),1))))</f>
      </c>
      <c r="L1170" s="67" t="str">
        <f>IFERROR(INDEX('Cost_Components'!$S$2:$S$27,MATCH(E1170,'Cost_Components'!$A$2:$A$27,0)),"")</f>
      </c>
      <c r="M1170" s="68" t="str">
        <f>IFERROR(INDEX('Cost_Components'!$L$2:$L$27,MATCH(E1170,'Cost_Components'!$A$2:$A$27,0)),"")</f>
      </c>
      <c r="N1170" s="69" t="str">
        <f>IFERROR(INDEX('Cost_Components'!$P$2:$P$27,MATCH(E1170,'Cost_Components'!$A$2:$A$27,0)),"")</f>
      </c>
      <c r="O1170" s="70" t="str">
        <f>AF1170*J1170</f>
      </c>
      <c r="P1170" s="71" t="str">
        <f>AG1170*J1170</f>
      </c>
      <c r="Q1170" s="72" t="str">
        <f>P1170*L1170*M1170*N1170</f>
      </c>
      <c r="R1170" s="73" t="str">
        <f>O1170*K1170*M1170*N1170</f>
      </c>
      <c r="S1170" s="74" t="str">
        <f>R1170-Q1170</f>
      </c>
      <c r="T1170" s="20" t="str">
        <f>IFERROR(INDEX('Cost_Components'!$R$2:$R$27,MATCH(E1170,'Cost_Components'!$A$2:$A$27,0)),"")</f>
      </c>
      <c r="U1170" s="75" t="str">
        <f>IFERROR(INDEX('Cost_Components'!$Q$2:$Q$27,MATCH(E1170,'Cost_Components'!$A$2:$A$27,0)),"")</f>
      </c>
      <c r="V1170" s="76" t="str">
        <f>1/(1+'Calculation_Assumptions'!$B$5)^(B1170-'Calculation_Assumptions'!$B$2)</f>
      </c>
      <c r="W1170" s="77" t="str">
        <f>Q1170*V1170</f>
      </c>
      <c r="X1170" s="78" t="str">
        <f>R1170*V1170</f>
      </c>
      <c r="Y1170" s="79" t="str">
        <f>S1170*V1170</f>
      </c>
      <c r="Z1170" s="80" t="str">
        <f>IFERROR(INDEX('Cost_Components'!$T$2:$T$27,MATCH(E1170,'Cost_Components'!$A$2:$A$27,0)),"")</f>
      </c>
      <c r="AA1170" s="81" t="str">
        <f>IFERROR(INDEX('Cost_Components'!$U$2:$U$27,MATCH(E1170,'Cost_Components'!$A$2:$A$27,0)),"")</f>
      </c>
      <c r="AB1170" s="82" t="str">
        <f>IFERROR(INDEX('Cost_Components'!$V$2:$V$27,MATCH(E1170,'Cost_Components'!$A$2:$A$27,0)),"")</f>
      </c>
      <c r="AC1170" s="83" t="str">
        <f>IFERROR(INDEX('Cost_Components'!$M$2:$M$27,MATCH(E1170,'Cost_Components'!$A$2:$A$27,0)),"")</f>
      </c>
      <c r="AD1170" s="84" t="str">
        <f>IFERROR(INDEX('Cost_Components'!$N$2:$N$27,MATCH(E1170,'Cost_Components'!$A$2:$A$27,0)),"")</f>
      </c>
      <c r="AE1170" s="20" t="str">
        <f>IFERROR(INDEX('Cost_Components'!$O$2:$O$27,MATCH(E1170,'Cost_Components'!$A$2:$A$27,0)),"")</f>
      </c>
      <c r="AF1170" s="85" t="n">
        <v>785181.388030118</v>
      </c>
      <c r="AG1170" s="86" t="n">
        <v>781735.799042148</v>
      </c>
      <c r="AH1170" s="87" t="str">
        <f>IF(H1170="shared-count-once",COUNTIFS($A$2:$A$1353,A1170,$B$2:$B$1353,B1170,$E$2:$E$1353,E1170),1)</f>
      </c>
    </row>
    <row r="1171">
      <c r="A1171" t="s">
        <v>75</v>
      </c>
      <c r="B1171" s="59" t="n">
        <v>2050</v>
      </c>
      <c r="C1171" t="s">
        <v>215</v>
      </c>
      <c r="D1171" t="s">
        <v>212</v>
      </c>
      <c r="E1171" s="60" t="s">
        <v>306</v>
      </c>
      <c r="F1171" s="61" t="s">
        <v>307</v>
      </c>
      <c r="G1171" s="62" t="s">
        <v>216</v>
      </c>
      <c r="H1171" s="63" t="s">
        <v>195</v>
      </c>
      <c r="I1171" s="64" t="s">
        <v>267</v>
      </c>
      <c r="J1171" s="65" t="str">
        <f>IFERROR(INDEX('Cost_Components'!$K$2:$K$27,MATCH(E1171,'Cost_Components'!$A$2:$A$27,0)),"")</f>
      </c>
      <c r="K1171" s="66" t="str">
        <f>IF(OR(L1171="",Z1171="",AA1171="",AB1171=""),"",IF(B1171&lt;AA1171,L1171,IF(B1171&gt;AB1171,Z1171,L1171+(Z1171-L1171)*MIN(MAX((B1171-AA1171+1)/MAX(AB1171-AA1171+1,1),0),1))))</f>
      </c>
      <c r="L1171" s="67" t="str">
        <f>IFERROR(INDEX('Cost_Components'!$S$2:$S$27,MATCH(E1171,'Cost_Components'!$A$2:$A$27,0)),"")</f>
      </c>
      <c r="M1171" s="68" t="str">
        <f>IFERROR(INDEX('Cost_Components'!$L$2:$L$27,MATCH(E1171,'Cost_Components'!$A$2:$A$27,0)),"")</f>
      </c>
      <c r="N1171" s="69" t="str">
        <f>IFERROR(INDEX('Cost_Components'!$P$2:$P$27,MATCH(E1171,'Cost_Components'!$A$2:$A$27,0)),"")</f>
      </c>
      <c r="O1171" s="70" t="str">
        <f>AF1171*J1171</f>
      </c>
      <c r="P1171" s="71" t="str">
        <f>AG1171*J1171</f>
      </c>
      <c r="Q1171" s="72" t="str">
        <f>P1171*L1171*M1171*N1171</f>
      </c>
      <c r="R1171" s="73" t="str">
        <f>O1171*K1171*M1171*N1171</f>
      </c>
      <c r="S1171" s="74" t="str">
        <f>R1171-Q1171</f>
      </c>
      <c r="T1171" s="20" t="str">
        <f>IFERROR(INDEX('Cost_Components'!$R$2:$R$27,MATCH(E1171,'Cost_Components'!$A$2:$A$27,0)),"")</f>
      </c>
      <c r="U1171" s="75" t="str">
        <f>IFERROR(INDEX('Cost_Components'!$Q$2:$Q$27,MATCH(E1171,'Cost_Components'!$A$2:$A$27,0)),"")</f>
      </c>
      <c r="V1171" s="76" t="str">
        <f>1/(1+'Calculation_Assumptions'!$B$5)^(B1171-'Calculation_Assumptions'!$B$2)</f>
      </c>
      <c r="W1171" s="77" t="str">
        <f>Q1171*V1171</f>
      </c>
      <c r="X1171" s="78" t="str">
        <f>R1171*V1171</f>
      </c>
      <c r="Y1171" s="79" t="str">
        <f>S1171*V1171</f>
      </c>
      <c r="Z1171" s="80" t="str">
        <f>IFERROR(INDEX('Cost_Components'!$T$2:$T$27,MATCH(E1171,'Cost_Components'!$A$2:$A$27,0)),"")</f>
      </c>
      <c r="AA1171" s="81" t="str">
        <f>IFERROR(INDEX('Cost_Components'!$U$2:$U$27,MATCH(E1171,'Cost_Components'!$A$2:$A$27,0)),"")</f>
      </c>
      <c r="AB1171" s="82" t="str">
        <f>IFERROR(INDEX('Cost_Components'!$V$2:$V$27,MATCH(E1171,'Cost_Components'!$A$2:$A$27,0)),"")</f>
      </c>
      <c r="AC1171" s="83" t="str">
        <f>IFERROR(INDEX('Cost_Components'!$M$2:$M$27,MATCH(E1171,'Cost_Components'!$A$2:$A$27,0)),"")</f>
      </c>
      <c r="AD1171" s="84" t="str">
        <f>IFERROR(INDEX('Cost_Components'!$N$2:$N$27,MATCH(E1171,'Cost_Components'!$A$2:$A$27,0)),"")</f>
      </c>
      <c r="AE1171" s="20" t="str">
        <f>IFERROR(INDEX('Cost_Components'!$O$2:$O$27,MATCH(E1171,'Cost_Components'!$A$2:$A$27,0)),"")</f>
      </c>
      <c r="AF1171" s="85" t="n">
        <v>776943.308177475</v>
      </c>
      <c r="AG1171" s="86" t="n">
        <v>773422.174403826</v>
      </c>
      <c r="AH1171" s="87" t="str">
        <f>IF(H1171="shared-count-once",COUNTIFS($A$2:$A$1353,A1171,$B$2:$B$1353,B1171,$E$2:$E$1353,E1171),1)</f>
      </c>
    </row>
    <row r="1172">
      <c r="A1172" t="s">
        <v>75</v>
      </c>
      <c r="B1172" s="59" t="n">
        <v>2025</v>
      </c>
      <c r="C1172" t="s">
        <v>220</v>
      </c>
      <c r="D1172" t="s">
        <v>176</v>
      </c>
      <c r="E1172" s="60" t="s">
        <v>309</v>
      </c>
      <c r="F1172" s="61" t="s">
        <v>310</v>
      </c>
      <c r="G1172" s="62" t="s">
        <v>221</v>
      </c>
      <c r="H1172" s="63" t="s">
        <v>195</v>
      </c>
      <c r="I1172" s="64" t="s">
        <v>170</v>
      </c>
      <c r="J1172" s="65" t="str">
        <f>IFERROR(INDEX('Cost_Components'!$K$2:$K$27,MATCH(E1172,'Cost_Components'!$A$2:$A$27,0)),"")</f>
      </c>
      <c r="K1172" s="66" t="str">
        <f>IF(OR(L1172="",Z1172="",AA1172="",AB1172=""),"",IF(B1172&lt;AA1172,L1172,IF(B1172&gt;AB1172,Z1172,L1172+(Z1172-L1172)*MIN(MAX((B1172-AA1172+1)/MAX(AB1172-AA1172+1,1),0),1))))</f>
      </c>
      <c r="L1172" s="67" t="str">
        <f>IFERROR(INDEX('Cost_Components'!$S$2:$S$27,MATCH(E1172,'Cost_Components'!$A$2:$A$27,0)),"")</f>
      </c>
      <c r="M1172" s="68" t="str">
        <f>IFERROR(INDEX('Cost_Components'!$L$2:$L$27,MATCH(E1172,'Cost_Components'!$A$2:$A$27,0)),"")</f>
      </c>
      <c r="N1172" s="69" t="str">
        <f>IFERROR(INDEX('Cost_Components'!$P$2:$P$27,MATCH(E1172,'Cost_Components'!$A$2:$A$27,0)),"")</f>
      </c>
      <c r="O1172" s="70" t="str">
        <f>AF1172*J1172</f>
      </c>
      <c r="P1172" s="71" t="str">
        <f>AG1172*J1172</f>
      </c>
      <c r="Q1172" s="72" t="str">
        <f>P1172*L1172*M1172*N1172</f>
      </c>
      <c r="R1172" s="73" t="str">
        <f>O1172*K1172*M1172*N1172</f>
      </c>
      <c r="S1172" s="74" t="str">
        <f>R1172-Q1172</f>
      </c>
      <c r="T1172" s="20" t="str">
        <f>IFERROR(INDEX('Cost_Components'!$R$2:$R$27,MATCH(E1172,'Cost_Components'!$A$2:$A$27,0)),"")</f>
      </c>
      <c r="U1172" s="75" t="str">
        <f>IFERROR(INDEX('Cost_Components'!$Q$2:$Q$27,MATCH(E1172,'Cost_Components'!$A$2:$A$27,0)),"")</f>
      </c>
      <c r="V1172" s="76" t="str">
        <f>1/(1+'Calculation_Assumptions'!$B$5)^(B1172-'Calculation_Assumptions'!$B$2)</f>
      </c>
      <c r="W1172" s="77" t="str">
        <f>Q1172*V1172</f>
      </c>
      <c r="X1172" s="78" t="str">
        <f>R1172*V1172</f>
      </c>
      <c r="Y1172" s="79" t="str">
        <f>S1172*V1172</f>
      </c>
      <c r="Z1172" s="80" t="str">
        <f>IFERROR(INDEX('Cost_Components'!$T$2:$T$27,MATCH(E1172,'Cost_Components'!$A$2:$A$27,0)),"")</f>
      </c>
      <c r="AA1172" s="81" t="str">
        <f>IFERROR(INDEX('Cost_Components'!$U$2:$U$27,MATCH(E1172,'Cost_Components'!$A$2:$A$27,0)),"")</f>
      </c>
      <c r="AB1172" s="82" t="str">
        <f>IFERROR(INDEX('Cost_Components'!$V$2:$V$27,MATCH(E1172,'Cost_Components'!$A$2:$A$27,0)),"")</f>
      </c>
      <c r="AC1172" s="83" t="str">
        <f>IFERROR(INDEX('Cost_Components'!$M$2:$M$27,MATCH(E1172,'Cost_Components'!$A$2:$A$27,0)),"")</f>
      </c>
      <c r="AD1172" s="84" t="str">
        <f>IFERROR(INDEX('Cost_Components'!$N$2:$N$27,MATCH(E1172,'Cost_Components'!$A$2:$A$27,0)),"")</f>
      </c>
      <c r="AE1172" s="20" t="str">
        <f>IFERROR(INDEX('Cost_Components'!$O$2:$O$27,MATCH(E1172,'Cost_Components'!$A$2:$A$27,0)),"")</f>
      </c>
      <c r="AF1172" s="85" t="n">
        <v>268305.639217834</v>
      </c>
      <c r="AG1172" s="86" t="n">
        <v>270359.450224046</v>
      </c>
      <c r="AH1172" s="87" t="str">
        <f>IF(H1172="shared-count-once",COUNTIFS($A$2:$A$1353,A1172,$B$2:$B$1353,B1172,$E$2:$E$1353,E1172),1)</f>
      </c>
    </row>
    <row r="1173">
      <c r="A1173" t="s">
        <v>75</v>
      </c>
      <c r="B1173" s="59" t="n">
        <v>2026</v>
      </c>
      <c r="C1173" t="s">
        <v>220</v>
      </c>
      <c r="D1173" t="s">
        <v>176</v>
      </c>
      <c r="E1173" s="60" t="s">
        <v>309</v>
      </c>
      <c r="F1173" s="61" t="s">
        <v>310</v>
      </c>
      <c r="G1173" s="62" t="s">
        <v>221</v>
      </c>
      <c r="H1173" s="63" t="s">
        <v>195</v>
      </c>
      <c r="I1173" s="64" t="s">
        <v>170</v>
      </c>
      <c r="J1173" s="65" t="str">
        <f>IFERROR(INDEX('Cost_Components'!$K$2:$K$27,MATCH(E1173,'Cost_Components'!$A$2:$A$27,0)),"")</f>
      </c>
      <c r="K1173" s="66" t="str">
        <f>IF(OR(L1173="",Z1173="",AA1173="",AB1173=""),"",IF(B1173&lt;AA1173,L1173,IF(B1173&gt;AB1173,Z1173,L1173+(Z1173-L1173)*MIN(MAX((B1173-AA1173+1)/MAX(AB1173-AA1173+1,1),0),1))))</f>
      </c>
      <c r="L1173" s="67" t="str">
        <f>IFERROR(INDEX('Cost_Components'!$S$2:$S$27,MATCH(E1173,'Cost_Components'!$A$2:$A$27,0)),"")</f>
      </c>
      <c r="M1173" s="68" t="str">
        <f>IFERROR(INDEX('Cost_Components'!$L$2:$L$27,MATCH(E1173,'Cost_Components'!$A$2:$A$27,0)),"")</f>
      </c>
      <c r="N1173" s="69" t="str">
        <f>IFERROR(INDEX('Cost_Components'!$P$2:$P$27,MATCH(E1173,'Cost_Components'!$A$2:$A$27,0)),"")</f>
      </c>
      <c r="O1173" s="70" t="str">
        <f>AF1173*J1173</f>
      </c>
      <c r="P1173" s="71" t="str">
        <f>AG1173*J1173</f>
      </c>
      <c r="Q1173" s="72" t="str">
        <f>P1173*L1173*M1173*N1173</f>
      </c>
      <c r="R1173" s="73" t="str">
        <f>O1173*K1173*M1173*N1173</f>
      </c>
      <c r="S1173" s="74" t="str">
        <f>R1173-Q1173</f>
      </c>
      <c r="T1173" s="20" t="str">
        <f>IFERROR(INDEX('Cost_Components'!$R$2:$R$27,MATCH(E1173,'Cost_Components'!$A$2:$A$27,0)),"")</f>
      </c>
      <c r="U1173" s="75" t="str">
        <f>IFERROR(INDEX('Cost_Components'!$Q$2:$Q$27,MATCH(E1173,'Cost_Components'!$A$2:$A$27,0)),"")</f>
      </c>
      <c r="V1173" s="76" t="str">
        <f>1/(1+'Calculation_Assumptions'!$B$5)^(B1173-'Calculation_Assumptions'!$B$2)</f>
      </c>
      <c r="W1173" s="77" t="str">
        <f>Q1173*V1173</f>
      </c>
      <c r="X1173" s="78" t="str">
        <f>R1173*V1173</f>
      </c>
      <c r="Y1173" s="79" t="str">
        <f>S1173*V1173</f>
      </c>
      <c r="Z1173" s="80" t="str">
        <f>IFERROR(INDEX('Cost_Components'!$T$2:$T$27,MATCH(E1173,'Cost_Components'!$A$2:$A$27,0)),"")</f>
      </c>
      <c r="AA1173" s="81" t="str">
        <f>IFERROR(INDEX('Cost_Components'!$U$2:$U$27,MATCH(E1173,'Cost_Components'!$A$2:$A$27,0)),"")</f>
      </c>
      <c r="AB1173" s="82" t="str">
        <f>IFERROR(INDEX('Cost_Components'!$V$2:$V$27,MATCH(E1173,'Cost_Components'!$A$2:$A$27,0)),"")</f>
      </c>
      <c r="AC1173" s="83" t="str">
        <f>IFERROR(INDEX('Cost_Components'!$M$2:$M$27,MATCH(E1173,'Cost_Components'!$A$2:$A$27,0)),"")</f>
      </c>
      <c r="AD1173" s="84" t="str">
        <f>IFERROR(INDEX('Cost_Components'!$N$2:$N$27,MATCH(E1173,'Cost_Components'!$A$2:$A$27,0)),"")</f>
      </c>
      <c r="AE1173" s="20" t="str">
        <f>IFERROR(INDEX('Cost_Components'!$O$2:$O$27,MATCH(E1173,'Cost_Components'!$A$2:$A$27,0)),"")</f>
      </c>
      <c r="AF1173" s="85" t="n">
        <v>267452.513376001</v>
      </c>
      <c r="AG1173" s="86" t="n">
        <v>271553.962125425</v>
      </c>
      <c r="AH1173" s="87" t="str">
        <f>IF(H1173="shared-count-once",COUNTIFS($A$2:$A$1353,A1173,$B$2:$B$1353,B1173,$E$2:$E$1353,E1173),1)</f>
      </c>
    </row>
    <row r="1174">
      <c r="A1174" t="s">
        <v>75</v>
      </c>
      <c r="B1174" s="59" t="n">
        <v>2027</v>
      </c>
      <c r="C1174" t="s">
        <v>220</v>
      </c>
      <c r="D1174" t="s">
        <v>176</v>
      </c>
      <c r="E1174" s="60" t="s">
        <v>309</v>
      </c>
      <c r="F1174" s="61" t="s">
        <v>310</v>
      </c>
      <c r="G1174" s="62" t="s">
        <v>221</v>
      </c>
      <c r="H1174" s="63" t="s">
        <v>195</v>
      </c>
      <c r="I1174" s="64" t="s">
        <v>170</v>
      </c>
      <c r="J1174" s="65" t="str">
        <f>IFERROR(INDEX('Cost_Components'!$K$2:$K$27,MATCH(E1174,'Cost_Components'!$A$2:$A$27,0)),"")</f>
      </c>
      <c r="K1174" s="66" t="str">
        <f>IF(OR(L1174="",Z1174="",AA1174="",AB1174=""),"",IF(B1174&lt;AA1174,L1174,IF(B1174&gt;AB1174,Z1174,L1174+(Z1174-L1174)*MIN(MAX((B1174-AA1174+1)/MAX(AB1174-AA1174+1,1),0),1))))</f>
      </c>
      <c r="L1174" s="67" t="str">
        <f>IFERROR(INDEX('Cost_Components'!$S$2:$S$27,MATCH(E1174,'Cost_Components'!$A$2:$A$27,0)),"")</f>
      </c>
      <c r="M1174" s="68" t="str">
        <f>IFERROR(INDEX('Cost_Components'!$L$2:$L$27,MATCH(E1174,'Cost_Components'!$A$2:$A$27,0)),"")</f>
      </c>
      <c r="N1174" s="69" t="str">
        <f>IFERROR(INDEX('Cost_Components'!$P$2:$P$27,MATCH(E1174,'Cost_Components'!$A$2:$A$27,0)),"")</f>
      </c>
      <c r="O1174" s="70" t="str">
        <f>AF1174*J1174</f>
      </c>
      <c r="P1174" s="71" t="str">
        <f>AG1174*J1174</f>
      </c>
      <c r="Q1174" s="72" t="str">
        <f>P1174*L1174*M1174*N1174</f>
      </c>
      <c r="R1174" s="73" t="str">
        <f>O1174*K1174*M1174*N1174</f>
      </c>
      <c r="S1174" s="74" t="str">
        <f>R1174-Q1174</f>
      </c>
      <c r="T1174" s="20" t="str">
        <f>IFERROR(INDEX('Cost_Components'!$R$2:$R$27,MATCH(E1174,'Cost_Components'!$A$2:$A$27,0)),"")</f>
      </c>
      <c r="U1174" s="75" t="str">
        <f>IFERROR(INDEX('Cost_Components'!$Q$2:$Q$27,MATCH(E1174,'Cost_Components'!$A$2:$A$27,0)),"")</f>
      </c>
      <c r="V1174" s="76" t="str">
        <f>1/(1+'Calculation_Assumptions'!$B$5)^(B1174-'Calculation_Assumptions'!$B$2)</f>
      </c>
      <c r="W1174" s="77" t="str">
        <f>Q1174*V1174</f>
      </c>
      <c r="X1174" s="78" t="str">
        <f>R1174*V1174</f>
      </c>
      <c r="Y1174" s="79" t="str">
        <f>S1174*V1174</f>
      </c>
      <c r="Z1174" s="80" t="str">
        <f>IFERROR(INDEX('Cost_Components'!$T$2:$T$27,MATCH(E1174,'Cost_Components'!$A$2:$A$27,0)),"")</f>
      </c>
      <c r="AA1174" s="81" t="str">
        <f>IFERROR(INDEX('Cost_Components'!$U$2:$U$27,MATCH(E1174,'Cost_Components'!$A$2:$A$27,0)),"")</f>
      </c>
      <c r="AB1174" s="82" t="str">
        <f>IFERROR(INDEX('Cost_Components'!$V$2:$V$27,MATCH(E1174,'Cost_Components'!$A$2:$A$27,0)),"")</f>
      </c>
      <c r="AC1174" s="83" t="str">
        <f>IFERROR(INDEX('Cost_Components'!$M$2:$M$27,MATCH(E1174,'Cost_Components'!$A$2:$A$27,0)),"")</f>
      </c>
      <c r="AD1174" s="84" t="str">
        <f>IFERROR(INDEX('Cost_Components'!$N$2:$N$27,MATCH(E1174,'Cost_Components'!$A$2:$A$27,0)),"")</f>
      </c>
      <c r="AE1174" s="20" t="str">
        <f>IFERROR(INDEX('Cost_Components'!$O$2:$O$27,MATCH(E1174,'Cost_Components'!$A$2:$A$27,0)),"")</f>
      </c>
      <c r="AF1174" s="85" t="n">
        <v>260735.855161846</v>
      </c>
      <c r="AG1174" s="86" t="n">
        <v>266844.13310635</v>
      </c>
      <c r="AH1174" s="87" t="str">
        <f>IF(H1174="shared-count-once",COUNTIFS($A$2:$A$1353,A1174,$B$2:$B$1353,B1174,$E$2:$E$1353,E1174),1)</f>
      </c>
    </row>
    <row r="1175">
      <c r="A1175" t="s">
        <v>75</v>
      </c>
      <c r="B1175" s="59" t="n">
        <v>2028</v>
      </c>
      <c r="C1175" t="s">
        <v>220</v>
      </c>
      <c r="D1175" t="s">
        <v>176</v>
      </c>
      <c r="E1175" s="60" t="s">
        <v>309</v>
      </c>
      <c r="F1175" s="61" t="s">
        <v>310</v>
      </c>
      <c r="G1175" s="62" t="s">
        <v>221</v>
      </c>
      <c r="H1175" s="63" t="s">
        <v>195</v>
      </c>
      <c r="I1175" s="64" t="s">
        <v>170</v>
      </c>
      <c r="J1175" s="65" t="str">
        <f>IFERROR(INDEX('Cost_Components'!$K$2:$K$27,MATCH(E1175,'Cost_Components'!$A$2:$A$27,0)),"")</f>
      </c>
      <c r="K1175" s="66" t="str">
        <f>IF(OR(L1175="",Z1175="",AA1175="",AB1175=""),"",IF(B1175&lt;AA1175,L1175,IF(B1175&gt;AB1175,Z1175,L1175+(Z1175-L1175)*MIN(MAX((B1175-AA1175+1)/MAX(AB1175-AA1175+1,1),0),1))))</f>
      </c>
      <c r="L1175" s="67" t="str">
        <f>IFERROR(INDEX('Cost_Components'!$S$2:$S$27,MATCH(E1175,'Cost_Components'!$A$2:$A$27,0)),"")</f>
      </c>
      <c r="M1175" s="68" t="str">
        <f>IFERROR(INDEX('Cost_Components'!$L$2:$L$27,MATCH(E1175,'Cost_Components'!$A$2:$A$27,0)),"")</f>
      </c>
      <c r="N1175" s="69" t="str">
        <f>IFERROR(INDEX('Cost_Components'!$P$2:$P$27,MATCH(E1175,'Cost_Components'!$A$2:$A$27,0)),"")</f>
      </c>
      <c r="O1175" s="70" t="str">
        <f>AF1175*J1175</f>
      </c>
      <c r="P1175" s="71" t="str">
        <f>AG1175*J1175</f>
      </c>
      <c r="Q1175" s="72" t="str">
        <f>P1175*L1175*M1175*N1175</f>
      </c>
      <c r="R1175" s="73" t="str">
        <f>O1175*K1175*M1175*N1175</f>
      </c>
      <c r="S1175" s="74" t="str">
        <f>R1175-Q1175</f>
      </c>
      <c r="T1175" s="20" t="str">
        <f>IFERROR(INDEX('Cost_Components'!$R$2:$R$27,MATCH(E1175,'Cost_Components'!$A$2:$A$27,0)),"")</f>
      </c>
      <c r="U1175" s="75" t="str">
        <f>IFERROR(INDEX('Cost_Components'!$Q$2:$Q$27,MATCH(E1175,'Cost_Components'!$A$2:$A$27,0)),"")</f>
      </c>
      <c r="V1175" s="76" t="str">
        <f>1/(1+'Calculation_Assumptions'!$B$5)^(B1175-'Calculation_Assumptions'!$B$2)</f>
      </c>
      <c r="W1175" s="77" t="str">
        <f>Q1175*V1175</f>
      </c>
      <c r="X1175" s="78" t="str">
        <f>R1175*V1175</f>
      </c>
      <c r="Y1175" s="79" t="str">
        <f>S1175*V1175</f>
      </c>
      <c r="Z1175" s="80" t="str">
        <f>IFERROR(INDEX('Cost_Components'!$T$2:$T$27,MATCH(E1175,'Cost_Components'!$A$2:$A$27,0)),"")</f>
      </c>
      <c r="AA1175" s="81" t="str">
        <f>IFERROR(INDEX('Cost_Components'!$U$2:$U$27,MATCH(E1175,'Cost_Components'!$A$2:$A$27,0)),"")</f>
      </c>
      <c r="AB1175" s="82" t="str">
        <f>IFERROR(INDEX('Cost_Components'!$V$2:$V$27,MATCH(E1175,'Cost_Components'!$A$2:$A$27,0)),"")</f>
      </c>
      <c r="AC1175" s="83" t="str">
        <f>IFERROR(INDEX('Cost_Components'!$M$2:$M$27,MATCH(E1175,'Cost_Components'!$A$2:$A$27,0)),"")</f>
      </c>
      <c r="AD1175" s="84" t="str">
        <f>IFERROR(INDEX('Cost_Components'!$N$2:$N$27,MATCH(E1175,'Cost_Components'!$A$2:$A$27,0)),"")</f>
      </c>
      <c r="AE1175" s="20" t="str">
        <f>IFERROR(INDEX('Cost_Components'!$O$2:$O$27,MATCH(E1175,'Cost_Components'!$A$2:$A$27,0)),"")</f>
      </c>
      <c r="AF1175" s="85" t="n">
        <v>258724.298504506</v>
      </c>
      <c r="AG1175" s="86" t="n">
        <v>266854.627850337</v>
      </c>
      <c r="AH1175" s="87" t="str">
        <f>IF(H1175="shared-count-once",COUNTIFS($A$2:$A$1353,A1175,$B$2:$B$1353,B1175,$E$2:$E$1353,E1175),1)</f>
      </c>
    </row>
    <row r="1176">
      <c r="A1176" t="s">
        <v>75</v>
      </c>
      <c r="B1176" s="59" t="n">
        <v>2029</v>
      </c>
      <c r="C1176" t="s">
        <v>220</v>
      </c>
      <c r="D1176" t="s">
        <v>176</v>
      </c>
      <c r="E1176" s="60" t="s">
        <v>309</v>
      </c>
      <c r="F1176" s="61" t="s">
        <v>310</v>
      </c>
      <c r="G1176" s="62" t="s">
        <v>221</v>
      </c>
      <c r="H1176" s="63" t="s">
        <v>195</v>
      </c>
      <c r="I1176" s="64" t="s">
        <v>170</v>
      </c>
      <c r="J1176" s="65" t="str">
        <f>IFERROR(INDEX('Cost_Components'!$K$2:$K$27,MATCH(E1176,'Cost_Components'!$A$2:$A$27,0)),"")</f>
      </c>
      <c r="K1176" s="66" t="str">
        <f>IF(OR(L1176="",Z1176="",AA1176="",AB1176=""),"",IF(B1176&lt;AA1176,L1176,IF(B1176&gt;AB1176,Z1176,L1176+(Z1176-L1176)*MIN(MAX((B1176-AA1176+1)/MAX(AB1176-AA1176+1,1),0),1))))</f>
      </c>
      <c r="L1176" s="67" t="str">
        <f>IFERROR(INDEX('Cost_Components'!$S$2:$S$27,MATCH(E1176,'Cost_Components'!$A$2:$A$27,0)),"")</f>
      </c>
      <c r="M1176" s="68" t="str">
        <f>IFERROR(INDEX('Cost_Components'!$L$2:$L$27,MATCH(E1176,'Cost_Components'!$A$2:$A$27,0)),"")</f>
      </c>
      <c r="N1176" s="69" t="str">
        <f>IFERROR(INDEX('Cost_Components'!$P$2:$P$27,MATCH(E1176,'Cost_Components'!$A$2:$A$27,0)),"")</f>
      </c>
      <c r="O1176" s="70" t="str">
        <f>AF1176*J1176</f>
      </c>
      <c r="P1176" s="71" t="str">
        <f>AG1176*J1176</f>
      </c>
      <c r="Q1176" s="72" t="str">
        <f>P1176*L1176*M1176*N1176</f>
      </c>
      <c r="R1176" s="73" t="str">
        <f>O1176*K1176*M1176*N1176</f>
      </c>
      <c r="S1176" s="74" t="str">
        <f>R1176-Q1176</f>
      </c>
      <c r="T1176" s="20" t="str">
        <f>IFERROR(INDEX('Cost_Components'!$R$2:$R$27,MATCH(E1176,'Cost_Components'!$A$2:$A$27,0)),"")</f>
      </c>
      <c r="U1176" s="75" t="str">
        <f>IFERROR(INDEX('Cost_Components'!$Q$2:$Q$27,MATCH(E1176,'Cost_Components'!$A$2:$A$27,0)),"")</f>
      </c>
      <c r="V1176" s="76" t="str">
        <f>1/(1+'Calculation_Assumptions'!$B$5)^(B1176-'Calculation_Assumptions'!$B$2)</f>
      </c>
      <c r="W1176" s="77" t="str">
        <f>Q1176*V1176</f>
      </c>
      <c r="X1176" s="78" t="str">
        <f>R1176*V1176</f>
      </c>
      <c r="Y1176" s="79" t="str">
        <f>S1176*V1176</f>
      </c>
      <c r="Z1176" s="80" t="str">
        <f>IFERROR(INDEX('Cost_Components'!$T$2:$T$27,MATCH(E1176,'Cost_Components'!$A$2:$A$27,0)),"")</f>
      </c>
      <c r="AA1176" s="81" t="str">
        <f>IFERROR(INDEX('Cost_Components'!$U$2:$U$27,MATCH(E1176,'Cost_Components'!$A$2:$A$27,0)),"")</f>
      </c>
      <c r="AB1176" s="82" t="str">
        <f>IFERROR(INDEX('Cost_Components'!$V$2:$V$27,MATCH(E1176,'Cost_Components'!$A$2:$A$27,0)),"")</f>
      </c>
      <c r="AC1176" s="83" t="str">
        <f>IFERROR(INDEX('Cost_Components'!$M$2:$M$27,MATCH(E1176,'Cost_Components'!$A$2:$A$27,0)),"")</f>
      </c>
      <c r="AD1176" s="84" t="str">
        <f>IFERROR(INDEX('Cost_Components'!$N$2:$N$27,MATCH(E1176,'Cost_Components'!$A$2:$A$27,0)),"")</f>
      </c>
      <c r="AE1176" s="20" t="str">
        <f>IFERROR(INDEX('Cost_Components'!$O$2:$O$27,MATCH(E1176,'Cost_Components'!$A$2:$A$27,0)),"")</f>
      </c>
      <c r="AF1176" s="85" t="n">
        <v>254914.221447228</v>
      </c>
      <c r="AG1176" s="86" t="n">
        <v>265061.892172885</v>
      </c>
      <c r="AH1176" s="87" t="str">
        <f>IF(H1176="shared-count-once",COUNTIFS($A$2:$A$1353,A1176,$B$2:$B$1353,B1176,$E$2:$E$1353,E1176),1)</f>
      </c>
    </row>
    <row r="1177">
      <c r="A1177" t="s">
        <v>75</v>
      </c>
      <c r="B1177" s="59" t="n">
        <v>2030</v>
      </c>
      <c r="C1177" t="s">
        <v>220</v>
      </c>
      <c r="D1177" t="s">
        <v>176</v>
      </c>
      <c r="E1177" s="60" t="s">
        <v>309</v>
      </c>
      <c r="F1177" s="61" t="s">
        <v>310</v>
      </c>
      <c r="G1177" s="62" t="s">
        <v>221</v>
      </c>
      <c r="H1177" s="63" t="s">
        <v>195</v>
      </c>
      <c r="I1177" s="64" t="s">
        <v>170</v>
      </c>
      <c r="J1177" s="65" t="str">
        <f>IFERROR(INDEX('Cost_Components'!$K$2:$K$27,MATCH(E1177,'Cost_Components'!$A$2:$A$27,0)),"")</f>
      </c>
      <c r="K1177" s="66" t="str">
        <f>IF(OR(L1177="",Z1177="",AA1177="",AB1177=""),"",IF(B1177&lt;AA1177,L1177,IF(B1177&gt;AB1177,Z1177,L1177+(Z1177-L1177)*MIN(MAX((B1177-AA1177+1)/MAX(AB1177-AA1177+1,1),0),1))))</f>
      </c>
      <c r="L1177" s="67" t="str">
        <f>IFERROR(INDEX('Cost_Components'!$S$2:$S$27,MATCH(E1177,'Cost_Components'!$A$2:$A$27,0)),"")</f>
      </c>
      <c r="M1177" s="68" t="str">
        <f>IFERROR(INDEX('Cost_Components'!$L$2:$L$27,MATCH(E1177,'Cost_Components'!$A$2:$A$27,0)),"")</f>
      </c>
      <c r="N1177" s="69" t="str">
        <f>IFERROR(INDEX('Cost_Components'!$P$2:$P$27,MATCH(E1177,'Cost_Components'!$A$2:$A$27,0)),"")</f>
      </c>
      <c r="O1177" s="70" t="str">
        <f>AF1177*J1177</f>
      </c>
      <c r="P1177" s="71" t="str">
        <f>AG1177*J1177</f>
      </c>
      <c r="Q1177" s="72" t="str">
        <f>P1177*L1177*M1177*N1177</f>
      </c>
      <c r="R1177" s="73" t="str">
        <f>O1177*K1177*M1177*N1177</f>
      </c>
      <c r="S1177" s="74" t="str">
        <f>R1177-Q1177</f>
      </c>
      <c r="T1177" s="20" t="str">
        <f>IFERROR(INDEX('Cost_Components'!$R$2:$R$27,MATCH(E1177,'Cost_Components'!$A$2:$A$27,0)),"")</f>
      </c>
      <c r="U1177" s="75" t="str">
        <f>IFERROR(INDEX('Cost_Components'!$Q$2:$Q$27,MATCH(E1177,'Cost_Components'!$A$2:$A$27,0)),"")</f>
      </c>
      <c r="V1177" s="76" t="str">
        <f>1/(1+'Calculation_Assumptions'!$B$5)^(B1177-'Calculation_Assumptions'!$B$2)</f>
      </c>
      <c r="W1177" s="77" t="str">
        <f>Q1177*V1177</f>
      </c>
      <c r="X1177" s="78" t="str">
        <f>R1177*V1177</f>
      </c>
      <c r="Y1177" s="79" t="str">
        <f>S1177*V1177</f>
      </c>
      <c r="Z1177" s="80" t="str">
        <f>IFERROR(INDEX('Cost_Components'!$T$2:$T$27,MATCH(E1177,'Cost_Components'!$A$2:$A$27,0)),"")</f>
      </c>
      <c r="AA1177" s="81" t="str">
        <f>IFERROR(INDEX('Cost_Components'!$U$2:$U$27,MATCH(E1177,'Cost_Components'!$A$2:$A$27,0)),"")</f>
      </c>
      <c r="AB1177" s="82" t="str">
        <f>IFERROR(INDEX('Cost_Components'!$V$2:$V$27,MATCH(E1177,'Cost_Components'!$A$2:$A$27,0)),"")</f>
      </c>
      <c r="AC1177" s="83" t="str">
        <f>IFERROR(INDEX('Cost_Components'!$M$2:$M$27,MATCH(E1177,'Cost_Components'!$A$2:$A$27,0)),"")</f>
      </c>
      <c r="AD1177" s="84" t="str">
        <f>IFERROR(INDEX('Cost_Components'!$N$2:$N$27,MATCH(E1177,'Cost_Components'!$A$2:$A$27,0)),"")</f>
      </c>
      <c r="AE1177" s="20" t="str">
        <f>IFERROR(INDEX('Cost_Components'!$O$2:$O$27,MATCH(E1177,'Cost_Components'!$A$2:$A$27,0)),"")</f>
      </c>
      <c r="AF1177" s="85" t="n">
        <v>252884.834761306</v>
      </c>
      <c r="AG1177" s="86" t="n">
        <v>265049.622930217</v>
      </c>
      <c r="AH1177" s="87" t="str">
        <f>IF(H1177="shared-count-once",COUNTIFS($A$2:$A$1353,A1177,$B$2:$B$1353,B1177,$E$2:$E$1353,E1177),1)</f>
      </c>
    </row>
    <row r="1178">
      <c r="A1178" t="s">
        <v>75</v>
      </c>
      <c r="B1178" s="59" t="n">
        <v>2031</v>
      </c>
      <c r="C1178" t="s">
        <v>220</v>
      </c>
      <c r="D1178" t="s">
        <v>176</v>
      </c>
      <c r="E1178" s="60" t="s">
        <v>309</v>
      </c>
      <c r="F1178" s="61" t="s">
        <v>310</v>
      </c>
      <c r="G1178" s="62" t="s">
        <v>221</v>
      </c>
      <c r="H1178" s="63" t="s">
        <v>195</v>
      </c>
      <c r="I1178" s="64" t="s">
        <v>170</v>
      </c>
      <c r="J1178" s="65" t="str">
        <f>IFERROR(INDEX('Cost_Components'!$K$2:$K$27,MATCH(E1178,'Cost_Components'!$A$2:$A$27,0)),"")</f>
      </c>
      <c r="K1178" s="66" t="str">
        <f>IF(OR(L1178="",Z1178="",AA1178="",AB1178=""),"",IF(B1178&lt;AA1178,L1178,IF(B1178&gt;AB1178,Z1178,L1178+(Z1178-L1178)*MIN(MAX((B1178-AA1178+1)/MAX(AB1178-AA1178+1,1),0),1))))</f>
      </c>
      <c r="L1178" s="67" t="str">
        <f>IFERROR(INDEX('Cost_Components'!$S$2:$S$27,MATCH(E1178,'Cost_Components'!$A$2:$A$27,0)),"")</f>
      </c>
      <c r="M1178" s="68" t="str">
        <f>IFERROR(INDEX('Cost_Components'!$L$2:$L$27,MATCH(E1178,'Cost_Components'!$A$2:$A$27,0)),"")</f>
      </c>
      <c r="N1178" s="69" t="str">
        <f>IFERROR(INDEX('Cost_Components'!$P$2:$P$27,MATCH(E1178,'Cost_Components'!$A$2:$A$27,0)),"")</f>
      </c>
      <c r="O1178" s="70" t="str">
        <f>AF1178*J1178</f>
      </c>
      <c r="P1178" s="71" t="str">
        <f>AG1178*J1178</f>
      </c>
      <c r="Q1178" s="72" t="str">
        <f>P1178*L1178*M1178*N1178</f>
      </c>
      <c r="R1178" s="73" t="str">
        <f>O1178*K1178*M1178*N1178</f>
      </c>
      <c r="S1178" s="74" t="str">
        <f>R1178-Q1178</f>
      </c>
      <c r="T1178" s="20" t="str">
        <f>IFERROR(INDEX('Cost_Components'!$R$2:$R$27,MATCH(E1178,'Cost_Components'!$A$2:$A$27,0)),"")</f>
      </c>
      <c r="U1178" s="75" t="str">
        <f>IFERROR(INDEX('Cost_Components'!$Q$2:$Q$27,MATCH(E1178,'Cost_Components'!$A$2:$A$27,0)),"")</f>
      </c>
      <c r="V1178" s="76" t="str">
        <f>1/(1+'Calculation_Assumptions'!$B$5)^(B1178-'Calculation_Assumptions'!$B$2)</f>
      </c>
      <c r="W1178" s="77" t="str">
        <f>Q1178*V1178</f>
      </c>
      <c r="X1178" s="78" t="str">
        <f>R1178*V1178</f>
      </c>
      <c r="Y1178" s="79" t="str">
        <f>S1178*V1178</f>
      </c>
      <c r="Z1178" s="80" t="str">
        <f>IFERROR(INDEX('Cost_Components'!$T$2:$T$27,MATCH(E1178,'Cost_Components'!$A$2:$A$27,0)),"")</f>
      </c>
      <c r="AA1178" s="81" t="str">
        <f>IFERROR(INDEX('Cost_Components'!$U$2:$U$27,MATCH(E1178,'Cost_Components'!$A$2:$A$27,0)),"")</f>
      </c>
      <c r="AB1178" s="82" t="str">
        <f>IFERROR(INDEX('Cost_Components'!$V$2:$V$27,MATCH(E1178,'Cost_Components'!$A$2:$A$27,0)),"")</f>
      </c>
      <c r="AC1178" s="83" t="str">
        <f>IFERROR(INDEX('Cost_Components'!$M$2:$M$27,MATCH(E1178,'Cost_Components'!$A$2:$A$27,0)),"")</f>
      </c>
      <c r="AD1178" s="84" t="str">
        <f>IFERROR(INDEX('Cost_Components'!$N$2:$N$27,MATCH(E1178,'Cost_Components'!$A$2:$A$27,0)),"")</f>
      </c>
      <c r="AE1178" s="20" t="str">
        <f>IFERROR(INDEX('Cost_Components'!$O$2:$O$27,MATCH(E1178,'Cost_Components'!$A$2:$A$27,0)),"")</f>
      </c>
      <c r="AF1178" s="85" t="n">
        <v>249871.752441627</v>
      </c>
      <c r="AG1178" s="86" t="n">
        <v>264037.296187815</v>
      </c>
      <c r="AH1178" s="87" t="str">
        <f>IF(H1178="shared-count-once",COUNTIFS($A$2:$A$1353,A1178,$B$2:$B$1353,B1178,$E$2:$E$1353,E1178),1)</f>
      </c>
    </row>
    <row r="1179">
      <c r="A1179" t="s">
        <v>75</v>
      </c>
      <c r="B1179" s="59" t="n">
        <v>2032</v>
      </c>
      <c r="C1179" t="s">
        <v>220</v>
      </c>
      <c r="D1179" t="s">
        <v>176</v>
      </c>
      <c r="E1179" s="60" t="s">
        <v>309</v>
      </c>
      <c r="F1179" s="61" t="s">
        <v>310</v>
      </c>
      <c r="G1179" s="62" t="s">
        <v>221</v>
      </c>
      <c r="H1179" s="63" t="s">
        <v>195</v>
      </c>
      <c r="I1179" s="64" t="s">
        <v>170</v>
      </c>
      <c r="J1179" s="65" t="str">
        <f>IFERROR(INDEX('Cost_Components'!$K$2:$K$27,MATCH(E1179,'Cost_Components'!$A$2:$A$27,0)),"")</f>
      </c>
      <c r="K1179" s="66" t="str">
        <f>IF(OR(L1179="",Z1179="",AA1179="",AB1179=""),"",IF(B1179&lt;AA1179,L1179,IF(B1179&gt;AB1179,Z1179,L1179+(Z1179-L1179)*MIN(MAX((B1179-AA1179+1)/MAX(AB1179-AA1179+1,1),0),1))))</f>
      </c>
      <c r="L1179" s="67" t="str">
        <f>IFERROR(INDEX('Cost_Components'!$S$2:$S$27,MATCH(E1179,'Cost_Components'!$A$2:$A$27,0)),"")</f>
      </c>
      <c r="M1179" s="68" t="str">
        <f>IFERROR(INDEX('Cost_Components'!$L$2:$L$27,MATCH(E1179,'Cost_Components'!$A$2:$A$27,0)),"")</f>
      </c>
      <c r="N1179" s="69" t="str">
        <f>IFERROR(INDEX('Cost_Components'!$P$2:$P$27,MATCH(E1179,'Cost_Components'!$A$2:$A$27,0)),"")</f>
      </c>
      <c r="O1179" s="70" t="str">
        <f>AF1179*J1179</f>
      </c>
      <c r="P1179" s="71" t="str">
        <f>AG1179*J1179</f>
      </c>
      <c r="Q1179" s="72" t="str">
        <f>P1179*L1179*M1179*N1179</f>
      </c>
      <c r="R1179" s="73" t="str">
        <f>O1179*K1179*M1179*N1179</f>
      </c>
      <c r="S1179" s="74" t="str">
        <f>R1179-Q1179</f>
      </c>
      <c r="T1179" s="20" t="str">
        <f>IFERROR(INDEX('Cost_Components'!$R$2:$R$27,MATCH(E1179,'Cost_Components'!$A$2:$A$27,0)),"")</f>
      </c>
      <c r="U1179" s="75" t="str">
        <f>IFERROR(INDEX('Cost_Components'!$Q$2:$Q$27,MATCH(E1179,'Cost_Components'!$A$2:$A$27,0)),"")</f>
      </c>
      <c r="V1179" s="76" t="str">
        <f>1/(1+'Calculation_Assumptions'!$B$5)^(B1179-'Calculation_Assumptions'!$B$2)</f>
      </c>
      <c r="W1179" s="77" t="str">
        <f>Q1179*V1179</f>
      </c>
      <c r="X1179" s="78" t="str">
        <f>R1179*V1179</f>
      </c>
      <c r="Y1179" s="79" t="str">
        <f>S1179*V1179</f>
      </c>
      <c r="Z1179" s="80" t="str">
        <f>IFERROR(INDEX('Cost_Components'!$T$2:$T$27,MATCH(E1179,'Cost_Components'!$A$2:$A$27,0)),"")</f>
      </c>
      <c r="AA1179" s="81" t="str">
        <f>IFERROR(INDEX('Cost_Components'!$U$2:$U$27,MATCH(E1179,'Cost_Components'!$A$2:$A$27,0)),"")</f>
      </c>
      <c r="AB1179" s="82" t="str">
        <f>IFERROR(INDEX('Cost_Components'!$V$2:$V$27,MATCH(E1179,'Cost_Components'!$A$2:$A$27,0)),"")</f>
      </c>
      <c r="AC1179" s="83" t="str">
        <f>IFERROR(INDEX('Cost_Components'!$M$2:$M$27,MATCH(E1179,'Cost_Components'!$A$2:$A$27,0)),"")</f>
      </c>
      <c r="AD1179" s="84" t="str">
        <f>IFERROR(INDEX('Cost_Components'!$N$2:$N$27,MATCH(E1179,'Cost_Components'!$A$2:$A$27,0)),"")</f>
      </c>
      <c r="AE1179" s="20" t="str">
        <f>IFERROR(INDEX('Cost_Components'!$O$2:$O$27,MATCH(E1179,'Cost_Components'!$A$2:$A$27,0)),"")</f>
      </c>
      <c r="AF1179" s="85" t="n">
        <v>247665.232373282</v>
      </c>
      <c r="AG1179" s="86" t="n">
        <v>263823.615502871</v>
      </c>
      <c r="AH1179" s="87" t="str">
        <f>IF(H1179="shared-count-once",COUNTIFS($A$2:$A$1353,A1179,$B$2:$B$1353,B1179,$E$2:$E$1353,E1179),1)</f>
      </c>
    </row>
    <row r="1180">
      <c r="A1180" t="s">
        <v>75</v>
      </c>
      <c r="B1180" s="59" t="n">
        <v>2033</v>
      </c>
      <c r="C1180" t="s">
        <v>220</v>
      </c>
      <c r="D1180" t="s">
        <v>176</v>
      </c>
      <c r="E1180" s="60" t="s">
        <v>309</v>
      </c>
      <c r="F1180" s="61" t="s">
        <v>310</v>
      </c>
      <c r="G1180" s="62" t="s">
        <v>221</v>
      </c>
      <c r="H1180" s="63" t="s">
        <v>195</v>
      </c>
      <c r="I1180" s="64" t="s">
        <v>170</v>
      </c>
      <c r="J1180" s="65" t="str">
        <f>IFERROR(INDEX('Cost_Components'!$K$2:$K$27,MATCH(E1180,'Cost_Components'!$A$2:$A$27,0)),"")</f>
      </c>
      <c r="K1180" s="66" t="str">
        <f>IF(OR(L1180="",Z1180="",AA1180="",AB1180=""),"",IF(B1180&lt;AA1180,L1180,IF(B1180&gt;AB1180,Z1180,L1180+(Z1180-L1180)*MIN(MAX((B1180-AA1180+1)/MAX(AB1180-AA1180+1,1),0),1))))</f>
      </c>
      <c r="L1180" s="67" t="str">
        <f>IFERROR(INDEX('Cost_Components'!$S$2:$S$27,MATCH(E1180,'Cost_Components'!$A$2:$A$27,0)),"")</f>
      </c>
      <c r="M1180" s="68" t="str">
        <f>IFERROR(INDEX('Cost_Components'!$L$2:$L$27,MATCH(E1180,'Cost_Components'!$A$2:$A$27,0)),"")</f>
      </c>
      <c r="N1180" s="69" t="str">
        <f>IFERROR(INDEX('Cost_Components'!$P$2:$P$27,MATCH(E1180,'Cost_Components'!$A$2:$A$27,0)),"")</f>
      </c>
      <c r="O1180" s="70" t="str">
        <f>AF1180*J1180</f>
      </c>
      <c r="P1180" s="71" t="str">
        <f>AG1180*J1180</f>
      </c>
      <c r="Q1180" s="72" t="str">
        <f>P1180*L1180*M1180*N1180</f>
      </c>
      <c r="R1180" s="73" t="str">
        <f>O1180*K1180*M1180*N1180</f>
      </c>
      <c r="S1180" s="74" t="str">
        <f>R1180-Q1180</f>
      </c>
      <c r="T1180" s="20" t="str">
        <f>IFERROR(INDEX('Cost_Components'!$R$2:$R$27,MATCH(E1180,'Cost_Components'!$A$2:$A$27,0)),"")</f>
      </c>
      <c r="U1180" s="75" t="str">
        <f>IFERROR(INDEX('Cost_Components'!$Q$2:$Q$27,MATCH(E1180,'Cost_Components'!$A$2:$A$27,0)),"")</f>
      </c>
      <c r="V1180" s="76" t="str">
        <f>1/(1+'Calculation_Assumptions'!$B$5)^(B1180-'Calculation_Assumptions'!$B$2)</f>
      </c>
      <c r="W1180" s="77" t="str">
        <f>Q1180*V1180</f>
      </c>
      <c r="X1180" s="78" t="str">
        <f>R1180*V1180</f>
      </c>
      <c r="Y1180" s="79" t="str">
        <f>S1180*V1180</f>
      </c>
      <c r="Z1180" s="80" t="str">
        <f>IFERROR(INDEX('Cost_Components'!$T$2:$T$27,MATCH(E1180,'Cost_Components'!$A$2:$A$27,0)),"")</f>
      </c>
      <c r="AA1180" s="81" t="str">
        <f>IFERROR(INDEX('Cost_Components'!$U$2:$U$27,MATCH(E1180,'Cost_Components'!$A$2:$A$27,0)),"")</f>
      </c>
      <c r="AB1180" s="82" t="str">
        <f>IFERROR(INDEX('Cost_Components'!$V$2:$V$27,MATCH(E1180,'Cost_Components'!$A$2:$A$27,0)),"")</f>
      </c>
      <c r="AC1180" s="83" t="str">
        <f>IFERROR(INDEX('Cost_Components'!$M$2:$M$27,MATCH(E1180,'Cost_Components'!$A$2:$A$27,0)),"")</f>
      </c>
      <c r="AD1180" s="84" t="str">
        <f>IFERROR(INDEX('Cost_Components'!$N$2:$N$27,MATCH(E1180,'Cost_Components'!$A$2:$A$27,0)),"")</f>
      </c>
      <c r="AE1180" s="20" t="str">
        <f>IFERROR(INDEX('Cost_Components'!$O$2:$O$27,MATCH(E1180,'Cost_Components'!$A$2:$A$27,0)),"")</f>
      </c>
      <c r="AF1180" s="85" t="n">
        <v>245277.136426632</v>
      </c>
      <c r="AG1180" s="86" t="n">
        <v>263406.588007275</v>
      </c>
      <c r="AH1180" s="87" t="str">
        <f>IF(H1180="shared-count-once",COUNTIFS($A$2:$A$1353,A1180,$B$2:$B$1353,B1180,$E$2:$E$1353,E1180),1)</f>
      </c>
    </row>
    <row r="1181">
      <c r="A1181" t="s">
        <v>75</v>
      </c>
      <c r="B1181" s="59" t="n">
        <v>2034</v>
      </c>
      <c r="C1181" t="s">
        <v>220</v>
      </c>
      <c r="D1181" t="s">
        <v>176</v>
      </c>
      <c r="E1181" s="60" t="s">
        <v>309</v>
      </c>
      <c r="F1181" s="61" t="s">
        <v>310</v>
      </c>
      <c r="G1181" s="62" t="s">
        <v>221</v>
      </c>
      <c r="H1181" s="63" t="s">
        <v>195</v>
      </c>
      <c r="I1181" s="64" t="s">
        <v>170</v>
      </c>
      <c r="J1181" s="65" t="str">
        <f>IFERROR(INDEX('Cost_Components'!$K$2:$K$27,MATCH(E1181,'Cost_Components'!$A$2:$A$27,0)),"")</f>
      </c>
      <c r="K1181" s="66" t="str">
        <f>IF(OR(L1181="",Z1181="",AA1181="",AB1181=""),"",IF(B1181&lt;AA1181,L1181,IF(B1181&gt;AB1181,Z1181,L1181+(Z1181-L1181)*MIN(MAX((B1181-AA1181+1)/MAX(AB1181-AA1181+1,1),0),1))))</f>
      </c>
      <c r="L1181" s="67" t="str">
        <f>IFERROR(INDEX('Cost_Components'!$S$2:$S$27,MATCH(E1181,'Cost_Components'!$A$2:$A$27,0)),"")</f>
      </c>
      <c r="M1181" s="68" t="str">
        <f>IFERROR(INDEX('Cost_Components'!$L$2:$L$27,MATCH(E1181,'Cost_Components'!$A$2:$A$27,0)),"")</f>
      </c>
      <c r="N1181" s="69" t="str">
        <f>IFERROR(INDEX('Cost_Components'!$P$2:$P$27,MATCH(E1181,'Cost_Components'!$A$2:$A$27,0)),"")</f>
      </c>
      <c r="O1181" s="70" t="str">
        <f>AF1181*J1181</f>
      </c>
      <c r="P1181" s="71" t="str">
        <f>AG1181*J1181</f>
      </c>
      <c r="Q1181" s="72" t="str">
        <f>P1181*L1181*M1181*N1181</f>
      </c>
      <c r="R1181" s="73" t="str">
        <f>O1181*K1181*M1181*N1181</f>
      </c>
      <c r="S1181" s="74" t="str">
        <f>R1181-Q1181</f>
      </c>
      <c r="T1181" s="20" t="str">
        <f>IFERROR(INDEX('Cost_Components'!$R$2:$R$27,MATCH(E1181,'Cost_Components'!$A$2:$A$27,0)),"")</f>
      </c>
      <c r="U1181" s="75" t="str">
        <f>IFERROR(INDEX('Cost_Components'!$Q$2:$Q$27,MATCH(E1181,'Cost_Components'!$A$2:$A$27,0)),"")</f>
      </c>
      <c r="V1181" s="76" t="str">
        <f>1/(1+'Calculation_Assumptions'!$B$5)^(B1181-'Calculation_Assumptions'!$B$2)</f>
      </c>
      <c r="W1181" s="77" t="str">
        <f>Q1181*V1181</f>
      </c>
      <c r="X1181" s="78" t="str">
        <f>R1181*V1181</f>
      </c>
      <c r="Y1181" s="79" t="str">
        <f>S1181*V1181</f>
      </c>
      <c r="Z1181" s="80" t="str">
        <f>IFERROR(INDEX('Cost_Components'!$T$2:$T$27,MATCH(E1181,'Cost_Components'!$A$2:$A$27,0)),"")</f>
      </c>
      <c r="AA1181" s="81" t="str">
        <f>IFERROR(INDEX('Cost_Components'!$U$2:$U$27,MATCH(E1181,'Cost_Components'!$A$2:$A$27,0)),"")</f>
      </c>
      <c r="AB1181" s="82" t="str">
        <f>IFERROR(INDEX('Cost_Components'!$V$2:$V$27,MATCH(E1181,'Cost_Components'!$A$2:$A$27,0)),"")</f>
      </c>
      <c r="AC1181" s="83" t="str">
        <f>IFERROR(INDEX('Cost_Components'!$M$2:$M$27,MATCH(E1181,'Cost_Components'!$A$2:$A$27,0)),"")</f>
      </c>
      <c r="AD1181" s="84" t="str">
        <f>IFERROR(INDEX('Cost_Components'!$N$2:$N$27,MATCH(E1181,'Cost_Components'!$A$2:$A$27,0)),"")</f>
      </c>
      <c r="AE1181" s="20" t="str">
        <f>IFERROR(INDEX('Cost_Components'!$O$2:$O$27,MATCH(E1181,'Cost_Components'!$A$2:$A$27,0)),"")</f>
      </c>
      <c r="AF1181" s="85" t="n">
        <v>243222.891074827</v>
      </c>
      <c r="AG1181" s="86" t="n">
        <v>263303.314920931</v>
      </c>
      <c r="AH1181" s="87" t="str">
        <f>IF(H1181="shared-count-once",COUNTIFS($A$2:$A$1353,A1181,$B$2:$B$1353,B1181,$E$2:$E$1353,E1181),1)</f>
      </c>
    </row>
    <row r="1182">
      <c r="A1182" t="s">
        <v>75</v>
      </c>
      <c r="B1182" s="59" t="n">
        <v>2035</v>
      </c>
      <c r="C1182" t="s">
        <v>220</v>
      </c>
      <c r="D1182" t="s">
        <v>176</v>
      </c>
      <c r="E1182" s="60" t="s">
        <v>309</v>
      </c>
      <c r="F1182" s="61" t="s">
        <v>310</v>
      </c>
      <c r="G1182" s="62" t="s">
        <v>221</v>
      </c>
      <c r="H1182" s="63" t="s">
        <v>195</v>
      </c>
      <c r="I1182" s="64" t="s">
        <v>170</v>
      </c>
      <c r="J1182" s="65" t="str">
        <f>IFERROR(INDEX('Cost_Components'!$K$2:$K$27,MATCH(E1182,'Cost_Components'!$A$2:$A$27,0)),"")</f>
      </c>
      <c r="K1182" s="66" t="str">
        <f>IF(OR(L1182="",Z1182="",AA1182="",AB1182=""),"",IF(B1182&lt;AA1182,L1182,IF(B1182&gt;AB1182,Z1182,L1182+(Z1182-L1182)*MIN(MAX((B1182-AA1182+1)/MAX(AB1182-AA1182+1,1),0),1))))</f>
      </c>
      <c r="L1182" s="67" t="str">
        <f>IFERROR(INDEX('Cost_Components'!$S$2:$S$27,MATCH(E1182,'Cost_Components'!$A$2:$A$27,0)),"")</f>
      </c>
      <c r="M1182" s="68" t="str">
        <f>IFERROR(INDEX('Cost_Components'!$L$2:$L$27,MATCH(E1182,'Cost_Components'!$A$2:$A$27,0)),"")</f>
      </c>
      <c r="N1182" s="69" t="str">
        <f>IFERROR(INDEX('Cost_Components'!$P$2:$P$27,MATCH(E1182,'Cost_Components'!$A$2:$A$27,0)),"")</f>
      </c>
      <c r="O1182" s="70" t="str">
        <f>AF1182*J1182</f>
      </c>
      <c r="P1182" s="71" t="str">
        <f>AG1182*J1182</f>
      </c>
      <c r="Q1182" s="72" t="str">
        <f>P1182*L1182*M1182*N1182</f>
      </c>
      <c r="R1182" s="73" t="str">
        <f>O1182*K1182*M1182*N1182</f>
      </c>
      <c r="S1182" s="74" t="str">
        <f>R1182-Q1182</f>
      </c>
      <c r="T1182" s="20" t="str">
        <f>IFERROR(INDEX('Cost_Components'!$R$2:$R$27,MATCH(E1182,'Cost_Components'!$A$2:$A$27,0)),"")</f>
      </c>
      <c r="U1182" s="75" t="str">
        <f>IFERROR(INDEX('Cost_Components'!$Q$2:$Q$27,MATCH(E1182,'Cost_Components'!$A$2:$A$27,0)),"")</f>
      </c>
      <c r="V1182" s="76" t="str">
        <f>1/(1+'Calculation_Assumptions'!$B$5)^(B1182-'Calculation_Assumptions'!$B$2)</f>
      </c>
      <c r="W1182" s="77" t="str">
        <f>Q1182*V1182</f>
      </c>
      <c r="X1182" s="78" t="str">
        <f>R1182*V1182</f>
      </c>
      <c r="Y1182" s="79" t="str">
        <f>S1182*V1182</f>
      </c>
      <c r="Z1182" s="80" t="str">
        <f>IFERROR(INDEX('Cost_Components'!$T$2:$T$27,MATCH(E1182,'Cost_Components'!$A$2:$A$27,0)),"")</f>
      </c>
      <c r="AA1182" s="81" t="str">
        <f>IFERROR(INDEX('Cost_Components'!$U$2:$U$27,MATCH(E1182,'Cost_Components'!$A$2:$A$27,0)),"")</f>
      </c>
      <c r="AB1182" s="82" t="str">
        <f>IFERROR(INDEX('Cost_Components'!$V$2:$V$27,MATCH(E1182,'Cost_Components'!$A$2:$A$27,0)),"")</f>
      </c>
      <c r="AC1182" s="83" t="str">
        <f>IFERROR(INDEX('Cost_Components'!$M$2:$M$27,MATCH(E1182,'Cost_Components'!$A$2:$A$27,0)),"")</f>
      </c>
      <c r="AD1182" s="84" t="str">
        <f>IFERROR(INDEX('Cost_Components'!$N$2:$N$27,MATCH(E1182,'Cost_Components'!$A$2:$A$27,0)),"")</f>
      </c>
      <c r="AE1182" s="20" t="str">
        <f>IFERROR(INDEX('Cost_Components'!$O$2:$O$27,MATCH(E1182,'Cost_Components'!$A$2:$A$27,0)),"")</f>
      </c>
      <c r="AF1182" s="85" t="n">
        <v>241065.771298827</v>
      </c>
      <c r="AG1182" s="86" t="n">
        <v>263054.910143364</v>
      </c>
      <c r="AH1182" s="87" t="str">
        <f>IF(H1182="shared-count-once",COUNTIFS($A$2:$A$1353,A1182,$B$2:$B$1353,B1182,$E$2:$E$1353,E1182),1)</f>
      </c>
    </row>
    <row r="1183">
      <c r="A1183" t="s">
        <v>75</v>
      </c>
      <c r="B1183" s="59" t="n">
        <v>2036</v>
      </c>
      <c r="C1183" t="s">
        <v>220</v>
      </c>
      <c r="D1183" t="s">
        <v>176</v>
      </c>
      <c r="E1183" s="60" t="s">
        <v>309</v>
      </c>
      <c r="F1183" s="61" t="s">
        <v>310</v>
      </c>
      <c r="G1183" s="62" t="s">
        <v>221</v>
      </c>
      <c r="H1183" s="63" t="s">
        <v>195</v>
      </c>
      <c r="I1183" s="64" t="s">
        <v>170</v>
      </c>
      <c r="J1183" s="65" t="str">
        <f>IFERROR(INDEX('Cost_Components'!$K$2:$K$27,MATCH(E1183,'Cost_Components'!$A$2:$A$27,0)),"")</f>
      </c>
      <c r="K1183" s="66" t="str">
        <f>IF(OR(L1183="",Z1183="",AA1183="",AB1183=""),"",IF(B1183&lt;AA1183,L1183,IF(B1183&gt;AB1183,Z1183,L1183+(Z1183-L1183)*MIN(MAX((B1183-AA1183+1)/MAX(AB1183-AA1183+1,1),0),1))))</f>
      </c>
      <c r="L1183" s="67" t="str">
        <f>IFERROR(INDEX('Cost_Components'!$S$2:$S$27,MATCH(E1183,'Cost_Components'!$A$2:$A$27,0)),"")</f>
      </c>
      <c r="M1183" s="68" t="str">
        <f>IFERROR(INDEX('Cost_Components'!$L$2:$L$27,MATCH(E1183,'Cost_Components'!$A$2:$A$27,0)),"")</f>
      </c>
      <c r="N1183" s="69" t="str">
        <f>IFERROR(INDEX('Cost_Components'!$P$2:$P$27,MATCH(E1183,'Cost_Components'!$A$2:$A$27,0)),"")</f>
      </c>
      <c r="O1183" s="70" t="str">
        <f>AF1183*J1183</f>
      </c>
      <c r="P1183" s="71" t="str">
        <f>AG1183*J1183</f>
      </c>
      <c r="Q1183" s="72" t="str">
        <f>P1183*L1183*M1183*N1183</f>
      </c>
      <c r="R1183" s="73" t="str">
        <f>O1183*K1183*M1183*N1183</f>
      </c>
      <c r="S1183" s="74" t="str">
        <f>R1183-Q1183</f>
      </c>
      <c r="T1183" s="20" t="str">
        <f>IFERROR(INDEX('Cost_Components'!$R$2:$R$27,MATCH(E1183,'Cost_Components'!$A$2:$A$27,0)),"")</f>
      </c>
      <c r="U1183" s="75" t="str">
        <f>IFERROR(INDEX('Cost_Components'!$Q$2:$Q$27,MATCH(E1183,'Cost_Components'!$A$2:$A$27,0)),"")</f>
      </c>
      <c r="V1183" s="76" t="str">
        <f>1/(1+'Calculation_Assumptions'!$B$5)^(B1183-'Calculation_Assumptions'!$B$2)</f>
      </c>
      <c r="W1183" s="77" t="str">
        <f>Q1183*V1183</f>
      </c>
      <c r="X1183" s="78" t="str">
        <f>R1183*V1183</f>
      </c>
      <c r="Y1183" s="79" t="str">
        <f>S1183*V1183</f>
      </c>
      <c r="Z1183" s="80" t="str">
        <f>IFERROR(INDEX('Cost_Components'!$T$2:$T$27,MATCH(E1183,'Cost_Components'!$A$2:$A$27,0)),"")</f>
      </c>
      <c r="AA1183" s="81" t="str">
        <f>IFERROR(INDEX('Cost_Components'!$U$2:$U$27,MATCH(E1183,'Cost_Components'!$A$2:$A$27,0)),"")</f>
      </c>
      <c r="AB1183" s="82" t="str">
        <f>IFERROR(INDEX('Cost_Components'!$V$2:$V$27,MATCH(E1183,'Cost_Components'!$A$2:$A$27,0)),"")</f>
      </c>
      <c r="AC1183" s="83" t="str">
        <f>IFERROR(INDEX('Cost_Components'!$M$2:$M$27,MATCH(E1183,'Cost_Components'!$A$2:$A$27,0)),"")</f>
      </c>
      <c r="AD1183" s="84" t="str">
        <f>IFERROR(INDEX('Cost_Components'!$N$2:$N$27,MATCH(E1183,'Cost_Components'!$A$2:$A$27,0)),"")</f>
      </c>
      <c r="AE1183" s="20" t="str">
        <f>IFERROR(INDEX('Cost_Components'!$O$2:$O$27,MATCH(E1183,'Cost_Components'!$A$2:$A$27,0)),"")</f>
      </c>
      <c r="AF1183" s="85" t="n">
        <v>239163.202591682</v>
      </c>
      <c r="AG1183" s="86" t="n">
        <v>263052.10557718</v>
      </c>
      <c r="AH1183" s="87" t="str">
        <f>IF(H1183="shared-count-once",COUNTIFS($A$2:$A$1353,A1183,$B$2:$B$1353,B1183,$E$2:$E$1353,E1183),1)</f>
      </c>
    </row>
    <row r="1184">
      <c r="A1184" t="s">
        <v>75</v>
      </c>
      <c r="B1184" s="59" t="n">
        <v>2037</v>
      </c>
      <c r="C1184" t="s">
        <v>220</v>
      </c>
      <c r="D1184" t="s">
        <v>176</v>
      </c>
      <c r="E1184" s="60" t="s">
        <v>309</v>
      </c>
      <c r="F1184" s="61" t="s">
        <v>310</v>
      </c>
      <c r="G1184" s="62" t="s">
        <v>221</v>
      </c>
      <c r="H1184" s="63" t="s">
        <v>195</v>
      </c>
      <c r="I1184" s="64" t="s">
        <v>170</v>
      </c>
      <c r="J1184" s="65" t="str">
        <f>IFERROR(INDEX('Cost_Components'!$K$2:$K$27,MATCH(E1184,'Cost_Components'!$A$2:$A$27,0)),"")</f>
      </c>
      <c r="K1184" s="66" t="str">
        <f>IF(OR(L1184="",Z1184="",AA1184="",AB1184=""),"",IF(B1184&lt;AA1184,L1184,IF(B1184&gt;AB1184,Z1184,L1184+(Z1184-L1184)*MIN(MAX((B1184-AA1184+1)/MAX(AB1184-AA1184+1,1),0),1))))</f>
      </c>
      <c r="L1184" s="67" t="str">
        <f>IFERROR(INDEX('Cost_Components'!$S$2:$S$27,MATCH(E1184,'Cost_Components'!$A$2:$A$27,0)),"")</f>
      </c>
      <c r="M1184" s="68" t="str">
        <f>IFERROR(INDEX('Cost_Components'!$L$2:$L$27,MATCH(E1184,'Cost_Components'!$A$2:$A$27,0)),"")</f>
      </c>
      <c r="N1184" s="69" t="str">
        <f>IFERROR(INDEX('Cost_Components'!$P$2:$P$27,MATCH(E1184,'Cost_Components'!$A$2:$A$27,0)),"")</f>
      </c>
      <c r="O1184" s="70" t="str">
        <f>AF1184*J1184</f>
      </c>
      <c r="P1184" s="71" t="str">
        <f>AG1184*J1184</f>
      </c>
      <c r="Q1184" s="72" t="str">
        <f>P1184*L1184*M1184*N1184</f>
      </c>
      <c r="R1184" s="73" t="str">
        <f>O1184*K1184*M1184*N1184</f>
      </c>
      <c r="S1184" s="74" t="str">
        <f>R1184-Q1184</f>
      </c>
      <c r="T1184" s="20" t="str">
        <f>IFERROR(INDEX('Cost_Components'!$R$2:$R$27,MATCH(E1184,'Cost_Components'!$A$2:$A$27,0)),"")</f>
      </c>
      <c r="U1184" s="75" t="str">
        <f>IFERROR(INDEX('Cost_Components'!$Q$2:$Q$27,MATCH(E1184,'Cost_Components'!$A$2:$A$27,0)),"")</f>
      </c>
      <c r="V1184" s="76" t="str">
        <f>1/(1+'Calculation_Assumptions'!$B$5)^(B1184-'Calculation_Assumptions'!$B$2)</f>
      </c>
      <c r="W1184" s="77" t="str">
        <f>Q1184*V1184</f>
      </c>
      <c r="X1184" s="78" t="str">
        <f>R1184*V1184</f>
      </c>
      <c r="Y1184" s="79" t="str">
        <f>S1184*V1184</f>
      </c>
      <c r="Z1184" s="80" t="str">
        <f>IFERROR(INDEX('Cost_Components'!$T$2:$T$27,MATCH(E1184,'Cost_Components'!$A$2:$A$27,0)),"")</f>
      </c>
      <c r="AA1184" s="81" t="str">
        <f>IFERROR(INDEX('Cost_Components'!$U$2:$U$27,MATCH(E1184,'Cost_Components'!$A$2:$A$27,0)),"")</f>
      </c>
      <c r="AB1184" s="82" t="str">
        <f>IFERROR(INDEX('Cost_Components'!$V$2:$V$27,MATCH(E1184,'Cost_Components'!$A$2:$A$27,0)),"")</f>
      </c>
      <c r="AC1184" s="83" t="str">
        <f>IFERROR(INDEX('Cost_Components'!$M$2:$M$27,MATCH(E1184,'Cost_Components'!$A$2:$A$27,0)),"")</f>
      </c>
      <c r="AD1184" s="84" t="str">
        <f>IFERROR(INDEX('Cost_Components'!$N$2:$N$27,MATCH(E1184,'Cost_Components'!$A$2:$A$27,0)),"")</f>
      </c>
      <c r="AE1184" s="20" t="str">
        <f>IFERROR(INDEX('Cost_Components'!$O$2:$O$27,MATCH(E1184,'Cost_Components'!$A$2:$A$27,0)),"")</f>
      </c>
      <c r="AF1184" s="85" t="n">
        <v>237314.964001544</v>
      </c>
      <c r="AG1184" s="86" t="n">
        <v>263079.748793202</v>
      </c>
      <c r="AH1184" s="87" t="str">
        <f>IF(H1184="shared-count-once",COUNTIFS($A$2:$A$1353,A1184,$B$2:$B$1353,B1184,$E$2:$E$1353,E1184),1)</f>
      </c>
    </row>
    <row r="1185">
      <c r="A1185" t="s">
        <v>75</v>
      </c>
      <c r="B1185" s="59" t="n">
        <v>2038</v>
      </c>
      <c r="C1185" t="s">
        <v>220</v>
      </c>
      <c r="D1185" t="s">
        <v>176</v>
      </c>
      <c r="E1185" s="60" t="s">
        <v>309</v>
      </c>
      <c r="F1185" s="61" t="s">
        <v>310</v>
      </c>
      <c r="G1185" s="62" t="s">
        <v>221</v>
      </c>
      <c r="H1185" s="63" t="s">
        <v>195</v>
      </c>
      <c r="I1185" s="64" t="s">
        <v>170</v>
      </c>
      <c r="J1185" s="65" t="str">
        <f>IFERROR(INDEX('Cost_Components'!$K$2:$K$27,MATCH(E1185,'Cost_Components'!$A$2:$A$27,0)),"")</f>
      </c>
      <c r="K1185" s="66" t="str">
        <f>IF(OR(L1185="",Z1185="",AA1185="",AB1185=""),"",IF(B1185&lt;AA1185,L1185,IF(B1185&gt;AB1185,Z1185,L1185+(Z1185-L1185)*MIN(MAX((B1185-AA1185+1)/MAX(AB1185-AA1185+1,1),0),1))))</f>
      </c>
      <c r="L1185" s="67" t="str">
        <f>IFERROR(INDEX('Cost_Components'!$S$2:$S$27,MATCH(E1185,'Cost_Components'!$A$2:$A$27,0)),"")</f>
      </c>
      <c r="M1185" s="68" t="str">
        <f>IFERROR(INDEX('Cost_Components'!$L$2:$L$27,MATCH(E1185,'Cost_Components'!$A$2:$A$27,0)),"")</f>
      </c>
      <c r="N1185" s="69" t="str">
        <f>IFERROR(INDEX('Cost_Components'!$P$2:$P$27,MATCH(E1185,'Cost_Components'!$A$2:$A$27,0)),"")</f>
      </c>
      <c r="O1185" s="70" t="str">
        <f>AF1185*J1185</f>
      </c>
      <c r="P1185" s="71" t="str">
        <f>AG1185*J1185</f>
      </c>
      <c r="Q1185" s="72" t="str">
        <f>P1185*L1185*M1185*N1185</f>
      </c>
      <c r="R1185" s="73" t="str">
        <f>O1185*K1185*M1185*N1185</f>
      </c>
      <c r="S1185" s="74" t="str">
        <f>R1185-Q1185</f>
      </c>
      <c r="T1185" s="20" t="str">
        <f>IFERROR(INDEX('Cost_Components'!$R$2:$R$27,MATCH(E1185,'Cost_Components'!$A$2:$A$27,0)),"")</f>
      </c>
      <c r="U1185" s="75" t="str">
        <f>IFERROR(INDEX('Cost_Components'!$Q$2:$Q$27,MATCH(E1185,'Cost_Components'!$A$2:$A$27,0)),"")</f>
      </c>
      <c r="V1185" s="76" t="str">
        <f>1/(1+'Calculation_Assumptions'!$B$5)^(B1185-'Calculation_Assumptions'!$B$2)</f>
      </c>
      <c r="W1185" s="77" t="str">
        <f>Q1185*V1185</f>
      </c>
      <c r="X1185" s="78" t="str">
        <f>R1185*V1185</f>
      </c>
      <c r="Y1185" s="79" t="str">
        <f>S1185*V1185</f>
      </c>
      <c r="Z1185" s="80" t="str">
        <f>IFERROR(INDEX('Cost_Components'!$T$2:$T$27,MATCH(E1185,'Cost_Components'!$A$2:$A$27,0)),"")</f>
      </c>
      <c r="AA1185" s="81" t="str">
        <f>IFERROR(INDEX('Cost_Components'!$U$2:$U$27,MATCH(E1185,'Cost_Components'!$A$2:$A$27,0)),"")</f>
      </c>
      <c r="AB1185" s="82" t="str">
        <f>IFERROR(INDEX('Cost_Components'!$V$2:$V$27,MATCH(E1185,'Cost_Components'!$A$2:$A$27,0)),"")</f>
      </c>
      <c r="AC1185" s="83" t="str">
        <f>IFERROR(INDEX('Cost_Components'!$M$2:$M$27,MATCH(E1185,'Cost_Components'!$A$2:$A$27,0)),"")</f>
      </c>
      <c r="AD1185" s="84" t="str">
        <f>IFERROR(INDEX('Cost_Components'!$N$2:$N$27,MATCH(E1185,'Cost_Components'!$A$2:$A$27,0)),"")</f>
      </c>
      <c r="AE1185" s="20" t="str">
        <f>IFERROR(INDEX('Cost_Components'!$O$2:$O$27,MATCH(E1185,'Cost_Components'!$A$2:$A$27,0)),"")</f>
      </c>
      <c r="AF1185" s="85" t="n">
        <v>235422.849536433</v>
      </c>
      <c r="AG1185" s="86" t="n">
        <v>263023.589800544</v>
      </c>
      <c r="AH1185" s="87" t="str">
        <f>IF(H1185="shared-count-once",COUNTIFS($A$2:$A$1353,A1185,$B$2:$B$1353,B1185,$E$2:$E$1353,E1185),1)</f>
      </c>
    </row>
    <row r="1186">
      <c r="A1186" t="s">
        <v>75</v>
      </c>
      <c r="B1186" s="59" t="n">
        <v>2039</v>
      </c>
      <c r="C1186" t="s">
        <v>220</v>
      </c>
      <c r="D1186" t="s">
        <v>176</v>
      </c>
      <c r="E1186" s="60" t="s">
        <v>309</v>
      </c>
      <c r="F1186" s="61" t="s">
        <v>310</v>
      </c>
      <c r="G1186" s="62" t="s">
        <v>221</v>
      </c>
      <c r="H1186" s="63" t="s">
        <v>195</v>
      </c>
      <c r="I1186" s="64" t="s">
        <v>170</v>
      </c>
      <c r="J1186" s="65" t="str">
        <f>IFERROR(INDEX('Cost_Components'!$K$2:$K$27,MATCH(E1186,'Cost_Components'!$A$2:$A$27,0)),"")</f>
      </c>
      <c r="K1186" s="66" t="str">
        <f>IF(OR(L1186="",Z1186="",AA1186="",AB1186=""),"",IF(B1186&lt;AA1186,L1186,IF(B1186&gt;AB1186,Z1186,L1186+(Z1186-L1186)*MIN(MAX((B1186-AA1186+1)/MAX(AB1186-AA1186+1,1),0),1))))</f>
      </c>
      <c r="L1186" s="67" t="str">
        <f>IFERROR(INDEX('Cost_Components'!$S$2:$S$27,MATCH(E1186,'Cost_Components'!$A$2:$A$27,0)),"")</f>
      </c>
      <c r="M1186" s="68" t="str">
        <f>IFERROR(INDEX('Cost_Components'!$L$2:$L$27,MATCH(E1186,'Cost_Components'!$A$2:$A$27,0)),"")</f>
      </c>
      <c r="N1186" s="69" t="str">
        <f>IFERROR(INDEX('Cost_Components'!$P$2:$P$27,MATCH(E1186,'Cost_Components'!$A$2:$A$27,0)),"")</f>
      </c>
      <c r="O1186" s="70" t="str">
        <f>AF1186*J1186</f>
      </c>
      <c r="P1186" s="71" t="str">
        <f>AG1186*J1186</f>
      </c>
      <c r="Q1186" s="72" t="str">
        <f>P1186*L1186*M1186*N1186</f>
      </c>
      <c r="R1186" s="73" t="str">
        <f>O1186*K1186*M1186*N1186</f>
      </c>
      <c r="S1186" s="74" t="str">
        <f>R1186-Q1186</f>
      </c>
      <c r="T1186" s="20" t="str">
        <f>IFERROR(INDEX('Cost_Components'!$R$2:$R$27,MATCH(E1186,'Cost_Components'!$A$2:$A$27,0)),"")</f>
      </c>
      <c r="U1186" s="75" t="str">
        <f>IFERROR(INDEX('Cost_Components'!$Q$2:$Q$27,MATCH(E1186,'Cost_Components'!$A$2:$A$27,0)),"")</f>
      </c>
      <c r="V1186" s="76" t="str">
        <f>1/(1+'Calculation_Assumptions'!$B$5)^(B1186-'Calculation_Assumptions'!$B$2)</f>
      </c>
      <c r="W1186" s="77" t="str">
        <f>Q1186*V1186</f>
      </c>
      <c r="X1186" s="78" t="str">
        <f>R1186*V1186</f>
      </c>
      <c r="Y1186" s="79" t="str">
        <f>S1186*V1186</f>
      </c>
      <c r="Z1186" s="80" t="str">
        <f>IFERROR(INDEX('Cost_Components'!$T$2:$T$27,MATCH(E1186,'Cost_Components'!$A$2:$A$27,0)),"")</f>
      </c>
      <c r="AA1186" s="81" t="str">
        <f>IFERROR(INDEX('Cost_Components'!$U$2:$U$27,MATCH(E1186,'Cost_Components'!$A$2:$A$27,0)),"")</f>
      </c>
      <c r="AB1186" s="82" t="str">
        <f>IFERROR(INDEX('Cost_Components'!$V$2:$V$27,MATCH(E1186,'Cost_Components'!$A$2:$A$27,0)),"")</f>
      </c>
      <c r="AC1186" s="83" t="str">
        <f>IFERROR(INDEX('Cost_Components'!$M$2:$M$27,MATCH(E1186,'Cost_Components'!$A$2:$A$27,0)),"")</f>
      </c>
      <c r="AD1186" s="84" t="str">
        <f>IFERROR(INDEX('Cost_Components'!$N$2:$N$27,MATCH(E1186,'Cost_Components'!$A$2:$A$27,0)),"")</f>
      </c>
      <c r="AE1186" s="20" t="str">
        <f>IFERROR(INDEX('Cost_Components'!$O$2:$O$27,MATCH(E1186,'Cost_Components'!$A$2:$A$27,0)),"")</f>
      </c>
      <c r="AF1186" s="85" t="n">
        <v>233673.308793986</v>
      </c>
      <c r="AG1186" s="86" t="n">
        <v>263093.939198927</v>
      </c>
      <c r="AH1186" s="87" t="str">
        <f>IF(H1186="shared-count-once",COUNTIFS($A$2:$A$1353,A1186,$B$2:$B$1353,B1186,$E$2:$E$1353,E1186),1)</f>
      </c>
    </row>
    <row r="1187">
      <c r="A1187" t="s">
        <v>75</v>
      </c>
      <c r="B1187" s="59" t="n">
        <v>2040</v>
      </c>
      <c r="C1187" t="s">
        <v>220</v>
      </c>
      <c r="D1187" t="s">
        <v>176</v>
      </c>
      <c r="E1187" s="60" t="s">
        <v>309</v>
      </c>
      <c r="F1187" s="61" t="s">
        <v>310</v>
      </c>
      <c r="G1187" s="62" t="s">
        <v>221</v>
      </c>
      <c r="H1187" s="63" t="s">
        <v>195</v>
      </c>
      <c r="I1187" s="64" t="s">
        <v>170</v>
      </c>
      <c r="J1187" s="65" t="str">
        <f>IFERROR(INDEX('Cost_Components'!$K$2:$K$27,MATCH(E1187,'Cost_Components'!$A$2:$A$27,0)),"")</f>
      </c>
      <c r="K1187" s="66" t="str">
        <f>IF(OR(L1187="",Z1187="",AA1187="",AB1187=""),"",IF(B1187&lt;AA1187,L1187,IF(B1187&gt;AB1187,Z1187,L1187+(Z1187-L1187)*MIN(MAX((B1187-AA1187+1)/MAX(AB1187-AA1187+1,1),0),1))))</f>
      </c>
      <c r="L1187" s="67" t="str">
        <f>IFERROR(INDEX('Cost_Components'!$S$2:$S$27,MATCH(E1187,'Cost_Components'!$A$2:$A$27,0)),"")</f>
      </c>
      <c r="M1187" s="68" t="str">
        <f>IFERROR(INDEX('Cost_Components'!$L$2:$L$27,MATCH(E1187,'Cost_Components'!$A$2:$A$27,0)),"")</f>
      </c>
      <c r="N1187" s="69" t="str">
        <f>IFERROR(INDEX('Cost_Components'!$P$2:$P$27,MATCH(E1187,'Cost_Components'!$A$2:$A$27,0)),"")</f>
      </c>
      <c r="O1187" s="70" t="str">
        <f>AF1187*J1187</f>
      </c>
      <c r="P1187" s="71" t="str">
        <f>AG1187*J1187</f>
      </c>
      <c r="Q1187" s="72" t="str">
        <f>P1187*L1187*M1187*N1187</f>
      </c>
      <c r="R1187" s="73" t="str">
        <f>O1187*K1187*M1187*N1187</f>
      </c>
      <c r="S1187" s="74" t="str">
        <f>R1187-Q1187</f>
      </c>
      <c r="T1187" s="20" t="str">
        <f>IFERROR(INDEX('Cost_Components'!$R$2:$R$27,MATCH(E1187,'Cost_Components'!$A$2:$A$27,0)),"")</f>
      </c>
      <c r="U1187" s="75" t="str">
        <f>IFERROR(INDEX('Cost_Components'!$Q$2:$Q$27,MATCH(E1187,'Cost_Components'!$A$2:$A$27,0)),"")</f>
      </c>
      <c r="V1187" s="76" t="str">
        <f>1/(1+'Calculation_Assumptions'!$B$5)^(B1187-'Calculation_Assumptions'!$B$2)</f>
      </c>
      <c r="W1187" s="77" t="str">
        <f>Q1187*V1187</f>
      </c>
      <c r="X1187" s="78" t="str">
        <f>R1187*V1187</f>
      </c>
      <c r="Y1187" s="79" t="str">
        <f>S1187*V1187</f>
      </c>
      <c r="Z1187" s="80" t="str">
        <f>IFERROR(INDEX('Cost_Components'!$T$2:$T$27,MATCH(E1187,'Cost_Components'!$A$2:$A$27,0)),"")</f>
      </c>
      <c r="AA1187" s="81" t="str">
        <f>IFERROR(INDEX('Cost_Components'!$U$2:$U$27,MATCH(E1187,'Cost_Components'!$A$2:$A$27,0)),"")</f>
      </c>
      <c r="AB1187" s="82" t="str">
        <f>IFERROR(INDEX('Cost_Components'!$V$2:$V$27,MATCH(E1187,'Cost_Components'!$A$2:$A$27,0)),"")</f>
      </c>
      <c r="AC1187" s="83" t="str">
        <f>IFERROR(INDEX('Cost_Components'!$M$2:$M$27,MATCH(E1187,'Cost_Components'!$A$2:$A$27,0)),"")</f>
      </c>
      <c r="AD1187" s="84" t="str">
        <f>IFERROR(INDEX('Cost_Components'!$N$2:$N$27,MATCH(E1187,'Cost_Components'!$A$2:$A$27,0)),"")</f>
      </c>
      <c r="AE1187" s="20" t="str">
        <f>IFERROR(INDEX('Cost_Components'!$O$2:$O$27,MATCH(E1187,'Cost_Components'!$A$2:$A$27,0)),"")</f>
      </c>
      <c r="AF1187" s="85" t="n">
        <v>231822.567094981</v>
      </c>
      <c r="AG1187" s="86" t="n">
        <v>263002.701796623</v>
      </c>
      <c r="AH1187" s="87" t="str">
        <f>IF(H1187="shared-count-once",COUNTIFS($A$2:$A$1353,A1187,$B$2:$B$1353,B1187,$E$2:$E$1353,E1187),1)</f>
      </c>
    </row>
    <row r="1188">
      <c r="A1188" t="s">
        <v>75</v>
      </c>
      <c r="B1188" s="59" t="n">
        <v>2041</v>
      </c>
      <c r="C1188" t="s">
        <v>220</v>
      </c>
      <c r="D1188" t="s">
        <v>176</v>
      </c>
      <c r="E1188" s="60" t="s">
        <v>309</v>
      </c>
      <c r="F1188" s="61" t="s">
        <v>310</v>
      </c>
      <c r="G1188" s="62" t="s">
        <v>221</v>
      </c>
      <c r="H1188" s="63" t="s">
        <v>195</v>
      </c>
      <c r="I1188" s="64" t="s">
        <v>170</v>
      </c>
      <c r="J1188" s="65" t="str">
        <f>IFERROR(INDEX('Cost_Components'!$K$2:$K$27,MATCH(E1188,'Cost_Components'!$A$2:$A$27,0)),"")</f>
      </c>
      <c r="K1188" s="66" t="str">
        <f>IF(OR(L1188="",Z1188="",AA1188="",AB1188=""),"",IF(B1188&lt;AA1188,L1188,IF(B1188&gt;AB1188,Z1188,L1188+(Z1188-L1188)*MIN(MAX((B1188-AA1188+1)/MAX(AB1188-AA1188+1,1),0),1))))</f>
      </c>
      <c r="L1188" s="67" t="str">
        <f>IFERROR(INDEX('Cost_Components'!$S$2:$S$27,MATCH(E1188,'Cost_Components'!$A$2:$A$27,0)),"")</f>
      </c>
      <c r="M1188" s="68" t="str">
        <f>IFERROR(INDEX('Cost_Components'!$L$2:$L$27,MATCH(E1188,'Cost_Components'!$A$2:$A$27,0)),"")</f>
      </c>
      <c r="N1188" s="69" t="str">
        <f>IFERROR(INDEX('Cost_Components'!$P$2:$P$27,MATCH(E1188,'Cost_Components'!$A$2:$A$27,0)),"")</f>
      </c>
      <c r="O1188" s="70" t="str">
        <f>AF1188*J1188</f>
      </c>
      <c r="P1188" s="71" t="str">
        <f>AG1188*J1188</f>
      </c>
      <c r="Q1188" s="72" t="str">
        <f>P1188*L1188*M1188*N1188</f>
      </c>
      <c r="R1188" s="73" t="str">
        <f>O1188*K1188*M1188*N1188</f>
      </c>
      <c r="S1188" s="74" t="str">
        <f>R1188-Q1188</f>
      </c>
      <c r="T1188" s="20" t="str">
        <f>IFERROR(INDEX('Cost_Components'!$R$2:$R$27,MATCH(E1188,'Cost_Components'!$A$2:$A$27,0)),"")</f>
      </c>
      <c r="U1188" s="75" t="str">
        <f>IFERROR(INDEX('Cost_Components'!$Q$2:$Q$27,MATCH(E1188,'Cost_Components'!$A$2:$A$27,0)),"")</f>
      </c>
      <c r="V1188" s="76" t="str">
        <f>1/(1+'Calculation_Assumptions'!$B$5)^(B1188-'Calculation_Assumptions'!$B$2)</f>
      </c>
      <c r="W1188" s="77" t="str">
        <f>Q1188*V1188</f>
      </c>
      <c r="X1188" s="78" t="str">
        <f>R1188*V1188</f>
      </c>
      <c r="Y1188" s="79" t="str">
        <f>S1188*V1188</f>
      </c>
      <c r="Z1188" s="80" t="str">
        <f>IFERROR(INDEX('Cost_Components'!$T$2:$T$27,MATCH(E1188,'Cost_Components'!$A$2:$A$27,0)),"")</f>
      </c>
      <c r="AA1188" s="81" t="str">
        <f>IFERROR(INDEX('Cost_Components'!$U$2:$U$27,MATCH(E1188,'Cost_Components'!$A$2:$A$27,0)),"")</f>
      </c>
      <c r="AB1188" s="82" t="str">
        <f>IFERROR(INDEX('Cost_Components'!$V$2:$V$27,MATCH(E1188,'Cost_Components'!$A$2:$A$27,0)),"")</f>
      </c>
      <c r="AC1188" s="83" t="str">
        <f>IFERROR(INDEX('Cost_Components'!$M$2:$M$27,MATCH(E1188,'Cost_Components'!$A$2:$A$27,0)),"")</f>
      </c>
      <c r="AD1188" s="84" t="str">
        <f>IFERROR(INDEX('Cost_Components'!$N$2:$N$27,MATCH(E1188,'Cost_Components'!$A$2:$A$27,0)),"")</f>
      </c>
      <c r="AE1188" s="20" t="str">
        <f>IFERROR(INDEX('Cost_Components'!$O$2:$O$27,MATCH(E1188,'Cost_Components'!$A$2:$A$27,0)),"")</f>
      </c>
      <c r="AF1188" s="85" t="n">
        <v>230025.24633172</v>
      </c>
      <c r="AG1188" s="86" t="n">
        <v>262946.204658509</v>
      </c>
      <c r="AH1188" s="87" t="str">
        <f>IF(H1188="shared-count-once",COUNTIFS($A$2:$A$1353,A1188,$B$2:$B$1353,B1188,$E$2:$E$1353,E1188),1)</f>
      </c>
    </row>
    <row r="1189">
      <c r="A1189" t="s">
        <v>75</v>
      </c>
      <c r="B1189" s="59" t="n">
        <v>2042</v>
      </c>
      <c r="C1189" t="s">
        <v>220</v>
      </c>
      <c r="D1189" t="s">
        <v>176</v>
      </c>
      <c r="E1189" s="60" t="s">
        <v>309</v>
      </c>
      <c r="F1189" s="61" t="s">
        <v>310</v>
      </c>
      <c r="G1189" s="62" t="s">
        <v>221</v>
      </c>
      <c r="H1189" s="63" t="s">
        <v>195</v>
      </c>
      <c r="I1189" s="64" t="s">
        <v>170</v>
      </c>
      <c r="J1189" s="65" t="str">
        <f>IFERROR(INDEX('Cost_Components'!$K$2:$K$27,MATCH(E1189,'Cost_Components'!$A$2:$A$27,0)),"")</f>
      </c>
      <c r="K1189" s="66" t="str">
        <f>IF(OR(L1189="",Z1189="",AA1189="",AB1189=""),"",IF(B1189&lt;AA1189,L1189,IF(B1189&gt;AB1189,Z1189,L1189+(Z1189-L1189)*MIN(MAX((B1189-AA1189+1)/MAX(AB1189-AA1189+1,1),0),1))))</f>
      </c>
      <c r="L1189" s="67" t="str">
        <f>IFERROR(INDEX('Cost_Components'!$S$2:$S$27,MATCH(E1189,'Cost_Components'!$A$2:$A$27,0)),"")</f>
      </c>
      <c r="M1189" s="68" t="str">
        <f>IFERROR(INDEX('Cost_Components'!$L$2:$L$27,MATCH(E1189,'Cost_Components'!$A$2:$A$27,0)),"")</f>
      </c>
      <c r="N1189" s="69" t="str">
        <f>IFERROR(INDEX('Cost_Components'!$P$2:$P$27,MATCH(E1189,'Cost_Components'!$A$2:$A$27,0)),"")</f>
      </c>
      <c r="O1189" s="70" t="str">
        <f>AF1189*J1189</f>
      </c>
      <c r="P1189" s="71" t="str">
        <f>AG1189*J1189</f>
      </c>
      <c r="Q1189" s="72" t="str">
        <f>P1189*L1189*M1189*N1189</f>
      </c>
      <c r="R1189" s="73" t="str">
        <f>O1189*K1189*M1189*N1189</f>
      </c>
      <c r="S1189" s="74" t="str">
        <f>R1189-Q1189</f>
      </c>
      <c r="T1189" s="20" t="str">
        <f>IFERROR(INDEX('Cost_Components'!$R$2:$R$27,MATCH(E1189,'Cost_Components'!$A$2:$A$27,0)),"")</f>
      </c>
      <c r="U1189" s="75" t="str">
        <f>IFERROR(INDEX('Cost_Components'!$Q$2:$Q$27,MATCH(E1189,'Cost_Components'!$A$2:$A$27,0)),"")</f>
      </c>
      <c r="V1189" s="76" t="str">
        <f>1/(1+'Calculation_Assumptions'!$B$5)^(B1189-'Calculation_Assumptions'!$B$2)</f>
      </c>
      <c r="W1189" s="77" t="str">
        <f>Q1189*V1189</f>
      </c>
      <c r="X1189" s="78" t="str">
        <f>R1189*V1189</f>
      </c>
      <c r="Y1189" s="79" t="str">
        <f>S1189*V1189</f>
      </c>
      <c r="Z1189" s="80" t="str">
        <f>IFERROR(INDEX('Cost_Components'!$T$2:$T$27,MATCH(E1189,'Cost_Components'!$A$2:$A$27,0)),"")</f>
      </c>
      <c r="AA1189" s="81" t="str">
        <f>IFERROR(INDEX('Cost_Components'!$U$2:$U$27,MATCH(E1189,'Cost_Components'!$A$2:$A$27,0)),"")</f>
      </c>
      <c r="AB1189" s="82" t="str">
        <f>IFERROR(INDEX('Cost_Components'!$V$2:$V$27,MATCH(E1189,'Cost_Components'!$A$2:$A$27,0)),"")</f>
      </c>
      <c r="AC1189" s="83" t="str">
        <f>IFERROR(INDEX('Cost_Components'!$M$2:$M$27,MATCH(E1189,'Cost_Components'!$A$2:$A$27,0)),"")</f>
      </c>
      <c r="AD1189" s="84" t="str">
        <f>IFERROR(INDEX('Cost_Components'!$N$2:$N$27,MATCH(E1189,'Cost_Components'!$A$2:$A$27,0)),"")</f>
      </c>
      <c r="AE1189" s="20" t="str">
        <f>IFERROR(INDEX('Cost_Components'!$O$2:$O$27,MATCH(E1189,'Cost_Components'!$A$2:$A$27,0)),"")</f>
      </c>
      <c r="AF1189" s="85" t="n">
        <v>228182.767437603</v>
      </c>
      <c r="AG1189" s="86" t="n">
        <v>262799.579916653</v>
      </c>
      <c r="AH1189" s="87" t="str">
        <f>IF(H1189="shared-count-once",COUNTIFS($A$2:$A$1353,A1189,$B$2:$B$1353,B1189,$E$2:$E$1353,E1189),1)</f>
      </c>
    </row>
    <row r="1190">
      <c r="A1190" t="s">
        <v>75</v>
      </c>
      <c r="B1190" s="59" t="n">
        <v>2043</v>
      </c>
      <c r="C1190" t="s">
        <v>220</v>
      </c>
      <c r="D1190" t="s">
        <v>176</v>
      </c>
      <c r="E1190" s="60" t="s">
        <v>309</v>
      </c>
      <c r="F1190" s="61" t="s">
        <v>310</v>
      </c>
      <c r="G1190" s="62" t="s">
        <v>221</v>
      </c>
      <c r="H1190" s="63" t="s">
        <v>195</v>
      </c>
      <c r="I1190" s="64" t="s">
        <v>170</v>
      </c>
      <c r="J1190" s="65" t="str">
        <f>IFERROR(INDEX('Cost_Components'!$K$2:$K$27,MATCH(E1190,'Cost_Components'!$A$2:$A$27,0)),"")</f>
      </c>
      <c r="K1190" s="66" t="str">
        <f>IF(OR(L1190="",Z1190="",AA1190="",AB1190=""),"",IF(B1190&lt;AA1190,L1190,IF(B1190&gt;AB1190,Z1190,L1190+(Z1190-L1190)*MIN(MAX((B1190-AA1190+1)/MAX(AB1190-AA1190+1,1),0),1))))</f>
      </c>
      <c r="L1190" s="67" t="str">
        <f>IFERROR(INDEX('Cost_Components'!$S$2:$S$27,MATCH(E1190,'Cost_Components'!$A$2:$A$27,0)),"")</f>
      </c>
      <c r="M1190" s="68" t="str">
        <f>IFERROR(INDEX('Cost_Components'!$L$2:$L$27,MATCH(E1190,'Cost_Components'!$A$2:$A$27,0)),"")</f>
      </c>
      <c r="N1190" s="69" t="str">
        <f>IFERROR(INDEX('Cost_Components'!$P$2:$P$27,MATCH(E1190,'Cost_Components'!$A$2:$A$27,0)),"")</f>
      </c>
      <c r="O1190" s="70" t="str">
        <f>AF1190*J1190</f>
      </c>
      <c r="P1190" s="71" t="str">
        <f>AG1190*J1190</f>
      </c>
      <c r="Q1190" s="72" t="str">
        <f>P1190*L1190*M1190*N1190</f>
      </c>
      <c r="R1190" s="73" t="str">
        <f>O1190*K1190*M1190*N1190</f>
      </c>
      <c r="S1190" s="74" t="str">
        <f>R1190-Q1190</f>
      </c>
      <c r="T1190" s="20" t="str">
        <f>IFERROR(INDEX('Cost_Components'!$R$2:$R$27,MATCH(E1190,'Cost_Components'!$A$2:$A$27,0)),"")</f>
      </c>
      <c r="U1190" s="75" t="str">
        <f>IFERROR(INDEX('Cost_Components'!$Q$2:$Q$27,MATCH(E1190,'Cost_Components'!$A$2:$A$27,0)),"")</f>
      </c>
      <c r="V1190" s="76" t="str">
        <f>1/(1+'Calculation_Assumptions'!$B$5)^(B1190-'Calculation_Assumptions'!$B$2)</f>
      </c>
      <c r="W1190" s="77" t="str">
        <f>Q1190*V1190</f>
      </c>
      <c r="X1190" s="78" t="str">
        <f>R1190*V1190</f>
      </c>
      <c r="Y1190" s="79" t="str">
        <f>S1190*V1190</f>
      </c>
      <c r="Z1190" s="80" t="str">
        <f>IFERROR(INDEX('Cost_Components'!$T$2:$T$27,MATCH(E1190,'Cost_Components'!$A$2:$A$27,0)),"")</f>
      </c>
      <c r="AA1190" s="81" t="str">
        <f>IFERROR(INDEX('Cost_Components'!$U$2:$U$27,MATCH(E1190,'Cost_Components'!$A$2:$A$27,0)),"")</f>
      </c>
      <c r="AB1190" s="82" t="str">
        <f>IFERROR(INDEX('Cost_Components'!$V$2:$V$27,MATCH(E1190,'Cost_Components'!$A$2:$A$27,0)),"")</f>
      </c>
      <c r="AC1190" s="83" t="str">
        <f>IFERROR(INDEX('Cost_Components'!$M$2:$M$27,MATCH(E1190,'Cost_Components'!$A$2:$A$27,0)),"")</f>
      </c>
      <c r="AD1190" s="84" t="str">
        <f>IFERROR(INDEX('Cost_Components'!$N$2:$N$27,MATCH(E1190,'Cost_Components'!$A$2:$A$27,0)),"")</f>
      </c>
      <c r="AE1190" s="20" t="str">
        <f>IFERROR(INDEX('Cost_Components'!$O$2:$O$27,MATCH(E1190,'Cost_Components'!$A$2:$A$27,0)),"")</f>
      </c>
      <c r="AF1190" s="85" t="n">
        <v>226074.649441955</v>
      </c>
      <c r="AG1190" s="86" t="n">
        <v>262312.010033841</v>
      </c>
      <c r="AH1190" s="87" t="str">
        <f>IF(H1190="shared-count-once",COUNTIFS($A$2:$A$1353,A1190,$B$2:$B$1353,B1190,$E$2:$E$1353,E1190),1)</f>
      </c>
    </row>
    <row r="1191">
      <c r="A1191" t="s">
        <v>75</v>
      </c>
      <c r="B1191" s="59" t="n">
        <v>2044</v>
      </c>
      <c r="C1191" t="s">
        <v>220</v>
      </c>
      <c r="D1191" t="s">
        <v>176</v>
      </c>
      <c r="E1191" s="60" t="s">
        <v>309</v>
      </c>
      <c r="F1191" s="61" t="s">
        <v>310</v>
      </c>
      <c r="G1191" s="62" t="s">
        <v>221</v>
      </c>
      <c r="H1191" s="63" t="s">
        <v>195</v>
      </c>
      <c r="I1191" s="64" t="s">
        <v>170</v>
      </c>
      <c r="J1191" s="65" t="str">
        <f>IFERROR(INDEX('Cost_Components'!$K$2:$K$27,MATCH(E1191,'Cost_Components'!$A$2:$A$27,0)),"")</f>
      </c>
      <c r="K1191" s="66" t="str">
        <f>IF(OR(L1191="",Z1191="",AA1191="",AB1191=""),"",IF(B1191&lt;AA1191,L1191,IF(B1191&gt;AB1191,Z1191,L1191+(Z1191-L1191)*MIN(MAX((B1191-AA1191+1)/MAX(AB1191-AA1191+1,1),0),1))))</f>
      </c>
      <c r="L1191" s="67" t="str">
        <f>IFERROR(INDEX('Cost_Components'!$S$2:$S$27,MATCH(E1191,'Cost_Components'!$A$2:$A$27,0)),"")</f>
      </c>
      <c r="M1191" s="68" t="str">
        <f>IFERROR(INDEX('Cost_Components'!$L$2:$L$27,MATCH(E1191,'Cost_Components'!$A$2:$A$27,0)),"")</f>
      </c>
      <c r="N1191" s="69" t="str">
        <f>IFERROR(INDEX('Cost_Components'!$P$2:$P$27,MATCH(E1191,'Cost_Components'!$A$2:$A$27,0)),"")</f>
      </c>
      <c r="O1191" s="70" t="str">
        <f>AF1191*J1191</f>
      </c>
      <c r="P1191" s="71" t="str">
        <f>AG1191*J1191</f>
      </c>
      <c r="Q1191" s="72" t="str">
        <f>P1191*L1191*M1191*N1191</f>
      </c>
      <c r="R1191" s="73" t="str">
        <f>O1191*K1191*M1191*N1191</f>
      </c>
      <c r="S1191" s="74" t="str">
        <f>R1191-Q1191</f>
      </c>
      <c r="T1191" s="20" t="str">
        <f>IFERROR(INDEX('Cost_Components'!$R$2:$R$27,MATCH(E1191,'Cost_Components'!$A$2:$A$27,0)),"")</f>
      </c>
      <c r="U1191" s="75" t="str">
        <f>IFERROR(INDEX('Cost_Components'!$Q$2:$Q$27,MATCH(E1191,'Cost_Components'!$A$2:$A$27,0)),"")</f>
      </c>
      <c r="V1191" s="76" t="str">
        <f>1/(1+'Calculation_Assumptions'!$B$5)^(B1191-'Calculation_Assumptions'!$B$2)</f>
      </c>
      <c r="W1191" s="77" t="str">
        <f>Q1191*V1191</f>
      </c>
      <c r="X1191" s="78" t="str">
        <f>R1191*V1191</f>
      </c>
      <c r="Y1191" s="79" t="str">
        <f>S1191*V1191</f>
      </c>
      <c r="Z1191" s="80" t="str">
        <f>IFERROR(INDEX('Cost_Components'!$T$2:$T$27,MATCH(E1191,'Cost_Components'!$A$2:$A$27,0)),"")</f>
      </c>
      <c r="AA1191" s="81" t="str">
        <f>IFERROR(INDEX('Cost_Components'!$U$2:$U$27,MATCH(E1191,'Cost_Components'!$A$2:$A$27,0)),"")</f>
      </c>
      <c r="AB1191" s="82" t="str">
        <f>IFERROR(INDEX('Cost_Components'!$V$2:$V$27,MATCH(E1191,'Cost_Components'!$A$2:$A$27,0)),"")</f>
      </c>
      <c r="AC1191" s="83" t="str">
        <f>IFERROR(INDEX('Cost_Components'!$M$2:$M$27,MATCH(E1191,'Cost_Components'!$A$2:$A$27,0)),"")</f>
      </c>
      <c r="AD1191" s="84" t="str">
        <f>IFERROR(INDEX('Cost_Components'!$N$2:$N$27,MATCH(E1191,'Cost_Components'!$A$2:$A$27,0)),"")</f>
      </c>
      <c r="AE1191" s="20" t="str">
        <f>IFERROR(INDEX('Cost_Components'!$O$2:$O$27,MATCH(E1191,'Cost_Components'!$A$2:$A$27,0)),"")</f>
      </c>
      <c r="AF1191" s="85" t="n">
        <v>223899.557830767</v>
      </c>
      <c r="AG1191" s="86" t="n">
        <v>261708.65677604</v>
      </c>
      <c r="AH1191" s="87" t="str">
        <f>IF(H1191="shared-count-once",COUNTIFS($A$2:$A$1353,A1191,$B$2:$B$1353,B1191,$E$2:$E$1353,E1191),1)</f>
      </c>
    </row>
    <row r="1192">
      <c r="A1192" t="s">
        <v>75</v>
      </c>
      <c r="B1192" s="59" t="n">
        <v>2045</v>
      </c>
      <c r="C1192" t="s">
        <v>220</v>
      </c>
      <c r="D1192" t="s">
        <v>176</v>
      </c>
      <c r="E1192" s="60" t="s">
        <v>309</v>
      </c>
      <c r="F1192" s="61" t="s">
        <v>310</v>
      </c>
      <c r="G1192" s="62" t="s">
        <v>221</v>
      </c>
      <c r="H1192" s="63" t="s">
        <v>195</v>
      </c>
      <c r="I1192" s="64" t="s">
        <v>170</v>
      </c>
      <c r="J1192" s="65" t="str">
        <f>IFERROR(INDEX('Cost_Components'!$K$2:$K$27,MATCH(E1192,'Cost_Components'!$A$2:$A$27,0)),"")</f>
      </c>
      <c r="K1192" s="66" t="str">
        <f>IF(OR(L1192="",Z1192="",AA1192="",AB1192=""),"",IF(B1192&lt;AA1192,L1192,IF(B1192&gt;AB1192,Z1192,L1192+(Z1192-L1192)*MIN(MAX((B1192-AA1192+1)/MAX(AB1192-AA1192+1,1),0),1))))</f>
      </c>
      <c r="L1192" s="67" t="str">
        <f>IFERROR(INDEX('Cost_Components'!$S$2:$S$27,MATCH(E1192,'Cost_Components'!$A$2:$A$27,0)),"")</f>
      </c>
      <c r="M1192" s="68" t="str">
        <f>IFERROR(INDEX('Cost_Components'!$L$2:$L$27,MATCH(E1192,'Cost_Components'!$A$2:$A$27,0)),"")</f>
      </c>
      <c r="N1192" s="69" t="str">
        <f>IFERROR(INDEX('Cost_Components'!$P$2:$P$27,MATCH(E1192,'Cost_Components'!$A$2:$A$27,0)),"")</f>
      </c>
      <c r="O1192" s="70" t="str">
        <f>AF1192*J1192</f>
      </c>
      <c r="P1192" s="71" t="str">
        <f>AG1192*J1192</f>
      </c>
      <c r="Q1192" s="72" t="str">
        <f>P1192*L1192*M1192*N1192</f>
      </c>
      <c r="R1192" s="73" t="str">
        <f>O1192*K1192*M1192*N1192</f>
      </c>
      <c r="S1192" s="74" t="str">
        <f>R1192-Q1192</f>
      </c>
      <c r="T1192" s="20" t="str">
        <f>IFERROR(INDEX('Cost_Components'!$R$2:$R$27,MATCH(E1192,'Cost_Components'!$A$2:$A$27,0)),"")</f>
      </c>
      <c r="U1192" s="75" t="str">
        <f>IFERROR(INDEX('Cost_Components'!$Q$2:$Q$27,MATCH(E1192,'Cost_Components'!$A$2:$A$27,0)),"")</f>
      </c>
      <c r="V1192" s="76" t="str">
        <f>1/(1+'Calculation_Assumptions'!$B$5)^(B1192-'Calculation_Assumptions'!$B$2)</f>
      </c>
      <c r="W1192" s="77" t="str">
        <f>Q1192*V1192</f>
      </c>
      <c r="X1192" s="78" t="str">
        <f>R1192*V1192</f>
      </c>
      <c r="Y1192" s="79" t="str">
        <f>S1192*V1192</f>
      </c>
      <c r="Z1192" s="80" t="str">
        <f>IFERROR(INDEX('Cost_Components'!$T$2:$T$27,MATCH(E1192,'Cost_Components'!$A$2:$A$27,0)),"")</f>
      </c>
      <c r="AA1192" s="81" t="str">
        <f>IFERROR(INDEX('Cost_Components'!$U$2:$U$27,MATCH(E1192,'Cost_Components'!$A$2:$A$27,0)),"")</f>
      </c>
      <c r="AB1192" s="82" t="str">
        <f>IFERROR(INDEX('Cost_Components'!$V$2:$V$27,MATCH(E1192,'Cost_Components'!$A$2:$A$27,0)),"")</f>
      </c>
      <c r="AC1192" s="83" t="str">
        <f>IFERROR(INDEX('Cost_Components'!$M$2:$M$27,MATCH(E1192,'Cost_Components'!$A$2:$A$27,0)),"")</f>
      </c>
      <c r="AD1192" s="84" t="str">
        <f>IFERROR(INDEX('Cost_Components'!$N$2:$N$27,MATCH(E1192,'Cost_Components'!$A$2:$A$27,0)),"")</f>
      </c>
      <c r="AE1192" s="20" t="str">
        <f>IFERROR(INDEX('Cost_Components'!$O$2:$O$27,MATCH(E1192,'Cost_Components'!$A$2:$A$27,0)),"")</f>
      </c>
      <c r="AF1192" s="85" t="n">
        <v>221891.338023882</v>
      </c>
      <c r="AG1192" s="86" t="n">
        <v>261254.26711682</v>
      </c>
      <c r="AH1192" s="87" t="str">
        <f>IF(H1192="shared-count-once",COUNTIFS($A$2:$A$1353,A1192,$B$2:$B$1353,B1192,$E$2:$E$1353,E1192),1)</f>
      </c>
    </row>
    <row r="1193">
      <c r="A1193" t="s">
        <v>75</v>
      </c>
      <c r="B1193" s="59" t="n">
        <v>2046</v>
      </c>
      <c r="C1193" t="s">
        <v>220</v>
      </c>
      <c r="D1193" t="s">
        <v>176</v>
      </c>
      <c r="E1193" s="60" t="s">
        <v>309</v>
      </c>
      <c r="F1193" s="61" t="s">
        <v>310</v>
      </c>
      <c r="G1193" s="62" t="s">
        <v>221</v>
      </c>
      <c r="H1193" s="63" t="s">
        <v>195</v>
      </c>
      <c r="I1193" s="64" t="s">
        <v>170</v>
      </c>
      <c r="J1193" s="65" t="str">
        <f>IFERROR(INDEX('Cost_Components'!$K$2:$K$27,MATCH(E1193,'Cost_Components'!$A$2:$A$27,0)),"")</f>
      </c>
      <c r="K1193" s="66" t="str">
        <f>IF(OR(L1193="",Z1193="",AA1193="",AB1193=""),"",IF(B1193&lt;AA1193,L1193,IF(B1193&gt;AB1193,Z1193,L1193+(Z1193-L1193)*MIN(MAX((B1193-AA1193+1)/MAX(AB1193-AA1193+1,1),0),1))))</f>
      </c>
      <c r="L1193" s="67" t="str">
        <f>IFERROR(INDEX('Cost_Components'!$S$2:$S$27,MATCH(E1193,'Cost_Components'!$A$2:$A$27,0)),"")</f>
      </c>
      <c r="M1193" s="68" t="str">
        <f>IFERROR(INDEX('Cost_Components'!$L$2:$L$27,MATCH(E1193,'Cost_Components'!$A$2:$A$27,0)),"")</f>
      </c>
      <c r="N1193" s="69" t="str">
        <f>IFERROR(INDEX('Cost_Components'!$P$2:$P$27,MATCH(E1193,'Cost_Components'!$A$2:$A$27,0)),"")</f>
      </c>
      <c r="O1193" s="70" t="str">
        <f>AF1193*J1193</f>
      </c>
      <c r="P1193" s="71" t="str">
        <f>AG1193*J1193</f>
      </c>
      <c r="Q1193" s="72" t="str">
        <f>P1193*L1193*M1193*N1193</f>
      </c>
      <c r="R1193" s="73" t="str">
        <f>O1193*K1193*M1193*N1193</f>
      </c>
      <c r="S1193" s="74" t="str">
        <f>R1193-Q1193</f>
      </c>
      <c r="T1193" s="20" t="str">
        <f>IFERROR(INDEX('Cost_Components'!$R$2:$R$27,MATCH(E1193,'Cost_Components'!$A$2:$A$27,0)),"")</f>
      </c>
      <c r="U1193" s="75" t="str">
        <f>IFERROR(INDEX('Cost_Components'!$Q$2:$Q$27,MATCH(E1193,'Cost_Components'!$A$2:$A$27,0)),"")</f>
      </c>
      <c r="V1193" s="76" t="str">
        <f>1/(1+'Calculation_Assumptions'!$B$5)^(B1193-'Calculation_Assumptions'!$B$2)</f>
      </c>
      <c r="W1193" s="77" t="str">
        <f>Q1193*V1193</f>
      </c>
      <c r="X1193" s="78" t="str">
        <f>R1193*V1193</f>
      </c>
      <c r="Y1193" s="79" t="str">
        <f>S1193*V1193</f>
      </c>
      <c r="Z1193" s="80" t="str">
        <f>IFERROR(INDEX('Cost_Components'!$T$2:$T$27,MATCH(E1193,'Cost_Components'!$A$2:$A$27,0)),"")</f>
      </c>
      <c r="AA1193" s="81" t="str">
        <f>IFERROR(INDEX('Cost_Components'!$U$2:$U$27,MATCH(E1193,'Cost_Components'!$A$2:$A$27,0)),"")</f>
      </c>
      <c r="AB1193" s="82" t="str">
        <f>IFERROR(INDEX('Cost_Components'!$V$2:$V$27,MATCH(E1193,'Cost_Components'!$A$2:$A$27,0)),"")</f>
      </c>
      <c r="AC1193" s="83" t="str">
        <f>IFERROR(INDEX('Cost_Components'!$M$2:$M$27,MATCH(E1193,'Cost_Components'!$A$2:$A$27,0)),"")</f>
      </c>
      <c r="AD1193" s="84" t="str">
        <f>IFERROR(INDEX('Cost_Components'!$N$2:$N$27,MATCH(E1193,'Cost_Components'!$A$2:$A$27,0)),"")</f>
      </c>
      <c r="AE1193" s="20" t="str">
        <f>IFERROR(INDEX('Cost_Components'!$O$2:$O$27,MATCH(E1193,'Cost_Components'!$A$2:$A$27,0)),"")</f>
      </c>
      <c r="AF1193" s="85" t="n">
        <v>219914.987443949</v>
      </c>
      <c r="AG1193" s="86" t="n">
        <v>260818.565252634</v>
      </c>
      <c r="AH1193" s="87" t="str">
        <f>IF(H1193="shared-count-once",COUNTIFS($A$2:$A$1353,A1193,$B$2:$B$1353,B1193,$E$2:$E$1353,E1193),1)</f>
      </c>
    </row>
    <row r="1194">
      <c r="A1194" t="s">
        <v>75</v>
      </c>
      <c r="B1194" s="59" t="n">
        <v>2047</v>
      </c>
      <c r="C1194" t="s">
        <v>220</v>
      </c>
      <c r="D1194" t="s">
        <v>176</v>
      </c>
      <c r="E1194" s="60" t="s">
        <v>309</v>
      </c>
      <c r="F1194" s="61" t="s">
        <v>310</v>
      </c>
      <c r="G1194" s="62" t="s">
        <v>221</v>
      </c>
      <c r="H1194" s="63" t="s">
        <v>195</v>
      </c>
      <c r="I1194" s="64" t="s">
        <v>170</v>
      </c>
      <c r="J1194" s="65" t="str">
        <f>IFERROR(INDEX('Cost_Components'!$K$2:$K$27,MATCH(E1194,'Cost_Components'!$A$2:$A$27,0)),"")</f>
      </c>
      <c r="K1194" s="66" t="str">
        <f>IF(OR(L1194="",Z1194="",AA1194="",AB1194=""),"",IF(B1194&lt;AA1194,L1194,IF(B1194&gt;AB1194,Z1194,L1194+(Z1194-L1194)*MIN(MAX((B1194-AA1194+1)/MAX(AB1194-AA1194+1,1),0),1))))</f>
      </c>
      <c r="L1194" s="67" t="str">
        <f>IFERROR(INDEX('Cost_Components'!$S$2:$S$27,MATCH(E1194,'Cost_Components'!$A$2:$A$27,0)),"")</f>
      </c>
      <c r="M1194" s="68" t="str">
        <f>IFERROR(INDEX('Cost_Components'!$L$2:$L$27,MATCH(E1194,'Cost_Components'!$A$2:$A$27,0)),"")</f>
      </c>
      <c r="N1194" s="69" t="str">
        <f>IFERROR(INDEX('Cost_Components'!$P$2:$P$27,MATCH(E1194,'Cost_Components'!$A$2:$A$27,0)),"")</f>
      </c>
      <c r="O1194" s="70" t="str">
        <f>AF1194*J1194</f>
      </c>
      <c r="P1194" s="71" t="str">
        <f>AG1194*J1194</f>
      </c>
      <c r="Q1194" s="72" t="str">
        <f>P1194*L1194*M1194*N1194</f>
      </c>
      <c r="R1194" s="73" t="str">
        <f>O1194*K1194*M1194*N1194</f>
      </c>
      <c r="S1194" s="74" t="str">
        <f>R1194-Q1194</f>
      </c>
      <c r="T1194" s="20" t="str">
        <f>IFERROR(INDEX('Cost_Components'!$R$2:$R$27,MATCH(E1194,'Cost_Components'!$A$2:$A$27,0)),"")</f>
      </c>
      <c r="U1194" s="75" t="str">
        <f>IFERROR(INDEX('Cost_Components'!$Q$2:$Q$27,MATCH(E1194,'Cost_Components'!$A$2:$A$27,0)),"")</f>
      </c>
      <c r="V1194" s="76" t="str">
        <f>1/(1+'Calculation_Assumptions'!$B$5)^(B1194-'Calculation_Assumptions'!$B$2)</f>
      </c>
      <c r="W1194" s="77" t="str">
        <f>Q1194*V1194</f>
      </c>
      <c r="X1194" s="78" t="str">
        <f>R1194*V1194</f>
      </c>
      <c r="Y1194" s="79" t="str">
        <f>S1194*V1194</f>
      </c>
      <c r="Z1194" s="80" t="str">
        <f>IFERROR(INDEX('Cost_Components'!$T$2:$T$27,MATCH(E1194,'Cost_Components'!$A$2:$A$27,0)),"")</f>
      </c>
      <c r="AA1194" s="81" t="str">
        <f>IFERROR(INDEX('Cost_Components'!$U$2:$U$27,MATCH(E1194,'Cost_Components'!$A$2:$A$27,0)),"")</f>
      </c>
      <c r="AB1194" s="82" t="str">
        <f>IFERROR(INDEX('Cost_Components'!$V$2:$V$27,MATCH(E1194,'Cost_Components'!$A$2:$A$27,0)),"")</f>
      </c>
      <c r="AC1194" s="83" t="str">
        <f>IFERROR(INDEX('Cost_Components'!$M$2:$M$27,MATCH(E1194,'Cost_Components'!$A$2:$A$27,0)),"")</f>
      </c>
      <c r="AD1194" s="84" t="str">
        <f>IFERROR(INDEX('Cost_Components'!$N$2:$N$27,MATCH(E1194,'Cost_Components'!$A$2:$A$27,0)),"")</f>
      </c>
      <c r="AE1194" s="20" t="str">
        <f>IFERROR(INDEX('Cost_Components'!$O$2:$O$27,MATCH(E1194,'Cost_Components'!$A$2:$A$27,0)),"")</f>
      </c>
      <c r="AF1194" s="85" t="n">
        <v>217725.365250409</v>
      </c>
      <c r="AG1194" s="86" t="n">
        <v>260111.247980709</v>
      </c>
      <c r="AH1194" s="87" t="str">
        <f>IF(H1194="shared-count-once",COUNTIFS($A$2:$A$1353,A1194,$B$2:$B$1353,B1194,$E$2:$E$1353,E1194),1)</f>
      </c>
    </row>
    <row r="1195">
      <c r="A1195" t="s">
        <v>75</v>
      </c>
      <c r="B1195" s="59" t="n">
        <v>2048</v>
      </c>
      <c r="C1195" t="s">
        <v>220</v>
      </c>
      <c r="D1195" t="s">
        <v>176</v>
      </c>
      <c r="E1195" s="60" t="s">
        <v>309</v>
      </c>
      <c r="F1195" s="61" t="s">
        <v>310</v>
      </c>
      <c r="G1195" s="62" t="s">
        <v>221</v>
      </c>
      <c r="H1195" s="63" t="s">
        <v>195</v>
      </c>
      <c r="I1195" s="64" t="s">
        <v>170</v>
      </c>
      <c r="J1195" s="65" t="str">
        <f>IFERROR(INDEX('Cost_Components'!$K$2:$K$27,MATCH(E1195,'Cost_Components'!$A$2:$A$27,0)),"")</f>
      </c>
      <c r="K1195" s="66" t="str">
        <f>IF(OR(L1195="",Z1195="",AA1195="",AB1195=""),"",IF(B1195&lt;AA1195,L1195,IF(B1195&gt;AB1195,Z1195,L1195+(Z1195-L1195)*MIN(MAX((B1195-AA1195+1)/MAX(AB1195-AA1195+1,1),0),1))))</f>
      </c>
      <c r="L1195" s="67" t="str">
        <f>IFERROR(INDEX('Cost_Components'!$S$2:$S$27,MATCH(E1195,'Cost_Components'!$A$2:$A$27,0)),"")</f>
      </c>
      <c r="M1195" s="68" t="str">
        <f>IFERROR(INDEX('Cost_Components'!$L$2:$L$27,MATCH(E1195,'Cost_Components'!$A$2:$A$27,0)),"")</f>
      </c>
      <c r="N1195" s="69" t="str">
        <f>IFERROR(INDEX('Cost_Components'!$P$2:$P$27,MATCH(E1195,'Cost_Components'!$A$2:$A$27,0)),"")</f>
      </c>
      <c r="O1195" s="70" t="str">
        <f>AF1195*J1195</f>
      </c>
      <c r="P1195" s="71" t="str">
        <f>AG1195*J1195</f>
      </c>
      <c r="Q1195" s="72" t="str">
        <f>P1195*L1195*M1195*N1195</f>
      </c>
      <c r="R1195" s="73" t="str">
        <f>O1195*K1195*M1195*N1195</f>
      </c>
      <c r="S1195" s="74" t="str">
        <f>R1195-Q1195</f>
      </c>
      <c r="T1195" s="20" t="str">
        <f>IFERROR(INDEX('Cost_Components'!$R$2:$R$27,MATCH(E1195,'Cost_Components'!$A$2:$A$27,0)),"")</f>
      </c>
      <c r="U1195" s="75" t="str">
        <f>IFERROR(INDEX('Cost_Components'!$Q$2:$Q$27,MATCH(E1195,'Cost_Components'!$A$2:$A$27,0)),"")</f>
      </c>
      <c r="V1195" s="76" t="str">
        <f>1/(1+'Calculation_Assumptions'!$B$5)^(B1195-'Calculation_Assumptions'!$B$2)</f>
      </c>
      <c r="W1195" s="77" t="str">
        <f>Q1195*V1195</f>
      </c>
      <c r="X1195" s="78" t="str">
        <f>R1195*V1195</f>
      </c>
      <c r="Y1195" s="79" t="str">
        <f>S1195*V1195</f>
      </c>
      <c r="Z1195" s="80" t="str">
        <f>IFERROR(INDEX('Cost_Components'!$T$2:$T$27,MATCH(E1195,'Cost_Components'!$A$2:$A$27,0)),"")</f>
      </c>
      <c r="AA1195" s="81" t="str">
        <f>IFERROR(INDEX('Cost_Components'!$U$2:$U$27,MATCH(E1195,'Cost_Components'!$A$2:$A$27,0)),"")</f>
      </c>
      <c r="AB1195" s="82" t="str">
        <f>IFERROR(INDEX('Cost_Components'!$V$2:$V$27,MATCH(E1195,'Cost_Components'!$A$2:$A$27,0)),"")</f>
      </c>
      <c r="AC1195" s="83" t="str">
        <f>IFERROR(INDEX('Cost_Components'!$M$2:$M$27,MATCH(E1195,'Cost_Components'!$A$2:$A$27,0)),"")</f>
      </c>
      <c r="AD1195" s="84" t="str">
        <f>IFERROR(INDEX('Cost_Components'!$N$2:$N$27,MATCH(E1195,'Cost_Components'!$A$2:$A$27,0)),"")</f>
      </c>
      <c r="AE1195" s="20" t="str">
        <f>IFERROR(INDEX('Cost_Components'!$O$2:$O$27,MATCH(E1195,'Cost_Components'!$A$2:$A$27,0)),"")</f>
      </c>
      <c r="AF1195" s="85" t="n">
        <v>215357.310118906</v>
      </c>
      <c r="AG1195" s="86" t="n">
        <v>259106.982657656</v>
      </c>
      <c r="AH1195" s="87" t="str">
        <f>IF(H1195="shared-count-once",COUNTIFS($A$2:$A$1353,A1195,$B$2:$B$1353,B1195,$E$2:$E$1353,E1195),1)</f>
      </c>
    </row>
    <row r="1196">
      <c r="A1196" t="s">
        <v>75</v>
      </c>
      <c r="B1196" s="59" t="n">
        <v>2049</v>
      </c>
      <c r="C1196" t="s">
        <v>220</v>
      </c>
      <c r="D1196" t="s">
        <v>176</v>
      </c>
      <c r="E1196" s="60" t="s">
        <v>309</v>
      </c>
      <c r="F1196" s="61" t="s">
        <v>310</v>
      </c>
      <c r="G1196" s="62" t="s">
        <v>221</v>
      </c>
      <c r="H1196" s="63" t="s">
        <v>195</v>
      </c>
      <c r="I1196" s="64" t="s">
        <v>170</v>
      </c>
      <c r="J1196" s="65" t="str">
        <f>IFERROR(INDEX('Cost_Components'!$K$2:$K$27,MATCH(E1196,'Cost_Components'!$A$2:$A$27,0)),"")</f>
      </c>
      <c r="K1196" s="66" t="str">
        <f>IF(OR(L1196="",Z1196="",AA1196="",AB1196=""),"",IF(B1196&lt;AA1196,L1196,IF(B1196&gt;AB1196,Z1196,L1196+(Z1196-L1196)*MIN(MAX((B1196-AA1196+1)/MAX(AB1196-AA1196+1,1),0),1))))</f>
      </c>
      <c r="L1196" s="67" t="str">
        <f>IFERROR(INDEX('Cost_Components'!$S$2:$S$27,MATCH(E1196,'Cost_Components'!$A$2:$A$27,0)),"")</f>
      </c>
      <c r="M1196" s="68" t="str">
        <f>IFERROR(INDEX('Cost_Components'!$L$2:$L$27,MATCH(E1196,'Cost_Components'!$A$2:$A$27,0)),"")</f>
      </c>
      <c r="N1196" s="69" t="str">
        <f>IFERROR(INDEX('Cost_Components'!$P$2:$P$27,MATCH(E1196,'Cost_Components'!$A$2:$A$27,0)),"")</f>
      </c>
      <c r="O1196" s="70" t="str">
        <f>AF1196*J1196</f>
      </c>
      <c r="P1196" s="71" t="str">
        <f>AG1196*J1196</f>
      </c>
      <c r="Q1196" s="72" t="str">
        <f>P1196*L1196*M1196*N1196</f>
      </c>
      <c r="R1196" s="73" t="str">
        <f>O1196*K1196*M1196*N1196</f>
      </c>
      <c r="S1196" s="74" t="str">
        <f>R1196-Q1196</f>
      </c>
      <c r="T1196" s="20" t="str">
        <f>IFERROR(INDEX('Cost_Components'!$R$2:$R$27,MATCH(E1196,'Cost_Components'!$A$2:$A$27,0)),"")</f>
      </c>
      <c r="U1196" s="75" t="str">
        <f>IFERROR(INDEX('Cost_Components'!$Q$2:$Q$27,MATCH(E1196,'Cost_Components'!$A$2:$A$27,0)),"")</f>
      </c>
      <c r="V1196" s="76" t="str">
        <f>1/(1+'Calculation_Assumptions'!$B$5)^(B1196-'Calculation_Assumptions'!$B$2)</f>
      </c>
      <c r="W1196" s="77" t="str">
        <f>Q1196*V1196</f>
      </c>
      <c r="X1196" s="78" t="str">
        <f>R1196*V1196</f>
      </c>
      <c r="Y1196" s="79" t="str">
        <f>S1196*V1196</f>
      </c>
      <c r="Z1196" s="80" t="str">
        <f>IFERROR(INDEX('Cost_Components'!$T$2:$T$27,MATCH(E1196,'Cost_Components'!$A$2:$A$27,0)),"")</f>
      </c>
      <c r="AA1196" s="81" t="str">
        <f>IFERROR(INDEX('Cost_Components'!$U$2:$U$27,MATCH(E1196,'Cost_Components'!$A$2:$A$27,0)),"")</f>
      </c>
      <c r="AB1196" s="82" t="str">
        <f>IFERROR(INDEX('Cost_Components'!$V$2:$V$27,MATCH(E1196,'Cost_Components'!$A$2:$A$27,0)),"")</f>
      </c>
      <c r="AC1196" s="83" t="str">
        <f>IFERROR(INDEX('Cost_Components'!$M$2:$M$27,MATCH(E1196,'Cost_Components'!$A$2:$A$27,0)),"")</f>
      </c>
      <c r="AD1196" s="84" t="str">
        <f>IFERROR(INDEX('Cost_Components'!$N$2:$N$27,MATCH(E1196,'Cost_Components'!$A$2:$A$27,0)),"")</f>
      </c>
      <c r="AE1196" s="20" t="str">
        <f>IFERROR(INDEX('Cost_Components'!$O$2:$O$27,MATCH(E1196,'Cost_Components'!$A$2:$A$27,0)),"")</f>
      </c>
      <c r="AF1196" s="85" t="n">
        <v>213036.25292126</v>
      </c>
      <c r="AG1196" s="86" t="n">
        <v>258104.090566651</v>
      </c>
      <c r="AH1196" s="87" t="str">
        <f>IF(H1196="shared-count-once",COUNTIFS($A$2:$A$1353,A1196,$B$2:$B$1353,B1196,$E$2:$E$1353,E1196),1)</f>
      </c>
    </row>
    <row r="1197">
      <c r="A1197" t="s">
        <v>75</v>
      </c>
      <c r="B1197" s="59" t="n">
        <v>2050</v>
      </c>
      <c r="C1197" t="s">
        <v>220</v>
      </c>
      <c r="D1197" t="s">
        <v>176</v>
      </c>
      <c r="E1197" s="60" t="s">
        <v>309</v>
      </c>
      <c r="F1197" s="61" t="s">
        <v>310</v>
      </c>
      <c r="G1197" s="62" t="s">
        <v>221</v>
      </c>
      <c r="H1197" s="63" t="s">
        <v>195</v>
      </c>
      <c r="I1197" s="64" t="s">
        <v>170</v>
      </c>
      <c r="J1197" s="65" t="str">
        <f>IFERROR(INDEX('Cost_Components'!$K$2:$K$27,MATCH(E1197,'Cost_Components'!$A$2:$A$27,0)),"")</f>
      </c>
      <c r="K1197" s="66" t="str">
        <f>IF(OR(L1197="",Z1197="",AA1197="",AB1197=""),"",IF(B1197&lt;AA1197,L1197,IF(B1197&gt;AB1197,Z1197,L1197+(Z1197-L1197)*MIN(MAX((B1197-AA1197+1)/MAX(AB1197-AA1197+1,1),0),1))))</f>
      </c>
      <c r="L1197" s="67" t="str">
        <f>IFERROR(INDEX('Cost_Components'!$S$2:$S$27,MATCH(E1197,'Cost_Components'!$A$2:$A$27,0)),"")</f>
      </c>
      <c r="M1197" s="68" t="str">
        <f>IFERROR(INDEX('Cost_Components'!$L$2:$L$27,MATCH(E1197,'Cost_Components'!$A$2:$A$27,0)),"")</f>
      </c>
      <c r="N1197" s="69" t="str">
        <f>IFERROR(INDEX('Cost_Components'!$P$2:$P$27,MATCH(E1197,'Cost_Components'!$A$2:$A$27,0)),"")</f>
      </c>
      <c r="O1197" s="70" t="str">
        <f>AF1197*J1197</f>
      </c>
      <c r="P1197" s="71" t="str">
        <f>AG1197*J1197</f>
      </c>
      <c r="Q1197" s="72" t="str">
        <f>P1197*L1197*M1197*N1197</f>
      </c>
      <c r="R1197" s="73" t="str">
        <f>O1197*K1197*M1197*N1197</f>
      </c>
      <c r="S1197" s="74" t="str">
        <f>R1197-Q1197</f>
      </c>
      <c r="T1197" s="20" t="str">
        <f>IFERROR(INDEX('Cost_Components'!$R$2:$R$27,MATCH(E1197,'Cost_Components'!$A$2:$A$27,0)),"")</f>
      </c>
      <c r="U1197" s="75" t="str">
        <f>IFERROR(INDEX('Cost_Components'!$Q$2:$Q$27,MATCH(E1197,'Cost_Components'!$A$2:$A$27,0)),"")</f>
      </c>
      <c r="V1197" s="76" t="str">
        <f>1/(1+'Calculation_Assumptions'!$B$5)^(B1197-'Calculation_Assumptions'!$B$2)</f>
      </c>
      <c r="W1197" s="77" t="str">
        <f>Q1197*V1197</f>
      </c>
      <c r="X1197" s="78" t="str">
        <f>R1197*V1197</f>
      </c>
      <c r="Y1197" s="79" t="str">
        <f>S1197*V1197</f>
      </c>
      <c r="Z1197" s="80" t="str">
        <f>IFERROR(INDEX('Cost_Components'!$T$2:$T$27,MATCH(E1197,'Cost_Components'!$A$2:$A$27,0)),"")</f>
      </c>
      <c r="AA1197" s="81" t="str">
        <f>IFERROR(INDEX('Cost_Components'!$U$2:$U$27,MATCH(E1197,'Cost_Components'!$A$2:$A$27,0)),"")</f>
      </c>
      <c r="AB1197" s="82" t="str">
        <f>IFERROR(INDEX('Cost_Components'!$V$2:$V$27,MATCH(E1197,'Cost_Components'!$A$2:$A$27,0)),"")</f>
      </c>
      <c r="AC1197" s="83" t="str">
        <f>IFERROR(INDEX('Cost_Components'!$M$2:$M$27,MATCH(E1197,'Cost_Components'!$A$2:$A$27,0)),"")</f>
      </c>
      <c r="AD1197" s="84" t="str">
        <f>IFERROR(INDEX('Cost_Components'!$N$2:$N$27,MATCH(E1197,'Cost_Components'!$A$2:$A$27,0)),"")</f>
      </c>
      <c r="AE1197" s="20" t="str">
        <f>IFERROR(INDEX('Cost_Components'!$O$2:$O$27,MATCH(E1197,'Cost_Components'!$A$2:$A$27,0)),"")</f>
      </c>
      <c r="AF1197" s="85" t="n">
        <v>210844.78961993</v>
      </c>
      <c r="AG1197" s="86" t="n">
        <v>257216.369015205</v>
      </c>
      <c r="AH1197" s="87" t="str">
        <f>IF(H1197="shared-count-once",COUNTIFS($A$2:$A$1353,A1197,$B$2:$B$1353,B1197,$E$2:$E$1353,E1197),1)</f>
      </c>
    </row>
    <row r="1198">
      <c r="A1198" t="s">
        <v>75</v>
      </c>
      <c r="B1198" s="59" t="n">
        <v>2025</v>
      </c>
      <c r="C1198" t="s">
        <v>220</v>
      </c>
      <c r="D1198" t="s">
        <v>176</v>
      </c>
      <c r="E1198" s="60" t="s">
        <v>311</v>
      </c>
      <c r="F1198" s="61" t="s">
        <v>312</v>
      </c>
      <c r="G1198" s="62" t="s">
        <v>221</v>
      </c>
      <c r="H1198" s="63" t="s">
        <v>195</v>
      </c>
      <c r="I1198" s="64" t="s">
        <v>267</v>
      </c>
      <c r="J1198" s="65" t="str">
        <f>IFERROR(INDEX('Cost_Components'!$K$2:$K$27,MATCH(E1198,'Cost_Components'!$A$2:$A$27,0)),"")</f>
      </c>
      <c r="K1198" s="66" t="str">
        <f>IF(OR(L1198="",Z1198="",AA1198="",AB1198=""),"",IF(B1198&lt;AA1198,L1198,IF(B1198&gt;AB1198,Z1198,L1198+(Z1198-L1198)*MIN(MAX((B1198-AA1198+1)/MAX(AB1198-AA1198+1,1),0),1))))</f>
      </c>
      <c r="L1198" s="67" t="str">
        <f>IFERROR(INDEX('Cost_Components'!$S$2:$S$27,MATCH(E1198,'Cost_Components'!$A$2:$A$27,0)),"")</f>
      </c>
      <c r="M1198" s="68" t="str">
        <f>IFERROR(INDEX('Cost_Components'!$L$2:$L$27,MATCH(E1198,'Cost_Components'!$A$2:$A$27,0)),"")</f>
      </c>
      <c r="N1198" s="69" t="str">
        <f>IFERROR(INDEX('Cost_Components'!$P$2:$P$27,MATCH(E1198,'Cost_Components'!$A$2:$A$27,0)),"")</f>
      </c>
      <c r="O1198" s="70" t="str">
        <f>AF1198*J1198</f>
      </c>
      <c r="P1198" s="71" t="str">
        <f>AG1198*J1198</f>
      </c>
      <c r="Q1198" s="72" t="str">
        <f>P1198*L1198*M1198*N1198</f>
      </c>
      <c r="R1198" s="73" t="str">
        <f>O1198*K1198*M1198*N1198</f>
      </c>
      <c r="S1198" s="74" t="str">
        <f>R1198-Q1198</f>
      </c>
      <c r="T1198" s="20" t="str">
        <f>IFERROR(INDEX('Cost_Components'!$R$2:$R$27,MATCH(E1198,'Cost_Components'!$A$2:$A$27,0)),"")</f>
      </c>
      <c r="U1198" s="75" t="str">
        <f>IFERROR(INDEX('Cost_Components'!$Q$2:$Q$27,MATCH(E1198,'Cost_Components'!$A$2:$A$27,0)),"")</f>
      </c>
      <c r="V1198" s="76" t="str">
        <f>1/(1+'Calculation_Assumptions'!$B$5)^(B1198-'Calculation_Assumptions'!$B$2)</f>
      </c>
      <c r="W1198" s="77" t="str">
        <f>Q1198*V1198</f>
      </c>
      <c r="X1198" s="78" t="str">
        <f>R1198*V1198</f>
      </c>
      <c r="Y1198" s="79" t="str">
        <f>S1198*V1198</f>
      </c>
      <c r="Z1198" s="80" t="str">
        <f>IFERROR(INDEX('Cost_Components'!$T$2:$T$27,MATCH(E1198,'Cost_Components'!$A$2:$A$27,0)),"")</f>
      </c>
      <c r="AA1198" s="81" t="str">
        <f>IFERROR(INDEX('Cost_Components'!$U$2:$U$27,MATCH(E1198,'Cost_Components'!$A$2:$A$27,0)),"")</f>
      </c>
      <c r="AB1198" s="82" t="str">
        <f>IFERROR(INDEX('Cost_Components'!$V$2:$V$27,MATCH(E1198,'Cost_Components'!$A$2:$A$27,0)),"")</f>
      </c>
      <c r="AC1198" s="83" t="str">
        <f>IFERROR(INDEX('Cost_Components'!$M$2:$M$27,MATCH(E1198,'Cost_Components'!$A$2:$A$27,0)),"")</f>
      </c>
      <c r="AD1198" s="84" t="str">
        <f>IFERROR(INDEX('Cost_Components'!$N$2:$N$27,MATCH(E1198,'Cost_Components'!$A$2:$A$27,0)),"")</f>
      </c>
      <c r="AE1198" s="20" t="str">
        <f>IFERROR(INDEX('Cost_Components'!$O$2:$O$27,MATCH(E1198,'Cost_Components'!$A$2:$A$27,0)),"")</f>
      </c>
      <c r="AF1198" s="85" t="n">
        <v>995498.504598542</v>
      </c>
      <c r="AG1198" s="86" t="n">
        <v>997482.980607753</v>
      </c>
      <c r="AH1198" s="87" t="str">
        <f>IF(H1198="shared-count-once",COUNTIFS($A$2:$A$1353,A1198,$B$2:$B$1353,B1198,$E$2:$E$1353,E1198),1)</f>
      </c>
    </row>
    <row r="1199">
      <c r="A1199" t="s">
        <v>75</v>
      </c>
      <c r="B1199" s="59" t="n">
        <v>2026</v>
      </c>
      <c r="C1199" t="s">
        <v>220</v>
      </c>
      <c r="D1199" t="s">
        <v>176</v>
      </c>
      <c r="E1199" s="60" t="s">
        <v>311</v>
      </c>
      <c r="F1199" s="61" t="s">
        <v>312</v>
      </c>
      <c r="G1199" s="62" t="s">
        <v>221</v>
      </c>
      <c r="H1199" s="63" t="s">
        <v>195</v>
      </c>
      <c r="I1199" s="64" t="s">
        <v>267</v>
      </c>
      <c r="J1199" s="65" t="str">
        <f>IFERROR(INDEX('Cost_Components'!$K$2:$K$27,MATCH(E1199,'Cost_Components'!$A$2:$A$27,0)),"")</f>
      </c>
      <c r="K1199" s="66" t="str">
        <f>IF(OR(L1199="",Z1199="",AA1199="",AB1199=""),"",IF(B1199&lt;AA1199,L1199,IF(B1199&gt;AB1199,Z1199,L1199+(Z1199-L1199)*MIN(MAX((B1199-AA1199+1)/MAX(AB1199-AA1199+1,1),0),1))))</f>
      </c>
      <c r="L1199" s="67" t="str">
        <f>IFERROR(INDEX('Cost_Components'!$S$2:$S$27,MATCH(E1199,'Cost_Components'!$A$2:$A$27,0)),"")</f>
      </c>
      <c r="M1199" s="68" t="str">
        <f>IFERROR(INDEX('Cost_Components'!$L$2:$L$27,MATCH(E1199,'Cost_Components'!$A$2:$A$27,0)),"")</f>
      </c>
      <c r="N1199" s="69" t="str">
        <f>IFERROR(INDEX('Cost_Components'!$P$2:$P$27,MATCH(E1199,'Cost_Components'!$A$2:$A$27,0)),"")</f>
      </c>
      <c r="O1199" s="70" t="str">
        <f>AF1199*J1199</f>
      </c>
      <c r="P1199" s="71" t="str">
        <f>AG1199*J1199</f>
      </c>
      <c r="Q1199" s="72" t="str">
        <f>P1199*L1199*M1199*N1199</f>
      </c>
      <c r="R1199" s="73" t="str">
        <f>O1199*K1199*M1199*N1199</f>
      </c>
      <c r="S1199" s="74" t="str">
        <f>R1199-Q1199</f>
      </c>
      <c r="T1199" s="20" t="str">
        <f>IFERROR(INDEX('Cost_Components'!$R$2:$R$27,MATCH(E1199,'Cost_Components'!$A$2:$A$27,0)),"")</f>
      </c>
      <c r="U1199" s="75" t="str">
        <f>IFERROR(INDEX('Cost_Components'!$Q$2:$Q$27,MATCH(E1199,'Cost_Components'!$A$2:$A$27,0)),"")</f>
      </c>
      <c r="V1199" s="76" t="str">
        <f>1/(1+'Calculation_Assumptions'!$B$5)^(B1199-'Calculation_Assumptions'!$B$2)</f>
      </c>
      <c r="W1199" s="77" t="str">
        <f>Q1199*V1199</f>
      </c>
      <c r="X1199" s="78" t="str">
        <f>R1199*V1199</f>
      </c>
      <c r="Y1199" s="79" t="str">
        <f>S1199*V1199</f>
      </c>
      <c r="Z1199" s="80" t="str">
        <f>IFERROR(INDEX('Cost_Components'!$T$2:$T$27,MATCH(E1199,'Cost_Components'!$A$2:$A$27,0)),"")</f>
      </c>
      <c r="AA1199" s="81" t="str">
        <f>IFERROR(INDEX('Cost_Components'!$U$2:$U$27,MATCH(E1199,'Cost_Components'!$A$2:$A$27,0)),"")</f>
      </c>
      <c r="AB1199" s="82" t="str">
        <f>IFERROR(INDEX('Cost_Components'!$V$2:$V$27,MATCH(E1199,'Cost_Components'!$A$2:$A$27,0)),"")</f>
      </c>
      <c r="AC1199" s="83" t="str">
        <f>IFERROR(INDEX('Cost_Components'!$M$2:$M$27,MATCH(E1199,'Cost_Components'!$A$2:$A$27,0)),"")</f>
      </c>
      <c r="AD1199" s="84" t="str">
        <f>IFERROR(INDEX('Cost_Components'!$N$2:$N$27,MATCH(E1199,'Cost_Components'!$A$2:$A$27,0)),"")</f>
      </c>
      <c r="AE1199" s="20" t="str">
        <f>IFERROR(INDEX('Cost_Components'!$O$2:$O$27,MATCH(E1199,'Cost_Components'!$A$2:$A$27,0)),"")</f>
      </c>
      <c r="AF1199" s="85" t="n">
        <v>998630.394706091</v>
      </c>
      <c r="AG1199" s="86" t="n">
        <v>1003711.27901421</v>
      </c>
      <c r="AH1199" s="87" t="str">
        <f>IF(H1199="shared-count-once",COUNTIFS($A$2:$A$1353,A1199,$B$2:$B$1353,B1199,$E$2:$E$1353,E1199),1)</f>
      </c>
    </row>
    <row r="1200">
      <c r="A1200" t="s">
        <v>75</v>
      </c>
      <c r="B1200" s="59" t="n">
        <v>2027</v>
      </c>
      <c r="C1200" t="s">
        <v>220</v>
      </c>
      <c r="D1200" t="s">
        <v>176</v>
      </c>
      <c r="E1200" s="60" t="s">
        <v>311</v>
      </c>
      <c r="F1200" s="61" t="s">
        <v>312</v>
      </c>
      <c r="G1200" s="62" t="s">
        <v>221</v>
      </c>
      <c r="H1200" s="63" t="s">
        <v>195</v>
      </c>
      <c r="I1200" s="64" t="s">
        <v>267</v>
      </c>
      <c r="J1200" s="65" t="str">
        <f>IFERROR(INDEX('Cost_Components'!$K$2:$K$27,MATCH(E1200,'Cost_Components'!$A$2:$A$27,0)),"")</f>
      </c>
      <c r="K1200" s="66" t="str">
        <f>IF(OR(L1200="",Z1200="",AA1200="",AB1200=""),"",IF(B1200&lt;AA1200,L1200,IF(B1200&gt;AB1200,Z1200,L1200+(Z1200-L1200)*MIN(MAX((B1200-AA1200+1)/MAX(AB1200-AA1200+1,1),0),1))))</f>
      </c>
      <c r="L1200" s="67" t="str">
        <f>IFERROR(INDEX('Cost_Components'!$S$2:$S$27,MATCH(E1200,'Cost_Components'!$A$2:$A$27,0)),"")</f>
      </c>
      <c r="M1200" s="68" t="str">
        <f>IFERROR(INDEX('Cost_Components'!$L$2:$L$27,MATCH(E1200,'Cost_Components'!$A$2:$A$27,0)),"")</f>
      </c>
      <c r="N1200" s="69" t="str">
        <f>IFERROR(INDEX('Cost_Components'!$P$2:$P$27,MATCH(E1200,'Cost_Components'!$A$2:$A$27,0)),"")</f>
      </c>
      <c r="O1200" s="70" t="str">
        <f>AF1200*J1200</f>
      </c>
      <c r="P1200" s="71" t="str">
        <f>AG1200*J1200</f>
      </c>
      <c r="Q1200" s="72" t="str">
        <f>P1200*L1200*M1200*N1200</f>
      </c>
      <c r="R1200" s="73" t="str">
        <f>O1200*K1200*M1200*N1200</f>
      </c>
      <c r="S1200" s="74" t="str">
        <f>R1200-Q1200</f>
      </c>
      <c r="T1200" s="20" t="str">
        <f>IFERROR(INDEX('Cost_Components'!$R$2:$R$27,MATCH(E1200,'Cost_Components'!$A$2:$A$27,0)),"")</f>
      </c>
      <c r="U1200" s="75" t="str">
        <f>IFERROR(INDEX('Cost_Components'!$Q$2:$Q$27,MATCH(E1200,'Cost_Components'!$A$2:$A$27,0)),"")</f>
      </c>
      <c r="V1200" s="76" t="str">
        <f>1/(1+'Calculation_Assumptions'!$B$5)^(B1200-'Calculation_Assumptions'!$B$2)</f>
      </c>
      <c r="W1200" s="77" t="str">
        <f>Q1200*V1200</f>
      </c>
      <c r="X1200" s="78" t="str">
        <f>R1200*V1200</f>
      </c>
      <c r="Y1200" s="79" t="str">
        <f>S1200*V1200</f>
      </c>
      <c r="Z1200" s="80" t="str">
        <f>IFERROR(INDEX('Cost_Components'!$T$2:$T$27,MATCH(E1200,'Cost_Components'!$A$2:$A$27,0)),"")</f>
      </c>
      <c r="AA1200" s="81" t="str">
        <f>IFERROR(INDEX('Cost_Components'!$U$2:$U$27,MATCH(E1200,'Cost_Components'!$A$2:$A$27,0)),"")</f>
      </c>
      <c r="AB1200" s="82" t="str">
        <f>IFERROR(INDEX('Cost_Components'!$V$2:$V$27,MATCH(E1200,'Cost_Components'!$A$2:$A$27,0)),"")</f>
      </c>
      <c r="AC1200" s="83" t="str">
        <f>IFERROR(INDEX('Cost_Components'!$M$2:$M$27,MATCH(E1200,'Cost_Components'!$A$2:$A$27,0)),"")</f>
      </c>
      <c r="AD1200" s="84" t="str">
        <f>IFERROR(INDEX('Cost_Components'!$N$2:$N$27,MATCH(E1200,'Cost_Components'!$A$2:$A$27,0)),"")</f>
      </c>
      <c r="AE1200" s="20" t="str">
        <f>IFERROR(INDEX('Cost_Components'!$O$2:$O$27,MATCH(E1200,'Cost_Components'!$A$2:$A$27,0)),"")</f>
      </c>
      <c r="AF1200" s="85" t="n">
        <v>994711.319443738</v>
      </c>
      <c r="AG1200" s="86" t="n">
        <v>1003629.93349739</v>
      </c>
      <c r="AH1200" s="87" t="str">
        <f>IF(H1200="shared-count-once",COUNTIFS($A$2:$A$1353,A1200,$B$2:$B$1353,B1200,$E$2:$E$1353,E1200),1)</f>
      </c>
    </row>
    <row r="1201">
      <c r="A1201" t="s">
        <v>75</v>
      </c>
      <c r="B1201" s="59" t="n">
        <v>2028</v>
      </c>
      <c r="C1201" t="s">
        <v>220</v>
      </c>
      <c r="D1201" t="s">
        <v>176</v>
      </c>
      <c r="E1201" s="60" t="s">
        <v>311</v>
      </c>
      <c r="F1201" s="61" t="s">
        <v>312</v>
      </c>
      <c r="G1201" s="62" t="s">
        <v>221</v>
      </c>
      <c r="H1201" s="63" t="s">
        <v>195</v>
      </c>
      <c r="I1201" s="64" t="s">
        <v>267</v>
      </c>
      <c r="J1201" s="65" t="str">
        <f>IFERROR(INDEX('Cost_Components'!$K$2:$K$27,MATCH(E1201,'Cost_Components'!$A$2:$A$27,0)),"")</f>
      </c>
      <c r="K1201" s="66" t="str">
        <f>IF(OR(L1201="",Z1201="",AA1201="",AB1201=""),"",IF(B1201&lt;AA1201,L1201,IF(B1201&gt;AB1201,Z1201,L1201+(Z1201-L1201)*MIN(MAX((B1201-AA1201+1)/MAX(AB1201-AA1201+1,1),0),1))))</f>
      </c>
      <c r="L1201" s="67" t="str">
        <f>IFERROR(INDEX('Cost_Components'!$S$2:$S$27,MATCH(E1201,'Cost_Components'!$A$2:$A$27,0)),"")</f>
      </c>
      <c r="M1201" s="68" t="str">
        <f>IFERROR(INDEX('Cost_Components'!$L$2:$L$27,MATCH(E1201,'Cost_Components'!$A$2:$A$27,0)),"")</f>
      </c>
      <c r="N1201" s="69" t="str">
        <f>IFERROR(INDEX('Cost_Components'!$P$2:$P$27,MATCH(E1201,'Cost_Components'!$A$2:$A$27,0)),"")</f>
      </c>
      <c r="O1201" s="70" t="str">
        <f>AF1201*J1201</f>
      </c>
      <c r="P1201" s="71" t="str">
        <f>AG1201*J1201</f>
      </c>
      <c r="Q1201" s="72" t="str">
        <f>P1201*L1201*M1201*N1201</f>
      </c>
      <c r="R1201" s="73" t="str">
        <f>O1201*K1201*M1201*N1201</f>
      </c>
      <c r="S1201" s="74" t="str">
        <f>R1201-Q1201</f>
      </c>
      <c r="T1201" s="20" t="str">
        <f>IFERROR(INDEX('Cost_Components'!$R$2:$R$27,MATCH(E1201,'Cost_Components'!$A$2:$A$27,0)),"")</f>
      </c>
      <c r="U1201" s="75" t="str">
        <f>IFERROR(INDEX('Cost_Components'!$Q$2:$Q$27,MATCH(E1201,'Cost_Components'!$A$2:$A$27,0)),"")</f>
      </c>
      <c r="V1201" s="76" t="str">
        <f>1/(1+'Calculation_Assumptions'!$B$5)^(B1201-'Calculation_Assumptions'!$B$2)</f>
      </c>
      <c r="W1201" s="77" t="str">
        <f>Q1201*V1201</f>
      </c>
      <c r="X1201" s="78" t="str">
        <f>R1201*V1201</f>
      </c>
      <c r="Y1201" s="79" t="str">
        <f>S1201*V1201</f>
      </c>
      <c r="Z1201" s="80" t="str">
        <f>IFERROR(INDEX('Cost_Components'!$T$2:$T$27,MATCH(E1201,'Cost_Components'!$A$2:$A$27,0)),"")</f>
      </c>
      <c r="AA1201" s="81" t="str">
        <f>IFERROR(INDEX('Cost_Components'!$U$2:$U$27,MATCH(E1201,'Cost_Components'!$A$2:$A$27,0)),"")</f>
      </c>
      <c r="AB1201" s="82" t="str">
        <f>IFERROR(INDEX('Cost_Components'!$V$2:$V$27,MATCH(E1201,'Cost_Components'!$A$2:$A$27,0)),"")</f>
      </c>
      <c r="AC1201" s="83" t="str">
        <f>IFERROR(INDEX('Cost_Components'!$M$2:$M$27,MATCH(E1201,'Cost_Components'!$A$2:$A$27,0)),"")</f>
      </c>
      <c r="AD1201" s="84" t="str">
        <f>IFERROR(INDEX('Cost_Components'!$N$2:$N$27,MATCH(E1201,'Cost_Components'!$A$2:$A$27,0)),"")</f>
      </c>
      <c r="AE1201" s="20" t="str">
        <f>IFERROR(INDEX('Cost_Components'!$O$2:$O$27,MATCH(E1201,'Cost_Components'!$A$2:$A$27,0)),"")</f>
      </c>
      <c r="AF1201" s="85" t="n">
        <v>993061.735107272</v>
      </c>
      <c r="AG1201" s="86" t="n">
        <v>1006412.13604868</v>
      </c>
      <c r="AH1201" s="87" t="str">
        <f>IF(H1201="shared-count-once",COUNTIFS($A$2:$A$1353,A1201,$B$2:$B$1353,B1201,$E$2:$E$1353,E1201),1)</f>
      </c>
    </row>
    <row r="1202">
      <c r="A1202" t="s">
        <v>75</v>
      </c>
      <c r="B1202" s="59" t="n">
        <v>2029</v>
      </c>
      <c r="C1202" t="s">
        <v>220</v>
      </c>
      <c r="D1202" t="s">
        <v>176</v>
      </c>
      <c r="E1202" s="60" t="s">
        <v>311</v>
      </c>
      <c r="F1202" s="61" t="s">
        <v>312</v>
      </c>
      <c r="G1202" s="62" t="s">
        <v>221</v>
      </c>
      <c r="H1202" s="63" t="s">
        <v>195</v>
      </c>
      <c r="I1202" s="64" t="s">
        <v>267</v>
      </c>
      <c r="J1202" s="65" t="str">
        <f>IFERROR(INDEX('Cost_Components'!$K$2:$K$27,MATCH(E1202,'Cost_Components'!$A$2:$A$27,0)),"")</f>
      </c>
      <c r="K1202" s="66" t="str">
        <f>IF(OR(L1202="",Z1202="",AA1202="",AB1202=""),"",IF(B1202&lt;AA1202,L1202,IF(B1202&gt;AB1202,Z1202,L1202+(Z1202-L1202)*MIN(MAX((B1202-AA1202+1)/MAX(AB1202-AA1202+1,1),0),1))))</f>
      </c>
      <c r="L1202" s="67" t="str">
        <f>IFERROR(INDEX('Cost_Components'!$S$2:$S$27,MATCH(E1202,'Cost_Components'!$A$2:$A$27,0)),"")</f>
      </c>
      <c r="M1202" s="68" t="str">
        <f>IFERROR(INDEX('Cost_Components'!$L$2:$L$27,MATCH(E1202,'Cost_Components'!$A$2:$A$27,0)),"")</f>
      </c>
      <c r="N1202" s="69" t="str">
        <f>IFERROR(INDEX('Cost_Components'!$P$2:$P$27,MATCH(E1202,'Cost_Components'!$A$2:$A$27,0)),"")</f>
      </c>
      <c r="O1202" s="70" t="str">
        <f>AF1202*J1202</f>
      </c>
      <c r="P1202" s="71" t="str">
        <f>AG1202*J1202</f>
      </c>
      <c r="Q1202" s="72" t="str">
        <f>P1202*L1202*M1202*N1202</f>
      </c>
      <c r="R1202" s="73" t="str">
        <f>O1202*K1202*M1202*N1202</f>
      </c>
      <c r="S1202" s="74" t="str">
        <f>R1202-Q1202</f>
      </c>
      <c r="T1202" s="20" t="str">
        <f>IFERROR(INDEX('Cost_Components'!$R$2:$R$27,MATCH(E1202,'Cost_Components'!$A$2:$A$27,0)),"")</f>
      </c>
      <c r="U1202" s="75" t="str">
        <f>IFERROR(INDEX('Cost_Components'!$Q$2:$Q$27,MATCH(E1202,'Cost_Components'!$A$2:$A$27,0)),"")</f>
      </c>
      <c r="V1202" s="76" t="str">
        <f>1/(1+'Calculation_Assumptions'!$B$5)^(B1202-'Calculation_Assumptions'!$B$2)</f>
      </c>
      <c r="W1202" s="77" t="str">
        <f>Q1202*V1202</f>
      </c>
      <c r="X1202" s="78" t="str">
        <f>R1202*V1202</f>
      </c>
      <c r="Y1202" s="79" t="str">
        <f>S1202*V1202</f>
      </c>
      <c r="Z1202" s="80" t="str">
        <f>IFERROR(INDEX('Cost_Components'!$T$2:$T$27,MATCH(E1202,'Cost_Components'!$A$2:$A$27,0)),"")</f>
      </c>
      <c r="AA1202" s="81" t="str">
        <f>IFERROR(INDEX('Cost_Components'!$U$2:$U$27,MATCH(E1202,'Cost_Components'!$A$2:$A$27,0)),"")</f>
      </c>
      <c r="AB1202" s="82" t="str">
        <f>IFERROR(INDEX('Cost_Components'!$V$2:$V$27,MATCH(E1202,'Cost_Components'!$A$2:$A$27,0)),"")</f>
      </c>
      <c r="AC1202" s="83" t="str">
        <f>IFERROR(INDEX('Cost_Components'!$M$2:$M$27,MATCH(E1202,'Cost_Components'!$A$2:$A$27,0)),"")</f>
      </c>
      <c r="AD1202" s="84" t="str">
        <f>IFERROR(INDEX('Cost_Components'!$N$2:$N$27,MATCH(E1202,'Cost_Components'!$A$2:$A$27,0)),"")</f>
      </c>
      <c r="AE1202" s="20" t="str">
        <f>IFERROR(INDEX('Cost_Components'!$O$2:$O$27,MATCH(E1202,'Cost_Components'!$A$2:$A$27,0)),"")</f>
      </c>
      <c r="AF1202" s="85" t="n">
        <v>990165.270149473</v>
      </c>
      <c r="AG1202" s="86" t="n">
        <v>1008402.80271825</v>
      </c>
      <c r="AH1202" s="87" t="str">
        <f>IF(H1202="shared-count-once",COUNTIFS($A$2:$A$1353,A1202,$B$2:$B$1353,B1202,$E$2:$E$1353,E1202),1)</f>
      </c>
    </row>
    <row r="1203">
      <c r="A1203" t="s">
        <v>75</v>
      </c>
      <c r="B1203" s="59" t="n">
        <v>2030</v>
      </c>
      <c r="C1203" t="s">
        <v>220</v>
      </c>
      <c r="D1203" t="s">
        <v>176</v>
      </c>
      <c r="E1203" s="60" t="s">
        <v>311</v>
      </c>
      <c r="F1203" s="61" t="s">
        <v>312</v>
      </c>
      <c r="G1203" s="62" t="s">
        <v>221</v>
      </c>
      <c r="H1203" s="63" t="s">
        <v>195</v>
      </c>
      <c r="I1203" s="64" t="s">
        <v>267</v>
      </c>
      <c r="J1203" s="65" t="str">
        <f>IFERROR(INDEX('Cost_Components'!$K$2:$K$27,MATCH(E1203,'Cost_Components'!$A$2:$A$27,0)),"")</f>
      </c>
      <c r="K1203" s="66" t="str">
        <f>IF(OR(L1203="",Z1203="",AA1203="",AB1203=""),"",IF(B1203&lt;AA1203,L1203,IF(B1203&gt;AB1203,Z1203,L1203+(Z1203-L1203)*MIN(MAX((B1203-AA1203+1)/MAX(AB1203-AA1203+1,1),0),1))))</f>
      </c>
      <c r="L1203" s="67" t="str">
        <f>IFERROR(INDEX('Cost_Components'!$S$2:$S$27,MATCH(E1203,'Cost_Components'!$A$2:$A$27,0)),"")</f>
      </c>
      <c r="M1203" s="68" t="str">
        <f>IFERROR(INDEX('Cost_Components'!$L$2:$L$27,MATCH(E1203,'Cost_Components'!$A$2:$A$27,0)),"")</f>
      </c>
      <c r="N1203" s="69" t="str">
        <f>IFERROR(INDEX('Cost_Components'!$P$2:$P$27,MATCH(E1203,'Cost_Components'!$A$2:$A$27,0)),"")</f>
      </c>
      <c r="O1203" s="70" t="str">
        <f>AF1203*J1203</f>
      </c>
      <c r="P1203" s="71" t="str">
        <f>AG1203*J1203</f>
      </c>
      <c r="Q1203" s="72" t="str">
        <f>P1203*L1203*M1203*N1203</f>
      </c>
      <c r="R1203" s="73" t="str">
        <f>O1203*K1203*M1203*N1203</f>
      </c>
      <c r="S1203" s="74" t="str">
        <f>R1203-Q1203</f>
      </c>
      <c r="T1203" s="20" t="str">
        <f>IFERROR(INDEX('Cost_Components'!$R$2:$R$27,MATCH(E1203,'Cost_Components'!$A$2:$A$27,0)),"")</f>
      </c>
      <c r="U1203" s="75" t="str">
        <f>IFERROR(INDEX('Cost_Components'!$Q$2:$Q$27,MATCH(E1203,'Cost_Components'!$A$2:$A$27,0)),"")</f>
      </c>
      <c r="V1203" s="76" t="str">
        <f>1/(1+'Calculation_Assumptions'!$B$5)^(B1203-'Calculation_Assumptions'!$B$2)</f>
      </c>
      <c r="W1203" s="77" t="str">
        <f>Q1203*V1203</f>
      </c>
      <c r="X1203" s="78" t="str">
        <f>R1203*V1203</f>
      </c>
      <c r="Y1203" s="79" t="str">
        <f>S1203*V1203</f>
      </c>
      <c r="Z1203" s="80" t="str">
        <f>IFERROR(INDEX('Cost_Components'!$T$2:$T$27,MATCH(E1203,'Cost_Components'!$A$2:$A$27,0)),"")</f>
      </c>
      <c r="AA1203" s="81" t="str">
        <f>IFERROR(INDEX('Cost_Components'!$U$2:$U$27,MATCH(E1203,'Cost_Components'!$A$2:$A$27,0)),"")</f>
      </c>
      <c r="AB1203" s="82" t="str">
        <f>IFERROR(INDEX('Cost_Components'!$V$2:$V$27,MATCH(E1203,'Cost_Components'!$A$2:$A$27,0)),"")</f>
      </c>
      <c r="AC1203" s="83" t="str">
        <f>IFERROR(INDEX('Cost_Components'!$M$2:$M$27,MATCH(E1203,'Cost_Components'!$A$2:$A$27,0)),"")</f>
      </c>
      <c r="AD1203" s="84" t="str">
        <f>IFERROR(INDEX('Cost_Components'!$N$2:$N$27,MATCH(E1203,'Cost_Components'!$A$2:$A$27,0)),"")</f>
      </c>
      <c r="AE1203" s="20" t="str">
        <f>IFERROR(INDEX('Cost_Components'!$O$2:$O$27,MATCH(E1203,'Cost_Components'!$A$2:$A$27,0)),"")</f>
      </c>
      <c r="AF1203" s="85" t="n">
        <v>987730.450811256</v>
      </c>
      <c r="AG1203" s="86" t="n">
        <v>1011216.40968066</v>
      </c>
      <c r="AH1203" s="87" t="str">
        <f>IF(H1203="shared-count-once",COUNTIFS($A$2:$A$1353,A1203,$B$2:$B$1353,B1203,$E$2:$E$1353,E1203),1)</f>
      </c>
    </row>
    <row r="1204">
      <c r="A1204" t="s">
        <v>75</v>
      </c>
      <c r="B1204" s="59" t="n">
        <v>2031</v>
      </c>
      <c r="C1204" t="s">
        <v>220</v>
      </c>
      <c r="D1204" t="s">
        <v>176</v>
      </c>
      <c r="E1204" s="60" t="s">
        <v>311</v>
      </c>
      <c r="F1204" s="61" t="s">
        <v>312</v>
      </c>
      <c r="G1204" s="62" t="s">
        <v>221</v>
      </c>
      <c r="H1204" s="63" t="s">
        <v>195</v>
      </c>
      <c r="I1204" s="64" t="s">
        <v>267</v>
      </c>
      <c r="J1204" s="65" t="str">
        <f>IFERROR(INDEX('Cost_Components'!$K$2:$K$27,MATCH(E1204,'Cost_Components'!$A$2:$A$27,0)),"")</f>
      </c>
      <c r="K1204" s="66" t="str">
        <f>IF(OR(L1204="",Z1204="",AA1204="",AB1204=""),"",IF(B1204&lt;AA1204,L1204,IF(B1204&gt;AB1204,Z1204,L1204+(Z1204-L1204)*MIN(MAX((B1204-AA1204+1)/MAX(AB1204-AA1204+1,1),0),1))))</f>
      </c>
      <c r="L1204" s="67" t="str">
        <f>IFERROR(INDEX('Cost_Components'!$S$2:$S$27,MATCH(E1204,'Cost_Components'!$A$2:$A$27,0)),"")</f>
      </c>
      <c r="M1204" s="68" t="str">
        <f>IFERROR(INDEX('Cost_Components'!$L$2:$L$27,MATCH(E1204,'Cost_Components'!$A$2:$A$27,0)),"")</f>
      </c>
      <c r="N1204" s="69" t="str">
        <f>IFERROR(INDEX('Cost_Components'!$P$2:$P$27,MATCH(E1204,'Cost_Components'!$A$2:$A$27,0)),"")</f>
      </c>
      <c r="O1204" s="70" t="str">
        <f>AF1204*J1204</f>
      </c>
      <c r="P1204" s="71" t="str">
        <f>AG1204*J1204</f>
      </c>
      <c r="Q1204" s="72" t="str">
        <f>P1204*L1204*M1204*N1204</f>
      </c>
      <c r="R1204" s="73" t="str">
        <f>O1204*K1204*M1204*N1204</f>
      </c>
      <c r="S1204" s="74" t="str">
        <f>R1204-Q1204</f>
      </c>
      <c r="T1204" s="20" t="str">
        <f>IFERROR(INDEX('Cost_Components'!$R$2:$R$27,MATCH(E1204,'Cost_Components'!$A$2:$A$27,0)),"")</f>
      </c>
      <c r="U1204" s="75" t="str">
        <f>IFERROR(INDEX('Cost_Components'!$Q$2:$Q$27,MATCH(E1204,'Cost_Components'!$A$2:$A$27,0)),"")</f>
      </c>
      <c r="V1204" s="76" t="str">
        <f>1/(1+'Calculation_Assumptions'!$B$5)^(B1204-'Calculation_Assumptions'!$B$2)</f>
      </c>
      <c r="W1204" s="77" t="str">
        <f>Q1204*V1204</f>
      </c>
      <c r="X1204" s="78" t="str">
        <f>R1204*V1204</f>
      </c>
      <c r="Y1204" s="79" t="str">
        <f>S1204*V1204</f>
      </c>
      <c r="Z1204" s="80" t="str">
        <f>IFERROR(INDEX('Cost_Components'!$T$2:$T$27,MATCH(E1204,'Cost_Components'!$A$2:$A$27,0)),"")</f>
      </c>
      <c r="AA1204" s="81" t="str">
        <f>IFERROR(INDEX('Cost_Components'!$U$2:$U$27,MATCH(E1204,'Cost_Components'!$A$2:$A$27,0)),"")</f>
      </c>
      <c r="AB1204" s="82" t="str">
        <f>IFERROR(INDEX('Cost_Components'!$V$2:$V$27,MATCH(E1204,'Cost_Components'!$A$2:$A$27,0)),"")</f>
      </c>
      <c r="AC1204" s="83" t="str">
        <f>IFERROR(INDEX('Cost_Components'!$M$2:$M$27,MATCH(E1204,'Cost_Components'!$A$2:$A$27,0)),"")</f>
      </c>
      <c r="AD1204" s="84" t="str">
        <f>IFERROR(INDEX('Cost_Components'!$N$2:$N$27,MATCH(E1204,'Cost_Components'!$A$2:$A$27,0)),"")</f>
      </c>
      <c r="AE1204" s="20" t="str">
        <f>IFERROR(INDEX('Cost_Components'!$O$2:$O$27,MATCH(E1204,'Cost_Components'!$A$2:$A$27,0)),"")</f>
      </c>
      <c r="AF1204" s="85" t="n">
        <v>983866.581026598</v>
      </c>
      <c r="AG1204" s="86" t="n">
        <v>1012892.58717573</v>
      </c>
      <c r="AH1204" s="87" t="str">
        <f>IF(H1204="shared-count-once",COUNTIFS($A$2:$A$1353,A1204,$B$2:$B$1353,B1204,$E$2:$E$1353,E1204),1)</f>
      </c>
    </row>
    <row r="1205">
      <c r="A1205" t="s">
        <v>75</v>
      </c>
      <c r="B1205" s="59" t="n">
        <v>2032</v>
      </c>
      <c r="C1205" t="s">
        <v>220</v>
      </c>
      <c r="D1205" t="s">
        <v>176</v>
      </c>
      <c r="E1205" s="60" t="s">
        <v>311</v>
      </c>
      <c r="F1205" s="61" t="s">
        <v>312</v>
      </c>
      <c r="G1205" s="62" t="s">
        <v>221</v>
      </c>
      <c r="H1205" s="63" t="s">
        <v>195</v>
      </c>
      <c r="I1205" s="64" t="s">
        <v>267</v>
      </c>
      <c r="J1205" s="65" t="str">
        <f>IFERROR(INDEX('Cost_Components'!$K$2:$K$27,MATCH(E1205,'Cost_Components'!$A$2:$A$27,0)),"")</f>
      </c>
      <c r="K1205" s="66" t="str">
        <f>IF(OR(L1205="",Z1205="",AA1205="",AB1205=""),"",IF(B1205&lt;AA1205,L1205,IF(B1205&gt;AB1205,Z1205,L1205+(Z1205-L1205)*MIN(MAX((B1205-AA1205+1)/MAX(AB1205-AA1205+1,1),0),1))))</f>
      </c>
      <c r="L1205" s="67" t="str">
        <f>IFERROR(INDEX('Cost_Components'!$S$2:$S$27,MATCH(E1205,'Cost_Components'!$A$2:$A$27,0)),"")</f>
      </c>
      <c r="M1205" s="68" t="str">
        <f>IFERROR(INDEX('Cost_Components'!$L$2:$L$27,MATCH(E1205,'Cost_Components'!$A$2:$A$27,0)),"")</f>
      </c>
      <c r="N1205" s="69" t="str">
        <f>IFERROR(INDEX('Cost_Components'!$P$2:$P$27,MATCH(E1205,'Cost_Components'!$A$2:$A$27,0)),"")</f>
      </c>
      <c r="O1205" s="70" t="str">
        <f>AF1205*J1205</f>
      </c>
      <c r="P1205" s="71" t="str">
        <f>AG1205*J1205</f>
      </c>
      <c r="Q1205" s="72" t="str">
        <f>P1205*L1205*M1205*N1205</f>
      </c>
      <c r="R1205" s="73" t="str">
        <f>O1205*K1205*M1205*N1205</f>
      </c>
      <c r="S1205" s="74" t="str">
        <f>R1205-Q1205</f>
      </c>
      <c r="T1205" s="20" t="str">
        <f>IFERROR(INDEX('Cost_Components'!$R$2:$R$27,MATCH(E1205,'Cost_Components'!$A$2:$A$27,0)),"")</f>
      </c>
      <c r="U1205" s="75" t="str">
        <f>IFERROR(INDEX('Cost_Components'!$Q$2:$Q$27,MATCH(E1205,'Cost_Components'!$A$2:$A$27,0)),"")</f>
      </c>
      <c r="V1205" s="76" t="str">
        <f>1/(1+'Calculation_Assumptions'!$B$5)^(B1205-'Calculation_Assumptions'!$B$2)</f>
      </c>
      <c r="W1205" s="77" t="str">
        <f>Q1205*V1205</f>
      </c>
      <c r="X1205" s="78" t="str">
        <f>R1205*V1205</f>
      </c>
      <c r="Y1205" s="79" t="str">
        <f>S1205*V1205</f>
      </c>
      <c r="Z1205" s="80" t="str">
        <f>IFERROR(INDEX('Cost_Components'!$T$2:$T$27,MATCH(E1205,'Cost_Components'!$A$2:$A$27,0)),"")</f>
      </c>
      <c r="AA1205" s="81" t="str">
        <f>IFERROR(INDEX('Cost_Components'!$U$2:$U$27,MATCH(E1205,'Cost_Components'!$A$2:$A$27,0)),"")</f>
      </c>
      <c r="AB1205" s="82" t="str">
        <f>IFERROR(INDEX('Cost_Components'!$V$2:$V$27,MATCH(E1205,'Cost_Components'!$A$2:$A$27,0)),"")</f>
      </c>
      <c r="AC1205" s="83" t="str">
        <f>IFERROR(INDEX('Cost_Components'!$M$2:$M$27,MATCH(E1205,'Cost_Components'!$A$2:$A$27,0)),"")</f>
      </c>
      <c r="AD1205" s="84" t="str">
        <f>IFERROR(INDEX('Cost_Components'!$N$2:$N$27,MATCH(E1205,'Cost_Components'!$A$2:$A$27,0)),"")</f>
      </c>
      <c r="AE1205" s="20" t="str">
        <f>IFERROR(INDEX('Cost_Components'!$O$2:$O$27,MATCH(E1205,'Cost_Components'!$A$2:$A$27,0)),"")</f>
      </c>
      <c r="AF1205" s="85" t="n">
        <v>979970.78054461</v>
      </c>
      <c r="AG1205" s="86" t="n">
        <v>1014767.35411383</v>
      </c>
      <c r="AH1205" s="87" t="str">
        <f>IF(H1205="shared-count-once",COUNTIFS($A$2:$A$1353,A1205,$B$2:$B$1353,B1205,$E$2:$E$1353,E1205),1)</f>
      </c>
    </row>
    <row r="1206">
      <c r="A1206" t="s">
        <v>75</v>
      </c>
      <c r="B1206" s="59" t="n">
        <v>2033</v>
      </c>
      <c r="C1206" t="s">
        <v>220</v>
      </c>
      <c r="D1206" t="s">
        <v>176</v>
      </c>
      <c r="E1206" s="60" t="s">
        <v>311</v>
      </c>
      <c r="F1206" s="61" t="s">
        <v>312</v>
      </c>
      <c r="G1206" s="62" t="s">
        <v>221</v>
      </c>
      <c r="H1206" s="63" t="s">
        <v>195</v>
      </c>
      <c r="I1206" s="64" t="s">
        <v>267</v>
      </c>
      <c r="J1206" s="65" t="str">
        <f>IFERROR(INDEX('Cost_Components'!$K$2:$K$27,MATCH(E1206,'Cost_Components'!$A$2:$A$27,0)),"")</f>
      </c>
      <c r="K1206" s="66" t="str">
        <f>IF(OR(L1206="",Z1206="",AA1206="",AB1206=""),"",IF(B1206&lt;AA1206,L1206,IF(B1206&gt;AB1206,Z1206,L1206+(Z1206-L1206)*MIN(MAX((B1206-AA1206+1)/MAX(AB1206-AA1206+1,1),0),1))))</f>
      </c>
      <c r="L1206" s="67" t="str">
        <f>IFERROR(INDEX('Cost_Components'!$S$2:$S$27,MATCH(E1206,'Cost_Components'!$A$2:$A$27,0)),"")</f>
      </c>
      <c r="M1206" s="68" t="str">
        <f>IFERROR(INDEX('Cost_Components'!$L$2:$L$27,MATCH(E1206,'Cost_Components'!$A$2:$A$27,0)),"")</f>
      </c>
      <c r="N1206" s="69" t="str">
        <f>IFERROR(INDEX('Cost_Components'!$P$2:$P$27,MATCH(E1206,'Cost_Components'!$A$2:$A$27,0)),"")</f>
      </c>
      <c r="O1206" s="70" t="str">
        <f>AF1206*J1206</f>
      </c>
      <c r="P1206" s="71" t="str">
        <f>AG1206*J1206</f>
      </c>
      <c r="Q1206" s="72" t="str">
        <f>P1206*L1206*M1206*N1206</f>
      </c>
      <c r="R1206" s="73" t="str">
        <f>O1206*K1206*M1206*N1206</f>
      </c>
      <c r="S1206" s="74" t="str">
        <f>R1206-Q1206</f>
      </c>
      <c r="T1206" s="20" t="str">
        <f>IFERROR(INDEX('Cost_Components'!$R$2:$R$27,MATCH(E1206,'Cost_Components'!$A$2:$A$27,0)),"")</f>
      </c>
      <c r="U1206" s="75" t="str">
        <f>IFERROR(INDEX('Cost_Components'!$Q$2:$Q$27,MATCH(E1206,'Cost_Components'!$A$2:$A$27,0)),"")</f>
      </c>
      <c r="V1206" s="76" t="str">
        <f>1/(1+'Calculation_Assumptions'!$B$5)^(B1206-'Calculation_Assumptions'!$B$2)</f>
      </c>
      <c r="W1206" s="77" t="str">
        <f>Q1206*V1206</f>
      </c>
      <c r="X1206" s="78" t="str">
        <f>R1206*V1206</f>
      </c>
      <c r="Y1206" s="79" t="str">
        <f>S1206*V1206</f>
      </c>
      <c r="Z1206" s="80" t="str">
        <f>IFERROR(INDEX('Cost_Components'!$T$2:$T$27,MATCH(E1206,'Cost_Components'!$A$2:$A$27,0)),"")</f>
      </c>
      <c r="AA1206" s="81" t="str">
        <f>IFERROR(INDEX('Cost_Components'!$U$2:$U$27,MATCH(E1206,'Cost_Components'!$A$2:$A$27,0)),"")</f>
      </c>
      <c r="AB1206" s="82" t="str">
        <f>IFERROR(INDEX('Cost_Components'!$V$2:$V$27,MATCH(E1206,'Cost_Components'!$A$2:$A$27,0)),"")</f>
      </c>
      <c r="AC1206" s="83" t="str">
        <f>IFERROR(INDEX('Cost_Components'!$M$2:$M$27,MATCH(E1206,'Cost_Components'!$A$2:$A$27,0)),"")</f>
      </c>
      <c r="AD1206" s="84" t="str">
        <f>IFERROR(INDEX('Cost_Components'!$N$2:$N$27,MATCH(E1206,'Cost_Components'!$A$2:$A$27,0)),"")</f>
      </c>
      <c r="AE1206" s="20" t="str">
        <f>IFERROR(INDEX('Cost_Components'!$O$2:$O$27,MATCH(E1206,'Cost_Components'!$A$2:$A$27,0)),"")</f>
      </c>
      <c r="AF1206" s="85" t="n">
        <v>975179.119785202</v>
      </c>
      <c r="AG1206" s="86" t="n">
        <v>1015925.24384601</v>
      </c>
      <c r="AH1206" s="87" t="str">
        <f>IF(H1206="shared-count-once",COUNTIFS($A$2:$A$1353,A1206,$B$2:$B$1353,B1206,$E$2:$E$1353,E1206),1)</f>
      </c>
    </row>
    <row r="1207">
      <c r="A1207" t="s">
        <v>75</v>
      </c>
      <c r="B1207" s="59" t="n">
        <v>2034</v>
      </c>
      <c r="C1207" t="s">
        <v>220</v>
      </c>
      <c r="D1207" t="s">
        <v>176</v>
      </c>
      <c r="E1207" s="60" t="s">
        <v>311</v>
      </c>
      <c r="F1207" s="61" t="s">
        <v>312</v>
      </c>
      <c r="G1207" s="62" t="s">
        <v>221</v>
      </c>
      <c r="H1207" s="63" t="s">
        <v>195</v>
      </c>
      <c r="I1207" s="64" t="s">
        <v>267</v>
      </c>
      <c r="J1207" s="65" t="str">
        <f>IFERROR(INDEX('Cost_Components'!$K$2:$K$27,MATCH(E1207,'Cost_Components'!$A$2:$A$27,0)),"")</f>
      </c>
      <c r="K1207" s="66" t="str">
        <f>IF(OR(L1207="",Z1207="",AA1207="",AB1207=""),"",IF(B1207&lt;AA1207,L1207,IF(B1207&gt;AB1207,Z1207,L1207+(Z1207-L1207)*MIN(MAX((B1207-AA1207+1)/MAX(AB1207-AA1207+1,1),0),1))))</f>
      </c>
      <c r="L1207" s="67" t="str">
        <f>IFERROR(INDEX('Cost_Components'!$S$2:$S$27,MATCH(E1207,'Cost_Components'!$A$2:$A$27,0)),"")</f>
      </c>
      <c r="M1207" s="68" t="str">
        <f>IFERROR(INDEX('Cost_Components'!$L$2:$L$27,MATCH(E1207,'Cost_Components'!$A$2:$A$27,0)),"")</f>
      </c>
      <c r="N1207" s="69" t="str">
        <f>IFERROR(INDEX('Cost_Components'!$P$2:$P$27,MATCH(E1207,'Cost_Components'!$A$2:$A$27,0)),"")</f>
      </c>
      <c r="O1207" s="70" t="str">
        <f>AF1207*J1207</f>
      </c>
      <c r="P1207" s="71" t="str">
        <f>AG1207*J1207</f>
      </c>
      <c r="Q1207" s="72" t="str">
        <f>P1207*L1207*M1207*N1207</f>
      </c>
      <c r="R1207" s="73" t="str">
        <f>O1207*K1207*M1207*N1207</f>
      </c>
      <c r="S1207" s="74" t="str">
        <f>R1207-Q1207</f>
      </c>
      <c r="T1207" s="20" t="str">
        <f>IFERROR(INDEX('Cost_Components'!$R$2:$R$27,MATCH(E1207,'Cost_Components'!$A$2:$A$27,0)),"")</f>
      </c>
      <c r="U1207" s="75" t="str">
        <f>IFERROR(INDEX('Cost_Components'!$Q$2:$Q$27,MATCH(E1207,'Cost_Components'!$A$2:$A$27,0)),"")</f>
      </c>
      <c r="V1207" s="76" t="str">
        <f>1/(1+'Calculation_Assumptions'!$B$5)^(B1207-'Calculation_Assumptions'!$B$2)</f>
      </c>
      <c r="W1207" s="77" t="str">
        <f>Q1207*V1207</f>
      </c>
      <c r="X1207" s="78" t="str">
        <f>R1207*V1207</f>
      </c>
      <c r="Y1207" s="79" t="str">
        <f>S1207*V1207</f>
      </c>
      <c r="Z1207" s="80" t="str">
        <f>IFERROR(INDEX('Cost_Components'!$T$2:$T$27,MATCH(E1207,'Cost_Components'!$A$2:$A$27,0)),"")</f>
      </c>
      <c r="AA1207" s="81" t="str">
        <f>IFERROR(INDEX('Cost_Components'!$U$2:$U$27,MATCH(E1207,'Cost_Components'!$A$2:$A$27,0)),"")</f>
      </c>
      <c r="AB1207" s="82" t="str">
        <f>IFERROR(INDEX('Cost_Components'!$V$2:$V$27,MATCH(E1207,'Cost_Components'!$A$2:$A$27,0)),"")</f>
      </c>
      <c r="AC1207" s="83" t="str">
        <f>IFERROR(INDEX('Cost_Components'!$M$2:$M$27,MATCH(E1207,'Cost_Components'!$A$2:$A$27,0)),"")</f>
      </c>
      <c r="AD1207" s="84" t="str">
        <f>IFERROR(INDEX('Cost_Components'!$N$2:$N$27,MATCH(E1207,'Cost_Components'!$A$2:$A$27,0)),"")</f>
      </c>
      <c r="AE1207" s="20" t="str">
        <f>IFERROR(INDEX('Cost_Components'!$O$2:$O$27,MATCH(E1207,'Cost_Components'!$A$2:$A$27,0)),"")</f>
      </c>
      <c r="AF1207" s="85" t="n">
        <v>971450.6413013</v>
      </c>
      <c r="AG1207" s="86" t="n">
        <v>1018286.34699662</v>
      </c>
      <c r="AH1207" s="87" t="str">
        <f>IF(H1207="shared-count-once",COUNTIFS($A$2:$A$1353,A1207,$B$2:$B$1353,B1207,$E$2:$E$1353,E1207),1)</f>
      </c>
    </row>
    <row r="1208">
      <c r="A1208" t="s">
        <v>75</v>
      </c>
      <c r="B1208" s="59" t="n">
        <v>2035</v>
      </c>
      <c r="C1208" t="s">
        <v>220</v>
      </c>
      <c r="D1208" t="s">
        <v>176</v>
      </c>
      <c r="E1208" s="60" t="s">
        <v>311</v>
      </c>
      <c r="F1208" s="61" t="s">
        <v>312</v>
      </c>
      <c r="G1208" s="62" t="s">
        <v>221</v>
      </c>
      <c r="H1208" s="63" t="s">
        <v>195</v>
      </c>
      <c r="I1208" s="64" t="s">
        <v>267</v>
      </c>
      <c r="J1208" s="65" t="str">
        <f>IFERROR(INDEX('Cost_Components'!$K$2:$K$27,MATCH(E1208,'Cost_Components'!$A$2:$A$27,0)),"")</f>
      </c>
      <c r="K1208" s="66" t="str">
        <f>IF(OR(L1208="",Z1208="",AA1208="",AB1208=""),"",IF(B1208&lt;AA1208,L1208,IF(B1208&gt;AB1208,Z1208,L1208+(Z1208-L1208)*MIN(MAX((B1208-AA1208+1)/MAX(AB1208-AA1208+1,1),0),1))))</f>
      </c>
      <c r="L1208" s="67" t="str">
        <f>IFERROR(INDEX('Cost_Components'!$S$2:$S$27,MATCH(E1208,'Cost_Components'!$A$2:$A$27,0)),"")</f>
      </c>
      <c r="M1208" s="68" t="str">
        <f>IFERROR(INDEX('Cost_Components'!$L$2:$L$27,MATCH(E1208,'Cost_Components'!$A$2:$A$27,0)),"")</f>
      </c>
      <c r="N1208" s="69" t="str">
        <f>IFERROR(INDEX('Cost_Components'!$P$2:$P$27,MATCH(E1208,'Cost_Components'!$A$2:$A$27,0)),"")</f>
      </c>
      <c r="O1208" s="70" t="str">
        <f>AF1208*J1208</f>
      </c>
      <c r="P1208" s="71" t="str">
        <f>AG1208*J1208</f>
      </c>
      <c r="Q1208" s="72" t="str">
        <f>P1208*L1208*M1208*N1208</f>
      </c>
      <c r="R1208" s="73" t="str">
        <f>O1208*K1208*M1208*N1208</f>
      </c>
      <c r="S1208" s="74" t="str">
        <f>R1208-Q1208</f>
      </c>
      <c r="T1208" s="20" t="str">
        <f>IFERROR(INDEX('Cost_Components'!$R$2:$R$27,MATCH(E1208,'Cost_Components'!$A$2:$A$27,0)),"")</f>
      </c>
      <c r="U1208" s="75" t="str">
        <f>IFERROR(INDEX('Cost_Components'!$Q$2:$Q$27,MATCH(E1208,'Cost_Components'!$A$2:$A$27,0)),"")</f>
      </c>
      <c r="V1208" s="76" t="str">
        <f>1/(1+'Calculation_Assumptions'!$B$5)^(B1208-'Calculation_Assumptions'!$B$2)</f>
      </c>
      <c r="W1208" s="77" t="str">
        <f>Q1208*V1208</f>
      </c>
      <c r="X1208" s="78" t="str">
        <f>R1208*V1208</f>
      </c>
      <c r="Y1208" s="79" t="str">
        <f>S1208*V1208</f>
      </c>
      <c r="Z1208" s="80" t="str">
        <f>IFERROR(INDEX('Cost_Components'!$T$2:$T$27,MATCH(E1208,'Cost_Components'!$A$2:$A$27,0)),"")</f>
      </c>
      <c r="AA1208" s="81" t="str">
        <f>IFERROR(INDEX('Cost_Components'!$U$2:$U$27,MATCH(E1208,'Cost_Components'!$A$2:$A$27,0)),"")</f>
      </c>
      <c r="AB1208" s="82" t="str">
        <f>IFERROR(INDEX('Cost_Components'!$V$2:$V$27,MATCH(E1208,'Cost_Components'!$A$2:$A$27,0)),"")</f>
      </c>
      <c r="AC1208" s="83" t="str">
        <f>IFERROR(INDEX('Cost_Components'!$M$2:$M$27,MATCH(E1208,'Cost_Components'!$A$2:$A$27,0)),"")</f>
      </c>
      <c r="AD1208" s="84" t="str">
        <f>IFERROR(INDEX('Cost_Components'!$N$2:$N$27,MATCH(E1208,'Cost_Components'!$A$2:$A$27,0)),"")</f>
      </c>
      <c r="AE1208" s="20" t="str">
        <f>IFERROR(INDEX('Cost_Components'!$O$2:$O$27,MATCH(E1208,'Cost_Components'!$A$2:$A$27,0)),"")</f>
      </c>
      <c r="AF1208" s="85" t="n">
        <v>967200.45070906</v>
      </c>
      <c r="AG1208" s="86" t="n">
        <v>1020217.86496251</v>
      </c>
      <c r="AH1208" s="87" t="str">
        <f>IF(H1208="shared-count-once",COUNTIFS($A$2:$A$1353,A1208,$B$2:$B$1353,B1208,$E$2:$E$1353,E1208),1)</f>
      </c>
    </row>
    <row r="1209">
      <c r="A1209" t="s">
        <v>75</v>
      </c>
      <c r="B1209" s="59" t="n">
        <v>2036</v>
      </c>
      <c r="C1209" t="s">
        <v>220</v>
      </c>
      <c r="D1209" t="s">
        <v>176</v>
      </c>
      <c r="E1209" s="60" t="s">
        <v>311</v>
      </c>
      <c r="F1209" s="61" t="s">
        <v>312</v>
      </c>
      <c r="G1209" s="62" t="s">
        <v>221</v>
      </c>
      <c r="H1209" s="63" t="s">
        <v>195</v>
      </c>
      <c r="I1209" s="64" t="s">
        <v>267</v>
      </c>
      <c r="J1209" s="65" t="str">
        <f>IFERROR(INDEX('Cost_Components'!$K$2:$K$27,MATCH(E1209,'Cost_Components'!$A$2:$A$27,0)),"")</f>
      </c>
      <c r="K1209" s="66" t="str">
        <f>IF(OR(L1209="",Z1209="",AA1209="",AB1209=""),"",IF(B1209&lt;AA1209,L1209,IF(B1209&gt;AB1209,Z1209,L1209+(Z1209-L1209)*MIN(MAX((B1209-AA1209+1)/MAX(AB1209-AA1209+1,1),0),1))))</f>
      </c>
      <c r="L1209" s="67" t="str">
        <f>IFERROR(INDEX('Cost_Components'!$S$2:$S$27,MATCH(E1209,'Cost_Components'!$A$2:$A$27,0)),"")</f>
      </c>
      <c r="M1209" s="68" t="str">
        <f>IFERROR(INDEX('Cost_Components'!$L$2:$L$27,MATCH(E1209,'Cost_Components'!$A$2:$A$27,0)),"")</f>
      </c>
      <c r="N1209" s="69" t="str">
        <f>IFERROR(INDEX('Cost_Components'!$P$2:$P$27,MATCH(E1209,'Cost_Components'!$A$2:$A$27,0)),"")</f>
      </c>
      <c r="O1209" s="70" t="str">
        <f>AF1209*J1209</f>
      </c>
      <c r="P1209" s="71" t="str">
        <f>AG1209*J1209</f>
      </c>
      <c r="Q1209" s="72" t="str">
        <f>P1209*L1209*M1209*N1209</f>
      </c>
      <c r="R1209" s="73" t="str">
        <f>O1209*K1209*M1209*N1209</f>
      </c>
      <c r="S1209" s="74" t="str">
        <f>R1209-Q1209</f>
      </c>
      <c r="T1209" s="20" t="str">
        <f>IFERROR(INDEX('Cost_Components'!$R$2:$R$27,MATCH(E1209,'Cost_Components'!$A$2:$A$27,0)),"")</f>
      </c>
      <c r="U1209" s="75" t="str">
        <f>IFERROR(INDEX('Cost_Components'!$Q$2:$Q$27,MATCH(E1209,'Cost_Components'!$A$2:$A$27,0)),"")</f>
      </c>
      <c r="V1209" s="76" t="str">
        <f>1/(1+'Calculation_Assumptions'!$B$5)^(B1209-'Calculation_Assumptions'!$B$2)</f>
      </c>
      <c r="W1209" s="77" t="str">
        <f>Q1209*V1209</f>
      </c>
      <c r="X1209" s="78" t="str">
        <f>R1209*V1209</f>
      </c>
      <c r="Y1209" s="79" t="str">
        <f>S1209*V1209</f>
      </c>
      <c r="Z1209" s="80" t="str">
        <f>IFERROR(INDEX('Cost_Components'!$T$2:$T$27,MATCH(E1209,'Cost_Components'!$A$2:$A$27,0)),"")</f>
      </c>
      <c r="AA1209" s="81" t="str">
        <f>IFERROR(INDEX('Cost_Components'!$U$2:$U$27,MATCH(E1209,'Cost_Components'!$A$2:$A$27,0)),"")</f>
      </c>
      <c r="AB1209" s="82" t="str">
        <f>IFERROR(INDEX('Cost_Components'!$V$2:$V$27,MATCH(E1209,'Cost_Components'!$A$2:$A$27,0)),"")</f>
      </c>
      <c r="AC1209" s="83" t="str">
        <f>IFERROR(INDEX('Cost_Components'!$M$2:$M$27,MATCH(E1209,'Cost_Components'!$A$2:$A$27,0)),"")</f>
      </c>
      <c r="AD1209" s="84" t="str">
        <f>IFERROR(INDEX('Cost_Components'!$N$2:$N$27,MATCH(E1209,'Cost_Components'!$A$2:$A$27,0)),"")</f>
      </c>
      <c r="AE1209" s="20" t="str">
        <f>IFERROR(INDEX('Cost_Components'!$O$2:$O$27,MATCH(E1209,'Cost_Components'!$A$2:$A$27,0)),"")</f>
      </c>
      <c r="AF1209" s="85" t="n">
        <v>962628.099997747</v>
      </c>
      <c r="AG1209" s="86" t="n">
        <v>1021906.42671514</v>
      </c>
      <c r="AH1209" s="87" t="str">
        <f>IF(H1209="shared-count-once",COUNTIFS($A$2:$A$1353,A1209,$B$2:$B$1353,B1209,$E$2:$E$1353,E1209),1)</f>
      </c>
    </row>
    <row r="1210">
      <c r="A1210" t="s">
        <v>75</v>
      </c>
      <c r="B1210" s="59" t="n">
        <v>2037</v>
      </c>
      <c r="C1210" t="s">
        <v>220</v>
      </c>
      <c r="D1210" t="s">
        <v>176</v>
      </c>
      <c r="E1210" s="60" t="s">
        <v>311</v>
      </c>
      <c r="F1210" s="61" t="s">
        <v>312</v>
      </c>
      <c r="G1210" s="62" t="s">
        <v>221</v>
      </c>
      <c r="H1210" s="63" t="s">
        <v>195</v>
      </c>
      <c r="I1210" s="64" t="s">
        <v>267</v>
      </c>
      <c r="J1210" s="65" t="str">
        <f>IFERROR(INDEX('Cost_Components'!$K$2:$K$27,MATCH(E1210,'Cost_Components'!$A$2:$A$27,0)),"")</f>
      </c>
      <c r="K1210" s="66" t="str">
        <f>IF(OR(L1210="",Z1210="",AA1210="",AB1210=""),"",IF(B1210&lt;AA1210,L1210,IF(B1210&gt;AB1210,Z1210,L1210+(Z1210-L1210)*MIN(MAX((B1210-AA1210+1)/MAX(AB1210-AA1210+1,1),0),1))))</f>
      </c>
      <c r="L1210" s="67" t="str">
        <f>IFERROR(INDEX('Cost_Components'!$S$2:$S$27,MATCH(E1210,'Cost_Components'!$A$2:$A$27,0)),"")</f>
      </c>
      <c r="M1210" s="68" t="str">
        <f>IFERROR(INDEX('Cost_Components'!$L$2:$L$27,MATCH(E1210,'Cost_Components'!$A$2:$A$27,0)),"")</f>
      </c>
      <c r="N1210" s="69" t="str">
        <f>IFERROR(INDEX('Cost_Components'!$P$2:$P$27,MATCH(E1210,'Cost_Components'!$A$2:$A$27,0)),"")</f>
      </c>
      <c r="O1210" s="70" t="str">
        <f>AF1210*J1210</f>
      </c>
      <c r="P1210" s="71" t="str">
        <f>AG1210*J1210</f>
      </c>
      <c r="Q1210" s="72" t="str">
        <f>P1210*L1210*M1210*N1210</f>
      </c>
      <c r="R1210" s="73" t="str">
        <f>O1210*K1210*M1210*N1210</f>
      </c>
      <c r="S1210" s="74" t="str">
        <f>R1210-Q1210</f>
      </c>
      <c r="T1210" s="20" t="str">
        <f>IFERROR(INDEX('Cost_Components'!$R$2:$R$27,MATCH(E1210,'Cost_Components'!$A$2:$A$27,0)),"")</f>
      </c>
      <c r="U1210" s="75" t="str">
        <f>IFERROR(INDEX('Cost_Components'!$Q$2:$Q$27,MATCH(E1210,'Cost_Components'!$A$2:$A$27,0)),"")</f>
      </c>
      <c r="V1210" s="76" t="str">
        <f>1/(1+'Calculation_Assumptions'!$B$5)^(B1210-'Calculation_Assumptions'!$B$2)</f>
      </c>
      <c r="W1210" s="77" t="str">
        <f>Q1210*V1210</f>
      </c>
      <c r="X1210" s="78" t="str">
        <f>R1210*V1210</f>
      </c>
      <c r="Y1210" s="79" t="str">
        <f>S1210*V1210</f>
      </c>
      <c r="Z1210" s="80" t="str">
        <f>IFERROR(INDEX('Cost_Components'!$T$2:$T$27,MATCH(E1210,'Cost_Components'!$A$2:$A$27,0)),"")</f>
      </c>
      <c r="AA1210" s="81" t="str">
        <f>IFERROR(INDEX('Cost_Components'!$U$2:$U$27,MATCH(E1210,'Cost_Components'!$A$2:$A$27,0)),"")</f>
      </c>
      <c r="AB1210" s="82" t="str">
        <f>IFERROR(INDEX('Cost_Components'!$V$2:$V$27,MATCH(E1210,'Cost_Components'!$A$2:$A$27,0)),"")</f>
      </c>
      <c r="AC1210" s="83" t="str">
        <f>IFERROR(INDEX('Cost_Components'!$M$2:$M$27,MATCH(E1210,'Cost_Components'!$A$2:$A$27,0)),"")</f>
      </c>
      <c r="AD1210" s="84" t="str">
        <f>IFERROR(INDEX('Cost_Components'!$N$2:$N$27,MATCH(E1210,'Cost_Components'!$A$2:$A$27,0)),"")</f>
      </c>
      <c r="AE1210" s="20" t="str">
        <f>IFERROR(INDEX('Cost_Components'!$O$2:$O$27,MATCH(E1210,'Cost_Components'!$A$2:$A$27,0)),"")</f>
      </c>
      <c r="AF1210" s="85" t="n">
        <v>957685.880779274</v>
      </c>
      <c r="AG1210" s="86" t="n">
        <v>1023282.54137849</v>
      </c>
      <c r="AH1210" s="87" t="str">
        <f>IF(H1210="shared-count-once",COUNTIFS($A$2:$A$1353,A1210,$B$2:$B$1353,B1210,$E$2:$E$1353,E1210),1)</f>
      </c>
    </row>
    <row r="1211">
      <c r="A1211" t="s">
        <v>75</v>
      </c>
      <c r="B1211" s="59" t="n">
        <v>2038</v>
      </c>
      <c r="C1211" t="s">
        <v>220</v>
      </c>
      <c r="D1211" t="s">
        <v>176</v>
      </c>
      <c r="E1211" s="60" t="s">
        <v>311</v>
      </c>
      <c r="F1211" s="61" t="s">
        <v>312</v>
      </c>
      <c r="G1211" s="62" t="s">
        <v>221</v>
      </c>
      <c r="H1211" s="63" t="s">
        <v>195</v>
      </c>
      <c r="I1211" s="64" t="s">
        <v>267</v>
      </c>
      <c r="J1211" s="65" t="str">
        <f>IFERROR(INDEX('Cost_Components'!$K$2:$K$27,MATCH(E1211,'Cost_Components'!$A$2:$A$27,0)),"")</f>
      </c>
      <c r="K1211" s="66" t="str">
        <f>IF(OR(L1211="",Z1211="",AA1211="",AB1211=""),"",IF(B1211&lt;AA1211,L1211,IF(B1211&gt;AB1211,Z1211,L1211+(Z1211-L1211)*MIN(MAX((B1211-AA1211+1)/MAX(AB1211-AA1211+1,1),0),1))))</f>
      </c>
      <c r="L1211" s="67" t="str">
        <f>IFERROR(INDEX('Cost_Components'!$S$2:$S$27,MATCH(E1211,'Cost_Components'!$A$2:$A$27,0)),"")</f>
      </c>
      <c r="M1211" s="68" t="str">
        <f>IFERROR(INDEX('Cost_Components'!$L$2:$L$27,MATCH(E1211,'Cost_Components'!$A$2:$A$27,0)),"")</f>
      </c>
      <c r="N1211" s="69" t="str">
        <f>IFERROR(INDEX('Cost_Components'!$P$2:$P$27,MATCH(E1211,'Cost_Components'!$A$2:$A$27,0)),"")</f>
      </c>
      <c r="O1211" s="70" t="str">
        <f>AF1211*J1211</f>
      </c>
      <c r="P1211" s="71" t="str">
        <f>AG1211*J1211</f>
      </c>
      <c r="Q1211" s="72" t="str">
        <f>P1211*L1211*M1211*N1211</f>
      </c>
      <c r="R1211" s="73" t="str">
        <f>O1211*K1211*M1211*N1211</f>
      </c>
      <c r="S1211" s="74" t="str">
        <f>R1211-Q1211</f>
      </c>
      <c r="T1211" s="20" t="str">
        <f>IFERROR(INDEX('Cost_Components'!$R$2:$R$27,MATCH(E1211,'Cost_Components'!$A$2:$A$27,0)),"")</f>
      </c>
      <c r="U1211" s="75" t="str">
        <f>IFERROR(INDEX('Cost_Components'!$Q$2:$Q$27,MATCH(E1211,'Cost_Components'!$A$2:$A$27,0)),"")</f>
      </c>
      <c r="V1211" s="76" t="str">
        <f>1/(1+'Calculation_Assumptions'!$B$5)^(B1211-'Calculation_Assumptions'!$B$2)</f>
      </c>
      <c r="W1211" s="77" t="str">
        <f>Q1211*V1211</f>
      </c>
      <c r="X1211" s="78" t="str">
        <f>R1211*V1211</f>
      </c>
      <c r="Y1211" s="79" t="str">
        <f>S1211*V1211</f>
      </c>
      <c r="Z1211" s="80" t="str">
        <f>IFERROR(INDEX('Cost_Components'!$T$2:$T$27,MATCH(E1211,'Cost_Components'!$A$2:$A$27,0)),"")</f>
      </c>
      <c r="AA1211" s="81" t="str">
        <f>IFERROR(INDEX('Cost_Components'!$U$2:$U$27,MATCH(E1211,'Cost_Components'!$A$2:$A$27,0)),"")</f>
      </c>
      <c r="AB1211" s="82" t="str">
        <f>IFERROR(INDEX('Cost_Components'!$V$2:$V$27,MATCH(E1211,'Cost_Components'!$A$2:$A$27,0)),"")</f>
      </c>
      <c r="AC1211" s="83" t="str">
        <f>IFERROR(INDEX('Cost_Components'!$M$2:$M$27,MATCH(E1211,'Cost_Components'!$A$2:$A$27,0)),"")</f>
      </c>
      <c r="AD1211" s="84" t="str">
        <f>IFERROR(INDEX('Cost_Components'!$N$2:$N$27,MATCH(E1211,'Cost_Components'!$A$2:$A$27,0)),"")</f>
      </c>
      <c r="AE1211" s="20" t="str">
        <f>IFERROR(INDEX('Cost_Components'!$O$2:$O$27,MATCH(E1211,'Cost_Components'!$A$2:$A$27,0)),"")</f>
      </c>
      <c r="AF1211" s="85" t="n">
        <v>952240.988090086</v>
      </c>
      <c r="AG1211" s="86" t="n">
        <v>1024188.81016216</v>
      </c>
      <c r="AH1211" s="87" t="str">
        <f>IF(H1211="shared-count-once",COUNTIFS($A$2:$A$1353,A1211,$B$2:$B$1353,B1211,$E$2:$E$1353,E1211),1)</f>
      </c>
    </row>
    <row r="1212">
      <c r="A1212" t="s">
        <v>75</v>
      </c>
      <c r="B1212" s="59" t="n">
        <v>2039</v>
      </c>
      <c r="C1212" t="s">
        <v>220</v>
      </c>
      <c r="D1212" t="s">
        <v>176</v>
      </c>
      <c r="E1212" s="60" t="s">
        <v>311</v>
      </c>
      <c r="F1212" s="61" t="s">
        <v>312</v>
      </c>
      <c r="G1212" s="62" t="s">
        <v>221</v>
      </c>
      <c r="H1212" s="63" t="s">
        <v>195</v>
      </c>
      <c r="I1212" s="64" t="s">
        <v>267</v>
      </c>
      <c r="J1212" s="65" t="str">
        <f>IFERROR(INDEX('Cost_Components'!$K$2:$K$27,MATCH(E1212,'Cost_Components'!$A$2:$A$27,0)),"")</f>
      </c>
      <c r="K1212" s="66" t="str">
        <f>IF(OR(L1212="",Z1212="",AA1212="",AB1212=""),"",IF(B1212&lt;AA1212,L1212,IF(B1212&gt;AB1212,Z1212,L1212+(Z1212-L1212)*MIN(MAX((B1212-AA1212+1)/MAX(AB1212-AA1212+1,1),0),1))))</f>
      </c>
      <c r="L1212" s="67" t="str">
        <f>IFERROR(INDEX('Cost_Components'!$S$2:$S$27,MATCH(E1212,'Cost_Components'!$A$2:$A$27,0)),"")</f>
      </c>
      <c r="M1212" s="68" t="str">
        <f>IFERROR(INDEX('Cost_Components'!$L$2:$L$27,MATCH(E1212,'Cost_Components'!$A$2:$A$27,0)),"")</f>
      </c>
      <c r="N1212" s="69" t="str">
        <f>IFERROR(INDEX('Cost_Components'!$P$2:$P$27,MATCH(E1212,'Cost_Components'!$A$2:$A$27,0)),"")</f>
      </c>
      <c r="O1212" s="70" t="str">
        <f>AF1212*J1212</f>
      </c>
      <c r="P1212" s="71" t="str">
        <f>AG1212*J1212</f>
      </c>
      <c r="Q1212" s="72" t="str">
        <f>P1212*L1212*M1212*N1212</f>
      </c>
      <c r="R1212" s="73" t="str">
        <f>O1212*K1212*M1212*N1212</f>
      </c>
      <c r="S1212" s="74" t="str">
        <f>R1212-Q1212</f>
      </c>
      <c r="T1212" s="20" t="str">
        <f>IFERROR(INDEX('Cost_Components'!$R$2:$R$27,MATCH(E1212,'Cost_Components'!$A$2:$A$27,0)),"")</f>
      </c>
      <c r="U1212" s="75" t="str">
        <f>IFERROR(INDEX('Cost_Components'!$Q$2:$Q$27,MATCH(E1212,'Cost_Components'!$A$2:$A$27,0)),"")</f>
      </c>
      <c r="V1212" s="76" t="str">
        <f>1/(1+'Calculation_Assumptions'!$B$5)^(B1212-'Calculation_Assumptions'!$B$2)</f>
      </c>
      <c r="W1212" s="77" t="str">
        <f>Q1212*V1212</f>
      </c>
      <c r="X1212" s="78" t="str">
        <f>R1212*V1212</f>
      </c>
      <c r="Y1212" s="79" t="str">
        <f>S1212*V1212</f>
      </c>
      <c r="Z1212" s="80" t="str">
        <f>IFERROR(INDEX('Cost_Components'!$T$2:$T$27,MATCH(E1212,'Cost_Components'!$A$2:$A$27,0)),"")</f>
      </c>
      <c r="AA1212" s="81" t="str">
        <f>IFERROR(INDEX('Cost_Components'!$U$2:$U$27,MATCH(E1212,'Cost_Components'!$A$2:$A$27,0)),"")</f>
      </c>
      <c r="AB1212" s="82" t="str">
        <f>IFERROR(INDEX('Cost_Components'!$V$2:$V$27,MATCH(E1212,'Cost_Components'!$A$2:$A$27,0)),"")</f>
      </c>
      <c r="AC1212" s="83" t="str">
        <f>IFERROR(INDEX('Cost_Components'!$M$2:$M$27,MATCH(E1212,'Cost_Components'!$A$2:$A$27,0)),"")</f>
      </c>
      <c r="AD1212" s="84" t="str">
        <f>IFERROR(INDEX('Cost_Components'!$N$2:$N$27,MATCH(E1212,'Cost_Components'!$A$2:$A$27,0)),"")</f>
      </c>
      <c r="AE1212" s="20" t="str">
        <f>IFERROR(INDEX('Cost_Components'!$O$2:$O$27,MATCH(E1212,'Cost_Components'!$A$2:$A$27,0)),"")</f>
      </c>
      <c r="AF1212" s="85" t="n">
        <v>947533.48310144</v>
      </c>
      <c r="AG1212" s="86" t="n">
        <v>1025850.81716251</v>
      </c>
      <c r="AH1212" s="87" t="str">
        <f>IF(H1212="shared-count-once",COUNTIFS($A$2:$A$1353,A1212,$B$2:$B$1353,B1212,$E$2:$E$1353,E1212),1)</f>
      </c>
    </row>
    <row r="1213">
      <c r="A1213" t="s">
        <v>75</v>
      </c>
      <c r="B1213" s="59" t="n">
        <v>2040</v>
      </c>
      <c r="C1213" t="s">
        <v>220</v>
      </c>
      <c r="D1213" t="s">
        <v>176</v>
      </c>
      <c r="E1213" s="60" t="s">
        <v>311</v>
      </c>
      <c r="F1213" s="61" t="s">
        <v>312</v>
      </c>
      <c r="G1213" s="62" t="s">
        <v>221</v>
      </c>
      <c r="H1213" s="63" t="s">
        <v>195</v>
      </c>
      <c r="I1213" s="64" t="s">
        <v>267</v>
      </c>
      <c r="J1213" s="65" t="str">
        <f>IFERROR(INDEX('Cost_Components'!$K$2:$K$27,MATCH(E1213,'Cost_Components'!$A$2:$A$27,0)),"")</f>
      </c>
      <c r="K1213" s="66" t="str">
        <f>IF(OR(L1213="",Z1213="",AA1213="",AB1213=""),"",IF(B1213&lt;AA1213,L1213,IF(B1213&gt;AB1213,Z1213,L1213+(Z1213-L1213)*MIN(MAX((B1213-AA1213+1)/MAX(AB1213-AA1213+1,1),0),1))))</f>
      </c>
      <c r="L1213" s="67" t="str">
        <f>IFERROR(INDEX('Cost_Components'!$S$2:$S$27,MATCH(E1213,'Cost_Components'!$A$2:$A$27,0)),"")</f>
      </c>
      <c r="M1213" s="68" t="str">
        <f>IFERROR(INDEX('Cost_Components'!$L$2:$L$27,MATCH(E1213,'Cost_Components'!$A$2:$A$27,0)),"")</f>
      </c>
      <c r="N1213" s="69" t="str">
        <f>IFERROR(INDEX('Cost_Components'!$P$2:$P$27,MATCH(E1213,'Cost_Components'!$A$2:$A$27,0)),"")</f>
      </c>
      <c r="O1213" s="70" t="str">
        <f>AF1213*J1213</f>
      </c>
      <c r="P1213" s="71" t="str">
        <f>AG1213*J1213</f>
      </c>
      <c r="Q1213" s="72" t="str">
        <f>P1213*L1213*M1213*N1213</f>
      </c>
      <c r="R1213" s="73" t="str">
        <f>O1213*K1213*M1213*N1213</f>
      </c>
      <c r="S1213" s="74" t="str">
        <f>R1213-Q1213</f>
      </c>
      <c r="T1213" s="20" t="str">
        <f>IFERROR(INDEX('Cost_Components'!$R$2:$R$27,MATCH(E1213,'Cost_Components'!$A$2:$A$27,0)),"")</f>
      </c>
      <c r="U1213" s="75" t="str">
        <f>IFERROR(INDEX('Cost_Components'!$Q$2:$Q$27,MATCH(E1213,'Cost_Components'!$A$2:$A$27,0)),"")</f>
      </c>
      <c r="V1213" s="76" t="str">
        <f>1/(1+'Calculation_Assumptions'!$B$5)^(B1213-'Calculation_Assumptions'!$B$2)</f>
      </c>
      <c r="W1213" s="77" t="str">
        <f>Q1213*V1213</f>
      </c>
      <c r="X1213" s="78" t="str">
        <f>R1213*V1213</f>
      </c>
      <c r="Y1213" s="79" t="str">
        <f>S1213*V1213</f>
      </c>
      <c r="Z1213" s="80" t="str">
        <f>IFERROR(INDEX('Cost_Components'!$T$2:$T$27,MATCH(E1213,'Cost_Components'!$A$2:$A$27,0)),"")</f>
      </c>
      <c r="AA1213" s="81" t="str">
        <f>IFERROR(INDEX('Cost_Components'!$U$2:$U$27,MATCH(E1213,'Cost_Components'!$A$2:$A$27,0)),"")</f>
      </c>
      <c r="AB1213" s="82" t="str">
        <f>IFERROR(INDEX('Cost_Components'!$V$2:$V$27,MATCH(E1213,'Cost_Components'!$A$2:$A$27,0)),"")</f>
      </c>
      <c r="AC1213" s="83" t="str">
        <f>IFERROR(INDEX('Cost_Components'!$M$2:$M$27,MATCH(E1213,'Cost_Components'!$A$2:$A$27,0)),"")</f>
      </c>
      <c r="AD1213" s="84" t="str">
        <f>IFERROR(INDEX('Cost_Components'!$N$2:$N$27,MATCH(E1213,'Cost_Components'!$A$2:$A$27,0)),"")</f>
      </c>
      <c r="AE1213" s="20" t="str">
        <f>IFERROR(INDEX('Cost_Components'!$O$2:$O$27,MATCH(E1213,'Cost_Components'!$A$2:$A$27,0)),"")</f>
      </c>
      <c r="AF1213" s="85" t="n">
        <v>942464.544572973</v>
      </c>
      <c r="AG1213" s="86" t="n">
        <v>1027141.14368539</v>
      </c>
      <c r="AH1213" s="87" t="str">
        <f>IF(H1213="shared-count-once",COUNTIFS($A$2:$A$1353,A1213,$B$2:$B$1353,B1213,$E$2:$E$1353,E1213),1)</f>
      </c>
    </row>
    <row r="1214">
      <c r="A1214" t="s">
        <v>75</v>
      </c>
      <c r="B1214" s="59" t="n">
        <v>2041</v>
      </c>
      <c r="C1214" t="s">
        <v>220</v>
      </c>
      <c r="D1214" t="s">
        <v>176</v>
      </c>
      <c r="E1214" s="60" t="s">
        <v>311</v>
      </c>
      <c r="F1214" s="61" t="s">
        <v>312</v>
      </c>
      <c r="G1214" s="62" t="s">
        <v>221</v>
      </c>
      <c r="H1214" s="63" t="s">
        <v>195</v>
      </c>
      <c r="I1214" s="64" t="s">
        <v>267</v>
      </c>
      <c r="J1214" s="65" t="str">
        <f>IFERROR(INDEX('Cost_Components'!$K$2:$K$27,MATCH(E1214,'Cost_Components'!$A$2:$A$27,0)),"")</f>
      </c>
      <c r="K1214" s="66" t="str">
        <f>IF(OR(L1214="",Z1214="",AA1214="",AB1214=""),"",IF(B1214&lt;AA1214,L1214,IF(B1214&gt;AB1214,Z1214,L1214+(Z1214-L1214)*MIN(MAX((B1214-AA1214+1)/MAX(AB1214-AA1214+1,1),0),1))))</f>
      </c>
      <c r="L1214" s="67" t="str">
        <f>IFERROR(INDEX('Cost_Components'!$S$2:$S$27,MATCH(E1214,'Cost_Components'!$A$2:$A$27,0)),"")</f>
      </c>
      <c r="M1214" s="68" t="str">
        <f>IFERROR(INDEX('Cost_Components'!$L$2:$L$27,MATCH(E1214,'Cost_Components'!$A$2:$A$27,0)),"")</f>
      </c>
      <c r="N1214" s="69" t="str">
        <f>IFERROR(INDEX('Cost_Components'!$P$2:$P$27,MATCH(E1214,'Cost_Components'!$A$2:$A$27,0)),"")</f>
      </c>
      <c r="O1214" s="70" t="str">
        <f>AF1214*J1214</f>
      </c>
      <c r="P1214" s="71" t="str">
        <f>AG1214*J1214</f>
      </c>
      <c r="Q1214" s="72" t="str">
        <f>P1214*L1214*M1214*N1214</f>
      </c>
      <c r="R1214" s="73" t="str">
        <f>O1214*K1214*M1214*N1214</f>
      </c>
      <c r="S1214" s="74" t="str">
        <f>R1214-Q1214</f>
      </c>
      <c r="T1214" s="20" t="str">
        <f>IFERROR(INDEX('Cost_Components'!$R$2:$R$27,MATCH(E1214,'Cost_Components'!$A$2:$A$27,0)),"")</f>
      </c>
      <c r="U1214" s="75" t="str">
        <f>IFERROR(INDEX('Cost_Components'!$Q$2:$Q$27,MATCH(E1214,'Cost_Components'!$A$2:$A$27,0)),"")</f>
      </c>
      <c r="V1214" s="76" t="str">
        <f>1/(1+'Calculation_Assumptions'!$B$5)^(B1214-'Calculation_Assumptions'!$B$2)</f>
      </c>
      <c r="W1214" s="77" t="str">
        <f>Q1214*V1214</f>
      </c>
      <c r="X1214" s="78" t="str">
        <f>R1214*V1214</f>
      </c>
      <c r="Y1214" s="79" t="str">
        <f>S1214*V1214</f>
      </c>
      <c r="Z1214" s="80" t="str">
        <f>IFERROR(INDEX('Cost_Components'!$T$2:$T$27,MATCH(E1214,'Cost_Components'!$A$2:$A$27,0)),"")</f>
      </c>
      <c r="AA1214" s="81" t="str">
        <f>IFERROR(INDEX('Cost_Components'!$U$2:$U$27,MATCH(E1214,'Cost_Components'!$A$2:$A$27,0)),"")</f>
      </c>
      <c r="AB1214" s="82" t="str">
        <f>IFERROR(INDEX('Cost_Components'!$V$2:$V$27,MATCH(E1214,'Cost_Components'!$A$2:$A$27,0)),"")</f>
      </c>
      <c r="AC1214" s="83" t="str">
        <f>IFERROR(INDEX('Cost_Components'!$M$2:$M$27,MATCH(E1214,'Cost_Components'!$A$2:$A$27,0)),"")</f>
      </c>
      <c r="AD1214" s="84" t="str">
        <f>IFERROR(INDEX('Cost_Components'!$N$2:$N$27,MATCH(E1214,'Cost_Components'!$A$2:$A$27,0)),"")</f>
      </c>
      <c r="AE1214" s="20" t="str">
        <f>IFERROR(INDEX('Cost_Components'!$O$2:$O$27,MATCH(E1214,'Cost_Components'!$A$2:$A$27,0)),"")</f>
      </c>
      <c r="AF1214" s="85" t="n">
        <v>937156.902923342</v>
      </c>
      <c r="AG1214" s="86" t="n">
        <v>1028196.92878719</v>
      </c>
      <c r="AH1214" s="87" t="str">
        <f>IF(H1214="shared-count-once",COUNTIFS($A$2:$A$1353,A1214,$B$2:$B$1353,B1214,$E$2:$E$1353,E1214),1)</f>
      </c>
    </row>
    <row r="1215">
      <c r="A1215" t="s">
        <v>75</v>
      </c>
      <c r="B1215" s="59" t="n">
        <v>2042</v>
      </c>
      <c r="C1215" t="s">
        <v>220</v>
      </c>
      <c r="D1215" t="s">
        <v>176</v>
      </c>
      <c r="E1215" s="60" t="s">
        <v>311</v>
      </c>
      <c r="F1215" s="61" t="s">
        <v>312</v>
      </c>
      <c r="G1215" s="62" t="s">
        <v>221</v>
      </c>
      <c r="H1215" s="63" t="s">
        <v>195</v>
      </c>
      <c r="I1215" s="64" t="s">
        <v>267</v>
      </c>
      <c r="J1215" s="65" t="str">
        <f>IFERROR(INDEX('Cost_Components'!$K$2:$K$27,MATCH(E1215,'Cost_Components'!$A$2:$A$27,0)),"")</f>
      </c>
      <c r="K1215" s="66" t="str">
        <f>IF(OR(L1215="",Z1215="",AA1215="",AB1215=""),"",IF(B1215&lt;AA1215,L1215,IF(B1215&gt;AB1215,Z1215,L1215+(Z1215-L1215)*MIN(MAX((B1215-AA1215+1)/MAX(AB1215-AA1215+1,1),0),1))))</f>
      </c>
      <c r="L1215" s="67" t="str">
        <f>IFERROR(INDEX('Cost_Components'!$S$2:$S$27,MATCH(E1215,'Cost_Components'!$A$2:$A$27,0)),"")</f>
      </c>
      <c r="M1215" s="68" t="str">
        <f>IFERROR(INDEX('Cost_Components'!$L$2:$L$27,MATCH(E1215,'Cost_Components'!$A$2:$A$27,0)),"")</f>
      </c>
      <c r="N1215" s="69" t="str">
        <f>IFERROR(INDEX('Cost_Components'!$P$2:$P$27,MATCH(E1215,'Cost_Components'!$A$2:$A$27,0)),"")</f>
      </c>
      <c r="O1215" s="70" t="str">
        <f>AF1215*J1215</f>
      </c>
      <c r="P1215" s="71" t="str">
        <f>AG1215*J1215</f>
      </c>
      <c r="Q1215" s="72" t="str">
        <f>P1215*L1215*M1215*N1215</f>
      </c>
      <c r="R1215" s="73" t="str">
        <f>O1215*K1215*M1215*N1215</f>
      </c>
      <c r="S1215" s="74" t="str">
        <f>R1215-Q1215</f>
      </c>
      <c r="T1215" s="20" t="str">
        <f>IFERROR(INDEX('Cost_Components'!$R$2:$R$27,MATCH(E1215,'Cost_Components'!$A$2:$A$27,0)),"")</f>
      </c>
      <c r="U1215" s="75" t="str">
        <f>IFERROR(INDEX('Cost_Components'!$Q$2:$Q$27,MATCH(E1215,'Cost_Components'!$A$2:$A$27,0)),"")</f>
      </c>
      <c r="V1215" s="76" t="str">
        <f>1/(1+'Calculation_Assumptions'!$B$5)^(B1215-'Calculation_Assumptions'!$B$2)</f>
      </c>
      <c r="W1215" s="77" t="str">
        <f>Q1215*V1215</f>
      </c>
      <c r="X1215" s="78" t="str">
        <f>R1215*V1215</f>
      </c>
      <c r="Y1215" s="79" t="str">
        <f>S1215*V1215</f>
      </c>
      <c r="Z1215" s="80" t="str">
        <f>IFERROR(INDEX('Cost_Components'!$T$2:$T$27,MATCH(E1215,'Cost_Components'!$A$2:$A$27,0)),"")</f>
      </c>
      <c r="AA1215" s="81" t="str">
        <f>IFERROR(INDEX('Cost_Components'!$U$2:$U$27,MATCH(E1215,'Cost_Components'!$A$2:$A$27,0)),"")</f>
      </c>
      <c r="AB1215" s="82" t="str">
        <f>IFERROR(INDEX('Cost_Components'!$V$2:$V$27,MATCH(E1215,'Cost_Components'!$A$2:$A$27,0)),"")</f>
      </c>
      <c r="AC1215" s="83" t="str">
        <f>IFERROR(INDEX('Cost_Components'!$M$2:$M$27,MATCH(E1215,'Cost_Components'!$A$2:$A$27,0)),"")</f>
      </c>
      <c r="AD1215" s="84" t="str">
        <f>IFERROR(INDEX('Cost_Components'!$N$2:$N$27,MATCH(E1215,'Cost_Components'!$A$2:$A$27,0)),"")</f>
      </c>
      <c r="AE1215" s="20" t="str">
        <f>IFERROR(INDEX('Cost_Components'!$O$2:$O$27,MATCH(E1215,'Cost_Components'!$A$2:$A$27,0)),"")</f>
      </c>
      <c r="AF1215" s="85" t="n">
        <v>931605.316583581</v>
      </c>
      <c r="AG1215" s="86" t="n">
        <v>1028995.12018765</v>
      </c>
      <c r="AH1215" s="87" t="str">
        <f>IF(H1215="shared-count-once",COUNTIFS($A$2:$A$1353,A1215,$B$2:$B$1353,B1215,$E$2:$E$1353,E1215),1)</f>
      </c>
    </row>
    <row r="1216">
      <c r="A1216" t="s">
        <v>75</v>
      </c>
      <c r="B1216" s="59" t="n">
        <v>2043</v>
      </c>
      <c r="C1216" t="s">
        <v>220</v>
      </c>
      <c r="D1216" t="s">
        <v>176</v>
      </c>
      <c r="E1216" s="60" t="s">
        <v>311</v>
      </c>
      <c r="F1216" s="61" t="s">
        <v>312</v>
      </c>
      <c r="G1216" s="62" t="s">
        <v>221</v>
      </c>
      <c r="H1216" s="63" t="s">
        <v>195</v>
      </c>
      <c r="I1216" s="64" t="s">
        <v>267</v>
      </c>
      <c r="J1216" s="65" t="str">
        <f>IFERROR(INDEX('Cost_Components'!$K$2:$K$27,MATCH(E1216,'Cost_Components'!$A$2:$A$27,0)),"")</f>
      </c>
      <c r="K1216" s="66" t="str">
        <f>IF(OR(L1216="",Z1216="",AA1216="",AB1216=""),"",IF(B1216&lt;AA1216,L1216,IF(B1216&gt;AB1216,Z1216,L1216+(Z1216-L1216)*MIN(MAX((B1216-AA1216+1)/MAX(AB1216-AA1216+1,1),0),1))))</f>
      </c>
      <c r="L1216" s="67" t="str">
        <f>IFERROR(INDEX('Cost_Components'!$S$2:$S$27,MATCH(E1216,'Cost_Components'!$A$2:$A$27,0)),"")</f>
      </c>
      <c r="M1216" s="68" t="str">
        <f>IFERROR(INDEX('Cost_Components'!$L$2:$L$27,MATCH(E1216,'Cost_Components'!$A$2:$A$27,0)),"")</f>
      </c>
      <c r="N1216" s="69" t="str">
        <f>IFERROR(INDEX('Cost_Components'!$P$2:$P$27,MATCH(E1216,'Cost_Components'!$A$2:$A$27,0)),"")</f>
      </c>
      <c r="O1216" s="70" t="str">
        <f>AF1216*J1216</f>
      </c>
      <c r="P1216" s="71" t="str">
        <f>AG1216*J1216</f>
      </c>
      <c r="Q1216" s="72" t="str">
        <f>P1216*L1216*M1216*N1216</f>
      </c>
      <c r="R1216" s="73" t="str">
        <f>O1216*K1216*M1216*N1216</f>
      </c>
      <c r="S1216" s="74" t="str">
        <f>R1216-Q1216</f>
      </c>
      <c r="T1216" s="20" t="str">
        <f>IFERROR(INDEX('Cost_Components'!$R$2:$R$27,MATCH(E1216,'Cost_Components'!$A$2:$A$27,0)),"")</f>
      </c>
      <c r="U1216" s="75" t="str">
        <f>IFERROR(INDEX('Cost_Components'!$Q$2:$Q$27,MATCH(E1216,'Cost_Components'!$A$2:$A$27,0)),"")</f>
      </c>
      <c r="V1216" s="76" t="str">
        <f>1/(1+'Calculation_Assumptions'!$B$5)^(B1216-'Calculation_Assumptions'!$B$2)</f>
      </c>
      <c r="W1216" s="77" t="str">
        <f>Q1216*V1216</f>
      </c>
      <c r="X1216" s="78" t="str">
        <f>R1216*V1216</f>
      </c>
      <c r="Y1216" s="79" t="str">
        <f>S1216*V1216</f>
      </c>
      <c r="Z1216" s="80" t="str">
        <f>IFERROR(INDEX('Cost_Components'!$T$2:$T$27,MATCH(E1216,'Cost_Components'!$A$2:$A$27,0)),"")</f>
      </c>
      <c r="AA1216" s="81" t="str">
        <f>IFERROR(INDEX('Cost_Components'!$U$2:$U$27,MATCH(E1216,'Cost_Components'!$A$2:$A$27,0)),"")</f>
      </c>
      <c r="AB1216" s="82" t="str">
        <f>IFERROR(INDEX('Cost_Components'!$V$2:$V$27,MATCH(E1216,'Cost_Components'!$A$2:$A$27,0)),"")</f>
      </c>
      <c r="AC1216" s="83" t="str">
        <f>IFERROR(INDEX('Cost_Components'!$M$2:$M$27,MATCH(E1216,'Cost_Components'!$A$2:$A$27,0)),"")</f>
      </c>
      <c r="AD1216" s="84" t="str">
        <f>IFERROR(INDEX('Cost_Components'!$N$2:$N$27,MATCH(E1216,'Cost_Components'!$A$2:$A$27,0)),"")</f>
      </c>
      <c r="AE1216" s="20" t="str">
        <f>IFERROR(INDEX('Cost_Components'!$O$2:$O$27,MATCH(E1216,'Cost_Components'!$A$2:$A$27,0)),"")</f>
      </c>
      <c r="AF1216" s="85" t="n">
        <v>925475.394927135</v>
      </c>
      <c r="AG1216" s="86" t="n">
        <v>1029181.35252705</v>
      </c>
      <c r="AH1216" s="87" t="str">
        <f>IF(H1216="shared-count-once",COUNTIFS($A$2:$A$1353,A1216,$B$2:$B$1353,B1216,$E$2:$E$1353,E1216),1)</f>
      </c>
    </row>
    <row r="1217">
      <c r="A1217" t="s">
        <v>75</v>
      </c>
      <c r="B1217" s="59" t="n">
        <v>2044</v>
      </c>
      <c r="C1217" t="s">
        <v>220</v>
      </c>
      <c r="D1217" t="s">
        <v>176</v>
      </c>
      <c r="E1217" s="60" t="s">
        <v>311</v>
      </c>
      <c r="F1217" s="61" t="s">
        <v>312</v>
      </c>
      <c r="G1217" s="62" t="s">
        <v>221</v>
      </c>
      <c r="H1217" s="63" t="s">
        <v>195</v>
      </c>
      <c r="I1217" s="64" t="s">
        <v>267</v>
      </c>
      <c r="J1217" s="65" t="str">
        <f>IFERROR(INDEX('Cost_Components'!$K$2:$K$27,MATCH(E1217,'Cost_Components'!$A$2:$A$27,0)),"")</f>
      </c>
      <c r="K1217" s="66" t="str">
        <f>IF(OR(L1217="",Z1217="",AA1217="",AB1217=""),"",IF(B1217&lt;AA1217,L1217,IF(B1217&gt;AB1217,Z1217,L1217+(Z1217-L1217)*MIN(MAX((B1217-AA1217+1)/MAX(AB1217-AA1217+1,1),0),1))))</f>
      </c>
      <c r="L1217" s="67" t="str">
        <f>IFERROR(INDEX('Cost_Components'!$S$2:$S$27,MATCH(E1217,'Cost_Components'!$A$2:$A$27,0)),"")</f>
      </c>
      <c r="M1217" s="68" t="str">
        <f>IFERROR(INDEX('Cost_Components'!$L$2:$L$27,MATCH(E1217,'Cost_Components'!$A$2:$A$27,0)),"")</f>
      </c>
      <c r="N1217" s="69" t="str">
        <f>IFERROR(INDEX('Cost_Components'!$P$2:$P$27,MATCH(E1217,'Cost_Components'!$A$2:$A$27,0)),"")</f>
      </c>
      <c r="O1217" s="70" t="str">
        <f>AF1217*J1217</f>
      </c>
      <c r="P1217" s="71" t="str">
        <f>AG1217*J1217</f>
      </c>
      <c r="Q1217" s="72" t="str">
        <f>P1217*L1217*M1217*N1217</f>
      </c>
      <c r="R1217" s="73" t="str">
        <f>O1217*K1217*M1217*N1217</f>
      </c>
      <c r="S1217" s="74" t="str">
        <f>R1217-Q1217</f>
      </c>
      <c r="T1217" s="20" t="str">
        <f>IFERROR(INDEX('Cost_Components'!$R$2:$R$27,MATCH(E1217,'Cost_Components'!$A$2:$A$27,0)),"")</f>
      </c>
      <c r="U1217" s="75" t="str">
        <f>IFERROR(INDEX('Cost_Components'!$Q$2:$Q$27,MATCH(E1217,'Cost_Components'!$A$2:$A$27,0)),"")</f>
      </c>
      <c r="V1217" s="76" t="str">
        <f>1/(1+'Calculation_Assumptions'!$B$5)^(B1217-'Calculation_Assumptions'!$B$2)</f>
      </c>
      <c r="W1217" s="77" t="str">
        <f>Q1217*V1217</f>
      </c>
      <c r="X1217" s="78" t="str">
        <f>R1217*V1217</f>
      </c>
      <c r="Y1217" s="79" t="str">
        <f>S1217*V1217</f>
      </c>
      <c r="Z1217" s="80" t="str">
        <f>IFERROR(INDEX('Cost_Components'!$T$2:$T$27,MATCH(E1217,'Cost_Components'!$A$2:$A$27,0)),"")</f>
      </c>
      <c r="AA1217" s="81" t="str">
        <f>IFERROR(INDEX('Cost_Components'!$U$2:$U$27,MATCH(E1217,'Cost_Components'!$A$2:$A$27,0)),"")</f>
      </c>
      <c r="AB1217" s="82" t="str">
        <f>IFERROR(INDEX('Cost_Components'!$V$2:$V$27,MATCH(E1217,'Cost_Components'!$A$2:$A$27,0)),"")</f>
      </c>
      <c r="AC1217" s="83" t="str">
        <f>IFERROR(INDEX('Cost_Components'!$M$2:$M$27,MATCH(E1217,'Cost_Components'!$A$2:$A$27,0)),"")</f>
      </c>
      <c r="AD1217" s="84" t="str">
        <f>IFERROR(INDEX('Cost_Components'!$N$2:$N$27,MATCH(E1217,'Cost_Components'!$A$2:$A$27,0)),"")</f>
      </c>
      <c r="AE1217" s="20" t="str">
        <f>IFERROR(INDEX('Cost_Components'!$O$2:$O$27,MATCH(E1217,'Cost_Components'!$A$2:$A$27,0)),"")</f>
      </c>
      <c r="AF1217" s="85" t="n">
        <v>919768.723945934</v>
      </c>
      <c r="AG1217" s="86" t="n">
        <v>1029738.57625643</v>
      </c>
      <c r="AH1217" s="87" t="str">
        <f>IF(H1217="shared-count-once",COUNTIFS($A$2:$A$1353,A1217,$B$2:$B$1353,B1217,$E$2:$E$1353,E1217),1)</f>
      </c>
    </row>
    <row r="1218">
      <c r="A1218" t="s">
        <v>75</v>
      </c>
      <c r="B1218" s="59" t="n">
        <v>2045</v>
      </c>
      <c r="C1218" t="s">
        <v>220</v>
      </c>
      <c r="D1218" t="s">
        <v>176</v>
      </c>
      <c r="E1218" s="60" t="s">
        <v>311</v>
      </c>
      <c r="F1218" s="61" t="s">
        <v>312</v>
      </c>
      <c r="G1218" s="62" t="s">
        <v>221</v>
      </c>
      <c r="H1218" s="63" t="s">
        <v>195</v>
      </c>
      <c r="I1218" s="64" t="s">
        <v>267</v>
      </c>
      <c r="J1218" s="65" t="str">
        <f>IFERROR(INDEX('Cost_Components'!$K$2:$K$27,MATCH(E1218,'Cost_Components'!$A$2:$A$27,0)),"")</f>
      </c>
      <c r="K1218" s="66" t="str">
        <f>IF(OR(L1218="",Z1218="",AA1218="",AB1218=""),"",IF(B1218&lt;AA1218,L1218,IF(B1218&gt;AB1218,Z1218,L1218+(Z1218-L1218)*MIN(MAX((B1218-AA1218+1)/MAX(AB1218-AA1218+1,1),0),1))))</f>
      </c>
      <c r="L1218" s="67" t="str">
        <f>IFERROR(INDEX('Cost_Components'!$S$2:$S$27,MATCH(E1218,'Cost_Components'!$A$2:$A$27,0)),"")</f>
      </c>
      <c r="M1218" s="68" t="str">
        <f>IFERROR(INDEX('Cost_Components'!$L$2:$L$27,MATCH(E1218,'Cost_Components'!$A$2:$A$27,0)),"")</f>
      </c>
      <c r="N1218" s="69" t="str">
        <f>IFERROR(INDEX('Cost_Components'!$P$2:$P$27,MATCH(E1218,'Cost_Components'!$A$2:$A$27,0)),"")</f>
      </c>
      <c r="O1218" s="70" t="str">
        <f>AF1218*J1218</f>
      </c>
      <c r="P1218" s="71" t="str">
        <f>AG1218*J1218</f>
      </c>
      <c r="Q1218" s="72" t="str">
        <f>P1218*L1218*M1218*N1218</f>
      </c>
      <c r="R1218" s="73" t="str">
        <f>O1218*K1218*M1218*N1218</f>
      </c>
      <c r="S1218" s="74" t="str">
        <f>R1218-Q1218</f>
      </c>
      <c r="T1218" s="20" t="str">
        <f>IFERROR(INDEX('Cost_Components'!$R$2:$R$27,MATCH(E1218,'Cost_Components'!$A$2:$A$27,0)),"")</f>
      </c>
      <c r="U1218" s="75" t="str">
        <f>IFERROR(INDEX('Cost_Components'!$Q$2:$Q$27,MATCH(E1218,'Cost_Components'!$A$2:$A$27,0)),"")</f>
      </c>
      <c r="V1218" s="76" t="str">
        <f>1/(1+'Calculation_Assumptions'!$B$5)^(B1218-'Calculation_Assumptions'!$B$2)</f>
      </c>
      <c r="W1218" s="77" t="str">
        <f>Q1218*V1218</f>
      </c>
      <c r="X1218" s="78" t="str">
        <f>R1218*V1218</f>
      </c>
      <c r="Y1218" s="79" t="str">
        <f>S1218*V1218</f>
      </c>
      <c r="Z1218" s="80" t="str">
        <f>IFERROR(INDEX('Cost_Components'!$T$2:$T$27,MATCH(E1218,'Cost_Components'!$A$2:$A$27,0)),"")</f>
      </c>
      <c r="AA1218" s="81" t="str">
        <f>IFERROR(INDEX('Cost_Components'!$U$2:$U$27,MATCH(E1218,'Cost_Components'!$A$2:$A$27,0)),"")</f>
      </c>
      <c r="AB1218" s="82" t="str">
        <f>IFERROR(INDEX('Cost_Components'!$V$2:$V$27,MATCH(E1218,'Cost_Components'!$A$2:$A$27,0)),"")</f>
      </c>
      <c r="AC1218" s="83" t="str">
        <f>IFERROR(INDEX('Cost_Components'!$M$2:$M$27,MATCH(E1218,'Cost_Components'!$A$2:$A$27,0)),"")</f>
      </c>
      <c r="AD1218" s="84" t="str">
        <f>IFERROR(INDEX('Cost_Components'!$N$2:$N$27,MATCH(E1218,'Cost_Components'!$A$2:$A$27,0)),"")</f>
      </c>
      <c r="AE1218" s="20" t="str">
        <f>IFERROR(INDEX('Cost_Components'!$O$2:$O$27,MATCH(E1218,'Cost_Components'!$A$2:$A$27,0)),"")</f>
      </c>
      <c r="AF1218" s="85" t="n">
        <v>913377.334476566</v>
      </c>
      <c r="AG1218" s="86" t="n">
        <v>1029577.53333486</v>
      </c>
      <c r="AH1218" s="87" t="str">
        <f>IF(H1218="shared-count-once",COUNTIFS($A$2:$A$1353,A1218,$B$2:$B$1353,B1218,$E$2:$E$1353,E1218),1)</f>
      </c>
    </row>
    <row r="1219">
      <c r="A1219" t="s">
        <v>75</v>
      </c>
      <c r="B1219" s="59" t="n">
        <v>2046</v>
      </c>
      <c r="C1219" t="s">
        <v>220</v>
      </c>
      <c r="D1219" t="s">
        <v>176</v>
      </c>
      <c r="E1219" s="60" t="s">
        <v>311</v>
      </c>
      <c r="F1219" s="61" t="s">
        <v>312</v>
      </c>
      <c r="G1219" s="62" t="s">
        <v>221</v>
      </c>
      <c r="H1219" s="63" t="s">
        <v>195</v>
      </c>
      <c r="I1219" s="64" t="s">
        <v>267</v>
      </c>
      <c r="J1219" s="65" t="str">
        <f>IFERROR(INDEX('Cost_Components'!$K$2:$K$27,MATCH(E1219,'Cost_Components'!$A$2:$A$27,0)),"")</f>
      </c>
      <c r="K1219" s="66" t="str">
        <f>IF(OR(L1219="",Z1219="",AA1219="",AB1219=""),"",IF(B1219&lt;AA1219,L1219,IF(B1219&gt;AB1219,Z1219,L1219+(Z1219-L1219)*MIN(MAX((B1219-AA1219+1)/MAX(AB1219-AA1219+1,1),0),1))))</f>
      </c>
      <c r="L1219" s="67" t="str">
        <f>IFERROR(INDEX('Cost_Components'!$S$2:$S$27,MATCH(E1219,'Cost_Components'!$A$2:$A$27,0)),"")</f>
      </c>
      <c r="M1219" s="68" t="str">
        <f>IFERROR(INDEX('Cost_Components'!$L$2:$L$27,MATCH(E1219,'Cost_Components'!$A$2:$A$27,0)),"")</f>
      </c>
      <c r="N1219" s="69" t="str">
        <f>IFERROR(INDEX('Cost_Components'!$P$2:$P$27,MATCH(E1219,'Cost_Components'!$A$2:$A$27,0)),"")</f>
      </c>
      <c r="O1219" s="70" t="str">
        <f>AF1219*J1219</f>
      </c>
      <c r="P1219" s="71" t="str">
        <f>AG1219*J1219</f>
      </c>
      <c r="Q1219" s="72" t="str">
        <f>P1219*L1219*M1219*N1219</f>
      </c>
      <c r="R1219" s="73" t="str">
        <f>O1219*K1219*M1219*N1219</f>
      </c>
      <c r="S1219" s="74" t="str">
        <f>R1219-Q1219</f>
      </c>
      <c r="T1219" s="20" t="str">
        <f>IFERROR(INDEX('Cost_Components'!$R$2:$R$27,MATCH(E1219,'Cost_Components'!$A$2:$A$27,0)),"")</f>
      </c>
      <c r="U1219" s="75" t="str">
        <f>IFERROR(INDEX('Cost_Components'!$Q$2:$Q$27,MATCH(E1219,'Cost_Components'!$A$2:$A$27,0)),"")</f>
      </c>
      <c r="V1219" s="76" t="str">
        <f>1/(1+'Calculation_Assumptions'!$B$5)^(B1219-'Calculation_Assumptions'!$B$2)</f>
      </c>
      <c r="W1219" s="77" t="str">
        <f>Q1219*V1219</f>
      </c>
      <c r="X1219" s="78" t="str">
        <f>R1219*V1219</f>
      </c>
      <c r="Y1219" s="79" t="str">
        <f>S1219*V1219</f>
      </c>
      <c r="Z1219" s="80" t="str">
        <f>IFERROR(INDEX('Cost_Components'!$T$2:$T$27,MATCH(E1219,'Cost_Components'!$A$2:$A$27,0)),"")</f>
      </c>
      <c r="AA1219" s="81" t="str">
        <f>IFERROR(INDEX('Cost_Components'!$U$2:$U$27,MATCH(E1219,'Cost_Components'!$A$2:$A$27,0)),"")</f>
      </c>
      <c r="AB1219" s="82" t="str">
        <f>IFERROR(INDEX('Cost_Components'!$V$2:$V$27,MATCH(E1219,'Cost_Components'!$A$2:$A$27,0)),"")</f>
      </c>
      <c r="AC1219" s="83" t="str">
        <f>IFERROR(INDEX('Cost_Components'!$M$2:$M$27,MATCH(E1219,'Cost_Components'!$A$2:$A$27,0)),"")</f>
      </c>
      <c r="AD1219" s="84" t="str">
        <f>IFERROR(INDEX('Cost_Components'!$N$2:$N$27,MATCH(E1219,'Cost_Components'!$A$2:$A$27,0)),"")</f>
      </c>
      <c r="AE1219" s="20" t="str">
        <f>IFERROR(INDEX('Cost_Components'!$O$2:$O$27,MATCH(E1219,'Cost_Components'!$A$2:$A$27,0)),"")</f>
      </c>
      <c r="AF1219" s="85" t="n">
        <v>906437.338620107</v>
      </c>
      <c r="AG1219" s="86" t="n">
        <v>1028866.56593476</v>
      </c>
      <c r="AH1219" s="87" t="str">
        <f>IF(H1219="shared-count-once",COUNTIFS($A$2:$A$1353,A1219,$B$2:$B$1353,B1219,$E$2:$E$1353,E1219),1)</f>
      </c>
    </row>
    <row r="1220">
      <c r="A1220" t="s">
        <v>75</v>
      </c>
      <c r="B1220" s="59" t="n">
        <v>2047</v>
      </c>
      <c r="C1220" t="s">
        <v>220</v>
      </c>
      <c r="D1220" t="s">
        <v>176</v>
      </c>
      <c r="E1220" s="60" t="s">
        <v>311</v>
      </c>
      <c r="F1220" s="61" t="s">
        <v>312</v>
      </c>
      <c r="G1220" s="62" t="s">
        <v>221</v>
      </c>
      <c r="H1220" s="63" t="s">
        <v>195</v>
      </c>
      <c r="I1220" s="64" t="s">
        <v>267</v>
      </c>
      <c r="J1220" s="65" t="str">
        <f>IFERROR(INDEX('Cost_Components'!$K$2:$K$27,MATCH(E1220,'Cost_Components'!$A$2:$A$27,0)),"")</f>
      </c>
      <c r="K1220" s="66" t="str">
        <f>IF(OR(L1220="",Z1220="",AA1220="",AB1220=""),"",IF(B1220&lt;AA1220,L1220,IF(B1220&gt;AB1220,Z1220,L1220+(Z1220-L1220)*MIN(MAX((B1220-AA1220+1)/MAX(AB1220-AA1220+1,1),0),1))))</f>
      </c>
      <c r="L1220" s="67" t="str">
        <f>IFERROR(INDEX('Cost_Components'!$S$2:$S$27,MATCH(E1220,'Cost_Components'!$A$2:$A$27,0)),"")</f>
      </c>
      <c r="M1220" s="68" t="str">
        <f>IFERROR(INDEX('Cost_Components'!$L$2:$L$27,MATCH(E1220,'Cost_Components'!$A$2:$A$27,0)),"")</f>
      </c>
      <c r="N1220" s="69" t="str">
        <f>IFERROR(INDEX('Cost_Components'!$P$2:$P$27,MATCH(E1220,'Cost_Components'!$A$2:$A$27,0)),"")</f>
      </c>
      <c r="O1220" s="70" t="str">
        <f>AF1220*J1220</f>
      </c>
      <c r="P1220" s="71" t="str">
        <f>AG1220*J1220</f>
      </c>
      <c r="Q1220" s="72" t="str">
        <f>P1220*L1220*M1220*N1220</f>
      </c>
      <c r="R1220" s="73" t="str">
        <f>O1220*K1220*M1220*N1220</f>
      </c>
      <c r="S1220" s="74" t="str">
        <f>R1220-Q1220</f>
      </c>
      <c r="T1220" s="20" t="str">
        <f>IFERROR(INDEX('Cost_Components'!$R$2:$R$27,MATCH(E1220,'Cost_Components'!$A$2:$A$27,0)),"")</f>
      </c>
      <c r="U1220" s="75" t="str">
        <f>IFERROR(INDEX('Cost_Components'!$Q$2:$Q$27,MATCH(E1220,'Cost_Components'!$A$2:$A$27,0)),"")</f>
      </c>
      <c r="V1220" s="76" t="str">
        <f>1/(1+'Calculation_Assumptions'!$B$5)^(B1220-'Calculation_Assumptions'!$B$2)</f>
      </c>
      <c r="W1220" s="77" t="str">
        <f>Q1220*V1220</f>
      </c>
      <c r="X1220" s="78" t="str">
        <f>R1220*V1220</f>
      </c>
      <c r="Y1220" s="79" t="str">
        <f>S1220*V1220</f>
      </c>
      <c r="Z1220" s="80" t="str">
        <f>IFERROR(INDEX('Cost_Components'!$T$2:$T$27,MATCH(E1220,'Cost_Components'!$A$2:$A$27,0)),"")</f>
      </c>
      <c r="AA1220" s="81" t="str">
        <f>IFERROR(INDEX('Cost_Components'!$U$2:$U$27,MATCH(E1220,'Cost_Components'!$A$2:$A$27,0)),"")</f>
      </c>
      <c r="AB1220" s="82" t="str">
        <f>IFERROR(INDEX('Cost_Components'!$V$2:$V$27,MATCH(E1220,'Cost_Components'!$A$2:$A$27,0)),"")</f>
      </c>
      <c r="AC1220" s="83" t="str">
        <f>IFERROR(INDEX('Cost_Components'!$M$2:$M$27,MATCH(E1220,'Cost_Components'!$A$2:$A$27,0)),"")</f>
      </c>
      <c r="AD1220" s="84" t="str">
        <f>IFERROR(INDEX('Cost_Components'!$N$2:$N$27,MATCH(E1220,'Cost_Components'!$A$2:$A$27,0)),"")</f>
      </c>
      <c r="AE1220" s="20" t="str">
        <f>IFERROR(INDEX('Cost_Components'!$O$2:$O$27,MATCH(E1220,'Cost_Components'!$A$2:$A$27,0)),"")</f>
      </c>
      <c r="AF1220" s="85" t="n">
        <v>898585.657102358</v>
      </c>
      <c r="AG1220" s="86" t="n">
        <v>1027218.46073044</v>
      </c>
      <c r="AH1220" s="87" t="str">
        <f>IF(H1220="shared-count-once",COUNTIFS($A$2:$A$1353,A1220,$B$2:$B$1353,B1220,$E$2:$E$1353,E1220),1)</f>
      </c>
    </row>
    <row r="1221">
      <c r="A1221" t="s">
        <v>75</v>
      </c>
      <c r="B1221" s="59" t="n">
        <v>2048</v>
      </c>
      <c r="C1221" t="s">
        <v>220</v>
      </c>
      <c r="D1221" t="s">
        <v>176</v>
      </c>
      <c r="E1221" s="60" t="s">
        <v>311</v>
      </c>
      <c r="F1221" s="61" t="s">
        <v>312</v>
      </c>
      <c r="G1221" s="62" t="s">
        <v>221</v>
      </c>
      <c r="H1221" s="63" t="s">
        <v>195</v>
      </c>
      <c r="I1221" s="64" t="s">
        <v>267</v>
      </c>
      <c r="J1221" s="65" t="str">
        <f>IFERROR(INDEX('Cost_Components'!$K$2:$K$27,MATCH(E1221,'Cost_Components'!$A$2:$A$27,0)),"")</f>
      </c>
      <c r="K1221" s="66" t="str">
        <f>IF(OR(L1221="",Z1221="",AA1221="",AB1221=""),"",IF(B1221&lt;AA1221,L1221,IF(B1221&gt;AB1221,Z1221,L1221+(Z1221-L1221)*MIN(MAX((B1221-AA1221+1)/MAX(AB1221-AA1221+1,1),0),1))))</f>
      </c>
      <c r="L1221" s="67" t="str">
        <f>IFERROR(INDEX('Cost_Components'!$S$2:$S$27,MATCH(E1221,'Cost_Components'!$A$2:$A$27,0)),"")</f>
      </c>
      <c r="M1221" s="68" t="str">
        <f>IFERROR(INDEX('Cost_Components'!$L$2:$L$27,MATCH(E1221,'Cost_Components'!$A$2:$A$27,0)),"")</f>
      </c>
      <c r="N1221" s="69" t="str">
        <f>IFERROR(INDEX('Cost_Components'!$P$2:$P$27,MATCH(E1221,'Cost_Components'!$A$2:$A$27,0)),"")</f>
      </c>
      <c r="O1221" s="70" t="str">
        <f>AF1221*J1221</f>
      </c>
      <c r="P1221" s="71" t="str">
        <f>AG1221*J1221</f>
      </c>
      <c r="Q1221" s="72" t="str">
        <f>P1221*L1221*M1221*N1221</f>
      </c>
      <c r="R1221" s="73" t="str">
        <f>O1221*K1221*M1221*N1221</f>
      </c>
      <c r="S1221" s="74" t="str">
        <f>R1221-Q1221</f>
      </c>
      <c r="T1221" s="20" t="str">
        <f>IFERROR(INDEX('Cost_Components'!$R$2:$R$27,MATCH(E1221,'Cost_Components'!$A$2:$A$27,0)),"")</f>
      </c>
      <c r="U1221" s="75" t="str">
        <f>IFERROR(INDEX('Cost_Components'!$Q$2:$Q$27,MATCH(E1221,'Cost_Components'!$A$2:$A$27,0)),"")</f>
      </c>
      <c r="V1221" s="76" t="str">
        <f>1/(1+'Calculation_Assumptions'!$B$5)^(B1221-'Calculation_Assumptions'!$B$2)</f>
      </c>
      <c r="W1221" s="77" t="str">
        <f>Q1221*V1221</f>
      </c>
      <c r="X1221" s="78" t="str">
        <f>R1221*V1221</f>
      </c>
      <c r="Y1221" s="79" t="str">
        <f>S1221*V1221</f>
      </c>
      <c r="Z1221" s="80" t="str">
        <f>IFERROR(INDEX('Cost_Components'!$T$2:$T$27,MATCH(E1221,'Cost_Components'!$A$2:$A$27,0)),"")</f>
      </c>
      <c r="AA1221" s="81" t="str">
        <f>IFERROR(INDEX('Cost_Components'!$U$2:$U$27,MATCH(E1221,'Cost_Components'!$A$2:$A$27,0)),"")</f>
      </c>
      <c r="AB1221" s="82" t="str">
        <f>IFERROR(INDEX('Cost_Components'!$V$2:$V$27,MATCH(E1221,'Cost_Components'!$A$2:$A$27,0)),"")</f>
      </c>
      <c r="AC1221" s="83" t="str">
        <f>IFERROR(INDEX('Cost_Components'!$M$2:$M$27,MATCH(E1221,'Cost_Components'!$A$2:$A$27,0)),"")</f>
      </c>
      <c r="AD1221" s="84" t="str">
        <f>IFERROR(INDEX('Cost_Components'!$N$2:$N$27,MATCH(E1221,'Cost_Components'!$A$2:$A$27,0)),"")</f>
      </c>
      <c r="AE1221" s="20" t="str">
        <f>IFERROR(INDEX('Cost_Components'!$O$2:$O$27,MATCH(E1221,'Cost_Components'!$A$2:$A$27,0)),"")</f>
      </c>
      <c r="AF1221" s="85" t="n">
        <v>890414.472065847</v>
      </c>
      <c r="AG1221" s="86" t="n">
        <v>1025172.23441339</v>
      </c>
      <c r="AH1221" s="87" t="str">
        <f>IF(H1221="shared-count-once",COUNTIFS($A$2:$A$1353,A1221,$B$2:$B$1353,B1221,$E$2:$E$1353,E1221),1)</f>
      </c>
    </row>
    <row r="1222">
      <c r="A1222" t="s">
        <v>75</v>
      </c>
      <c r="B1222" s="59" t="n">
        <v>2049</v>
      </c>
      <c r="C1222" t="s">
        <v>220</v>
      </c>
      <c r="D1222" t="s">
        <v>176</v>
      </c>
      <c r="E1222" s="60" t="s">
        <v>311</v>
      </c>
      <c r="F1222" s="61" t="s">
        <v>312</v>
      </c>
      <c r="G1222" s="62" t="s">
        <v>221</v>
      </c>
      <c r="H1222" s="63" t="s">
        <v>195</v>
      </c>
      <c r="I1222" s="64" t="s">
        <v>267</v>
      </c>
      <c r="J1222" s="65" t="str">
        <f>IFERROR(INDEX('Cost_Components'!$K$2:$K$27,MATCH(E1222,'Cost_Components'!$A$2:$A$27,0)),"")</f>
      </c>
      <c r="K1222" s="66" t="str">
        <f>IF(OR(L1222="",Z1222="",AA1222="",AB1222=""),"",IF(B1222&lt;AA1222,L1222,IF(B1222&gt;AB1222,Z1222,L1222+(Z1222-L1222)*MIN(MAX((B1222-AA1222+1)/MAX(AB1222-AA1222+1,1),0),1))))</f>
      </c>
      <c r="L1222" s="67" t="str">
        <f>IFERROR(INDEX('Cost_Components'!$S$2:$S$27,MATCH(E1222,'Cost_Components'!$A$2:$A$27,0)),"")</f>
      </c>
      <c r="M1222" s="68" t="str">
        <f>IFERROR(INDEX('Cost_Components'!$L$2:$L$27,MATCH(E1222,'Cost_Components'!$A$2:$A$27,0)),"")</f>
      </c>
      <c r="N1222" s="69" t="str">
        <f>IFERROR(INDEX('Cost_Components'!$P$2:$P$27,MATCH(E1222,'Cost_Components'!$A$2:$A$27,0)),"")</f>
      </c>
      <c r="O1222" s="70" t="str">
        <f>AF1222*J1222</f>
      </c>
      <c r="P1222" s="71" t="str">
        <f>AG1222*J1222</f>
      </c>
      <c r="Q1222" s="72" t="str">
        <f>P1222*L1222*M1222*N1222</f>
      </c>
      <c r="R1222" s="73" t="str">
        <f>O1222*K1222*M1222*N1222</f>
      </c>
      <c r="S1222" s="74" t="str">
        <f>R1222-Q1222</f>
      </c>
      <c r="T1222" s="20" t="str">
        <f>IFERROR(INDEX('Cost_Components'!$R$2:$R$27,MATCH(E1222,'Cost_Components'!$A$2:$A$27,0)),"")</f>
      </c>
      <c r="U1222" s="75" t="str">
        <f>IFERROR(INDEX('Cost_Components'!$Q$2:$Q$27,MATCH(E1222,'Cost_Components'!$A$2:$A$27,0)),"")</f>
      </c>
      <c r="V1222" s="76" t="str">
        <f>1/(1+'Calculation_Assumptions'!$B$5)^(B1222-'Calculation_Assumptions'!$B$2)</f>
      </c>
      <c r="W1222" s="77" t="str">
        <f>Q1222*V1222</f>
      </c>
      <c r="X1222" s="78" t="str">
        <f>R1222*V1222</f>
      </c>
      <c r="Y1222" s="79" t="str">
        <f>S1222*V1222</f>
      </c>
      <c r="Z1222" s="80" t="str">
        <f>IFERROR(INDEX('Cost_Components'!$T$2:$T$27,MATCH(E1222,'Cost_Components'!$A$2:$A$27,0)),"")</f>
      </c>
      <c r="AA1222" s="81" t="str">
        <f>IFERROR(INDEX('Cost_Components'!$U$2:$U$27,MATCH(E1222,'Cost_Components'!$A$2:$A$27,0)),"")</f>
      </c>
      <c r="AB1222" s="82" t="str">
        <f>IFERROR(INDEX('Cost_Components'!$V$2:$V$27,MATCH(E1222,'Cost_Components'!$A$2:$A$27,0)),"")</f>
      </c>
      <c r="AC1222" s="83" t="str">
        <f>IFERROR(INDEX('Cost_Components'!$M$2:$M$27,MATCH(E1222,'Cost_Components'!$A$2:$A$27,0)),"")</f>
      </c>
      <c r="AD1222" s="84" t="str">
        <f>IFERROR(INDEX('Cost_Components'!$N$2:$N$27,MATCH(E1222,'Cost_Components'!$A$2:$A$27,0)),"")</f>
      </c>
      <c r="AE1222" s="20" t="str">
        <f>IFERROR(INDEX('Cost_Components'!$O$2:$O$27,MATCH(E1222,'Cost_Components'!$A$2:$A$27,0)),"")</f>
      </c>
      <c r="AF1222" s="85" t="n">
        <v>882816.478347675</v>
      </c>
      <c r="AG1222" s="86" t="n">
        <v>1023604.9725096</v>
      </c>
      <c r="AH1222" s="87" t="str">
        <f>IF(H1222="shared-count-once",COUNTIFS($A$2:$A$1353,A1222,$B$2:$B$1353,B1222,$E$2:$E$1353,E1222),1)</f>
      </c>
    </row>
    <row r="1223">
      <c r="A1223" t="s">
        <v>75</v>
      </c>
      <c r="B1223" s="59" t="n">
        <v>2050</v>
      </c>
      <c r="C1223" t="s">
        <v>220</v>
      </c>
      <c r="D1223" t="s">
        <v>176</v>
      </c>
      <c r="E1223" s="60" t="s">
        <v>311</v>
      </c>
      <c r="F1223" s="61" t="s">
        <v>312</v>
      </c>
      <c r="G1223" s="62" t="s">
        <v>221</v>
      </c>
      <c r="H1223" s="63" t="s">
        <v>195</v>
      </c>
      <c r="I1223" s="64" t="s">
        <v>267</v>
      </c>
      <c r="J1223" s="65" t="str">
        <f>IFERROR(INDEX('Cost_Components'!$K$2:$K$27,MATCH(E1223,'Cost_Components'!$A$2:$A$27,0)),"")</f>
      </c>
      <c r="K1223" s="66" t="str">
        <f>IF(OR(L1223="",Z1223="",AA1223="",AB1223=""),"",IF(B1223&lt;AA1223,L1223,IF(B1223&gt;AB1223,Z1223,L1223+(Z1223-L1223)*MIN(MAX((B1223-AA1223+1)/MAX(AB1223-AA1223+1,1),0),1))))</f>
      </c>
      <c r="L1223" s="67" t="str">
        <f>IFERROR(INDEX('Cost_Components'!$S$2:$S$27,MATCH(E1223,'Cost_Components'!$A$2:$A$27,0)),"")</f>
      </c>
      <c r="M1223" s="68" t="str">
        <f>IFERROR(INDEX('Cost_Components'!$L$2:$L$27,MATCH(E1223,'Cost_Components'!$A$2:$A$27,0)),"")</f>
      </c>
      <c r="N1223" s="69" t="str">
        <f>IFERROR(INDEX('Cost_Components'!$P$2:$P$27,MATCH(E1223,'Cost_Components'!$A$2:$A$27,0)),"")</f>
      </c>
      <c r="O1223" s="70" t="str">
        <f>AF1223*J1223</f>
      </c>
      <c r="P1223" s="71" t="str">
        <f>AG1223*J1223</f>
      </c>
      <c r="Q1223" s="72" t="str">
        <f>P1223*L1223*M1223*N1223</f>
      </c>
      <c r="R1223" s="73" t="str">
        <f>O1223*K1223*M1223*N1223</f>
      </c>
      <c r="S1223" s="74" t="str">
        <f>R1223-Q1223</f>
      </c>
      <c r="T1223" s="20" t="str">
        <f>IFERROR(INDEX('Cost_Components'!$R$2:$R$27,MATCH(E1223,'Cost_Components'!$A$2:$A$27,0)),"")</f>
      </c>
      <c r="U1223" s="75" t="str">
        <f>IFERROR(INDEX('Cost_Components'!$Q$2:$Q$27,MATCH(E1223,'Cost_Components'!$A$2:$A$27,0)),"")</f>
      </c>
      <c r="V1223" s="76" t="str">
        <f>1/(1+'Calculation_Assumptions'!$B$5)^(B1223-'Calculation_Assumptions'!$B$2)</f>
      </c>
      <c r="W1223" s="77" t="str">
        <f>Q1223*V1223</f>
      </c>
      <c r="X1223" s="78" t="str">
        <f>R1223*V1223</f>
      </c>
      <c r="Y1223" s="79" t="str">
        <f>S1223*V1223</f>
      </c>
      <c r="Z1223" s="80" t="str">
        <f>IFERROR(INDEX('Cost_Components'!$T$2:$T$27,MATCH(E1223,'Cost_Components'!$A$2:$A$27,0)),"")</f>
      </c>
      <c r="AA1223" s="81" t="str">
        <f>IFERROR(INDEX('Cost_Components'!$U$2:$U$27,MATCH(E1223,'Cost_Components'!$A$2:$A$27,0)),"")</f>
      </c>
      <c r="AB1223" s="82" t="str">
        <f>IFERROR(INDEX('Cost_Components'!$V$2:$V$27,MATCH(E1223,'Cost_Components'!$A$2:$A$27,0)),"")</f>
      </c>
      <c r="AC1223" s="83" t="str">
        <f>IFERROR(INDEX('Cost_Components'!$M$2:$M$27,MATCH(E1223,'Cost_Components'!$A$2:$A$27,0)),"")</f>
      </c>
      <c r="AD1223" s="84" t="str">
        <f>IFERROR(INDEX('Cost_Components'!$N$2:$N$27,MATCH(E1223,'Cost_Components'!$A$2:$A$27,0)),"")</f>
      </c>
      <c r="AE1223" s="20" t="str">
        <f>IFERROR(INDEX('Cost_Components'!$O$2:$O$27,MATCH(E1223,'Cost_Components'!$A$2:$A$27,0)),"")</f>
      </c>
      <c r="AF1223" s="85" t="n">
        <v>875092.717293385</v>
      </c>
      <c r="AG1223" s="86" t="n">
        <v>1021857.00763941</v>
      </c>
      <c r="AH1223" s="87" t="str">
        <f>IF(H1223="shared-count-once",COUNTIFS($A$2:$A$1353,A1223,$B$2:$B$1353,B1223,$E$2:$E$1353,E1223),1)</f>
      </c>
    </row>
    <row r="1224">
      <c r="A1224" t="s">
        <v>75</v>
      </c>
      <c r="B1224" s="59" t="n">
        <v>2025</v>
      </c>
      <c r="C1224" t="s">
        <v>220</v>
      </c>
      <c r="D1224" t="s">
        <v>176</v>
      </c>
      <c r="E1224" s="60" t="s">
        <v>313</v>
      </c>
      <c r="F1224" s="61" t="s">
        <v>314</v>
      </c>
      <c r="G1224" s="62" t="s">
        <v>221</v>
      </c>
      <c r="H1224" s="63" t="s">
        <v>195</v>
      </c>
      <c r="I1224" s="64" t="s">
        <v>267</v>
      </c>
      <c r="J1224" s="65" t="str">
        <f>IFERROR(INDEX('Cost_Components'!$K$2:$K$27,MATCH(E1224,'Cost_Components'!$A$2:$A$27,0)),"")</f>
      </c>
      <c r="K1224" s="66" t="str">
        <f>IF(OR(L1224="",Z1224="",AA1224="",AB1224=""),"",IF(B1224&lt;AA1224,L1224,IF(B1224&gt;AB1224,Z1224,L1224+(Z1224-L1224)*MIN(MAX((B1224-AA1224+1)/MAX(AB1224-AA1224+1,1),0),1))))</f>
      </c>
      <c r="L1224" s="67" t="str">
        <f>IFERROR(INDEX('Cost_Components'!$S$2:$S$27,MATCH(E1224,'Cost_Components'!$A$2:$A$27,0)),"")</f>
      </c>
      <c r="M1224" s="68" t="str">
        <f>IFERROR(INDEX('Cost_Components'!$L$2:$L$27,MATCH(E1224,'Cost_Components'!$A$2:$A$27,0)),"")</f>
      </c>
      <c r="N1224" s="69" t="str">
        <f>IFERROR(INDEX('Cost_Components'!$P$2:$P$27,MATCH(E1224,'Cost_Components'!$A$2:$A$27,0)),"")</f>
      </c>
      <c r="O1224" s="70" t="str">
        <f>AF1224*J1224</f>
      </c>
      <c r="P1224" s="71" t="str">
        <f>AG1224*J1224</f>
      </c>
      <c r="Q1224" s="72" t="str">
        <f>P1224*L1224*M1224*N1224</f>
      </c>
      <c r="R1224" s="73" t="str">
        <f>O1224*K1224*M1224*N1224</f>
      </c>
      <c r="S1224" s="74" t="str">
        <f>R1224-Q1224</f>
      </c>
      <c r="T1224" s="20" t="str">
        <f>IFERROR(INDEX('Cost_Components'!$R$2:$R$27,MATCH(E1224,'Cost_Components'!$A$2:$A$27,0)),"")</f>
      </c>
      <c r="U1224" s="75" t="str">
        <f>IFERROR(INDEX('Cost_Components'!$Q$2:$Q$27,MATCH(E1224,'Cost_Components'!$A$2:$A$27,0)),"")</f>
      </c>
      <c r="V1224" s="76" t="str">
        <f>1/(1+'Calculation_Assumptions'!$B$5)^(B1224-'Calculation_Assumptions'!$B$2)</f>
      </c>
      <c r="W1224" s="77" t="str">
        <f>Q1224*V1224</f>
      </c>
      <c r="X1224" s="78" t="str">
        <f>R1224*V1224</f>
      </c>
      <c r="Y1224" s="79" t="str">
        <f>S1224*V1224</f>
      </c>
      <c r="Z1224" s="80" t="str">
        <f>IFERROR(INDEX('Cost_Components'!$T$2:$T$27,MATCH(E1224,'Cost_Components'!$A$2:$A$27,0)),"")</f>
      </c>
      <c r="AA1224" s="81" t="str">
        <f>IFERROR(INDEX('Cost_Components'!$U$2:$U$27,MATCH(E1224,'Cost_Components'!$A$2:$A$27,0)),"")</f>
      </c>
      <c r="AB1224" s="82" t="str">
        <f>IFERROR(INDEX('Cost_Components'!$V$2:$V$27,MATCH(E1224,'Cost_Components'!$A$2:$A$27,0)),"")</f>
      </c>
      <c r="AC1224" s="83" t="str">
        <f>IFERROR(INDEX('Cost_Components'!$M$2:$M$27,MATCH(E1224,'Cost_Components'!$A$2:$A$27,0)),"")</f>
      </c>
      <c r="AD1224" s="84" t="str">
        <f>IFERROR(INDEX('Cost_Components'!$N$2:$N$27,MATCH(E1224,'Cost_Components'!$A$2:$A$27,0)),"")</f>
      </c>
      <c r="AE1224" s="20" t="str">
        <f>IFERROR(INDEX('Cost_Components'!$O$2:$O$27,MATCH(E1224,'Cost_Components'!$A$2:$A$27,0)),"")</f>
      </c>
      <c r="AF1224" s="85" t="n">
        <v>995498.504598542</v>
      </c>
      <c r="AG1224" s="86" t="n">
        <v>997482.980607753</v>
      </c>
      <c r="AH1224" s="87" t="str">
        <f>IF(H1224="shared-count-once",COUNTIFS($A$2:$A$1353,A1224,$B$2:$B$1353,B1224,$E$2:$E$1353,E1224),1)</f>
      </c>
    </row>
    <row r="1225">
      <c r="A1225" t="s">
        <v>75</v>
      </c>
      <c r="B1225" s="59" t="n">
        <v>2026</v>
      </c>
      <c r="C1225" t="s">
        <v>220</v>
      </c>
      <c r="D1225" t="s">
        <v>176</v>
      </c>
      <c r="E1225" s="60" t="s">
        <v>313</v>
      </c>
      <c r="F1225" s="61" t="s">
        <v>314</v>
      </c>
      <c r="G1225" s="62" t="s">
        <v>221</v>
      </c>
      <c r="H1225" s="63" t="s">
        <v>195</v>
      </c>
      <c r="I1225" s="64" t="s">
        <v>267</v>
      </c>
      <c r="J1225" s="65" t="str">
        <f>IFERROR(INDEX('Cost_Components'!$K$2:$K$27,MATCH(E1225,'Cost_Components'!$A$2:$A$27,0)),"")</f>
      </c>
      <c r="K1225" s="66" t="str">
        <f>IF(OR(L1225="",Z1225="",AA1225="",AB1225=""),"",IF(B1225&lt;AA1225,L1225,IF(B1225&gt;AB1225,Z1225,L1225+(Z1225-L1225)*MIN(MAX((B1225-AA1225+1)/MAX(AB1225-AA1225+1,1),0),1))))</f>
      </c>
      <c r="L1225" s="67" t="str">
        <f>IFERROR(INDEX('Cost_Components'!$S$2:$S$27,MATCH(E1225,'Cost_Components'!$A$2:$A$27,0)),"")</f>
      </c>
      <c r="M1225" s="68" t="str">
        <f>IFERROR(INDEX('Cost_Components'!$L$2:$L$27,MATCH(E1225,'Cost_Components'!$A$2:$A$27,0)),"")</f>
      </c>
      <c r="N1225" s="69" t="str">
        <f>IFERROR(INDEX('Cost_Components'!$P$2:$P$27,MATCH(E1225,'Cost_Components'!$A$2:$A$27,0)),"")</f>
      </c>
      <c r="O1225" s="70" t="str">
        <f>AF1225*J1225</f>
      </c>
      <c r="P1225" s="71" t="str">
        <f>AG1225*J1225</f>
      </c>
      <c r="Q1225" s="72" t="str">
        <f>P1225*L1225*M1225*N1225</f>
      </c>
      <c r="R1225" s="73" t="str">
        <f>O1225*K1225*M1225*N1225</f>
      </c>
      <c r="S1225" s="74" t="str">
        <f>R1225-Q1225</f>
      </c>
      <c r="T1225" s="20" t="str">
        <f>IFERROR(INDEX('Cost_Components'!$R$2:$R$27,MATCH(E1225,'Cost_Components'!$A$2:$A$27,0)),"")</f>
      </c>
      <c r="U1225" s="75" t="str">
        <f>IFERROR(INDEX('Cost_Components'!$Q$2:$Q$27,MATCH(E1225,'Cost_Components'!$A$2:$A$27,0)),"")</f>
      </c>
      <c r="V1225" s="76" t="str">
        <f>1/(1+'Calculation_Assumptions'!$B$5)^(B1225-'Calculation_Assumptions'!$B$2)</f>
      </c>
      <c r="W1225" s="77" t="str">
        <f>Q1225*V1225</f>
      </c>
      <c r="X1225" s="78" t="str">
        <f>R1225*V1225</f>
      </c>
      <c r="Y1225" s="79" t="str">
        <f>S1225*V1225</f>
      </c>
      <c r="Z1225" s="80" t="str">
        <f>IFERROR(INDEX('Cost_Components'!$T$2:$T$27,MATCH(E1225,'Cost_Components'!$A$2:$A$27,0)),"")</f>
      </c>
      <c r="AA1225" s="81" t="str">
        <f>IFERROR(INDEX('Cost_Components'!$U$2:$U$27,MATCH(E1225,'Cost_Components'!$A$2:$A$27,0)),"")</f>
      </c>
      <c r="AB1225" s="82" t="str">
        <f>IFERROR(INDEX('Cost_Components'!$V$2:$V$27,MATCH(E1225,'Cost_Components'!$A$2:$A$27,0)),"")</f>
      </c>
      <c r="AC1225" s="83" t="str">
        <f>IFERROR(INDEX('Cost_Components'!$M$2:$M$27,MATCH(E1225,'Cost_Components'!$A$2:$A$27,0)),"")</f>
      </c>
      <c r="AD1225" s="84" t="str">
        <f>IFERROR(INDEX('Cost_Components'!$N$2:$N$27,MATCH(E1225,'Cost_Components'!$A$2:$A$27,0)),"")</f>
      </c>
      <c r="AE1225" s="20" t="str">
        <f>IFERROR(INDEX('Cost_Components'!$O$2:$O$27,MATCH(E1225,'Cost_Components'!$A$2:$A$27,0)),"")</f>
      </c>
      <c r="AF1225" s="85" t="n">
        <v>998630.394706091</v>
      </c>
      <c r="AG1225" s="86" t="n">
        <v>1003711.27901421</v>
      </c>
      <c r="AH1225" s="87" t="str">
        <f>IF(H1225="shared-count-once",COUNTIFS($A$2:$A$1353,A1225,$B$2:$B$1353,B1225,$E$2:$E$1353,E1225),1)</f>
      </c>
    </row>
    <row r="1226">
      <c r="A1226" t="s">
        <v>75</v>
      </c>
      <c r="B1226" s="59" t="n">
        <v>2027</v>
      </c>
      <c r="C1226" t="s">
        <v>220</v>
      </c>
      <c r="D1226" t="s">
        <v>176</v>
      </c>
      <c r="E1226" s="60" t="s">
        <v>313</v>
      </c>
      <c r="F1226" s="61" t="s">
        <v>314</v>
      </c>
      <c r="G1226" s="62" t="s">
        <v>221</v>
      </c>
      <c r="H1226" s="63" t="s">
        <v>195</v>
      </c>
      <c r="I1226" s="64" t="s">
        <v>267</v>
      </c>
      <c r="J1226" s="65" t="str">
        <f>IFERROR(INDEX('Cost_Components'!$K$2:$K$27,MATCH(E1226,'Cost_Components'!$A$2:$A$27,0)),"")</f>
      </c>
      <c r="K1226" s="66" t="str">
        <f>IF(OR(L1226="",Z1226="",AA1226="",AB1226=""),"",IF(B1226&lt;AA1226,L1226,IF(B1226&gt;AB1226,Z1226,L1226+(Z1226-L1226)*MIN(MAX((B1226-AA1226+1)/MAX(AB1226-AA1226+1,1),0),1))))</f>
      </c>
      <c r="L1226" s="67" t="str">
        <f>IFERROR(INDEX('Cost_Components'!$S$2:$S$27,MATCH(E1226,'Cost_Components'!$A$2:$A$27,0)),"")</f>
      </c>
      <c r="M1226" s="68" t="str">
        <f>IFERROR(INDEX('Cost_Components'!$L$2:$L$27,MATCH(E1226,'Cost_Components'!$A$2:$A$27,0)),"")</f>
      </c>
      <c r="N1226" s="69" t="str">
        <f>IFERROR(INDEX('Cost_Components'!$P$2:$P$27,MATCH(E1226,'Cost_Components'!$A$2:$A$27,0)),"")</f>
      </c>
      <c r="O1226" s="70" t="str">
        <f>AF1226*J1226</f>
      </c>
      <c r="P1226" s="71" t="str">
        <f>AG1226*J1226</f>
      </c>
      <c r="Q1226" s="72" t="str">
        <f>P1226*L1226*M1226*N1226</f>
      </c>
      <c r="R1226" s="73" t="str">
        <f>O1226*K1226*M1226*N1226</f>
      </c>
      <c r="S1226" s="74" t="str">
        <f>R1226-Q1226</f>
      </c>
      <c r="T1226" s="20" t="str">
        <f>IFERROR(INDEX('Cost_Components'!$R$2:$R$27,MATCH(E1226,'Cost_Components'!$A$2:$A$27,0)),"")</f>
      </c>
      <c r="U1226" s="75" t="str">
        <f>IFERROR(INDEX('Cost_Components'!$Q$2:$Q$27,MATCH(E1226,'Cost_Components'!$A$2:$A$27,0)),"")</f>
      </c>
      <c r="V1226" s="76" t="str">
        <f>1/(1+'Calculation_Assumptions'!$B$5)^(B1226-'Calculation_Assumptions'!$B$2)</f>
      </c>
      <c r="W1226" s="77" t="str">
        <f>Q1226*V1226</f>
      </c>
      <c r="X1226" s="78" t="str">
        <f>R1226*V1226</f>
      </c>
      <c r="Y1226" s="79" t="str">
        <f>S1226*V1226</f>
      </c>
      <c r="Z1226" s="80" t="str">
        <f>IFERROR(INDEX('Cost_Components'!$T$2:$T$27,MATCH(E1226,'Cost_Components'!$A$2:$A$27,0)),"")</f>
      </c>
      <c r="AA1226" s="81" t="str">
        <f>IFERROR(INDEX('Cost_Components'!$U$2:$U$27,MATCH(E1226,'Cost_Components'!$A$2:$A$27,0)),"")</f>
      </c>
      <c r="AB1226" s="82" t="str">
        <f>IFERROR(INDEX('Cost_Components'!$V$2:$V$27,MATCH(E1226,'Cost_Components'!$A$2:$A$27,0)),"")</f>
      </c>
      <c r="AC1226" s="83" t="str">
        <f>IFERROR(INDEX('Cost_Components'!$M$2:$M$27,MATCH(E1226,'Cost_Components'!$A$2:$A$27,0)),"")</f>
      </c>
      <c r="AD1226" s="84" t="str">
        <f>IFERROR(INDEX('Cost_Components'!$N$2:$N$27,MATCH(E1226,'Cost_Components'!$A$2:$A$27,0)),"")</f>
      </c>
      <c r="AE1226" s="20" t="str">
        <f>IFERROR(INDEX('Cost_Components'!$O$2:$O$27,MATCH(E1226,'Cost_Components'!$A$2:$A$27,0)),"")</f>
      </c>
      <c r="AF1226" s="85" t="n">
        <v>994711.319443738</v>
      </c>
      <c r="AG1226" s="86" t="n">
        <v>1003629.93349739</v>
      </c>
      <c r="AH1226" s="87" t="str">
        <f>IF(H1226="shared-count-once",COUNTIFS($A$2:$A$1353,A1226,$B$2:$B$1353,B1226,$E$2:$E$1353,E1226),1)</f>
      </c>
    </row>
    <row r="1227">
      <c r="A1227" t="s">
        <v>75</v>
      </c>
      <c r="B1227" s="59" t="n">
        <v>2028</v>
      </c>
      <c r="C1227" t="s">
        <v>220</v>
      </c>
      <c r="D1227" t="s">
        <v>176</v>
      </c>
      <c r="E1227" s="60" t="s">
        <v>313</v>
      </c>
      <c r="F1227" s="61" t="s">
        <v>314</v>
      </c>
      <c r="G1227" s="62" t="s">
        <v>221</v>
      </c>
      <c r="H1227" s="63" t="s">
        <v>195</v>
      </c>
      <c r="I1227" s="64" t="s">
        <v>267</v>
      </c>
      <c r="J1227" s="65" t="str">
        <f>IFERROR(INDEX('Cost_Components'!$K$2:$K$27,MATCH(E1227,'Cost_Components'!$A$2:$A$27,0)),"")</f>
      </c>
      <c r="K1227" s="66" t="str">
        <f>IF(OR(L1227="",Z1227="",AA1227="",AB1227=""),"",IF(B1227&lt;AA1227,L1227,IF(B1227&gt;AB1227,Z1227,L1227+(Z1227-L1227)*MIN(MAX((B1227-AA1227+1)/MAX(AB1227-AA1227+1,1),0),1))))</f>
      </c>
      <c r="L1227" s="67" t="str">
        <f>IFERROR(INDEX('Cost_Components'!$S$2:$S$27,MATCH(E1227,'Cost_Components'!$A$2:$A$27,0)),"")</f>
      </c>
      <c r="M1227" s="68" t="str">
        <f>IFERROR(INDEX('Cost_Components'!$L$2:$L$27,MATCH(E1227,'Cost_Components'!$A$2:$A$27,0)),"")</f>
      </c>
      <c r="N1227" s="69" t="str">
        <f>IFERROR(INDEX('Cost_Components'!$P$2:$P$27,MATCH(E1227,'Cost_Components'!$A$2:$A$27,0)),"")</f>
      </c>
      <c r="O1227" s="70" t="str">
        <f>AF1227*J1227</f>
      </c>
      <c r="P1227" s="71" t="str">
        <f>AG1227*J1227</f>
      </c>
      <c r="Q1227" s="72" t="str">
        <f>P1227*L1227*M1227*N1227</f>
      </c>
      <c r="R1227" s="73" t="str">
        <f>O1227*K1227*M1227*N1227</f>
      </c>
      <c r="S1227" s="74" t="str">
        <f>R1227-Q1227</f>
      </c>
      <c r="T1227" s="20" t="str">
        <f>IFERROR(INDEX('Cost_Components'!$R$2:$R$27,MATCH(E1227,'Cost_Components'!$A$2:$A$27,0)),"")</f>
      </c>
      <c r="U1227" s="75" t="str">
        <f>IFERROR(INDEX('Cost_Components'!$Q$2:$Q$27,MATCH(E1227,'Cost_Components'!$A$2:$A$27,0)),"")</f>
      </c>
      <c r="V1227" s="76" t="str">
        <f>1/(1+'Calculation_Assumptions'!$B$5)^(B1227-'Calculation_Assumptions'!$B$2)</f>
      </c>
      <c r="W1227" s="77" t="str">
        <f>Q1227*V1227</f>
      </c>
      <c r="X1227" s="78" t="str">
        <f>R1227*V1227</f>
      </c>
      <c r="Y1227" s="79" t="str">
        <f>S1227*V1227</f>
      </c>
      <c r="Z1227" s="80" t="str">
        <f>IFERROR(INDEX('Cost_Components'!$T$2:$T$27,MATCH(E1227,'Cost_Components'!$A$2:$A$27,0)),"")</f>
      </c>
      <c r="AA1227" s="81" t="str">
        <f>IFERROR(INDEX('Cost_Components'!$U$2:$U$27,MATCH(E1227,'Cost_Components'!$A$2:$A$27,0)),"")</f>
      </c>
      <c r="AB1227" s="82" t="str">
        <f>IFERROR(INDEX('Cost_Components'!$V$2:$V$27,MATCH(E1227,'Cost_Components'!$A$2:$A$27,0)),"")</f>
      </c>
      <c r="AC1227" s="83" t="str">
        <f>IFERROR(INDEX('Cost_Components'!$M$2:$M$27,MATCH(E1227,'Cost_Components'!$A$2:$A$27,0)),"")</f>
      </c>
      <c r="AD1227" s="84" t="str">
        <f>IFERROR(INDEX('Cost_Components'!$N$2:$N$27,MATCH(E1227,'Cost_Components'!$A$2:$A$27,0)),"")</f>
      </c>
      <c r="AE1227" s="20" t="str">
        <f>IFERROR(INDEX('Cost_Components'!$O$2:$O$27,MATCH(E1227,'Cost_Components'!$A$2:$A$27,0)),"")</f>
      </c>
      <c r="AF1227" s="85" t="n">
        <v>993061.735107272</v>
      </c>
      <c r="AG1227" s="86" t="n">
        <v>1006412.13604868</v>
      </c>
      <c r="AH1227" s="87" t="str">
        <f>IF(H1227="shared-count-once",COUNTIFS($A$2:$A$1353,A1227,$B$2:$B$1353,B1227,$E$2:$E$1353,E1227),1)</f>
      </c>
    </row>
    <row r="1228">
      <c r="A1228" t="s">
        <v>75</v>
      </c>
      <c r="B1228" s="59" t="n">
        <v>2029</v>
      </c>
      <c r="C1228" t="s">
        <v>220</v>
      </c>
      <c r="D1228" t="s">
        <v>176</v>
      </c>
      <c r="E1228" s="60" t="s">
        <v>313</v>
      </c>
      <c r="F1228" s="61" t="s">
        <v>314</v>
      </c>
      <c r="G1228" s="62" t="s">
        <v>221</v>
      </c>
      <c r="H1228" s="63" t="s">
        <v>195</v>
      </c>
      <c r="I1228" s="64" t="s">
        <v>267</v>
      </c>
      <c r="J1228" s="65" t="str">
        <f>IFERROR(INDEX('Cost_Components'!$K$2:$K$27,MATCH(E1228,'Cost_Components'!$A$2:$A$27,0)),"")</f>
      </c>
      <c r="K1228" s="66" t="str">
        <f>IF(OR(L1228="",Z1228="",AA1228="",AB1228=""),"",IF(B1228&lt;AA1228,L1228,IF(B1228&gt;AB1228,Z1228,L1228+(Z1228-L1228)*MIN(MAX((B1228-AA1228+1)/MAX(AB1228-AA1228+1,1),0),1))))</f>
      </c>
      <c r="L1228" s="67" t="str">
        <f>IFERROR(INDEX('Cost_Components'!$S$2:$S$27,MATCH(E1228,'Cost_Components'!$A$2:$A$27,0)),"")</f>
      </c>
      <c r="M1228" s="68" t="str">
        <f>IFERROR(INDEX('Cost_Components'!$L$2:$L$27,MATCH(E1228,'Cost_Components'!$A$2:$A$27,0)),"")</f>
      </c>
      <c r="N1228" s="69" t="str">
        <f>IFERROR(INDEX('Cost_Components'!$P$2:$P$27,MATCH(E1228,'Cost_Components'!$A$2:$A$27,0)),"")</f>
      </c>
      <c r="O1228" s="70" t="str">
        <f>AF1228*J1228</f>
      </c>
      <c r="P1228" s="71" t="str">
        <f>AG1228*J1228</f>
      </c>
      <c r="Q1228" s="72" t="str">
        <f>P1228*L1228*M1228*N1228</f>
      </c>
      <c r="R1228" s="73" t="str">
        <f>O1228*K1228*M1228*N1228</f>
      </c>
      <c r="S1228" s="74" t="str">
        <f>R1228-Q1228</f>
      </c>
      <c r="T1228" s="20" t="str">
        <f>IFERROR(INDEX('Cost_Components'!$R$2:$R$27,MATCH(E1228,'Cost_Components'!$A$2:$A$27,0)),"")</f>
      </c>
      <c r="U1228" s="75" t="str">
        <f>IFERROR(INDEX('Cost_Components'!$Q$2:$Q$27,MATCH(E1228,'Cost_Components'!$A$2:$A$27,0)),"")</f>
      </c>
      <c r="V1228" s="76" t="str">
        <f>1/(1+'Calculation_Assumptions'!$B$5)^(B1228-'Calculation_Assumptions'!$B$2)</f>
      </c>
      <c r="W1228" s="77" t="str">
        <f>Q1228*V1228</f>
      </c>
      <c r="X1228" s="78" t="str">
        <f>R1228*V1228</f>
      </c>
      <c r="Y1228" s="79" t="str">
        <f>S1228*V1228</f>
      </c>
      <c r="Z1228" s="80" t="str">
        <f>IFERROR(INDEX('Cost_Components'!$T$2:$T$27,MATCH(E1228,'Cost_Components'!$A$2:$A$27,0)),"")</f>
      </c>
      <c r="AA1228" s="81" t="str">
        <f>IFERROR(INDEX('Cost_Components'!$U$2:$U$27,MATCH(E1228,'Cost_Components'!$A$2:$A$27,0)),"")</f>
      </c>
      <c r="AB1228" s="82" t="str">
        <f>IFERROR(INDEX('Cost_Components'!$V$2:$V$27,MATCH(E1228,'Cost_Components'!$A$2:$A$27,0)),"")</f>
      </c>
      <c r="AC1228" s="83" t="str">
        <f>IFERROR(INDEX('Cost_Components'!$M$2:$M$27,MATCH(E1228,'Cost_Components'!$A$2:$A$27,0)),"")</f>
      </c>
      <c r="AD1228" s="84" t="str">
        <f>IFERROR(INDEX('Cost_Components'!$N$2:$N$27,MATCH(E1228,'Cost_Components'!$A$2:$A$27,0)),"")</f>
      </c>
      <c r="AE1228" s="20" t="str">
        <f>IFERROR(INDEX('Cost_Components'!$O$2:$O$27,MATCH(E1228,'Cost_Components'!$A$2:$A$27,0)),"")</f>
      </c>
      <c r="AF1228" s="85" t="n">
        <v>990165.270149473</v>
      </c>
      <c r="AG1228" s="86" t="n">
        <v>1008402.80271825</v>
      </c>
      <c r="AH1228" s="87" t="str">
        <f>IF(H1228="shared-count-once",COUNTIFS($A$2:$A$1353,A1228,$B$2:$B$1353,B1228,$E$2:$E$1353,E1228),1)</f>
      </c>
    </row>
    <row r="1229">
      <c r="A1229" t="s">
        <v>75</v>
      </c>
      <c r="B1229" s="59" t="n">
        <v>2030</v>
      </c>
      <c r="C1229" t="s">
        <v>220</v>
      </c>
      <c r="D1229" t="s">
        <v>176</v>
      </c>
      <c r="E1229" s="60" t="s">
        <v>313</v>
      </c>
      <c r="F1229" s="61" t="s">
        <v>314</v>
      </c>
      <c r="G1229" s="62" t="s">
        <v>221</v>
      </c>
      <c r="H1229" s="63" t="s">
        <v>195</v>
      </c>
      <c r="I1229" s="64" t="s">
        <v>267</v>
      </c>
      <c r="J1229" s="65" t="str">
        <f>IFERROR(INDEX('Cost_Components'!$K$2:$K$27,MATCH(E1229,'Cost_Components'!$A$2:$A$27,0)),"")</f>
      </c>
      <c r="K1229" s="66" t="str">
        <f>IF(OR(L1229="",Z1229="",AA1229="",AB1229=""),"",IF(B1229&lt;AA1229,L1229,IF(B1229&gt;AB1229,Z1229,L1229+(Z1229-L1229)*MIN(MAX((B1229-AA1229+1)/MAX(AB1229-AA1229+1,1),0),1))))</f>
      </c>
      <c r="L1229" s="67" t="str">
        <f>IFERROR(INDEX('Cost_Components'!$S$2:$S$27,MATCH(E1229,'Cost_Components'!$A$2:$A$27,0)),"")</f>
      </c>
      <c r="M1229" s="68" t="str">
        <f>IFERROR(INDEX('Cost_Components'!$L$2:$L$27,MATCH(E1229,'Cost_Components'!$A$2:$A$27,0)),"")</f>
      </c>
      <c r="N1229" s="69" t="str">
        <f>IFERROR(INDEX('Cost_Components'!$P$2:$P$27,MATCH(E1229,'Cost_Components'!$A$2:$A$27,0)),"")</f>
      </c>
      <c r="O1229" s="70" t="str">
        <f>AF1229*J1229</f>
      </c>
      <c r="P1229" s="71" t="str">
        <f>AG1229*J1229</f>
      </c>
      <c r="Q1229" s="72" t="str">
        <f>P1229*L1229*M1229*N1229</f>
      </c>
      <c r="R1229" s="73" t="str">
        <f>O1229*K1229*M1229*N1229</f>
      </c>
      <c r="S1229" s="74" t="str">
        <f>R1229-Q1229</f>
      </c>
      <c r="T1229" s="20" t="str">
        <f>IFERROR(INDEX('Cost_Components'!$R$2:$R$27,MATCH(E1229,'Cost_Components'!$A$2:$A$27,0)),"")</f>
      </c>
      <c r="U1229" s="75" t="str">
        <f>IFERROR(INDEX('Cost_Components'!$Q$2:$Q$27,MATCH(E1229,'Cost_Components'!$A$2:$A$27,0)),"")</f>
      </c>
      <c r="V1229" s="76" t="str">
        <f>1/(1+'Calculation_Assumptions'!$B$5)^(B1229-'Calculation_Assumptions'!$B$2)</f>
      </c>
      <c r="W1229" s="77" t="str">
        <f>Q1229*V1229</f>
      </c>
      <c r="X1229" s="78" t="str">
        <f>R1229*V1229</f>
      </c>
      <c r="Y1229" s="79" t="str">
        <f>S1229*V1229</f>
      </c>
      <c r="Z1229" s="80" t="str">
        <f>IFERROR(INDEX('Cost_Components'!$T$2:$T$27,MATCH(E1229,'Cost_Components'!$A$2:$A$27,0)),"")</f>
      </c>
      <c r="AA1229" s="81" t="str">
        <f>IFERROR(INDEX('Cost_Components'!$U$2:$U$27,MATCH(E1229,'Cost_Components'!$A$2:$A$27,0)),"")</f>
      </c>
      <c r="AB1229" s="82" t="str">
        <f>IFERROR(INDEX('Cost_Components'!$V$2:$V$27,MATCH(E1229,'Cost_Components'!$A$2:$A$27,0)),"")</f>
      </c>
      <c r="AC1229" s="83" t="str">
        <f>IFERROR(INDEX('Cost_Components'!$M$2:$M$27,MATCH(E1229,'Cost_Components'!$A$2:$A$27,0)),"")</f>
      </c>
      <c r="AD1229" s="84" t="str">
        <f>IFERROR(INDEX('Cost_Components'!$N$2:$N$27,MATCH(E1229,'Cost_Components'!$A$2:$A$27,0)),"")</f>
      </c>
      <c r="AE1229" s="20" t="str">
        <f>IFERROR(INDEX('Cost_Components'!$O$2:$O$27,MATCH(E1229,'Cost_Components'!$A$2:$A$27,0)),"")</f>
      </c>
      <c r="AF1229" s="85" t="n">
        <v>987730.450811256</v>
      </c>
      <c r="AG1229" s="86" t="n">
        <v>1011216.40968066</v>
      </c>
      <c r="AH1229" s="87" t="str">
        <f>IF(H1229="shared-count-once",COUNTIFS($A$2:$A$1353,A1229,$B$2:$B$1353,B1229,$E$2:$E$1353,E1229),1)</f>
      </c>
    </row>
    <row r="1230">
      <c r="A1230" t="s">
        <v>75</v>
      </c>
      <c r="B1230" s="59" t="n">
        <v>2031</v>
      </c>
      <c r="C1230" t="s">
        <v>220</v>
      </c>
      <c r="D1230" t="s">
        <v>176</v>
      </c>
      <c r="E1230" s="60" t="s">
        <v>313</v>
      </c>
      <c r="F1230" s="61" t="s">
        <v>314</v>
      </c>
      <c r="G1230" s="62" t="s">
        <v>221</v>
      </c>
      <c r="H1230" s="63" t="s">
        <v>195</v>
      </c>
      <c r="I1230" s="64" t="s">
        <v>267</v>
      </c>
      <c r="J1230" s="65" t="str">
        <f>IFERROR(INDEX('Cost_Components'!$K$2:$K$27,MATCH(E1230,'Cost_Components'!$A$2:$A$27,0)),"")</f>
      </c>
      <c r="K1230" s="66" t="str">
        <f>IF(OR(L1230="",Z1230="",AA1230="",AB1230=""),"",IF(B1230&lt;AA1230,L1230,IF(B1230&gt;AB1230,Z1230,L1230+(Z1230-L1230)*MIN(MAX((B1230-AA1230+1)/MAX(AB1230-AA1230+1,1),0),1))))</f>
      </c>
      <c r="L1230" s="67" t="str">
        <f>IFERROR(INDEX('Cost_Components'!$S$2:$S$27,MATCH(E1230,'Cost_Components'!$A$2:$A$27,0)),"")</f>
      </c>
      <c r="M1230" s="68" t="str">
        <f>IFERROR(INDEX('Cost_Components'!$L$2:$L$27,MATCH(E1230,'Cost_Components'!$A$2:$A$27,0)),"")</f>
      </c>
      <c r="N1230" s="69" t="str">
        <f>IFERROR(INDEX('Cost_Components'!$P$2:$P$27,MATCH(E1230,'Cost_Components'!$A$2:$A$27,0)),"")</f>
      </c>
      <c r="O1230" s="70" t="str">
        <f>AF1230*J1230</f>
      </c>
      <c r="P1230" s="71" t="str">
        <f>AG1230*J1230</f>
      </c>
      <c r="Q1230" s="72" t="str">
        <f>P1230*L1230*M1230*N1230</f>
      </c>
      <c r="R1230" s="73" t="str">
        <f>O1230*K1230*M1230*N1230</f>
      </c>
      <c r="S1230" s="74" t="str">
        <f>R1230-Q1230</f>
      </c>
      <c r="T1230" s="20" t="str">
        <f>IFERROR(INDEX('Cost_Components'!$R$2:$R$27,MATCH(E1230,'Cost_Components'!$A$2:$A$27,0)),"")</f>
      </c>
      <c r="U1230" s="75" t="str">
        <f>IFERROR(INDEX('Cost_Components'!$Q$2:$Q$27,MATCH(E1230,'Cost_Components'!$A$2:$A$27,0)),"")</f>
      </c>
      <c r="V1230" s="76" t="str">
        <f>1/(1+'Calculation_Assumptions'!$B$5)^(B1230-'Calculation_Assumptions'!$B$2)</f>
      </c>
      <c r="W1230" s="77" t="str">
        <f>Q1230*V1230</f>
      </c>
      <c r="X1230" s="78" t="str">
        <f>R1230*V1230</f>
      </c>
      <c r="Y1230" s="79" t="str">
        <f>S1230*V1230</f>
      </c>
      <c r="Z1230" s="80" t="str">
        <f>IFERROR(INDEX('Cost_Components'!$T$2:$T$27,MATCH(E1230,'Cost_Components'!$A$2:$A$27,0)),"")</f>
      </c>
      <c r="AA1230" s="81" t="str">
        <f>IFERROR(INDEX('Cost_Components'!$U$2:$U$27,MATCH(E1230,'Cost_Components'!$A$2:$A$27,0)),"")</f>
      </c>
      <c r="AB1230" s="82" t="str">
        <f>IFERROR(INDEX('Cost_Components'!$V$2:$V$27,MATCH(E1230,'Cost_Components'!$A$2:$A$27,0)),"")</f>
      </c>
      <c r="AC1230" s="83" t="str">
        <f>IFERROR(INDEX('Cost_Components'!$M$2:$M$27,MATCH(E1230,'Cost_Components'!$A$2:$A$27,0)),"")</f>
      </c>
      <c r="AD1230" s="84" t="str">
        <f>IFERROR(INDEX('Cost_Components'!$N$2:$N$27,MATCH(E1230,'Cost_Components'!$A$2:$A$27,0)),"")</f>
      </c>
      <c r="AE1230" s="20" t="str">
        <f>IFERROR(INDEX('Cost_Components'!$O$2:$O$27,MATCH(E1230,'Cost_Components'!$A$2:$A$27,0)),"")</f>
      </c>
      <c r="AF1230" s="85" t="n">
        <v>983866.581026598</v>
      </c>
      <c r="AG1230" s="86" t="n">
        <v>1012892.58717573</v>
      </c>
      <c r="AH1230" s="87" t="str">
        <f>IF(H1230="shared-count-once",COUNTIFS($A$2:$A$1353,A1230,$B$2:$B$1353,B1230,$E$2:$E$1353,E1230),1)</f>
      </c>
    </row>
    <row r="1231">
      <c r="A1231" t="s">
        <v>75</v>
      </c>
      <c r="B1231" s="59" t="n">
        <v>2032</v>
      </c>
      <c r="C1231" t="s">
        <v>220</v>
      </c>
      <c r="D1231" t="s">
        <v>176</v>
      </c>
      <c r="E1231" s="60" t="s">
        <v>313</v>
      </c>
      <c r="F1231" s="61" t="s">
        <v>314</v>
      </c>
      <c r="G1231" s="62" t="s">
        <v>221</v>
      </c>
      <c r="H1231" s="63" t="s">
        <v>195</v>
      </c>
      <c r="I1231" s="64" t="s">
        <v>267</v>
      </c>
      <c r="J1231" s="65" t="str">
        <f>IFERROR(INDEX('Cost_Components'!$K$2:$K$27,MATCH(E1231,'Cost_Components'!$A$2:$A$27,0)),"")</f>
      </c>
      <c r="K1231" s="66" t="str">
        <f>IF(OR(L1231="",Z1231="",AA1231="",AB1231=""),"",IF(B1231&lt;AA1231,L1231,IF(B1231&gt;AB1231,Z1231,L1231+(Z1231-L1231)*MIN(MAX((B1231-AA1231+1)/MAX(AB1231-AA1231+1,1),0),1))))</f>
      </c>
      <c r="L1231" s="67" t="str">
        <f>IFERROR(INDEX('Cost_Components'!$S$2:$S$27,MATCH(E1231,'Cost_Components'!$A$2:$A$27,0)),"")</f>
      </c>
      <c r="M1231" s="68" t="str">
        <f>IFERROR(INDEX('Cost_Components'!$L$2:$L$27,MATCH(E1231,'Cost_Components'!$A$2:$A$27,0)),"")</f>
      </c>
      <c r="N1231" s="69" t="str">
        <f>IFERROR(INDEX('Cost_Components'!$P$2:$P$27,MATCH(E1231,'Cost_Components'!$A$2:$A$27,0)),"")</f>
      </c>
      <c r="O1231" s="70" t="str">
        <f>AF1231*J1231</f>
      </c>
      <c r="P1231" s="71" t="str">
        <f>AG1231*J1231</f>
      </c>
      <c r="Q1231" s="72" t="str">
        <f>P1231*L1231*M1231*N1231</f>
      </c>
      <c r="R1231" s="73" t="str">
        <f>O1231*K1231*M1231*N1231</f>
      </c>
      <c r="S1231" s="74" t="str">
        <f>R1231-Q1231</f>
      </c>
      <c r="T1231" s="20" t="str">
        <f>IFERROR(INDEX('Cost_Components'!$R$2:$R$27,MATCH(E1231,'Cost_Components'!$A$2:$A$27,0)),"")</f>
      </c>
      <c r="U1231" s="75" t="str">
        <f>IFERROR(INDEX('Cost_Components'!$Q$2:$Q$27,MATCH(E1231,'Cost_Components'!$A$2:$A$27,0)),"")</f>
      </c>
      <c r="V1231" s="76" t="str">
        <f>1/(1+'Calculation_Assumptions'!$B$5)^(B1231-'Calculation_Assumptions'!$B$2)</f>
      </c>
      <c r="W1231" s="77" t="str">
        <f>Q1231*V1231</f>
      </c>
      <c r="X1231" s="78" t="str">
        <f>R1231*V1231</f>
      </c>
      <c r="Y1231" s="79" t="str">
        <f>S1231*V1231</f>
      </c>
      <c r="Z1231" s="80" t="str">
        <f>IFERROR(INDEX('Cost_Components'!$T$2:$T$27,MATCH(E1231,'Cost_Components'!$A$2:$A$27,0)),"")</f>
      </c>
      <c r="AA1231" s="81" t="str">
        <f>IFERROR(INDEX('Cost_Components'!$U$2:$U$27,MATCH(E1231,'Cost_Components'!$A$2:$A$27,0)),"")</f>
      </c>
      <c r="AB1231" s="82" t="str">
        <f>IFERROR(INDEX('Cost_Components'!$V$2:$V$27,MATCH(E1231,'Cost_Components'!$A$2:$A$27,0)),"")</f>
      </c>
      <c r="AC1231" s="83" t="str">
        <f>IFERROR(INDEX('Cost_Components'!$M$2:$M$27,MATCH(E1231,'Cost_Components'!$A$2:$A$27,0)),"")</f>
      </c>
      <c r="AD1231" s="84" t="str">
        <f>IFERROR(INDEX('Cost_Components'!$N$2:$N$27,MATCH(E1231,'Cost_Components'!$A$2:$A$27,0)),"")</f>
      </c>
      <c r="AE1231" s="20" t="str">
        <f>IFERROR(INDEX('Cost_Components'!$O$2:$O$27,MATCH(E1231,'Cost_Components'!$A$2:$A$27,0)),"")</f>
      </c>
      <c r="AF1231" s="85" t="n">
        <v>979970.78054461</v>
      </c>
      <c r="AG1231" s="86" t="n">
        <v>1014767.35411383</v>
      </c>
      <c r="AH1231" s="87" t="str">
        <f>IF(H1231="shared-count-once",COUNTIFS($A$2:$A$1353,A1231,$B$2:$B$1353,B1231,$E$2:$E$1353,E1231),1)</f>
      </c>
    </row>
    <row r="1232">
      <c r="A1232" t="s">
        <v>75</v>
      </c>
      <c r="B1232" s="59" t="n">
        <v>2033</v>
      </c>
      <c r="C1232" t="s">
        <v>220</v>
      </c>
      <c r="D1232" t="s">
        <v>176</v>
      </c>
      <c r="E1232" s="60" t="s">
        <v>313</v>
      </c>
      <c r="F1232" s="61" t="s">
        <v>314</v>
      </c>
      <c r="G1232" s="62" t="s">
        <v>221</v>
      </c>
      <c r="H1232" s="63" t="s">
        <v>195</v>
      </c>
      <c r="I1232" s="64" t="s">
        <v>267</v>
      </c>
      <c r="J1232" s="65" t="str">
        <f>IFERROR(INDEX('Cost_Components'!$K$2:$K$27,MATCH(E1232,'Cost_Components'!$A$2:$A$27,0)),"")</f>
      </c>
      <c r="K1232" s="66" t="str">
        <f>IF(OR(L1232="",Z1232="",AA1232="",AB1232=""),"",IF(B1232&lt;AA1232,L1232,IF(B1232&gt;AB1232,Z1232,L1232+(Z1232-L1232)*MIN(MAX((B1232-AA1232+1)/MAX(AB1232-AA1232+1,1),0),1))))</f>
      </c>
      <c r="L1232" s="67" t="str">
        <f>IFERROR(INDEX('Cost_Components'!$S$2:$S$27,MATCH(E1232,'Cost_Components'!$A$2:$A$27,0)),"")</f>
      </c>
      <c r="M1232" s="68" t="str">
        <f>IFERROR(INDEX('Cost_Components'!$L$2:$L$27,MATCH(E1232,'Cost_Components'!$A$2:$A$27,0)),"")</f>
      </c>
      <c r="N1232" s="69" t="str">
        <f>IFERROR(INDEX('Cost_Components'!$P$2:$P$27,MATCH(E1232,'Cost_Components'!$A$2:$A$27,0)),"")</f>
      </c>
      <c r="O1232" s="70" t="str">
        <f>AF1232*J1232</f>
      </c>
      <c r="P1232" s="71" t="str">
        <f>AG1232*J1232</f>
      </c>
      <c r="Q1232" s="72" t="str">
        <f>P1232*L1232*M1232*N1232</f>
      </c>
      <c r="R1232" s="73" t="str">
        <f>O1232*K1232*M1232*N1232</f>
      </c>
      <c r="S1232" s="74" t="str">
        <f>R1232-Q1232</f>
      </c>
      <c r="T1232" s="20" t="str">
        <f>IFERROR(INDEX('Cost_Components'!$R$2:$R$27,MATCH(E1232,'Cost_Components'!$A$2:$A$27,0)),"")</f>
      </c>
      <c r="U1232" s="75" t="str">
        <f>IFERROR(INDEX('Cost_Components'!$Q$2:$Q$27,MATCH(E1232,'Cost_Components'!$A$2:$A$27,0)),"")</f>
      </c>
      <c r="V1232" s="76" t="str">
        <f>1/(1+'Calculation_Assumptions'!$B$5)^(B1232-'Calculation_Assumptions'!$B$2)</f>
      </c>
      <c r="W1232" s="77" t="str">
        <f>Q1232*V1232</f>
      </c>
      <c r="X1232" s="78" t="str">
        <f>R1232*V1232</f>
      </c>
      <c r="Y1232" s="79" t="str">
        <f>S1232*V1232</f>
      </c>
      <c r="Z1232" s="80" t="str">
        <f>IFERROR(INDEX('Cost_Components'!$T$2:$T$27,MATCH(E1232,'Cost_Components'!$A$2:$A$27,0)),"")</f>
      </c>
      <c r="AA1232" s="81" t="str">
        <f>IFERROR(INDEX('Cost_Components'!$U$2:$U$27,MATCH(E1232,'Cost_Components'!$A$2:$A$27,0)),"")</f>
      </c>
      <c r="AB1232" s="82" t="str">
        <f>IFERROR(INDEX('Cost_Components'!$V$2:$V$27,MATCH(E1232,'Cost_Components'!$A$2:$A$27,0)),"")</f>
      </c>
      <c r="AC1232" s="83" t="str">
        <f>IFERROR(INDEX('Cost_Components'!$M$2:$M$27,MATCH(E1232,'Cost_Components'!$A$2:$A$27,0)),"")</f>
      </c>
      <c r="AD1232" s="84" t="str">
        <f>IFERROR(INDEX('Cost_Components'!$N$2:$N$27,MATCH(E1232,'Cost_Components'!$A$2:$A$27,0)),"")</f>
      </c>
      <c r="AE1232" s="20" t="str">
        <f>IFERROR(INDEX('Cost_Components'!$O$2:$O$27,MATCH(E1232,'Cost_Components'!$A$2:$A$27,0)),"")</f>
      </c>
      <c r="AF1232" s="85" t="n">
        <v>975179.119785202</v>
      </c>
      <c r="AG1232" s="86" t="n">
        <v>1015925.24384601</v>
      </c>
      <c r="AH1232" s="87" t="str">
        <f>IF(H1232="shared-count-once",COUNTIFS($A$2:$A$1353,A1232,$B$2:$B$1353,B1232,$E$2:$E$1353,E1232),1)</f>
      </c>
    </row>
    <row r="1233">
      <c r="A1233" t="s">
        <v>75</v>
      </c>
      <c r="B1233" s="59" t="n">
        <v>2034</v>
      </c>
      <c r="C1233" t="s">
        <v>220</v>
      </c>
      <c r="D1233" t="s">
        <v>176</v>
      </c>
      <c r="E1233" s="60" t="s">
        <v>313</v>
      </c>
      <c r="F1233" s="61" t="s">
        <v>314</v>
      </c>
      <c r="G1233" s="62" t="s">
        <v>221</v>
      </c>
      <c r="H1233" s="63" t="s">
        <v>195</v>
      </c>
      <c r="I1233" s="64" t="s">
        <v>267</v>
      </c>
      <c r="J1233" s="65" t="str">
        <f>IFERROR(INDEX('Cost_Components'!$K$2:$K$27,MATCH(E1233,'Cost_Components'!$A$2:$A$27,0)),"")</f>
      </c>
      <c r="K1233" s="66" t="str">
        <f>IF(OR(L1233="",Z1233="",AA1233="",AB1233=""),"",IF(B1233&lt;AA1233,L1233,IF(B1233&gt;AB1233,Z1233,L1233+(Z1233-L1233)*MIN(MAX((B1233-AA1233+1)/MAX(AB1233-AA1233+1,1),0),1))))</f>
      </c>
      <c r="L1233" s="67" t="str">
        <f>IFERROR(INDEX('Cost_Components'!$S$2:$S$27,MATCH(E1233,'Cost_Components'!$A$2:$A$27,0)),"")</f>
      </c>
      <c r="M1233" s="68" t="str">
        <f>IFERROR(INDEX('Cost_Components'!$L$2:$L$27,MATCH(E1233,'Cost_Components'!$A$2:$A$27,0)),"")</f>
      </c>
      <c r="N1233" s="69" t="str">
        <f>IFERROR(INDEX('Cost_Components'!$P$2:$P$27,MATCH(E1233,'Cost_Components'!$A$2:$A$27,0)),"")</f>
      </c>
      <c r="O1233" s="70" t="str">
        <f>AF1233*J1233</f>
      </c>
      <c r="P1233" s="71" t="str">
        <f>AG1233*J1233</f>
      </c>
      <c r="Q1233" s="72" t="str">
        <f>P1233*L1233*M1233*N1233</f>
      </c>
      <c r="R1233" s="73" t="str">
        <f>O1233*K1233*M1233*N1233</f>
      </c>
      <c r="S1233" s="74" t="str">
        <f>R1233-Q1233</f>
      </c>
      <c r="T1233" s="20" t="str">
        <f>IFERROR(INDEX('Cost_Components'!$R$2:$R$27,MATCH(E1233,'Cost_Components'!$A$2:$A$27,0)),"")</f>
      </c>
      <c r="U1233" s="75" t="str">
        <f>IFERROR(INDEX('Cost_Components'!$Q$2:$Q$27,MATCH(E1233,'Cost_Components'!$A$2:$A$27,0)),"")</f>
      </c>
      <c r="V1233" s="76" t="str">
        <f>1/(1+'Calculation_Assumptions'!$B$5)^(B1233-'Calculation_Assumptions'!$B$2)</f>
      </c>
      <c r="W1233" s="77" t="str">
        <f>Q1233*V1233</f>
      </c>
      <c r="X1233" s="78" t="str">
        <f>R1233*V1233</f>
      </c>
      <c r="Y1233" s="79" t="str">
        <f>S1233*V1233</f>
      </c>
      <c r="Z1233" s="80" t="str">
        <f>IFERROR(INDEX('Cost_Components'!$T$2:$T$27,MATCH(E1233,'Cost_Components'!$A$2:$A$27,0)),"")</f>
      </c>
      <c r="AA1233" s="81" t="str">
        <f>IFERROR(INDEX('Cost_Components'!$U$2:$U$27,MATCH(E1233,'Cost_Components'!$A$2:$A$27,0)),"")</f>
      </c>
      <c r="AB1233" s="82" t="str">
        <f>IFERROR(INDEX('Cost_Components'!$V$2:$V$27,MATCH(E1233,'Cost_Components'!$A$2:$A$27,0)),"")</f>
      </c>
      <c r="AC1233" s="83" t="str">
        <f>IFERROR(INDEX('Cost_Components'!$M$2:$M$27,MATCH(E1233,'Cost_Components'!$A$2:$A$27,0)),"")</f>
      </c>
      <c r="AD1233" s="84" t="str">
        <f>IFERROR(INDEX('Cost_Components'!$N$2:$N$27,MATCH(E1233,'Cost_Components'!$A$2:$A$27,0)),"")</f>
      </c>
      <c r="AE1233" s="20" t="str">
        <f>IFERROR(INDEX('Cost_Components'!$O$2:$O$27,MATCH(E1233,'Cost_Components'!$A$2:$A$27,0)),"")</f>
      </c>
      <c r="AF1233" s="85" t="n">
        <v>971450.6413013</v>
      </c>
      <c r="AG1233" s="86" t="n">
        <v>1018286.34699662</v>
      </c>
      <c r="AH1233" s="87" t="str">
        <f>IF(H1233="shared-count-once",COUNTIFS($A$2:$A$1353,A1233,$B$2:$B$1353,B1233,$E$2:$E$1353,E1233),1)</f>
      </c>
    </row>
    <row r="1234">
      <c r="A1234" t="s">
        <v>75</v>
      </c>
      <c r="B1234" s="59" t="n">
        <v>2035</v>
      </c>
      <c r="C1234" t="s">
        <v>220</v>
      </c>
      <c r="D1234" t="s">
        <v>176</v>
      </c>
      <c r="E1234" s="60" t="s">
        <v>313</v>
      </c>
      <c r="F1234" s="61" t="s">
        <v>314</v>
      </c>
      <c r="G1234" s="62" t="s">
        <v>221</v>
      </c>
      <c r="H1234" s="63" t="s">
        <v>195</v>
      </c>
      <c r="I1234" s="64" t="s">
        <v>267</v>
      </c>
      <c r="J1234" s="65" t="str">
        <f>IFERROR(INDEX('Cost_Components'!$K$2:$K$27,MATCH(E1234,'Cost_Components'!$A$2:$A$27,0)),"")</f>
      </c>
      <c r="K1234" s="66" t="str">
        <f>IF(OR(L1234="",Z1234="",AA1234="",AB1234=""),"",IF(B1234&lt;AA1234,L1234,IF(B1234&gt;AB1234,Z1234,L1234+(Z1234-L1234)*MIN(MAX((B1234-AA1234+1)/MAX(AB1234-AA1234+1,1),0),1))))</f>
      </c>
      <c r="L1234" s="67" t="str">
        <f>IFERROR(INDEX('Cost_Components'!$S$2:$S$27,MATCH(E1234,'Cost_Components'!$A$2:$A$27,0)),"")</f>
      </c>
      <c r="M1234" s="68" t="str">
        <f>IFERROR(INDEX('Cost_Components'!$L$2:$L$27,MATCH(E1234,'Cost_Components'!$A$2:$A$27,0)),"")</f>
      </c>
      <c r="N1234" s="69" t="str">
        <f>IFERROR(INDEX('Cost_Components'!$P$2:$P$27,MATCH(E1234,'Cost_Components'!$A$2:$A$27,0)),"")</f>
      </c>
      <c r="O1234" s="70" t="str">
        <f>AF1234*J1234</f>
      </c>
      <c r="P1234" s="71" t="str">
        <f>AG1234*J1234</f>
      </c>
      <c r="Q1234" s="72" t="str">
        <f>P1234*L1234*M1234*N1234</f>
      </c>
      <c r="R1234" s="73" t="str">
        <f>O1234*K1234*M1234*N1234</f>
      </c>
      <c r="S1234" s="74" t="str">
        <f>R1234-Q1234</f>
      </c>
      <c r="T1234" s="20" t="str">
        <f>IFERROR(INDEX('Cost_Components'!$R$2:$R$27,MATCH(E1234,'Cost_Components'!$A$2:$A$27,0)),"")</f>
      </c>
      <c r="U1234" s="75" t="str">
        <f>IFERROR(INDEX('Cost_Components'!$Q$2:$Q$27,MATCH(E1234,'Cost_Components'!$A$2:$A$27,0)),"")</f>
      </c>
      <c r="V1234" s="76" t="str">
        <f>1/(1+'Calculation_Assumptions'!$B$5)^(B1234-'Calculation_Assumptions'!$B$2)</f>
      </c>
      <c r="W1234" s="77" t="str">
        <f>Q1234*V1234</f>
      </c>
      <c r="X1234" s="78" t="str">
        <f>R1234*V1234</f>
      </c>
      <c r="Y1234" s="79" t="str">
        <f>S1234*V1234</f>
      </c>
      <c r="Z1234" s="80" t="str">
        <f>IFERROR(INDEX('Cost_Components'!$T$2:$T$27,MATCH(E1234,'Cost_Components'!$A$2:$A$27,0)),"")</f>
      </c>
      <c r="AA1234" s="81" t="str">
        <f>IFERROR(INDEX('Cost_Components'!$U$2:$U$27,MATCH(E1234,'Cost_Components'!$A$2:$A$27,0)),"")</f>
      </c>
      <c r="AB1234" s="82" t="str">
        <f>IFERROR(INDEX('Cost_Components'!$V$2:$V$27,MATCH(E1234,'Cost_Components'!$A$2:$A$27,0)),"")</f>
      </c>
      <c r="AC1234" s="83" t="str">
        <f>IFERROR(INDEX('Cost_Components'!$M$2:$M$27,MATCH(E1234,'Cost_Components'!$A$2:$A$27,0)),"")</f>
      </c>
      <c r="AD1234" s="84" t="str">
        <f>IFERROR(INDEX('Cost_Components'!$N$2:$N$27,MATCH(E1234,'Cost_Components'!$A$2:$A$27,0)),"")</f>
      </c>
      <c r="AE1234" s="20" t="str">
        <f>IFERROR(INDEX('Cost_Components'!$O$2:$O$27,MATCH(E1234,'Cost_Components'!$A$2:$A$27,0)),"")</f>
      </c>
      <c r="AF1234" s="85" t="n">
        <v>967200.45070906</v>
      </c>
      <c r="AG1234" s="86" t="n">
        <v>1020217.86496251</v>
      </c>
      <c r="AH1234" s="87" t="str">
        <f>IF(H1234="shared-count-once",COUNTIFS($A$2:$A$1353,A1234,$B$2:$B$1353,B1234,$E$2:$E$1353,E1234),1)</f>
      </c>
    </row>
    <row r="1235">
      <c r="A1235" t="s">
        <v>75</v>
      </c>
      <c r="B1235" s="59" t="n">
        <v>2036</v>
      </c>
      <c r="C1235" t="s">
        <v>220</v>
      </c>
      <c r="D1235" t="s">
        <v>176</v>
      </c>
      <c r="E1235" s="60" t="s">
        <v>313</v>
      </c>
      <c r="F1235" s="61" t="s">
        <v>314</v>
      </c>
      <c r="G1235" s="62" t="s">
        <v>221</v>
      </c>
      <c r="H1235" s="63" t="s">
        <v>195</v>
      </c>
      <c r="I1235" s="64" t="s">
        <v>267</v>
      </c>
      <c r="J1235" s="65" t="str">
        <f>IFERROR(INDEX('Cost_Components'!$K$2:$K$27,MATCH(E1235,'Cost_Components'!$A$2:$A$27,0)),"")</f>
      </c>
      <c r="K1235" s="66" t="str">
        <f>IF(OR(L1235="",Z1235="",AA1235="",AB1235=""),"",IF(B1235&lt;AA1235,L1235,IF(B1235&gt;AB1235,Z1235,L1235+(Z1235-L1235)*MIN(MAX((B1235-AA1235+1)/MAX(AB1235-AA1235+1,1),0),1))))</f>
      </c>
      <c r="L1235" s="67" t="str">
        <f>IFERROR(INDEX('Cost_Components'!$S$2:$S$27,MATCH(E1235,'Cost_Components'!$A$2:$A$27,0)),"")</f>
      </c>
      <c r="M1235" s="68" t="str">
        <f>IFERROR(INDEX('Cost_Components'!$L$2:$L$27,MATCH(E1235,'Cost_Components'!$A$2:$A$27,0)),"")</f>
      </c>
      <c r="N1235" s="69" t="str">
        <f>IFERROR(INDEX('Cost_Components'!$P$2:$P$27,MATCH(E1235,'Cost_Components'!$A$2:$A$27,0)),"")</f>
      </c>
      <c r="O1235" s="70" t="str">
        <f>AF1235*J1235</f>
      </c>
      <c r="P1235" s="71" t="str">
        <f>AG1235*J1235</f>
      </c>
      <c r="Q1235" s="72" t="str">
        <f>P1235*L1235*M1235*N1235</f>
      </c>
      <c r="R1235" s="73" t="str">
        <f>O1235*K1235*M1235*N1235</f>
      </c>
      <c r="S1235" s="74" t="str">
        <f>R1235-Q1235</f>
      </c>
      <c r="T1235" s="20" t="str">
        <f>IFERROR(INDEX('Cost_Components'!$R$2:$R$27,MATCH(E1235,'Cost_Components'!$A$2:$A$27,0)),"")</f>
      </c>
      <c r="U1235" s="75" t="str">
        <f>IFERROR(INDEX('Cost_Components'!$Q$2:$Q$27,MATCH(E1235,'Cost_Components'!$A$2:$A$27,0)),"")</f>
      </c>
      <c r="V1235" s="76" t="str">
        <f>1/(1+'Calculation_Assumptions'!$B$5)^(B1235-'Calculation_Assumptions'!$B$2)</f>
      </c>
      <c r="W1235" s="77" t="str">
        <f>Q1235*V1235</f>
      </c>
      <c r="X1235" s="78" t="str">
        <f>R1235*V1235</f>
      </c>
      <c r="Y1235" s="79" t="str">
        <f>S1235*V1235</f>
      </c>
      <c r="Z1235" s="80" t="str">
        <f>IFERROR(INDEX('Cost_Components'!$T$2:$T$27,MATCH(E1235,'Cost_Components'!$A$2:$A$27,0)),"")</f>
      </c>
      <c r="AA1235" s="81" t="str">
        <f>IFERROR(INDEX('Cost_Components'!$U$2:$U$27,MATCH(E1235,'Cost_Components'!$A$2:$A$27,0)),"")</f>
      </c>
      <c r="AB1235" s="82" t="str">
        <f>IFERROR(INDEX('Cost_Components'!$V$2:$V$27,MATCH(E1235,'Cost_Components'!$A$2:$A$27,0)),"")</f>
      </c>
      <c r="AC1235" s="83" t="str">
        <f>IFERROR(INDEX('Cost_Components'!$M$2:$M$27,MATCH(E1235,'Cost_Components'!$A$2:$A$27,0)),"")</f>
      </c>
      <c r="AD1235" s="84" t="str">
        <f>IFERROR(INDEX('Cost_Components'!$N$2:$N$27,MATCH(E1235,'Cost_Components'!$A$2:$A$27,0)),"")</f>
      </c>
      <c r="AE1235" s="20" t="str">
        <f>IFERROR(INDEX('Cost_Components'!$O$2:$O$27,MATCH(E1235,'Cost_Components'!$A$2:$A$27,0)),"")</f>
      </c>
      <c r="AF1235" s="85" t="n">
        <v>962628.099997747</v>
      </c>
      <c r="AG1235" s="86" t="n">
        <v>1021906.42671514</v>
      </c>
      <c r="AH1235" s="87" t="str">
        <f>IF(H1235="shared-count-once",COUNTIFS($A$2:$A$1353,A1235,$B$2:$B$1353,B1235,$E$2:$E$1353,E1235),1)</f>
      </c>
    </row>
    <row r="1236">
      <c r="A1236" t="s">
        <v>75</v>
      </c>
      <c r="B1236" s="59" t="n">
        <v>2037</v>
      </c>
      <c r="C1236" t="s">
        <v>220</v>
      </c>
      <c r="D1236" t="s">
        <v>176</v>
      </c>
      <c r="E1236" s="60" t="s">
        <v>313</v>
      </c>
      <c r="F1236" s="61" t="s">
        <v>314</v>
      </c>
      <c r="G1236" s="62" t="s">
        <v>221</v>
      </c>
      <c r="H1236" s="63" t="s">
        <v>195</v>
      </c>
      <c r="I1236" s="64" t="s">
        <v>267</v>
      </c>
      <c r="J1236" s="65" t="str">
        <f>IFERROR(INDEX('Cost_Components'!$K$2:$K$27,MATCH(E1236,'Cost_Components'!$A$2:$A$27,0)),"")</f>
      </c>
      <c r="K1236" s="66" t="str">
        <f>IF(OR(L1236="",Z1236="",AA1236="",AB1236=""),"",IF(B1236&lt;AA1236,L1236,IF(B1236&gt;AB1236,Z1236,L1236+(Z1236-L1236)*MIN(MAX((B1236-AA1236+1)/MAX(AB1236-AA1236+1,1),0),1))))</f>
      </c>
      <c r="L1236" s="67" t="str">
        <f>IFERROR(INDEX('Cost_Components'!$S$2:$S$27,MATCH(E1236,'Cost_Components'!$A$2:$A$27,0)),"")</f>
      </c>
      <c r="M1236" s="68" t="str">
        <f>IFERROR(INDEX('Cost_Components'!$L$2:$L$27,MATCH(E1236,'Cost_Components'!$A$2:$A$27,0)),"")</f>
      </c>
      <c r="N1236" s="69" t="str">
        <f>IFERROR(INDEX('Cost_Components'!$P$2:$P$27,MATCH(E1236,'Cost_Components'!$A$2:$A$27,0)),"")</f>
      </c>
      <c r="O1236" s="70" t="str">
        <f>AF1236*J1236</f>
      </c>
      <c r="P1236" s="71" t="str">
        <f>AG1236*J1236</f>
      </c>
      <c r="Q1236" s="72" t="str">
        <f>P1236*L1236*M1236*N1236</f>
      </c>
      <c r="R1236" s="73" t="str">
        <f>O1236*K1236*M1236*N1236</f>
      </c>
      <c r="S1236" s="74" t="str">
        <f>R1236-Q1236</f>
      </c>
      <c r="T1236" s="20" t="str">
        <f>IFERROR(INDEX('Cost_Components'!$R$2:$R$27,MATCH(E1236,'Cost_Components'!$A$2:$A$27,0)),"")</f>
      </c>
      <c r="U1236" s="75" t="str">
        <f>IFERROR(INDEX('Cost_Components'!$Q$2:$Q$27,MATCH(E1236,'Cost_Components'!$A$2:$A$27,0)),"")</f>
      </c>
      <c r="V1236" s="76" t="str">
        <f>1/(1+'Calculation_Assumptions'!$B$5)^(B1236-'Calculation_Assumptions'!$B$2)</f>
      </c>
      <c r="W1236" s="77" t="str">
        <f>Q1236*V1236</f>
      </c>
      <c r="X1236" s="78" t="str">
        <f>R1236*V1236</f>
      </c>
      <c r="Y1236" s="79" t="str">
        <f>S1236*V1236</f>
      </c>
      <c r="Z1236" s="80" t="str">
        <f>IFERROR(INDEX('Cost_Components'!$T$2:$T$27,MATCH(E1236,'Cost_Components'!$A$2:$A$27,0)),"")</f>
      </c>
      <c r="AA1236" s="81" t="str">
        <f>IFERROR(INDEX('Cost_Components'!$U$2:$U$27,MATCH(E1236,'Cost_Components'!$A$2:$A$27,0)),"")</f>
      </c>
      <c r="AB1236" s="82" t="str">
        <f>IFERROR(INDEX('Cost_Components'!$V$2:$V$27,MATCH(E1236,'Cost_Components'!$A$2:$A$27,0)),"")</f>
      </c>
      <c r="AC1236" s="83" t="str">
        <f>IFERROR(INDEX('Cost_Components'!$M$2:$M$27,MATCH(E1236,'Cost_Components'!$A$2:$A$27,0)),"")</f>
      </c>
      <c r="AD1236" s="84" t="str">
        <f>IFERROR(INDEX('Cost_Components'!$N$2:$N$27,MATCH(E1236,'Cost_Components'!$A$2:$A$27,0)),"")</f>
      </c>
      <c r="AE1236" s="20" t="str">
        <f>IFERROR(INDEX('Cost_Components'!$O$2:$O$27,MATCH(E1236,'Cost_Components'!$A$2:$A$27,0)),"")</f>
      </c>
      <c r="AF1236" s="85" t="n">
        <v>957685.880779274</v>
      </c>
      <c r="AG1236" s="86" t="n">
        <v>1023282.54137849</v>
      </c>
      <c r="AH1236" s="87" t="str">
        <f>IF(H1236="shared-count-once",COUNTIFS($A$2:$A$1353,A1236,$B$2:$B$1353,B1236,$E$2:$E$1353,E1236),1)</f>
      </c>
    </row>
    <row r="1237">
      <c r="A1237" t="s">
        <v>75</v>
      </c>
      <c r="B1237" s="59" t="n">
        <v>2038</v>
      </c>
      <c r="C1237" t="s">
        <v>220</v>
      </c>
      <c r="D1237" t="s">
        <v>176</v>
      </c>
      <c r="E1237" s="60" t="s">
        <v>313</v>
      </c>
      <c r="F1237" s="61" t="s">
        <v>314</v>
      </c>
      <c r="G1237" s="62" t="s">
        <v>221</v>
      </c>
      <c r="H1237" s="63" t="s">
        <v>195</v>
      </c>
      <c r="I1237" s="64" t="s">
        <v>267</v>
      </c>
      <c r="J1237" s="65" t="str">
        <f>IFERROR(INDEX('Cost_Components'!$K$2:$K$27,MATCH(E1237,'Cost_Components'!$A$2:$A$27,0)),"")</f>
      </c>
      <c r="K1237" s="66" t="str">
        <f>IF(OR(L1237="",Z1237="",AA1237="",AB1237=""),"",IF(B1237&lt;AA1237,L1237,IF(B1237&gt;AB1237,Z1237,L1237+(Z1237-L1237)*MIN(MAX((B1237-AA1237+1)/MAX(AB1237-AA1237+1,1),0),1))))</f>
      </c>
      <c r="L1237" s="67" t="str">
        <f>IFERROR(INDEX('Cost_Components'!$S$2:$S$27,MATCH(E1237,'Cost_Components'!$A$2:$A$27,0)),"")</f>
      </c>
      <c r="M1237" s="68" t="str">
        <f>IFERROR(INDEX('Cost_Components'!$L$2:$L$27,MATCH(E1237,'Cost_Components'!$A$2:$A$27,0)),"")</f>
      </c>
      <c r="N1237" s="69" t="str">
        <f>IFERROR(INDEX('Cost_Components'!$P$2:$P$27,MATCH(E1237,'Cost_Components'!$A$2:$A$27,0)),"")</f>
      </c>
      <c r="O1237" s="70" t="str">
        <f>AF1237*J1237</f>
      </c>
      <c r="P1237" s="71" t="str">
        <f>AG1237*J1237</f>
      </c>
      <c r="Q1237" s="72" t="str">
        <f>P1237*L1237*M1237*N1237</f>
      </c>
      <c r="R1237" s="73" t="str">
        <f>O1237*K1237*M1237*N1237</f>
      </c>
      <c r="S1237" s="74" t="str">
        <f>R1237-Q1237</f>
      </c>
      <c r="T1237" s="20" t="str">
        <f>IFERROR(INDEX('Cost_Components'!$R$2:$R$27,MATCH(E1237,'Cost_Components'!$A$2:$A$27,0)),"")</f>
      </c>
      <c r="U1237" s="75" t="str">
        <f>IFERROR(INDEX('Cost_Components'!$Q$2:$Q$27,MATCH(E1237,'Cost_Components'!$A$2:$A$27,0)),"")</f>
      </c>
      <c r="V1237" s="76" t="str">
        <f>1/(1+'Calculation_Assumptions'!$B$5)^(B1237-'Calculation_Assumptions'!$B$2)</f>
      </c>
      <c r="W1237" s="77" t="str">
        <f>Q1237*V1237</f>
      </c>
      <c r="X1237" s="78" t="str">
        <f>R1237*V1237</f>
      </c>
      <c r="Y1237" s="79" t="str">
        <f>S1237*V1237</f>
      </c>
      <c r="Z1237" s="80" t="str">
        <f>IFERROR(INDEX('Cost_Components'!$T$2:$T$27,MATCH(E1237,'Cost_Components'!$A$2:$A$27,0)),"")</f>
      </c>
      <c r="AA1237" s="81" t="str">
        <f>IFERROR(INDEX('Cost_Components'!$U$2:$U$27,MATCH(E1237,'Cost_Components'!$A$2:$A$27,0)),"")</f>
      </c>
      <c r="AB1237" s="82" t="str">
        <f>IFERROR(INDEX('Cost_Components'!$V$2:$V$27,MATCH(E1237,'Cost_Components'!$A$2:$A$27,0)),"")</f>
      </c>
      <c r="AC1237" s="83" t="str">
        <f>IFERROR(INDEX('Cost_Components'!$M$2:$M$27,MATCH(E1237,'Cost_Components'!$A$2:$A$27,0)),"")</f>
      </c>
      <c r="AD1237" s="84" t="str">
        <f>IFERROR(INDEX('Cost_Components'!$N$2:$N$27,MATCH(E1237,'Cost_Components'!$A$2:$A$27,0)),"")</f>
      </c>
      <c r="AE1237" s="20" t="str">
        <f>IFERROR(INDEX('Cost_Components'!$O$2:$O$27,MATCH(E1237,'Cost_Components'!$A$2:$A$27,0)),"")</f>
      </c>
      <c r="AF1237" s="85" t="n">
        <v>952240.988090086</v>
      </c>
      <c r="AG1237" s="86" t="n">
        <v>1024188.81016216</v>
      </c>
      <c r="AH1237" s="87" t="str">
        <f>IF(H1237="shared-count-once",COUNTIFS($A$2:$A$1353,A1237,$B$2:$B$1353,B1237,$E$2:$E$1353,E1237),1)</f>
      </c>
    </row>
    <row r="1238">
      <c r="A1238" t="s">
        <v>75</v>
      </c>
      <c r="B1238" s="59" t="n">
        <v>2039</v>
      </c>
      <c r="C1238" t="s">
        <v>220</v>
      </c>
      <c r="D1238" t="s">
        <v>176</v>
      </c>
      <c r="E1238" s="60" t="s">
        <v>313</v>
      </c>
      <c r="F1238" s="61" t="s">
        <v>314</v>
      </c>
      <c r="G1238" s="62" t="s">
        <v>221</v>
      </c>
      <c r="H1238" s="63" t="s">
        <v>195</v>
      </c>
      <c r="I1238" s="64" t="s">
        <v>267</v>
      </c>
      <c r="J1238" s="65" t="str">
        <f>IFERROR(INDEX('Cost_Components'!$K$2:$K$27,MATCH(E1238,'Cost_Components'!$A$2:$A$27,0)),"")</f>
      </c>
      <c r="K1238" s="66" t="str">
        <f>IF(OR(L1238="",Z1238="",AA1238="",AB1238=""),"",IF(B1238&lt;AA1238,L1238,IF(B1238&gt;AB1238,Z1238,L1238+(Z1238-L1238)*MIN(MAX((B1238-AA1238+1)/MAX(AB1238-AA1238+1,1),0),1))))</f>
      </c>
      <c r="L1238" s="67" t="str">
        <f>IFERROR(INDEX('Cost_Components'!$S$2:$S$27,MATCH(E1238,'Cost_Components'!$A$2:$A$27,0)),"")</f>
      </c>
      <c r="M1238" s="68" t="str">
        <f>IFERROR(INDEX('Cost_Components'!$L$2:$L$27,MATCH(E1238,'Cost_Components'!$A$2:$A$27,0)),"")</f>
      </c>
      <c r="N1238" s="69" t="str">
        <f>IFERROR(INDEX('Cost_Components'!$P$2:$P$27,MATCH(E1238,'Cost_Components'!$A$2:$A$27,0)),"")</f>
      </c>
      <c r="O1238" s="70" t="str">
        <f>AF1238*J1238</f>
      </c>
      <c r="P1238" s="71" t="str">
        <f>AG1238*J1238</f>
      </c>
      <c r="Q1238" s="72" t="str">
        <f>P1238*L1238*M1238*N1238</f>
      </c>
      <c r="R1238" s="73" t="str">
        <f>O1238*K1238*M1238*N1238</f>
      </c>
      <c r="S1238" s="74" t="str">
        <f>R1238-Q1238</f>
      </c>
      <c r="T1238" s="20" t="str">
        <f>IFERROR(INDEX('Cost_Components'!$R$2:$R$27,MATCH(E1238,'Cost_Components'!$A$2:$A$27,0)),"")</f>
      </c>
      <c r="U1238" s="75" t="str">
        <f>IFERROR(INDEX('Cost_Components'!$Q$2:$Q$27,MATCH(E1238,'Cost_Components'!$A$2:$A$27,0)),"")</f>
      </c>
      <c r="V1238" s="76" t="str">
        <f>1/(1+'Calculation_Assumptions'!$B$5)^(B1238-'Calculation_Assumptions'!$B$2)</f>
      </c>
      <c r="W1238" s="77" t="str">
        <f>Q1238*V1238</f>
      </c>
      <c r="X1238" s="78" t="str">
        <f>R1238*V1238</f>
      </c>
      <c r="Y1238" s="79" t="str">
        <f>S1238*V1238</f>
      </c>
      <c r="Z1238" s="80" t="str">
        <f>IFERROR(INDEX('Cost_Components'!$T$2:$T$27,MATCH(E1238,'Cost_Components'!$A$2:$A$27,0)),"")</f>
      </c>
      <c r="AA1238" s="81" t="str">
        <f>IFERROR(INDEX('Cost_Components'!$U$2:$U$27,MATCH(E1238,'Cost_Components'!$A$2:$A$27,0)),"")</f>
      </c>
      <c r="AB1238" s="82" t="str">
        <f>IFERROR(INDEX('Cost_Components'!$V$2:$V$27,MATCH(E1238,'Cost_Components'!$A$2:$A$27,0)),"")</f>
      </c>
      <c r="AC1238" s="83" t="str">
        <f>IFERROR(INDEX('Cost_Components'!$M$2:$M$27,MATCH(E1238,'Cost_Components'!$A$2:$A$27,0)),"")</f>
      </c>
      <c r="AD1238" s="84" t="str">
        <f>IFERROR(INDEX('Cost_Components'!$N$2:$N$27,MATCH(E1238,'Cost_Components'!$A$2:$A$27,0)),"")</f>
      </c>
      <c r="AE1238" s="20" t="str">
        <f>IFERROR(INDEX('Cost_Components'!$O$2:$O$27,MATCH(E1238,'Cost_Components'!$A$2:$A$27,0)),"")</f>
      </c>
      <c r="AF1238" s="85" t="n">
        <v>947533.48310144</v>
      </c>
      <c r="AG1238" s="86" t="n">
        <v>1025850.81716251</v>
      </c>
      <c r="AH1238" s="87" t="str">
        <f>IF(H1238="shared-count-once",COUNTIFS($A$2:$A$1353,A1238,$B$2:$B$1353,B1238,$E$2:$E$1353,E1238),1)</f>
      </c>
    </row>
    <row r="1239">
      <c r="A1239" t="s">
        <v>75</v>
      </c>
      <c r="B1239" s="59" t="n">
        <v>2040</v>
      </c>
      <c r="C1239" t="s">
        <v>220</v>
      </c>
      <c r="D1239" t="s">
        <v>176</v>
      </c>
      <c r="E1239" s="60" t="s">
        <v>313</v>
      </c>
      <c r="F1239" s="61" t="s">
        <v>314</v>
      </c>
      <c r="G1239" s="62" t="s">
        <v>221</v>
      </c>
      <c r="H1239" s="63" t="s">
        <v>195</v>
      </c>
      <c r="I1239" s="64" t="s">
        <v>267</v>
      </c>
      <c r="J1239" s="65" t="str">
        <f>IFERROR(INDEX('Cost_Components'!$K$2:$K$27,MATCH(E1239,'Cost_Components'!$A$2:$A$27,0)),"")</f>
      </c>
      <c r="K1239" s="66" t="str">
        <f>IF(OR(L1239="",Z1239="",AA1239="",AB1239=""),"",IF(B1239&lt;AA1239,L1239,IF(B1239&gt;AB1239,Z1239,L1239+(Z1239-L1239)*MIN(MAX((B1239-AA1239+1)/MAX(AB1239-AA1239+1,1),0),1))))</f>
      </c>
      <c r="L1239" s="67" t="str">
        <f>IFERROR(INDEX('Cost_Components'!$S$2:$S$27,MATCH(E1239,'Cost_Components'!$A$2:$A$27,0)),"")</f>
      </c>
      <c r="M1239" s="68" t="str">
        <f>IFERROR(INDEX('Cost_Components'!$L$2:$L$27,MATCH(E1239,'Cost_Components'!$A$2:$A$27,0)),"")</f>
      </c>
      <c r="N1239" s="69" t="str">
        <f>IFERROR(INDEX('Cost_Components'!$P$2:$P$27,MATCH(E1239,'Cost_Components'!$A$2:$A$27,0)),"")</f>
      </c>
      <c r="O1239" s="70" t="str">
        <f>AF1239*J1239</f>
      </c>
      <c r="P1239" s="71" t="str">
        <f>AG1239*J1239</f>
      </c>
      <c r="Q1239" s="72" t="str">
        <f>P1239*L1239*M1239*N1239</f>
      </c>
      <c r="R1239" s="73" t="str">
        <f>O1239*K1239*M1239*N1239</f>
      </c>
      <c r="S1239" s="74" t="str">
        <f>R1239-Q1239</f>
      </c>
      <c r="T1239" s="20" t="str">
        <f>IFERROR(INDEX('Cost_Components'!$R$2:$R$27,MATCH(E1239,'Cost_Components'!$A$2:$A$27,0)),"")</f>
      </c>
      <c r="U1239" s="75" t="str">
        <f>IFERROR(INDEX('Cost_Components'!$Q$2:$Q$27,MATCH(E1239,'Cost_Components'!$A$2:$A$27,0)),"")</f>
      </c>
      <c r="V1239" s="76" t="str">
        <f>1/(1+'Calculation_Assumptions'!$B$5)^(B1239-'Calculation_Assumptions'!$B$2)</f>
      </c>
      <c r="W1239" s="77" t="str">
        <f>Q1239*V1239</f>
      </c>
      <c r="X1239" s="78" t="str">
        <f>R1239*V1239</f>
      </c>
      <c r="Y1239" s="79" t="str">
        <f>S1239*V1239</f>
      </c>
      <c r="Z1239" s="80" t="str">
        <f>IFERROR(INDEX('Cost_Components'!$T$2:$T$27,MATCH(E1239,'Cost_Components'!$A$2:$A$27,0)),"")</f>
      </c>
      <c r="AA1239" s="81" t="str">
        <f>IFERROR(INDEX('Cost_Components'!$U$2:$U$27,MATCH(E1239,'Cost_Components'!$A$2:$A$27,0)),"")</f>
      </c>
      <c r="AB1239" s="82" t="str">
        <f>IFERROR(INDEX('Cost_Components'!$V$2:$V$27,MATCH(E1239,'Cost_Components'!$A$2:$A$27,0)),"")</f>
      </c>
      <c r="AC1239" s="83" t="str">
        <f>IFERROR(INDEX('Cost_Components'!$M$2:$M$27,MATCH(E1239,'Cost_Components'!$A$2:$A$27,0)),"")</f>
      </c>
      <c r="AD1239" s="84" t="str">
        <f>IFERROR(INDEX('Cost_Components'!$N$2:$N$27,MATCH(E1239,'Cost_Components'!$A$2:$A$27,0)),"")</f>
      </c>
      <c r="AE1239" s="20" t="str">
        <f>IFERROR(INDEX('Cost_Components'!$O$2:$O$27,MATCH(E1239,'Cost_Components'!$A$2:$A$27,0)),"")</f>
      </c>
      <c r="AF1239" s="85" t="n">
        <v>942464.544572973</v>
      </c>
      <c r="AG1239" s="86" t="n">
        <v>1027141.14368539</v>
      </c>
      <c r="AH1239" s="87" t="str">
        <f>IF(H1239="shared-count-once",COUNTIFS($A$2:$A$1353,A1239,$B$2:$B$1353,B1239,$E$2:$E$1353,E1239),1)</f>
      </c>
    </row>
    <row r="1240">
      <c r="A1240" t="s">
        <v>75</v>
      </c>
      <c r="B1240" s="59" t="n">
        <v>2041</v>
      </c>
      <c r="C1240" t="s">
        <v>220</v>
      </c>
      <c r="D1240" t="s">
        <v>176</v>
      </c>
      <c r="E1240" s="60" t="s">
        <v>313</v>
      </c>
      <c r="F1240" s="61" t="s">
        <v>314</v>
      </c>
      <c r="G1240" s="62" t="s">
        <v>221</v>
      </c>
      <c r="H1240" s="63" t="s">
        <v>195</v>
      </c>
      <c r="I1240" s="64" t="s">
        <v>267</v>
      </c>
      <c r="J1240" s="65" t="str">
        <f>IFERROR(INDEX('Cost_Components'!$K$2:$K$27,MATCH(E1240,'Cost_Components'!$A$2:$A$27,0)),"")</f>
      </c>
      <c r="K1240" s="66" t="str">
        <f>IF(OR(L1240="",Z1240="",AA1240="",AB1240=""),"",IF(B1240&lt;AA1240,L1240,IF(B1240&gt;AB1240,Z1240,L1240+(Z1240-L1240)*MIN(MAX((B1240-AA1240+1)/MAX(AB1240-AA1240+1,1),0),1))))</f>
      </c>
      <c r="L1240" s="67" t="str">
        <f>IFERROR(INDEX('Cost_Components'!$S$2:$S$27,MATCH(E1240,'Cost_Components'!$A$2:$A$27,0)),"")</f>
      </c>
      <c r="M1240" s="68" t="str">
        <f>IFERROR(INDEX('Cost_Components'!$L$2:$L$27,MATCH(E1240,'Cost_Components'!$A$2:$A$27,0)),"")</f>
      </c>
      <c r="N1240" s="69" t="str">
        <f>IFERROR(INDEX('Cost_Components'!$P$2:$P$27,MATCH(E1240,'Cost_Components'!$A$2:$A$27,0)),"")</f>
      </c>
      <c r="O1240" s="70" t="str">
        <f>AF1240*J1240</f>
      </c>
      <c r="P1240" s="71" t="str">
        <f>AG1240*J1240</f>
      </c>
      <c r="Q1240" s="72" t="str">
        <f>P1240*L1240*M1240*N1240</f>
      </c>
      <c r="R1240" s="73" t="str">
        <f>O1240*K1240*M1240*N1240</f>
      </c>
      <c r="S1240" s="74" t="str">
        <f>R1240-Q1240</f>
      </c>
      <c r="T1240" s="20" t="str">
        <f>IFERROR(INDEX('Cost_Components'!$R$2:$R$27,MATCH(E1240,'Cost_Components'!$A$2:$A$27,0)),"")</f>
      </c>
      <c r="U1240" s="75" t="str">
        <f>IFERROR(INDEX('Cost_Components'!$Q$2:$Q$27,MATCH(E1240,'Cost_Components'!$A$2:$A$27,0)),"")</f>
      </c>
      <c r="V1240" s="76" t="str">
        <f>1/(1+'Calculation_Assumptions'!$B$5)^(B1240-'Calculation_Assumptions'!$B$2)</f>
      </c>
      <c r="W1240" s="77" t="str">
        <f>Q1240*V1240</f>
      </c>
      <c r="X1240" s="78" t="str">
        <f>R1240*V1240</f>
      </c>
      <c r="Y1240" s="79" t="str">
        <f>S1240*V1240</f>
      </c>
      <c r="Z1240" s="80" t="str">
        <f>IFERROR(INDEX('Cost_Components'!$T$2:$T$27,MATCH(E1240,'Cost_Components'!$A$2:$A$27,0)),"")</f>
      </c>
      <c r="AA1240" s="81" t="str">
        <f>IFERROR(INDEX('Cost_Components'!$U$2:$U$27,MATCH(E1240,'Cost_Components'!$A$2:$A$27,0)),"")</f>
      </c>
      <c r="AB1240" s="82" t="str">
        <f>IFERROR(INDEX('Cost_Components'!$V$2:$V$27,MATCH(E1240,'Cost_Components'!$A$2:$A$27,0)),"")</f>
      </c>
      <c r="AC1240" s="83" t="str">
        <f>IFERROR(INDEX('Cost_Components'!$M$2:$M$27,MATCH(E1240,'Cost_Components'!$A$2:$A$27,0)),"")</f>
      </c>
      <c r="AD1240" s="84" t="str">
        <f>IFERROR(INDEX('Cost_Components'!$N$2:$N$27,MATCH(E1240,'Cost_Components'!$A$2:$A$27,0)),"")</f>
      </c>
      <c r="AE1240" s="20" t="str">
        <f>IFERROR(INDEX('Cost_Components'!$O$2:$O$27,MATCH(E1240,'Cost_Components'!$A$2:$A$27,0)),"")</f>
      </c>
      <c r="AF1240" s="85" t="n">
        <v>937156.902923342</v>
      </c>
      <c r="AG1240" s="86" t="n">
        <v>1028196.92878719</v>
      </c>
      <c r="AH1240" s="87" t="str">
        <f>IF(H1240="shared-count-once",COUNTIFS($A$2:$A$1353,A1240,$B$2:$B$1353,B1240,$E$2:$E$1353,E1240),1)</f>
      </c>
    </row>
    <row r="1241">
      <c r="A1241" t="s">
        <v>75</v>
      </c>
      <c r="B1241" s="59" t="n">
        <v>2042</v>
      </c>
      <c r="C1241" t="s">
        <v>220</v>
      </c>
      <c r="D1241" t="s">
        <v>176</v>
      </c>
      <c r="E1241" s="60" t="s">
        <v>313</v>
      </c>
      <c r="F1241" s="61" t="s">
        <v>314</v>
      </c>
      <c r="G1241" s="62" t="s">
        <v>221</v>
      </c>
      <c r="H1241" s="63" t="s">
        <v>195</v>
      </c>
      <c r="I1241" s="64" t="s">
        <v>267</v>
      </c>
      <c r="J1241" s="65" t="str">
        <f>IFERROR(INDEX('Cost_Components'!$K$2:$K$27,MATCH(E1241,'Cost_Components'!$A$2:$A$27,0)),"")</f>
      </c>
      <c r="K1241" s="66" t="str">
        <f>IF(OR(L1241="",Z1241="",AA1241="",AB1241=""),"",IF(B1241&lt;AA1241,L1241,IF(B1241&gt;AB1241,Z1241,L1241+(Z1241-L1241)*MIN(MAX((B1241-AA1241+1)/MAX(AB1241-AA1241+1,1),0),1))))</f>
      </c>
      <c r="L1241" s="67" t="str">
        <f>IFERROR(INDEX('Cost_Components'!$S$2:$S$27,MATCH(E1241,'Cost_Components'!$A$2:$A$27,0)),"")</f>
      </c>
      <c r="M1241" s="68" t="str">
        <f>IFERROR(INDEX('Cost_Components'!$L$2:$L$27,MATCH(E1241,'Cost_Components'!$A$2:$A$27,0)),"")</f>
      </c>
      <c r="N1241" s="69" t="str">
        <f>IFERROR(INDEX('Cost_Components'!$P$2:$P$27,MATCH(E1241,'Cost_Components'!$A$2:$A$27,0)),"")</f>
      </c>
      <c r="O1241" s="70" t="str">
        <f>AF1241*J1241</f>
      </c>
      <c r="P1241" s="71" t="str">
        <f>AG1241*J1241</f>
      </c>
      <c r="Q1241" s="72" t="str">
        <f>P1241*L1241*M1241*N1241</f>
      </c>
      <c r="R1241" s="73" t="str">
        <f>O1241*K1241*M1241*N1241</f>
      </c>
      <c r="S1241" s="74" t="str">
        <f>R1241-Q1241</f>
      </c>
      <c r="T1241" s="20" t="str">
        <f>IFERROR(INDEX('Cost_Components'!$R$2:$R$27,MATCH(E1241,'Cost_Components'!$A$2:$A$27,0)),"")</f>
      </c>
      <c r="U1241" s="75" t="str">
        <f>IFERROR(INDEX('Cost_Components'!$Q$2:$Q$27,MATCH(E1241,'Cost_Components'!$A$2:$A$27,0)),"")</f>
      </c>
      <c r="V1241" s="76" t="str">
        <f>1/(1+'Calculation_Assumptions'!$B$5)^(B1241-'Calculation_Assumptions'!$B$2)</f>
      </c>
      <c r="W1241" s="77" t="str">
        <f>Q1241*V1241</f>
      </c>
      <c r="X1241" s="78" t="str">
        <f>R1241*V1241</f>
      </c>
      <c r="Y1241" s="79" t="str">
        <f>S1241*V1241</f>
      </c>
      <c r="Z1241" s="80" t="str">
        <f>IFERROR(INDEX('Cost_Components'!$T$2:$T$27,MATCH(E1241,'Cost_Components'!$A$2:$A$27,0)),"")</f>
      </c>
      <c r="AA1241" s="81" t="str">
        <f>IFERROR(INDEX('Cost_Components'!$U$2:$U$27,MATCH(E1241,'Cost_Components'!$A$2:$A$27,0)),"")</f>
      </c>
      <c r="AB1241" s="82" t="str">
        <f>IFERROR(INDEX('Cost_Components'!$V$2:$V$27,MATCH(E1241,'Cost_Components'!$A$2:$A$27,0)),"")</f>
      </c>
      <c r="AC1241" s="83" t="str">
        <f>IFERROR(INDEX('Cost_Components'!$M$2:$M$27,MATCH(E1241,'Cost_Components'!$A$2:$A$27,0)),"")</f>
      </c>
      <c r="AD1241" s="84" t="str">
        <f>IFERROR(INDEX('Cost_Components'!$N$2:$N$27,MATCH(E1241,'Cost_Components'!$A$2:$A$27,0)),"")</f>
      </c>
      <c r="AE1241" s="20" t="str">
        <f>IFERROR(INDEX('Cost_Components'!$O$2:$O$27,MATCH(E1241,'Cost_Components'!$A$2:$A$27,0)),"")</f>
      </c>
      <c r="AF1241" s="85" t="n">
        <v>931605.316583581</v>
      </c>
      <c r="AG1241" s="86" t="n">
        <v>1028995.12018765</v>
      </c>
      <c r="AH1241" s="87" t="str">
        <f>IF(H1241="shared-count-once",COUNTIFS($A$2:$A$1353,A1241,$B$2:$B$1353,B1241,$E$2:$E$1353,E1241),1)</f>
      </c>
    </row>
    <row r="1242">
      <c r="A1242" t="s">
        <v>75</v>
      </c>
      <c r="B1242" s="59" t="n">
        <v>2043</v>
      </c>
      <c r="C1242" t="s">
        <v>220</v>
      </c>
      <c r="D1242" t="s">
        <v>176</v>
      </c>
      <c r="E1242" s="60" t="s">
        <v>313</v>
      </c>
      <c r="F1242" s="61" t="s">
        <v>314</v>
      </c>
      <c r="G1242" s="62" t="s">
        <v>221</v>
      </c>
      <c r="H1242" s="63" t="s">
        <v>195</v>
      </c>
      <c r="I1242" s="64" t="s">
        <v>267</v>
      </c>
      <c r="J1242" s="65" t="str">
        <f>IFERROR(INDEX('Cost_Components'!$K$2:$K$27,MATCH(E1242,'Cost_Components'!$A$2:$A$27,0)),"")</f>
      </c>
      <c r="K1242" s="66" t="str">
        <f>IF(OR(L1242="",Z1242="",AA1242="",AB1242=""),"",IF(B1242&lt;AA1242,L1242,IF(B1242&gt;AB1242,Z1242,L1242+(Z1242-L1242)*MIN(MAX((B1242-AA1242+1)/MAX(AB1242-AA1242+1,1),0),1))))</f>
      </c>
      <c r="L1242" s="67" t="str">
        <f>IFERROR(INDEX('Cost_Components'!$S$2:$S$27,MATCH(E1242,'Cost_Components'!$A$2:$A$27,0)),"")</f>
      </c>
      <c r="M1242" s="68" t="str">
        <f>IFERROR(INDEX('Cost_Components'!$L$2:$L$27,MATCH(E1242,'Cost_Components'!$A$2:$A$27,0)),"")</f>
      </c>
      <c r="N1242" s="69" t="str">
        <f>IFERROR(INDEX('Cost_Components'!$P$2:$P$27,MATCH(E1242,'Cost_Components'!$A$2:$A$27,0)),"")</f>
      </c>
      <c r="O1242" s="70" t="str">
        <f>AF1242*J1242</f>
      </c>
      <c r="P1242" s="71" t="str">
        <f>AG1242*J1242</f>
      </c>
      <c r="Q1242" s="72" t="str">
        <f>P1242*L1242*M1242*N1242</f>
      </c>
      <c r="R1242" s="73" t="str">
        <f>O1242*K1242*M1242*N1242</f>
      </c>
      <c r="S1242" s="74" t="str">
        <f>R1242-Q1242</f>
      </c>
      <c r="T1242" s="20" t="str">
        <f>IFERROR(INDEX('Cost_Components'!$R$2:$R$27,MATCH(E1242,'Cost_Components'!$A$2:$A$27,0)),"")</f>
      </c>
      <c r="U1242" s="75" t="str">
        <f>IFERROR(INDEX('Cost_Components'!$Q$2:$Q$27,MATCH(E1242,'Cost_Components'!$A$2:$A$27,0)),"")</f>
      </c>
      <c r="V1242" s="76" t="str">
        <f>1/(1+'Calculation_Assumptions'!$B$5)^(B1242-'Calculation_Assumptions'!$B$2)</f>
      </c>
      <c r="W1242" s="77" t="str">
        <f>Q1242*V1242</f>
      </c>
      <c r="X1242" s="78" t="str">
        <f>R1242*V1242</f>
      </c>
      <c r="Y1242" s="79" t="str">
        <f>S1242*V1242</f>
      </c>
      <c r="Z1242" s="80" t="str">
        <f>IFERROR(INDEX('Cost_Components'!$T$2:$T$27,MATCH(E1242,'Cost_Components'!$A$2:$A$27,0)),"")</f>
      </c>
      <c r="AA1242" s="81" t="str">
        <f>IFERROR(INDEX('Cost_Components'!$U$2:$U$27,MATCH(E1242,'Cost_Components'!$A$2:$A$27,0)),"")</f>
      </c>
      <c r="AB1242" s="82" t="str">
        <f>IFERROR(INDEX('Cost_Components'!$V$2:$V$27,MATCH(E1242,'Cost_Components'!$A$2:$A$27,0)),"")</f>
      </c>
      <c r="AC1242" s="83" t="str">
        <f>IFERROR(INDEX('Cost_Components'!$M$2:$M$27,MATCH(E1242,'Cost_Components'!$A$2:$A$27,0)),"")</f>
      </c>
      <c r="AD1242" s="84" t="str">
        <f>IFERROR(INDEX('Cost_Components'!$N$2:$N$27,MATCH(E1242,'Cost_Components'!$A$2:$A$27,0)),"")</f>
      </c>
      <c r="AE1242" s="20" t="str">
        <f>IFERROR(INDEX('Cost_Components'!$O$2:$O$27,MATCH(E1242,'Cost_Components'!$A$2:$A$27,0)),"")</f>
      </c>
      <c r="AF1242" s="85" t="n">
        <v>925475.394927135</v>
      </c>
      <c r="AG1242" s="86" t="n">
        <v>1029181.35252705</v>
      </c>
      <c r="AH1242" s="87" t="str">
        <f>IF(H1242="shared-count-once",COUNTIFS($A$2:$A$1353,A1242,$B$2:$B$1353,B1242,$E$2:$E$1353,E1242),1)</f>
      </c>
    </row>
    <row r="1243">
      <c r="A1243" t="s">
        <v>75</v>
      </c>
      <c r="B1243" s="59" t="n">
        <v>2044</v>
      </c>
      <c r="C1243" t="s">
        <v>220</v>
      </c>
      <c r="D1243" t="s">
        <v>176</v>
      </c>
      <c r="E1243" s="60" t="s">
        <v>313</v>
      </c>
      <c r="F1243" s="61" t="s">
        <v>314</v>
      </c>
      <c r="G1243" s="62" t="s">
        <v>221</v>
      </c>
      <c r="H1243" s="63" t="s">
        <v>195</v>
      </c>
      <c r="I1243" s="64" t="s">
        <v>267</v>
      </c>
      <c r="J1243" s="65" t="str">
        <f>IFERROR(INDEX('Cost_Components'!$K$2:$K$27,MATCH(E1243,'Cost_Components'!$A$2:$A$27,0)),"")</f>
      </c>
      <c r="K1243" s="66" t="str">
        <f>IF(OR(L1243="",Z1243="",AA1243="",AB1243=""),"",IF(B1243&lt;AA1243,L1243,IF(B1243&gt;AB1243,Z1243,L1243+(Z1243-L1243)*MIN(MAX((B1243-AA1243+1)/MAX(AB1243-AA1243+1,1),0),1))))</f>
      </c>
      <c r="L1243" s="67" t="str">
        <f>IFERROR(INDEX('Cost_Components'!$S$2:$S$27,MATCH(E1243,'Cost_Components'!$A$2:$A$27,0)),"")</f>
      </c>
      <c r="M1243" s="68" t="str">
        <f>IFERROR(INDEX('Cost_Components'!$L$2:$L$27,MATCH(E1243,'Cost_Components'!$A$2:$A$27,0)),"")</f>
      </c>
      <c r="N1243" s="69" t="str">
        <f>IFERROR(INDEX('Cost_Components'!$P$2:$P$27,MATCH(E1243,'Cost_Components'!$A$2:$A$27,0)),"")</f>
      </c>
      <c r="O1243" s="70" t="str">
        <f>AF1243*J1243</f>
      </c>
      <c r="P1243" s="71" t="str">
        <f>AG1243*J1243</f>
      </c>
      <c r="Q1243" s="72" t="str">
        <f>P1243*L1243*M1243*N1243</f>
      </c>
      <c r="R1243" s="73" t="str">
        <f>O1243*K1243*M1243*N1243</f>
      </c>
      <c r="S1243" s="74" t="str">
        <f>R1243-Q1243</f>
      </c>
      <c r="T1243" s="20" t="str">
        <f>IFERROR(INDEX('Cost_Components'!$R$2:$R$27,MATCH(E1243,'Cost_Components'!$A$2:$A$27,0)),"")</f>
      </c>
      <c r="U1243" s="75" t="str">
        <f>IFERROR(INDEX('Cost_Components'!$Q$2:$Q$27,MATCH(E1243,'Cost_Components'!$A$2:$A$27,0)),"")</f>
      </c>
      <c r="V1243" s="76" t="str">
        <f>1/(1+'Calculation_Assumptions'!$B$5)^(B1243-'Calculation_Assumptions'!$B$2)</f>
      </c>
      <c r="W1243" s="77" t="str">
        <f>Q1243*V1243</f>
      </c>
      <c r="X1243" s="78" t="str">
        <f>R1243*V1243</f>
      </c>
      <c r="Y1243" s="79" t="str">
        <f>S1243*V1243</f>
      </c>
      <c r="Z1243" s="80" t="str">
        <f>IFERROR(INDEX('Cost_Components'!$T$2:$T$27,MATCH(E1243,'Cost_Components'!$A$2:$A$27,0)),"")</f>
      </c>
      <c r="AA1243" s="81" t="str">
        <f>IFERROR(INDEX('Cost_Components'!$U$2:$U$27,MATCH(E1243,'Cost_Components'!$A$2:$A$27,0)),"")</f>
      </c>
      <c r="AB1243" s="82" t="str">
        <f>IFERROR(INDEX('Cost_Components'!$V$2:$V$27,MATCH(E1243,'Cost_Components'!$A$2:$A$27,0)),"")</f>
      </c>
      <c r="AC1243" s="83" t="str">
        <f>IFERROR(INDEX('Cost_Components'!$M$2:$M$27,MATCH(E1243,'Cost_Components'!$A$2:$A$27,0)),"")</f>
      </c>
      <c r="AD1243" s="84" t="str">
        <f>IFERROR(INDEX('Cost_Components'!$N$2:$N$27,MATCH(E1243,'Cost_Components'!$A$2:$A$27,0)),"")</f>
      </c>
      <c r="AE1243" s="20" t="str">
        <f>IFERROR(INDEX('Cost_Components'!$O$2:$O$27,MATCH(E1243,'Cost_Components'!$A$2:$A$27,0)),"")</f>
      </c>
      <c r="AF1243" s="85" t="n">
        <v>919768.723945934</v>
      </c>
      <c r="AG1243" s="86" t="n">
        <v>1029738.57625643</v>
      </c>
      <c r="AH1243" s="87" t="str">
        <f>IF(H1243="shared-count-once",COUNTIFS($A$2:$A$1353,A1243,$B$2:$B$1353,B1243,$E$2:$E$1353,E1243),1)</f>
      </c>
    </row>
    <row r="1244">
      <c r="A1244" t="s">
        <v>75</v>
      </c>
      <c r="B1244" s="59" t="n">
        <v>2045</v>
      </c>
      <c r="C1244" t="s">
        <v>220</v>
      </c>
      <c r="D1244" t="s">
        <v>176</v>
      </c>
      <c r="E1244" s="60" t="s">
        <v>313</v>
      </c>
      <c r="F1244" s="61" t="s">
        <v>314</v>
      </c>
      <c r="G1244" s="62" t="s">
        <v>221</v>
      </c>
      <c r="H1244" s="63" t="s">
        <v>195</v>
      </c>
      <c r="I1244" s="64" t="s">
        <v>267</v>
      </c>
      <c r="J1244" s="65" t="str">
        <f>IFERROR(INDEX('Cost_Components'!$K$2:$K$27,MATCH(E1244,'Cost_Components'!$A$2:$A$27,0)),"")</f>
      </c>
      <c r="K1244" s="66" t="str">
        <f>IF(OR(L1244="",Z1244="",AA1244="",AB1244=""),"",IF(B1244&lt;AA1244,L1244,IF(B1244&gt;AB1244,Z1244,L1244+(Z1244-L1244)*MIN(MAX((B1244-AA1244+1)/MAX(AB1244-AA1244+1,1),0),1))))</f>
      </c>
      <c r="L1244" s="67" t="str">
        <f>IFERROR(INDEX('Cost_Components'!$S$2:$S$27,MATCH(E1244,'Cost_Components'!$A$2:$A$27,0)),"")</f>
      </c>
      <c r="M1244" s="68" t="str">
        <f>IFERROR(INDEX('Cost_Components'!$L$2:$L$27,MATCH(E1244,'Cost_Components'!$A$2:$A$27,0)),"")</f>
      </c>
      <c r="N1244" s="69" t="str">
        <f>IFERROR(INDEX('Cost_Components'!$P$2:$P$27,MATCH(E1244,'Cost_Components'!$A$2:$A$27,0)),"")</f>
      </c>
      <c r="O1244" s="70" t="str">
        <f>AF1244*J1244</f>
      </c>
      <c r="P1244" s="71" t="str">
        <f>AG1244*J1244</f>
      </c>
      <c r="Q1244" s="72" t="str">
        <f>P1244*L1244*M1244*N1244</f>
      </c>
      <c r="R1244" s="73" t="str">
        <f>O1244*K1244*M1244*N1244</f>
      </c>
      <c r="S1244" s="74" t="str">
        <f>R1244-Q1244</f>
      </c>
      <c r="T1244" s="20" t="str">
        <f>IFERROR(INDEX('Cost_Components'!$R$2:$R$27,MATCH(E1244,'Cost_Components'!$A$2:$A$27,0)),"")</f>
      </c>
      <c r="U1244" s="75" t="str">
        <f>IFERROR(INDEX('Cost_Components'!$Q$2:$Q$27,MATCH(E1244,'Cost_Components'!$A$2:$A$27,0)),"")</f>
      </c>
      <c r="V1244" s="76" t="str">
        <f>1/(1+'Calculation_Assumptions'!$B$5)^(B1244-'Calculation_Assumptions'!$B$2)</f>
      </c>
      <c r="W1244" s="77" t="str">
        <f>Q1244*V1244</f>
      </c>
      <c r="X1244" s="78" t="str">
        <f>R1244*V1244</f>
      </c>
      <c r="Y1244" s="79" t="str">
        <f>S1244*V1244</f>
      </c>
      <c r="Z1244" s="80" t="str">
        <f>IFERROR(INDEX('Cost_Components'!$T$2:$T$27,MATCH(E1244,'Cost_Components'!$A$2:$A$27,0)),"")</f>
      </c>
      <c r="AA1244" s="81" t="str">
        <f>IFERROR(INDEX('Cost_Components'!$U$2:$U$27,MATCH(E1244,'Cost_Components'!$A$2:$A$27,0)),"")</f>
      </c>
      <c r="AB1244" s="82" t="str">
        <f>IFERROR(INDEX('Cost_Components'!$V$2:$V$27,MATCH(E1244,'Cost_Components'!$A$2:$A$27,0)),"")</f>
      </c>
      <c r="AC1244" s="83" t="str">
        <f>IFERROR(INDEX('Cost_Components'!$M$2:$M$27,MATCH(E1244,'Cost_Components'!$A$2:$A$27,0)),"")</f>
      </c>
      <c r="AD1244" s="84" t="str">
        <f>IFERROR(INDEX('Cost_Components'!$N$2:$N$27,MATCH(E1244,'Cost_Components'!$A$2:$A$27,0)),"")</f>
      </c>
      <c r="AE1244" s="20" t="str">
        <f>IFERROR(INDEX('Cost_Components'!$O$2:$O$27,MATCH(E1244,'Cost_Components'!$A$2:$A$27,0)),"")</f>
      </c>
      <c r="AF1244" s="85" t="n">
        <v>913377.334476566</v>
      </c>
      <c r="AG1244" s="86" t="n">
        <v>1029577.53333486</v>
      </c>
      <c r="AH1244" s="87" t="str">
        <f>IF(H1244="shared-count-once",COUNTIFS($A$2:$A$1353,A1244,$B$2:$B$1353,B1244,$E$2:$E$1353,E1244),1)</f>
      </c>
    </row>
    <row r="1245">
      <c r="A1245" t="s">
        <v>75</v>
      </c>
      <c r="B1245" s="59" t="n">
        <v>2046</v>
      </c>
      <c r="C1245" t="s">
        <v>220</v>
      </c>
      <c r="D1245" t="s">
        <v>176</v>
      </c>
      <c r="E1245" s="60" t="s">
        <v>313</v>
      </c>
      <c r="F1245" s="61" t="s">
        <v>314</v>
      </c>
      <c r="G1245" s="62" t="s">
        <v>221</v>
      </c>
      <c r="H1245" s="63" t="s">
        <v>195</v>
      </c>
      <c r="I1245" s="64" t="s">
        <v>267</v>
      </c>
      <c r="J1245" s="65" t="str">
        <f>IFERROR(INDEX('Cost_Components'!$K$2:$K$27,MATCH(E1245,'Cost_Components'!$A$2:$A$27,0)),"")</f>
      </c>
      <c r="K1245" s="66" t="str">
        <f>IF(OR(L1245="",Z1245="",AA1245="",AB1245=""),"",IF(B1245&lt;AA1245,L1245,IF(B1245&gt;AB1245,Z1245,L1245+(Z1245-L1245)*MIN(MAX((B1245-AA1245+1)/MAX(AB1245-AA1245+1,1),0),1))))</f>
      </c>
      <c r="L1245" s="67" t="str">
        <f>IFERROR(INDEX('Cost_Components'!$S$2:$S$27,MATCH(E1245,'Cost_Components'!$A$2:$A$27,0)),"")</f>
      </c>
      <c r="M1245" s="68" t="str">
        <f>IFERROR(INDEX('Cost_Components'!$L$2:$L$27,MATCH(E1245,'Cost_Components'!$A$2:$A$27,0)),"")</f>
      </c>
      <c r="N1245" s="69" t="str">
        <f>IFERROR(INDEX('Cost_Components'!$P$2:$P$27,MATCH(E1245,'Cost_Components'!$A$2:$A$27,0)),"")</f>
      </c>
      <c r="O1245" s="70" t="str">
        <f>AF1245*J1245</f>
      </c>
      <c r="P1245" s="71" t="str">
        <f>AG1245*J1245</f>
      </c>
      <c r="Q1245" s="72" t="str">
        <f>P1245*L1245*M1245*N1245</f>
      </c>
      <c r="R1245" s="73" t="str">
        <f>O1245*K1245*M1245*N1245</f>
      </c>
      <c r="S1245" s="74" t="str">
        <f>R1245-Q1245</f>
      </c>
      <c r="T1245" s="20" t="str">
        <f>IFERROR(INDEX('Cost_Components'!$R$2:$R$27,MATCH(E1245,'Cost_Components'!$A$2:$A$27,0)),"")</f>
      </c>
      <c r="U1245" s="75" t="str">
        <f>IFERROR(INDEX('Cost_Components'!$Q$2:$Q$27,MATCH(E1245,'Cost_Components'!$A$2:$A$27,0)),"")</f>
      </c>
      <c r="V1245" s="76" t="str">
        <f>1/(1+'Calculation_Assumptions'!$B$5)^(B1245-'Calculation_Assumptions'!$B$2)</f>
      </c>
      <c r="W1245" s="77" t="str">
        <f>Q1245*V1245</f>
      </c>
      <c r="X1245" s="78" t="str">
        <f>R1245*V1245</f>
      </c>
      <c r="Y1245" s="79" t="str">
        <f>S1245*V1245</f>
      </c>
      <c r="Z1245" s="80" t="str">
        <f>IFERROR(INDEX('Cost_Components'!$T$2:$T$27,MATCH(E1245,'Cost_Components'!$A$2:$A$27,0)),"")</f>
      </c>
      <c r="AA1245" s="81" t="str">
        <f>IFERROR(INDEX('Cost_Components'!$U$2:$U$27,MATCH(E1245,'Cost_Components'!$A$2:$A$27,0)),"")</f>
      </c>
      <c r="AB1245" s="82" t="str">
        <f>IFERROR(INDEX('Cost_Components'!$V$2:$V$27,MATCH(E1245,'Cost_Components'!$A$2:$A$27,0)),"")</f>
      </c>
      <c r="AC1245" s="83" t="str">
        <f>IFERROR(INDEX('Cost_Components'!$M$2:$M$27,MATCH(E1245,'Cost_Components'!$A$2:$A$27,0)),"")</f>
      </c>
      <c r="AD1245" s="84" t="str">
        <f>IFERROR(INDEX('Cost_Components'!$N$2:$N$27,MATCH(E1245,'Cost_Components'!$A$2:$A$27,0)),"")</f>
      </c>
      <c r="AE1245" s="20" t="str">
        <f>IFERROR(INDEX('Cost_Components'!$O$2:$O$27,MATCH(E1245,'Cost_Components'!$A$2:$A$27,0)),"")</f>
      </c>
      <c r="AF1245" s="85" t="n">
        <v>906437.338620107</v>
      </c>
      <c r="AG1245" s="86" t="n">
        <v>1028866.56593476</v>
      </c>
      <c r="AH1245" s="87" t="str">
        <f>IF(H1245="shared-count-once",COUNTIFS($A$2:$A$1353,A1245,$B$2:$B$1353,B1245,$E$2:$E$1353,E1245),1)</f>
      </c>
    </row>
    <row r="1246">
      <c r="A1246" t="s">
        <v>75</v>
      </c>
      <c r="B1246" s="59" t="n">
        <v>2047</v>
      </c>
      <c r="C1246" t="s">
        <v>220</v>
      </c>
      <c r="D1246" t="s">
        <v>176</v>
      </c>
      <c r="E1246" s="60" t="s">
        <v>313</v>
      </c>
      <c r="F1246" s="61" t="s">
        <v>314</v>
      </c>
      <c r="G1246" s="62" t="s">
        <v>221</v>
      </c>
      <c r="H1246" s="63" t="s">
        <v>195</v>
      </c>
      <c r="I1246" s="64" t="s">
        <v>267</v>
      </c>
      <c r="J1246" s="65" t="str">
        <f>IFERROR(INDEX('Cost_Components'!$K$2:$K$27,MATCH(E1246,'Cost_Components'!$A$2:$A$27,0)),"")</f>
      </c>
      <c r="K1246" s="66" t="str">
        <f>IF(OR(L1246="",Z1246="",AA1246="",AB1246=""),"",IF(B1246&lt;AA1246,L1246,IF(B1246&gt;AB1246,Z1246,L1246+(Z1246-L1246)*MIN(MAX((B1246-AA1246+1)/MAX(AB1246-AA1246+1,1),0),1))))</f>
      </c>
      <c r="L1246" s="67" t="str">
        <f>IFERROR(INDEX('Cost_Components'!$S$2:$S$27,MATCH(E1246,'Cost_Components'!$A$2:$A$27,0)),"")</f>
      </c>
      <c r="M1246" s="68" t="str">
        <f>IFERROR(INDEX('Cost_Components'!$L$2:$L$27,MATCH(E1246,'Cost_Components'!$A$2:$A$27,0)),"")</f>
      </c>
      <c r="N1246" s="69" t="str">
        <f>IFERROR(INDEX('Cost_Components'!$P$2:$P$27,MATCH(E1246,'Cost_Components'!$A$2:$A$27,0)),"")</f>
      </c>
      <c r="O1246" s="70" t="str">
        <f>AF1246*J1246</f>
      </c>
      <c r="P1246" s="71" t="str">
        <f>AG1246*J1246</f>
      </c>
      <c r="Q1246" s="72" t="str">
        <f>P1246*L1246*M1246*N1246</f>
      </c>
      <c r="R1246" s="73" t="str">
        <f>O1246*K1246*M1246*N1246</f>
      </c>
      <c r="S1246" s="74" t="str">
        <f>R1246-Q1246</f>
      </c>
      <c r="T1246" s="20" t="str">
        <f>IFERROR(INDEX('Cost_Components'!$R$2:$R$27,MATCH(E1246,'Cost_Components'!$A$2:$A$27,0)),"")</f>
      </c>
      <c r="U1246" s="75" t="str">
        <f>IFERROR(INDEX('Cost_Components'!$Q$2:$Q$27,MATCH(E1246,'Cost_Components'!$A$2:$A$27,0)),"")</f>
      </c>
      <c r="V1246" s="76" t="str">
        <f>1/(1+'Calculation_Assumptions'!$B$5)^(B1246-'Calculation_Assumptions'!$B$2)</f>
      </c>
      <c r="W1246" s="77" t="str">
        <f>Q1246*V1246</f>
      </c>
      <c r="X1246" s="78" t="str">
        <f>R1246*V1246</f>
      </c>
      <c r="Y1246" s="79" t="str">
        <f>S1246*V1246</f>
      </c>
      <c r="Z1246" s="80" t="str">
        <f>IFERROR(INDEX('Cost_Components'!$T$2:$T$27,MATCH(E1246,'Cost_Components'!$A$2:$A$27,0)),"")</f>
      </c>
      <c r="AA1246" s="81" t="str">
        <f>IFERROR(INDEX('Cost_Components'!$U$2:$U$27,MATCH(E1246,'Cost_Components'!$A$2:$A$27,0)),"")</f>
      </c>
      <c r="AB1246" s="82" t="str">
        <f>IFERROR(INDEX('Cost_Components'!$V$2:$V$27,MATCH(E1246,'Cost_Components'!$A$2:$A$27,0)),"")</f>
      </c>
      <c r="AC1246" s="83" t="str">
        <f>IFERROR(INDEX('Cost_Components'!$M$2:$M$27,MATCH(E1246,'Cost_Components'!$A$2:$A$27,0)),"")</f>
      </c>
      <c r="AD1246" s="84" t="str">
        <f>IFERROR(INDEX('Cost_Components'!$N$2:$N$27,MATCH(E1246,'Cost_Components'!$A$2:$A$27,0)),"")</f>
      </c>
      <c r="AE1246" s="20" t="str">
        <f>IFERROR(INDEX('Cost_Components'!$O$2:$O$27,MATCH(E1246,'Cost_Components'!$A$2:$A$27,0)),"")</f>
      </c>
      <c r="AF1246" s="85" t="n">
        <v>898585.657102358</v>
      </c>
      <c r="AG1246" s="86" t="n">
        <v>1027218.46073044</v>
      </c>
      <c r="AH1246" s="87" t="str">
        <f>IF(H1246="shared-count-once",COUNTIFS($A$2:$A$1353,A1246,$B$2:$B$1353,B1246,$E$2:$E$1353,E1246),1)</f>
      </c>
    </row>
    <row r="1247">
      <c r="A1247" t="s">
        <v>75</v>
      </c>
      <c r="B1247" s="59" t="n">
        <v>2048</v>
      </c>
      <c r="C1247" t="s">
        <v>220</v>
      </c>
      <c r="D1247" t="s">
        <v>176</v>
      </c>
      <c r="E1247" s="60" t="s">
        <v>313</v>
      </c>
      <c r="F1247" s="61" t="s">
        <v>314</v>
      </c>
      <c r="G1247" s="62" t="s">
        <v>221</v>
      </c>
      <c r="H1247" s="63" t="s">
        <v>195</v>
      </c>
      <c r="I1247" s="64" t="s">
        <v>267</v>
      </c>
      <c r="J1247" s="65" t="str">
        <f>IFERROR(INDEX('Cost_Components'!$K$2:$K$27,MATCH(E1247,'Cost_Components'!$A$2:$A$27,0)),"")</f>
      </c>
      <c r="K1247" s="66" t="str">
        <f>IF(OR(L1247="",Z1247="",AA1247="",AB1247=""),"",IF(B1247&lt;AA1247,L1247,IF(B1247&gt;AB1247,Z1247,L1247+(Z1247-L1247)*MIN(MAX((B1247-AA1247+1)/MAX(AB1247-AA1247+1,1),0),1))))</f>
      </c>
      <c r="L1247" s="67" t="str">
        <f>IFERROR(INDEX('Cost_Components'!$S$2:$S$27,MATCH(E1247,'Cost_Components'!$A$2:$A$27,0)),"")</f>
      </c>
      <c r="M1247" s="68" t="str">
        <f>IFERROR(INDEX('Cost_Components'!$L$2:$L$27,MATCH(E1247,'Cost_Components'!$A$2:$A$27,0)),"")</f>
      </c>
      <c r="N1247" s="69" t="str">
        <f>IFERROR(INDEX('Cost_Components'!$P$2:$P$27,MATCH(E1247,'Cost_Components'!$A$2:$A$27,0)),"")</f>
      </c>
      <c r="O1247" s="70" t="str">
        <f>AF1247*J1247</f>
      </c>
      <c r="P1247" s="71" t="str">
        <f>AG1247*J1247</f>
      </c>
      <c r="Q1247" s="72" t="str">
        <f>P1247*L1247*M1247*N1247</f>
      </c>
      <c r="R1247" s="73" t="str">
        <f>O1247*K1247*M1247*N1247</f>
      </c>
      <c r="S1247" s="74" t="str">
        <f>R1247-Q1247</f>
      </c>
      <c r="T1247" s="20" t="str">
        <f>IFERROR(INDEX('Cost_Components'!$R$2:$R$27,MATCH(E1247,'Cost_Components'!$A$2:$A$27,0)),"")</f>
      </c>
      <c r="U1247" s="75" t="str">
        <f>IFERROR(INDEX('Cost_Components'!$Q$2:$Q$27,MATCH(E1247,'Cost_Components'!$A$2:$A$27,0)),"")</f>
      </c>
      <c r="V1247" s="76" t="str">
        <f>1/(1+'Calculation_Assumptions'!$B$5)^(B1247-'Calculation_Assumptions'!$B$2)</f>
      </c>
      <c r="W1247" s="77" t="str">
        <f>Q1247*V1247</f>
      </c>
      <c r="X1247" s="78" t="str">
        <f>R1247*V1247</f>
      </c>
      <c r="Y1247" s="79" t="str">
        <f>S1247*V1247</f>
      </c>
      <c r="Z1247" s="80" t="str">
        <f>IFERROR(INDEX('Cost_Components'!$T$2:$T$27,MATCH(E1247,'Cost_Components'!$A$2:$A$27,0)),"")</f>
      </c>
      <c r="AA1247" s="81" t="str">
        <f>IFERROR(INDEX('Cost_Components'!$U$2:$U$27,MATCH(E1247,'Cost_Components'!$A$2:$A$27,0)),"")</f>
      </c>
      <c r="AB1247" s="82" t="str">
        <f>IFERROR(INDEX('Cost_Components'!$V$2:$V$27,MATCH(E1247,'Cost_Components'!$A$2:$A$27,0)),"")</f>
      </c>
      <c r="AC1247" s="83" t="str">
        <f>IFERROR(INDEX('Cost_Components'!$M$2:$M$27,MATCH(E1247,'Cost_Components'!$A$2:$A$27,0)),"")</f>
      </c>
      <c r="AD1247" s="84" t="str">
        <f>IFERROR(INDEX('Cost_Components'!$N$2:$N$27,MATCH(E1247,'Cost_Components'!$A$2:$A$27,0)),"")</f>
      </c>
      <c r="AE1247" s="20" t="str">
        <f>IFERROR(INDEX('Cost_Components'!$O$2:$O$27,MATCH(E1247,'Cost_Components'!$A$2:$A$27,0)),"")</f>
      </c>
      <c r="AF1247" s="85" t="n">
        <v>890414.472065847</v>
      </c>
      <c r="AG1247" s="86" t="n">
        <v>1025172.23441339</v>
      </c>
      <c r="AH1247" s="87" t="str">
        <f>IF(H1247="shared-count-once",COUNTIFS($A$2:$A$1353,A1247,$B$2:$B$1353,B1247,$E$2:$E$1353,E1247),1)</f>
      </c>
    </row>
    <row r="1248">
      <c r="A1248" t="s">
        <v>75</v>
      </c>
      <c r="B1248" s="59" t="n">
        <v>2049</v>
      </c>
      <c r="C1248" t="s">
        <v>220</v>
      </c>
      <c r="D1248" t="s">
        <v>176</v>
      </c>
      <c r="E1248" s="60" t="s">
        <v>313</v>
      </c>
      <c r="F1248" s="61" t="s">
        <v>314</v>
      </c>
      <c r="G1248" s="62" t="s">
        <v>221</v>
      </c>
      <c r="H1248" s="63" t="s">
        <v>195</v>
      </c>
      <c r="I1248" s="64" t="s">
        <v>267</v>
      </c>
      <c r="J1248" s="65" t="str">
        <f>IFERROR(INDEX('Cost_Components'!$K$2:$K$27,MATCH(E1248,'Cost_Components'!$A$2:$A$27,0)),"")</f>
      </c>
      <c r="K1248" s="66" t="str">
        <f>IF(OR(L1248="",Z1248="",AA1248="",AB1248=""),"",IF(B1248&lt;AA1248,L1248,IF(B1248&gt;AB1248,Z1248,L1248+(Z1248-L1248)*MIN(MAX((B1248-AA1248+1)/MAX(AB1248-AA1248+1,1),0),1))))</f>
      </c>
      <c r="L1248" s="67" t="str">
        <f>IFERROR(INDEX('Cost_Components'!$S$2:$S$27,MATCH(E1248,'Cost_Components'!$A$2:$A$27,0)),"")</f>
      </c>
      <c r="M1248" s="68" t="str">
        <f>IFERROR(INDEX('Cost_Components'!$L$2:$L$27,MATCH(E1248,'Cost_Components'!$A$2:$A$27,0)),"")</f>
      </c>
      <c r="N1248" s="69" t="str">
        <f>IFERROR(INDEX('Cost_Components'!$P$2:$P$27,MATCH(E1248,'Cost_Components'!$A$2:$A$27,0)),"")</f>
      </c>
      <c r="O1248" s="70" t="str">
        <f>AF1248*J1248</f>
      </c>
      <c r="P1248" s="71" t="str">
        <f>AG1248*J1248</f>
      </c>
      <c r="Q1248" s="72" t="str">
        <f>P1248*L1248*M1248*N1248</f>
      </c>
      <c r="R1248" s="73" t="str">
        <f>O1248*K1248*M1248*N1248</f>
      </c>
      <c r="S1248" s="74" t="str">
        <f>R1248-Q1248</f>
      </c>
      <c r="T1248" s="20" t="str">
        <f>IFERROR(INDEX('Cost_Components'!$R$2:$R$27,MATCH(E1248,'Cost_Components'!$A$2:$A$27,0)),"")</f>
      </c>
      <c r="U1248" s="75" t="str">
        <f>IFERROR(INDEX('Cost_Components'!$Q$2:$Q$27,MATCH(E1248,'Cost_Components'!$A$2:$A$27,0)),"")</f>
      </c>
      <c r="V1248" s="76" t="str">
        <f>1/(1+'Calculation_Assumptions'!$B$5)^(B1248-'Calculation_Assumptions'!$B$2)</f>
      </c>
      <c r="W1248" s="77" t="str">
        <f>Q1248*V1248</f>
      </c>
      <c r="X1248" s="78" t="str">
        <f>R1248*V1248</f>
      </c>
      <c r="Y1248" s="79" t="str">
        <f>S1248*V1248</f>
      </c>
      <c r="Z1248" s="80" t="str">
        <f>IFERROR(INDEX('Cost_Components'!$T$2:$T$27,MATCH(E1248,'Cost_Components'!$A$2:$A$27,0)),"")</f>
      </c>
      <c r="AA1248" s="81" t="str">
        <f>IFERROR(INDEX('Cost_Components'!$U$2:$U$27,MATCH(E1248,'Cost_Components'!$A$2:$A$27,0)),"")</f>
      </c>
      <c r="AB1248" s="82" t="str">
        <f>IFERROR(INDEX('Cost_Components'!$V$2:$V$27,MATCH(E1248,'Cost_Components'!$A$2:$A$27,0)),"")</f>
      </c>
      <c r="AC1248" s="83" t="str">
        <f>IFERROR(INDEX('Cost_Components'!$M$2:$M$27,MATCH(E1248,'Cost_Components'!$A$2:$A$27,0)),"")</f>
      </c>
      <c r="AD1248" s="84" t="str">
        <f>IFERROR(INDEX('Cost_Components'!$N$2:$N$27,MATCH(E1248,'Cost_Components'!$A$2:$A$27,0)),"")</f>
      </c>
      <c r="AE1248" s="20" t="str">
        <f>IFERROR(INDEX('Cost_Components'!$O$2:$O$27,MATCH(E1248,'Cost_Components'!$A$2:$A$27,0)),"")</f>
      </c>
      <c r="AF1248" s="85" t="n">
        <v>882816.478347675</v>
      </c>
      <c r="AG1248" s="86" t="n">
        <v>1023604.9725096</v>
      </c>
      <c r="AH1248" s="87" t="str">
        <f>IF(H1248="shared-count-once",COUNTIFS($A$2:$A$1353,A1248,$B$2:$B$1353,B1248,$E$2:$E$1353,E1248),1)</f>
      </c>
    </row>
    <row r="1249">
      <c r="A1249" t="s">
        <v>75</v>
      </c>
      <c r="B1249" s="59" t="n">
        <v>2050</v>
      </c>
      <c r="C1249" t="s">
        <v>220</v>
      </c>
      <c r="D1249" t="s">
        <v>176</v>
      </c>
      <c r="E1249" s="60" t="s">
        <v>313</v>
      </c>
      <c r="F1249" s="61" t="s">
        <v>314</v>
      </c>
      <c r="G1249" s="62" t="s">
        <v>221</v>
      </c>
      <c r="H1249" s="63" t="s">
        <v>195</v>
      </c>
      <c r="I1249" s="64" t="s">
        <v>267</v>
      </c>
      <c r="J1249" s="65" t="str">
        <f>IFERROR(INDEX('Cost_Components'!$K$2:$K$27,MATCH(E1249,'Cost_Components'!$A$2:$A$27,0)),"")</f>
      </c>
      <c r="K1249" s="66" t="str">
        <f>IF(OR(L1249="",Z1249="",AA1249="",AB1249=""),"",IF(B1249&lt;AA1249,L1249,IF(B1249&gt;AB1249,Z1249,L1249+(Z1249-L1249)*MIN(MAX((B1249-AA1249+1)/MAX(AB1249-AA1249+1,1),0),1))))</f>
      </c>
      <c r="L1249" s="67" t="str">
        <f>IFERROR(INDEX('Cost_Components'!$S$2:$S$27,MATCH(E1249,'Cost_Components'!$A$2:$A$27,0)),"")</f>
      </c>
      <c r="M1249" s="68" t="str">
        <f>IFERROR(INDEX('Cost_Components'!$L$2:$L$27,MATCH(E1249,'Cost_Components'!$A$2:$A$27,0)),"")</f>
      </c>
      <c r="N1249" s="69" t="str">
        <f>IFERROR(INDEX('Cost_Components'!$P$2:$P$27,MATCH(E1249,'Cost_Components'!$A$2:$A$27,0)),"")</f>
      </c>
      <c r="O1249" s="70" t="str">
        <f>AF1249*J1249</f>
      </c>
      <c r="P1249" s="71" t="str">
        <f>AG1249*J1249</f>
      </c>
      <c r="Q1249" s="72" t="str">
        <f>P1249*L1249*M1249*N1249</f>
      </c>
      <c r="R1249" s="73" t="str">
        <f>O1249*K1249*M1249*N1249</f>
      </c>
      <c r="S1249" s="74" t="str">
        <f>R1249-Q1249</f>
      </c>
      <c r="T1249" s="20" t="str">
        <f>IFERROR(INDEX('Cost_Components'!$R$2:$R$27,MATCH(E1249,'Cost_Components'!$A$2:$A$27,0)),"")</f>
      </c>
      <c r="U1249" s="75" t="str">
        <f>IFERROR(INDEX('Cost_Components'!$Q$2:$Q$27,MATCH(E1249,'Cost_Components'!$A$2:$A$27,0)),"")</f>
      </c>
      <c r="V1249" s="76" t="str">
        <f>1/(1+'Calculation_Assumptions'!$B$5)^(B1249-'Calculation_Assumptions'!$B$2)</f>
      </c>
      <c r="W1249" s="77" t="str">
        <f>Q1249*V1249</f>
      </c>
      <c r="X1249" s="78" t="str">
        <f>R1249*V1249</f>
      </c>
      <c r="Y1249" s="79" t="str">
        <f>S1249*V1249</f>
      </c>
      <c r="Z1249" s="80" t="str">
        <f>IFERROR(INDEX('Cost_Components'!$T$2:$T$27,MATCH(E1249,'Cost_Components'!$A$2:$A$27,0)),"")</f>
      </c>
      <c r="AA1249" s="81" t="str">
        <f>IFERROR(INDEX('Cost_Components'!$U$2:$U$27,MATCH(E1249,'Cost_Components'!$A$2:$A$27,0)),"")</f>
      </c>
      <c r="AB1249" s="82" t="str">
        <f>IFERROR(INDEX('Cost_Components'!$V$2:$V$27,MATCH(E1249,'Cost_Components'!$A$2:$A$27,0)),"")</f>
      </c>
      <c r="AC1249" s="83" t="str">
        <f>IFERROR(INDEX('Cost_Components'!$M$2:$M$27,MATCH(E1249,'Cost_Components'!$A$2:$A$27,0)),"")</f>
      </c>
      <c r="AD1249" s="84" t="str">
        <f>IFERROR(INDEX('Cost_Components'!$N$2:$N$27,MATCH(E1249,'Cost_Components'!$A$2:$A$27,0)),"")</f>
      </c>
      <c r="AE1249" s="20" t="str">
        <f>IFERROR(INDEX('Cost_Components'!$O$2:$O$27,MATCH(E1249,'Cost_Components'!$A$2:$A$27,0)),"")</f>
      </c>
      <c r="AF1249" s="85" t="n">
        <v>875092.717293385</v>
      </c>
      <c r="AG1249" s="86" t="n">
        <v>1021857.00763941</v>
      </c>
      <c r="AH1249" s="87" t="str">
        <f>IF(H1249="shared-count-once",COUNTIFS($A$2:$A$1353,A1249,$B$2:$B$1353,B1249,$E$2:$E$1353,E1249),1)</f>
      </c>
    </row>
    <row r="1250">
      <c r="A1250" t="s">
        <v>75</v>
      </c>
      <c r="B1250" s="59" t="n">
        <v>2025</v>
      </c>
      <c r="C1250" t="s">
        <v>220</v>
      </c>
      <c r="D1250" t="s">
        <v>184</v>
      </c>
      <c r="E1250" s="60" t="s">
        <v>316</v>
      </c>
      <c r="F1250" s="61" t="s">
        <v>317</v>
      </c>
      <c r="G1250" s="62" t="s">
        <v>224</v>
      </c>
      <c r="H1250" s="63" t="s">
        <v>195</v>
      </c>
      <c r="I1250" s="64" t="s">
        <v>170</v>
      </c>
      <c r="J1250" s="65" t="str">
        <f>IFERROR(INDEX('Cost_Components'!$K$2:$K$27,MATCH(E1250,'Cost_Components'!$A$2:$A$27,0)),"")</f>
      </c>
      <c r="K1250" s="66" t="str">
        <f>IF(OR(L1250="",Z1250="",AA1250="",AB1250=""),"",IF(B1250&lt;AA1250,L1250,IF(B1250&gt;AB1250,Z1250,L1250+(Z1250-L1250)*MIN(MAX((B1250-AA1250+1)/MAX(AB1250-AA1250+1,1),0),1))))</f>
      </c>
      <c r="L1250" s="67" t="str">
        <f>IFERROR(INDEX('Cost_Components'!$S$2:$S$27,MATCH(E1250,'Cost_Components'!$A$2:$A$27,0)),"")</f>
      </c>
      <c r="M1250" s="68" t="str">
        <f>IFERROR(INDEX('Cost_Components'!$L$2:$L$27,MATCH(E1250,'Cost_Components'!$A$2:$A$27,0)),"")</f>
      </c>
      <c r="N1250" s="69" t="str">
        <f>IFERROR(INDEX('Cost_Components'!$P$2:$P$27,MATCH(E1250,'Cost_Components'!$A$2:$A$27,0)),"")</f>
      </c>
      <c r="O1250" s="70" t="str">
        <f>AF1250*J1250</f>
      </c>
      <c r="P1250" s="71" t="str">
        <f>AG1250*J1250</f>
      </c>
      <c r="Q1250" s="72" t="str">
        <f>P1250*L1250*M1250*N1250</f>
      </c>
      <c r="R1250" s="73" t="str">
        <f>O1250*K1250*M1250*N1250</f>
      </c>
      <c r="S1250" s="74" t="str">
        <f>R1250-Q1250</f>
      </c>
      <c r="T1250" s="20" t="str">
        <f>IFERROR(INDEX('Cost_Components'!$R$2:$R$27,MATCH(E1250,'Cost_Components'!$A$2:$A$27,0)),"")</f>
      </c>
      <c r="U1250" s="75" t="str">
        <f>IFERROR(INDEX('Cost_Components'!$Q$2:$Q$27,MATCH(E1250,'Cost_Components'!$A$2:$A$27,0)),"")</f>
      </c>
      <c r="V1250" s="76" t="str">
        <f>1/(1+'Calculation_Assumptions'!$B$5)^(B1250-'Calculation_Assumptions'!$B$2)</f>
      </c>
      <c r="W1250" s="77" t="str">
        <f>Q1250*V1250</f>
      </c>
      <c r="X1250" s="78" t="str">
        <f>R1250*V1250</f>
      </c>
      <c r="Y1250" s="79" t="str">
        <f>S1250*V1250</f>
      </c>
      <c r="Z1250" s="80" t="str">
        <f>IFERROR(INDEX('Cost_Components'!$T$2:$T$27,MATCH(E1250,'Cost_Components'!$A$2:$A$27,0)),"")</f>
      </c>
      <c r="AA1250" s="81" t="str">
        <f>IFERROR(INDEX('Cost_Components'!$U$2:$U$27,MATCH(E1250,'Cost_Components'!$A$2:$A$27,0)),"")</f>
      </c>
      <c r="AB1250" s="82" t="str">
        <f>IFERROR(INDEX('Cost_Components'!$V$2:$V$27,MATCH(E1250,'Cost_Components'!$A$2:$A$27,0)),"")</f>
      </c>
      <c r="AC1250" s="83" t="str">
        <f>IFERROR(INDEX('Cost_Components'!$M$2:$M$27,MATCH(E1250,'Cost_Components'!$A$2:$A$27,0)),"")</f>
      </c>
      <c r="AD1250" s="84" t="str">
        <f>IFERROR(INDEX('Cost_Components'!$N$2:$N$27,MATCH(E1250,'Cost_Components'!$A$2:$A$27,0)),"")</f>
      </c>
      <c r="AE1250" s="20" t="str">
        <f>IFERROR(INDEX('Cost_Components'!$O$2:$O$27,MATCH(E1250,'Cost_Components'!$A$2:$A$27,0)),"")</f>
      </c>
      <c r="AF1250" s="85" t="n">
        <v>325386.492716795</v>
      </c>
      <c r="AG1250" s="86" t="n">
        <v>327987.69477414</v>
      </c>
      <c r="AH1250" s="87" t="str">
        <f>IF(H1250="shared-count-once",COUNTIFS($A$2:$A$1353,A1250,$B$2:$B$1353,B1250,$E$2:$E$1353,E1250),1)</f>
      </c>
    </row>
    <row r="1251">
      <c r="A1251" t="s">
        <v>75</v>
      </c>
      <c r="B1251" s="59" t="n">
        <v>2026</v>
      </c>
      <c r="C1251" t="s">
        <v>220</v>
      </c>
      <c r="D1251" t="s">
        <v>184</v>
      </c>
      <c r="E1251" s="60" t="s">
        <v>316</v>
      </c>
      <c r="F1251" s="61" t="s">
        <v>317</v>
      </c>
      <c r="G1251" s="62" t="s">
        <v>224</v>
      </c>
      <c r="H1251" s="63" t="s">
        <v>195</v>
      </c>
      <c r="I1251" s="64" t="s">
        <v>170</v>
      </c>
      <c r="J1251" s="65" t="str">
        <f>IFERROR(INDEX('Cost_Components'!$K$2:$K$27,MATCH(E1251,'Cost_Components'!$A$2:$A$27,0)),"")</f>
      </c>
      <c r="K1251" s="66" t="str">
        <f>IF(OR(L1251="",Z1251="",AA1251="",AB1251=""),"",IF(B1251&lt;AA1251,L1251,IF(B1251&gt;AB1251,Z1251,L1251+(Z1251-L1251)*MIN(MAX((B1251-AA1251+1)/MAX(AB1251-AA1251+1,1),0),1))))</f>
      </c>
      <c r="L1251" s="67" t="str">
        <f>IFERROR(INDEX('Cost_Components'!$S$2:$S$27,MATCH(E1251,'Cost_Components'!$A$2:$A$27,0)),"")</f>
      </c>
      <c r="M1251" s="68" t="str">
        <f>IFERROR(INDEX('Cost_Components'!$L$2:$L$27,MATCH(E1251,'Cost_Components'!$A$2:$A$27,0)),"")</f>
      </c>
      <c r="N1251" s="69" t="str">
        <f>IFERROR(INDEX('Cost_Components'!$P$2:$P$27,MATCH(E1251,'Cost_Components'!$A$2:$A$27,0)),"")</f>
      </c>
      <c r="O1251" s="70" t="str">
        <f>AF1251*J1251</f>
      </c>
      <c r="P1251" s="71" t="str">
        <f>AG1251*J1251</f>
      </c>
      <c r="Q1251" s="72" t="str">
        <f>P1251*L1251*M1251*N1251</f>
      </c>
      <c r="R1251" s="73" t="str">
        <f>O1251*K1251*M1251*N1251</f>
      </c>
      <c r="S1251" s="74" t="str">
        <f>R1251-Q1251</f>
      </c>
      <c r="T1251" s="20" t="str">
        <f>IFERROR(INDEX('Cost_Components'!$R$2:$R$27,MATCH(E1251,'Cost_Components'!$A$2:$A$27,0)),"")</f>
      </c>
      <c r="U1251" s="75" t="str">
        <f>IFERROR(INDEX('Cost_Components'!$Q$2:$Q$27,MATCH(E1251,'Cost_Components'!$A$2:$A$27,0)),"")</f>
      </c>
      <c r="V1251" s="76" t="str">
        <f>1/(1+'Calculation_Assumptions'!$B$5)^(B1251-'Calculation_Assumptions'!$B$2)</f>
      </c>
      <c r="W1251" s="77" t="str">
        <f>Q1251*V1251</f>
      </c>
      <c r="X1251" s="78" t="str">
        <f>R1251*V1251</f>
      </c>
      <c r="Y1251" s="79" t="str">
        <f>S1251*V1251</f>
      </c>
      <c r="Z1251" s="80" t="str">
        <f>IFERROR(INDEX('Cost_Components'!$T$2:$T$27,MATCH(E1251,'Cost_Components'!$A$2:$A$27,0)),"")</f>
      </c>
      <c r="AA1251" s="81" t="str">
        <f>IFERROR(INDEX('Cost_Components'!$U$2:$U$27,MATCH(E1251,'Cost_Components'!$A$2:$A$27,0)),"")</f>
      </c>
      <c r="AB1251" s="82" t="str">
        <f>IFERROR(INDEX('Cost_Components'!$V$2:$V$27,MATCH(E1251,'Cost_Components'!$A$2:$A$27,0)),"")</f>
      </c>
      <c r="AC1251" s="83" t="str">
        <f>IFERROR(INDEX('Cost_Components'!$M$2:$M$27,MATCH(E1251,'Cost_Components'!$A$2:$A$27,0)),"")</f>
      </c>
      <c r="AD1251" s="84" t="str">
        <f>IFERROR(INDEX('Cost_Components'!$N$2:$N$27,MATCH(E1251,'Cost_Components'!$A$2:$A$27,0)),"")</f>
      </c>
      <c r="AE1251" s="20" t="str">
        <f>IFERROR(INDEX('Cost_Components'!$O$2:$O$27,MATCH(E1251,'Cost_Components'!$A$2:$A$27,0)),"")</f>
      </c>
      <c r="AF1251" s="85" t="n">
        <v>321636.204624056</v>
      </c>
      <c r="AG1251" s="86" t="n">
        <v>326874.413768806</v>
      </c>
      <c r="AH1251" s="87" t="str">
        <f>IF(H1251="shared-count-once",COUNTIFS($A$2:$A$1353,A1251,$B$2:$B$1353,B1251,$E$2:$E$1353,E1251),1)</f>
      </c>
    </row>
    <row r="1252">
      <c r="A1252" t="s">
        <v>75</v>
      </c>
      <c r="B1252" s="59" t="n">
        <v>2027</v>
      </c>
      <c r="C1252" t="s">
        <v>220</v>
      </c>
      <c r="D1252" t="s">
        <v>184</v>
      </c>
      <c r="E1252" s="60" t="s">
        <v>316</v>
      </c>
      <c r="F1252" s="61" t="s">
        <v>317</v>
      </c>
      <c r="G1252" s="62" t="s">
        <v>224</v>
      </c>
      <c r="H1252" s="63" t="s">
        <v>195</v>
      </c>
      <c r="I1252" s="64" t="s">
        <v>170</v>
      </c>
      <c r="J1252" s="65" t="str">
        <f>IFERROR(INDEX('Cost_Components'!$K$2:$K$27,MATCH(E1252,'Cost_Components'!$A$2:$A$27,0)),"")</f>
      </c>
      <c r="K1252" s="66" t="str">
        <f>IF(OR(L1252="",Z1252="",AA1252="",AB1252=""),"",IF(B1252&lt;AA1252,L1252,IF(B1252&gt;AB1252,Z1252,L1252+(Z1252-L1252)*MIN(MAX((B1252-AA1252+1)/MAX(AB1252-AA1252+1,1),0),1))))</f>
      </c>
      <c r="L1252" s="67" t="str">
        <f>IFERROR(INDEX('Cost_Components'!$S$2:$S$27,MATCH(E1252,'Cost_Components'!$A$2:$A$27,0)),"")</f>
      </c>
      <c r="M1252" s="68" t="str">
        <f>IFERROR(INDEX('Cost_Components'!$L$2:$L$27,MATCH(E1252,'Cost_Components'!$A$2:$A$27,0)),"")</f>
      </c>
      <c r="N1252" s="69" t="str">
        <f>IFERROR(INDEX('Cost_Components'!$P$2:$P$27,MATCH(E1252,'Cost_Components'!$A$2:$A$27,0)),"")</f>
      </c>
      <c r="O1252" s="70" t="str">
        <f>AF1252*J1252</f>
      </c>
      <c r="P1252" s="71" t="str">
        <f>AG1252*J1252</f>
      </c>
      <c r="Q1252" s="72" t="str">
        <f>P1252*L1252*M1252*N1252</f>
      </c>
      <c r="R1252" s="73" t="str">
        <f>O1252*K1252*M1252*N1252</f>
      </c>
      <c r="S1252" s="74" t="str">
        <f>R1252-Q1252</f>
      </c>
      <c r="T1252" s="20" t="str">
        <f>IFERROR(INDEX('Cost_Components'!$R$2:$R$27,MATCH(E1252,'Cost_Components'!$A$2:$A$27,0)),"")</f>
      </c>
      <c r="U1252" s="75" t="str">
        <f>IFERROR(INDEX('Cost_Components'!$Q$2:$Q$27,MATCH(E1252,'Cost_Components'!$A$2:$A$27,0)),"")</f>
      </c>
      <c r="V1252" s="76" t="str">
        <f>1/(1+'Calculation_Assumptions'!$B$5)^(B1252-'Calculation_Assumptions'!$B$2)</f>
      </c>
      <c r="W1252" s="77" t="str">
        <f>Q1252*V1252</f>
      </c>
      <c r="X1252" s="78" t="str">
        <f>R1252*V1252</f>
      </c>
      <c r="Y1252" s="79" t="str">
        <f>S1252*V1252</f>
      </c>
      <c r="Z1252" s="80" t="str">
        <f>IFERROR(INDEX('Cost_Components'!$T$2:$T$27,MATCH(E1252,'Cost_Components'!$A$2:$A$27,0)),"")</f>
      </c>
      <c r="AA1252" s="81" t="str">
        <f>IFERROR(INDEX('Cost_Components'!$U$2:$U$27,MATCH(E1252,'Cost_Components'!$A$2:$A$27,0)),"")</f>
      </c>
      <c r="AB1252" s="82" t="str">
        <f>IFERROR(INDEX('Cost_Components'!$V$2:$V$27,MATCH(E1252,'Cost_Components'!$A$2:$A$27,0)),"")</f>
      </c>
      <c r="AC1252" s="83" t="str">
        <f>IFERROR(INDEX('Cost_Components'!$M$2:$M$27,MATCH(E1252,'Cost_Components'!$A$2:$A$27,0)),"")</f>
      </c>
      <c r="AD1252" s="84" t="str">
        <f>IFERROR(INDEX('Cost_Components'!$N$2:$N$27,MATCH(E1252,'Cost_Components'!$A$2:$A$27,0)),"")</f>
      </c>
      <c r="AE1252" s="20" t="str">
        <f>IFERROR(INDEX('Cost_Components'!$O$2:$O$27,MATCH(E1252,'Cost_Components'!$A$2:$A$27,0)),"")</f>
      </c>
      <c r="AF1252" s="85" t="n">
        <v>317985.05438543</v>
      </c>
      <c r="AG1252" s="86" t="n">
        <v>325875.393195277</v>
      </c>
      <c r="AH1252" s="87" t="str">
        <f>IF(H1252="shared-count-once",COUNTIFS($A$2:$A$1353,A1252,$B$2:$B$1353,B1252,$E$2:$E$1353,E1252),1)</f>
      </c>
    </row>
    <row r="1253">
      <c r="A1253" t="s">
        <v>75</v>
      </c>
      <c r="B1253" s="59" t="n">
        <v>2028</v>
      </c>
      <c r="C1253" t="s">
        <v>220</v>
      </c>
      <c r="D1253" t="s">
        <v>184</v>
      </c>
      <c r="E1253" s="60" t="s">
        <v>316</v>
      </c>
      <c r="F1253" s="61" t="s">
        <v>317</v>
      </c>
      <c r="G1253" s="62" t="s">
        <v>224</v>
      </c>
      <c r="H1253" s="63" t="s">
        <v>195</v>
      </c>
      <c r="I1253" s="64" t="s">
        <v>170</v>
      </c>
      <c r="J1253" s="65" t="str">
        <f>IFERROR(INDEX('Cost_Components'!$K$2:$K$27,MATCH(E1253,'Cost_Components'!$A$2:$A$27,0)),"")</f>
      </c>
      <c r="K1253" s="66" t="str">
        <f>IF(OR(L1253="",Z1253="",AA1253="",AB1253=""),"",IF(B1253&lt;AA1253,L1253,IF(B1253&gt;AB1253,Z1253,L1253+(Z1253-L1253)*MIN(MAX((B1253-AA1253+1)/MAX(AB1253-AA1253+1,1),0),1))))</f>
      </c>
      <c r="L1253" s="67" t="str">
        <f>IFERROR(INDEX('Cost_Components'!$S$2:$S$27,MATCH(E1253,'Cost_Components'!$A$2:$A$27,0)),"")</f>
      </c>
      <c r="M1253" s="68" t="str">
        <f>IFERROR(INDEX('Cost_Components'!$L$2:$L$27,MATCH(E1253,'Cost_Components'!$A$2:$A$27,0)),"")</f>
      </c>
      <c r="N1253" s="69" t="str">
        <f>IFERROR(INDEX('Cost_Components'!$P$2:$P$27,MATCH(E1253,'Cost_Components'!$A$2:$A$27,0)),"")</f>
      </c>
      <c r="O1253" s="70" t="str">
        <f>AF1253*J1253</f>
      </c>
      <c r="P1253" s="71" t="str">
        <f>AG1253*J1253</f>
      </c>
      <c r="Q1253" s="72" t="str">
        <f>P1253*L1253*M1253*N1253</f>
      </c>
      <c r="R1253" s="73" t="str">
        <f>O1253*K1253*M1253*N1253</f>
      </c>
      <c r="S1253" s="74" t="str">
        <f>R1253-Q1253</f>
      </c>
      <c r="T1253" s="20" t="str">
        <f>IFERROR(INDEX('Cost_Components'!$R$2:$R$27,MATCH(E1253,'Cost_Components'!$A$2:$A$27,0)),"")</f>
      </c>
      <c r="U1253" s="75" t="str">
        <f>IFERROR(INDEX('Cost_Components'!$Q$2:$Q$27,MATCH(E1253,'Cost_Components'!$A$2:$A$27,0)),"")</f>
      </c>
      <c r="V1253" s="76" t="str">
        <f>1/(1+'Calculation_Assumptions'!$B$5)^(B1253-'Calculation_Assumptions'!$B$2)</f>
      </c>
      <c r="W1253" s="77" t="str">
        <f>Q1253*V1253</f>
      </c>
      <c r="X1253" s="78" t="str">
        <f>R1253*V1253</f>
      </c>
      <c r="Y1253" s="79" t="str">
        <f>S1253*V1253</f>
      </c>
      <c r="Z1253" s="80" t="str">
        <f>IFERROR(INDEX('Cost_Components'!$T$2:$T$27,MATCH(E1253,'Cost_Components'!$A$2:$A$27,0)),"")</f>
      </c>
      <c r="AA1253" s="81" t="str">
        <f>IFERROR(INDEX('Cost_Components'!$U$2:$U$27,MATCH(E1253,'Cost_Components'!$A$2:$A$27,0)),"")</f>
      </c>
      <c r="AB1253" s="82" t="str">
        <f>IFERROR(INDEX('Cost_Components'!$V$2:$V$27,MATCH(E1253,'Cost_Components'!$A$2:$A$27,0)),"")</f>
      </c>
      <c r="AC1253" s="83" t="str">
        <f>IFERROR(INDEX('Cost_Components'!$M$2:$M$27,MATCH(E1253,'Cost_Components'!$A$2:$A$27,0)),"")</f>
      </c>
      <c r="AD1253" s="84" t="str">
        <f>IFERROR(INDEX('Cost_Components'!$N$2:$N$27,MATCH(E1253,'Cost_Components'!$A$2:$A$27,0)),"")</f>
      </c>
      <c r="AE1253" s="20" t="str">
        <f>IFERROR(INDEX('Cost_Components'!$O$2:$O$27,MATCH(E1253,'Cost_Components'!$A$2:$A$27,0)),"")</f>
      </c>
      <c r="AF1253" s="85" t="n">
        <v>315570.75751065</v>
      </c>
      <c r="AG1253" s="86" t="n">
        <v>326169.751036718</v>
      </c>
      <c r="AH1253" s="87" t="str">
        <f>IF(H1253="shared-count-once",COUNTIFS($A$2:$A$1353,A1253,$B$2:$B$1353,B1253,$E$2:$E$1353,E1253),1)</f>
      </c>
    </row>
    <row r="1254">
      <c r="A1254" t="s">
        <v>75</v>
      </c>
      <c r="B1254" s="59" t="n">
        <v>2029</v>
      </c>
      <c r="C1254" t="s">
        <v>220</v>
      </c>
      <c r="D1254" t="s">
        <v>184</v>
      </c>
      <c r="E1254" s="60" t="s">
        <v>316</v>
      </c>
      <c r="F1254" s="61" t="s">
        <v>317</v>
      </c>
      <c r="G1254" s="62" t="s">
        <v>224</v>
      </c>
      <c r="H1254" s="63" t="s">
        <v>195</v>
      </c>
      <c r="I1254" s="64" t="s">
        <v>170</v>
      </c>
      <c r="J1254" s="65" t="str">
        <f>IFERROR(INDEX('Cost_Components'!$K$2:$K$27,MATCH(E1254,'Cost_Components'!$A$2:$A$27,0)),"")</f>
      </c>
      <c r="K1254" s="66" t="str">
        <f>IF(OR(L1254="",Z1254="",AA1254="",AB1254=""),"",IF(B1254&lt;AA1254,L1254,IF(B1254&gt;AB1254,Z1254,L1254+(Z1254-L1254)*MIN(MAX((B1254-AA1254+1)/MAX(AB1254-AA1254+1,1),0),1))))</f>
      </c>
      <c r="L1254" s="67" t="str">
        <f>IFERROR(INDEX('Cost_Components'!$S$2:$S$27,MATCH(E1254,'Cost_Components'!$A$2:$A$27,0)),"")</f>
      </c>
      <c r="M1254" s="68" t="str">
        <f>IFERROR(INDEX('Cost_Components'!$L$2:$L$27,MATCH(E1254,'Cost_Components'!$A$2:$A$27,0)),"")</f>
      </c>
      <c r="N1254" s="69" t="str">
        <f>IFERROR(INDEX('Cost_Components'!$P$2:$P$27,MATCH(E1254,'Cost_Components'!$A$2:$A$27,0)),"")</f>
      </c>
      <c r="O1254" s="70" t="str">
        <f>AF1254*J1254</f>
      </c>
      <c r="P1254" s="71" t="str">
        <f>AG1254*J1254</f>
      </c>
      <c r="Q1254" s="72" t="str">
        <f>P1254*L1254*M1254*N1254</f>
      </c>
      <c r="R1254" s="73" t="str">
        <f>O1254*K1254*M1254*N1254</f>
      </c>
      <c r="S1254" s="74" t="str">
        <f>R1254-Q1254</f>
      </c>
      <c r="T1254" s="20" t="str">
        <f>IFERROR(INDEX('Cost_Components'!$R$2:$R$27,MATCH(E1254,'Cost_Components'!$A$2:$A$27,0)),"")</f>
      </c>
      <c r="U1254" s="75" t="str">
        <f>IFERROR(INDEX('Cost_Components'!$Q$2:$Q$27,MATCH(E1254,'Cost_Components'!$A$2:$A$27,0)),"")</f>
      </c>
      <c r="V1254" s="76" t="str">
        <f>1/(1+'Calculation_Assumptions'!$B$5)^(B1254-'Calculation_Assumptions'!$B$2)</f>
      </c>
      <c r="W1254" s="77" t="str">
        <f>Q1254*V1254</f>
      </c>
      <c r="X1254" s="78" t="str">
        <f>R1254*V1254</f>
      </c>
      <c r="Y1254" s="79" t="str">
        <f>S1254*V1254</f>
      </c>
      <c r="Z1254" s="80" t="str">
        <f>IFERROR(INDEX('Cost_Components'!$T$2:$T$27,MATCH(E1254,'Cost_Components'!$A$2:$A$27,0)),"")</f>
      </c>
      <c r="AA1254" s="81" t="str">
        <f>IFERROR(INDEX('Cost_Components'!$U$2:$U$27,MATCH(E1254,'Cost_Components'!$A$2:$A$27,0)),"")</f>
      </c>
      <c r="AB1254" s="82" t="str">
        <f>IFERROR(INDEX('Cost_Components'!$V$2:$V$27,MATCH(E1254,'Cost_Components'!$A$2:$A$27,0)),"")</f>
      </c>
      <c r="AC1254" s="83" t="str">
        <f>IFERROR(INDEX('Cost_Components'!$M$2:$M$27,MATCH(E1254,'Cost_Components'!$A$2:$A$27,0)),"")</f>
      </c>
      <c r="AD1254" s="84" t="str">
        <f>IFERROR(INDEX('Cost_Components'!$N$2:$N$27,MATCH(E1254,'Cost_Components'!$A$2:$A$27,0)),"")</f>
      </c>
      <c r="AE1254" s="20" t="str">
        <f>IFERROR(INDEX('Cost_Components'!$O$2:$O$27,MATCH(E1254,'Cost_Components'!$A$2:$A$27,0)),"")</f>
      </c>
      <c r="AF1254" s="85" t="n">
        <v>311412.747080589</v>
      </c>
      <c r="AG1254" s="86" t="n">
        <v>324641.436357462</v>
      </c>
      <c r="AH1254" s="87" t="str">
        <f>IF(H1254="shared-count-once",COUNTIFS($A$2:$A$1353,A1254,$B$2:$B$1353,B1254,$E$2:$E$1353,E1254),1)</f>
      </c>
    </row>
    <row r="1255">
      <c r="A1255" t="s">
        <v>75</v>
      </c>
      <c r="B1255" s="59" t="n">
        <v>2030</v>
      </c>
      <c r="C1255" t="s">
        <v>220</v>
      </c>
      <c r="D1255" t="s">
        <v>184</v>
      </c>
      <c r="E1255" s="60" t="s">
        <v>316</v>
      </c>
      <c r="F1255" s="61" t="s">
        <v>317</v>
      </c>
      <c r="G1255" s="62" t="s">
        <v>224</v>
      </c>
      <c r="H1255" s="63" t="s">
        <v>195</v>
      </c>
      <c r="I1255" s="64" t="s">
        <v>170</v>
      </c>
      <c r="J1255" s="65" t="str">
        <f>IFERROR(INDEX('Cost_Components'!$K$2:$K$27,MATCH(E1255,'Cost_Components'!$A$2:$A$27,0)),"")</f>
      </c>
      <c r="K1255" s="66" t="str">
        <f>IF(OR(L1255="",Z1255="",AA1255="",AB1255=""),"",IF(B1255&lt;AA1255,L1255,IF(B1255&gt;AB1255,Z1255,L1255+(Z1255-L1255)*MIN(MAX((B1255-AA1255+1)/MAX(AB1255-AA1255+1,1),0),1))))</f>
      </c>
      <c r="L1255" s="67" t="str">
        <f>IFERROR(INDEX('Cost_Components'!$S$2:$S$27,MATCH(E1255,'Cost_Components'!$A$2:$A$27,0)),"")</f>
      </c>
      <c r="M1255" s="68" t="str">
        <f>IFERROR(INDEX('Cost_Components'!$L$2:$L$27,MATCH(E1255,'Cost_Components'!$A$2:$A$27,0)),"")</f>
      </c>
      <c r="N1255" s="69" t="str">
        <f>IFERROR(INDEX('Cost_Components'!$P$2:$P$27,MATCH(E1255,'Cost_Components'!$A$2:$A$27,0)),"")</f>
      </c>
      <c r="O1255" s="70" t="str">
        <f>AF1255*J1255</f>
      </c>
      <c r="P1255" s="71" t="str">
        <f>AG1255*J1255</f>
      </c>
      <c r="Q1255" s="72" t="str">
        <f>P1255*L1255*M1255*N1255</f>
      </c>
      <c r="R1255" s="73" t="str">
        <f>O1255*K1255*M1255*N1255</f>
      </c>
      <c r="S1255" s="74" t="str">
        <f>R1255-Q1255</f>
      </c>
      <c r="T1255" s="20" t="str">
        <f>IFERROR(INDEX('Cost_Components'!$R$2:$R$27,MATCH(E1255,'Cost_Components'!$A$2:$A$27,0)),"")</f>
      </c>
      <c r="U1255" s="75" t="str">
        <f>IFERROR(INDEX('Cost_Components'!$Q$2:$Q$27,MATCH(E1255,'Cost_Components'!$A$2:$A$27,0)),"")</f>
      </c>
      <c r="V1255" s="76" t="str">
        <f>1/(1+'Calculation_Assumptions'!$B$5)^(B1255-'Calculation_Assumptions'!$B$2)</f>
      </c>
      <c r="W1255" s="77" t="str">
        <f>Q1255*V1255</f>
      </c>
      <c r="X1255" s="78" t="str">
        <f>R1255*V1255</f>
      </c>
      <c r="Y1255" s="79" t="str">
        <f>S1255*V1255</f>
      </c>
      <c r="Z1255" s="80" t="str">
        <f>IFERROR(INDEX('Cost_Components'!$T$2:$T$27,MATCH(E1255,'Cost_Components'!$A$2:$A$27,0)),"")</f>
      </c>
      <c r="AA1255" s="81" t="str">
        <f>IFERROR(INDEX('Cost_Components'!$U$2:$U$27,MATCH(E1255,'Cost_Components'!$A$2:$A$27,0)),"")</f>
      </c>
      <c r="AB1255" s="82" t="str">
        <f>IFERROR(INDEX('Cost_Components'!$V$2:$V$27,MATCH(E1255,'Cost_Components'!$A$2:$A$27,0)),"")</f>
      </c>
      <c r="AC1255" s="83" t="str">
        <f>IFERROR(INDEX('Cost_Components'!$M$2:$M$27,MATCH(E1255,'Cost_Components'!$A$2:$A$27,0)),"")</f>
      </c>
      <c r="AD1255" s="84" t="str">
        <f>IFERROR(INDEX('Cost_Components'!$N$2:$N$27,MATCH(E1255,'Cost_Components'!$A$2:$A$27,0)),"")</f>
      </c>
      <c r="AE1255" s="20" t="str">
        <f>IFERROR(INDEX('Cost_Components'!$O$2:$O$27,MATCH(E1255,'Cost_Components'!$A$2:$A$27,0)),"")</f>
      </c>
      <c r="AF1255" s="85" t="n">
        <v>310006.945011413</v>
      </c>
      <c r="AG1255" s="86" t="n">
        <v>325987.326720607</v>
      </c>
      <c r="AH1255" s="87" t="str">
        <f>IF(H1255="shared-count-once",COUNTIFS($A$2:$A$1353,A1255,$B$2:$B$1353,B1255,$E$2:$E$1353,E1255),1)</f>
      </c>
    </row>
    <row r="1256">
      <c r="A1256" t="s">
        <v>75</v>
      </c>
      <c r="B1256" s="59" t="n">
        <v>2031</v>
      </c>
      <c r="C1256" t="s">
        <v>220</v>
      </c>
      <c r="D1256" t="s">
        <v>184</v>
      </c>
      <c r="E1256" s="60" t="s">
        <v>316</v>
      </c>
      <c r="F1256" s="61" t="s">
        <v>317</v>
      </c>
      <c r="G1256" s="62" t="s">
        <v>224</v>
      </c>
      <c r="H1256" s="63" t="s">
        <v>195</v>
      </c>
      <c r="I1256" s="64" t="s">
        <v>170</v>
      </c>
      <c r="J1256" s="65" t="str">
        <f>IFERROR(INDEX('Cost_Components'!$K$2:$K$27,MATCH(E1256,'Cost_Components'!$A$2:$A$27,0)),"")</f>
      </c>
      <c r="K1256" s="66" t="str">
        <f>IF(OR(L1256="",Z1256="",AA1256="",AB1256=""),"",IF(B1256&lt;AA1256,L1256,IF(B1256&gt;AB1256,Z1256,L1256+(Z1256-L1256)*MIN(MAX((B1256-AA1256+1)/MAX(AB1256-AA1256+1,1),0),1))))</f>
      </c>
      <c r="L1256" s="67" t="str">
        <f>IFERROR(INDEX('Cost_Components'!$S$2:$S$27,MATCH(E1256,'Cost_Components'!$A$2:$A$27,0)),"")</f>
      </c>
      <c r="M1256" s="68" t="str">
        <f>IFERROR(INDEX('Cost_Components'!$L$2:$L$27,MATCH(E1256,'Cost_Components'!$A$2:$A$27,0)),"")</f>
      </c>
      <c r="N1256" s="69" t="str">
        <f>IFERROR(INDEX('Cost_Components'!$P$2:$P$27,MATCH(E1256,'Cost_Components'!$A$2:$A$27,0)),"")</f>
      </c>
      <c r="O1256" s="70" t="str">
        <f>AF1256*J1256</f>
      </c>
      <c r="P1256" s="71" t="str">
        <f>AG1256*J1256</f>
      </c>
      <c r="Q1256" s="72" t="str">
        <f>P1256*L1256*M1256*N1256</f>
      </c>
      <c r="R1256" s="73" t="str">
        <f>O1256*K1256*M1256*N1256</f>
      </c>
      <c r="S1256" s="74" t="str">
        <f>R1256-Q1256</f>
      </c>
      <c r="T1256" s="20" t="str">
        <f>IFERROR(INDEX('Cost_Components'!$R$2:$R$27,MATCH(E1256,'Cost_Components'!$A$2:$A$27,0)),"")</f>
      </c>
      <c r="U1256" s="75" t="str">
        <f>IFERROR(INDEX('Cost_Components'!$Q$2:$Q$27,MATCH(E1256,'Cost_Components'!$A$2:$A$27,0)),"")</f>
      </c>
      <c r="V1256" s="76" t="str">
        <f>1/(1+'Calculation_Assumptions'!$B$5)^(B1256-'Calculation_Assumptions'!$B$2)</f>
      </c>
      <c r="W1256" s="77" t="str">
        <f>Q1256*V1256</f>
      </c>
      <c r="X1256" s="78" t="str">
        <f>R1256*V1256</f>
      </c>
      <c r="Y1256" s="79" t="str">
        <f>S1256*V1256</f>
      </c>
      <c r="Z1256" s="80" t="str">
        <f>IFERROR(INDEX('Cost_Components'!$T$2:$T$27,MATCH(E1256,'Cost_Components'!$A$2:$A$27,0)),"")</f>
      </c>
      <c r="AA1256" s="81" t="str">
        <f>IFERROR(INDEX('Cost_Components'!$U$2:$U$27,MATCH(E1256,'Cost_Components'!$A$2:$A$27,0)),"")</f>
      </c>
      <c r="AB1256" s="82" t="str">
        <f>IFERROR(INDEX('Cost_Components'!$V$2:$V$27,MATCH(E1256,'Cost_Components'!$A$2:$A$27,0)),"")</f>
      </c>
      <c r="AC1256" s="83" t="str">
        <f>IFERROR(INDEX('Cost_Components'!$M$2:$M$27,MATCH(E1256,'Cost_Components'!$A$2:$A$27,0)),"")</f>
      </c>
      <c r="AD1256" s="84" t="str">
        <f>IFERROR(INDEX('Cost_Components'!$N$2:$N$27,MATCH(E1256,'Cost_Components'!$A$2:$A$27,0)),"")</f>
      </c>
      <c r="AE1256" s="20" t="str">
        <f>IFERROR(INDEX('Cost_Components'!$O$2:$O$27,MATCH(E1256,'Cost_Components'!$A$2:$A$27,0)),"")</f>
      </c>
      <c r="AF1256" s="85" t="n">
        <v>308961.56446437</v>
      </c>
      <c r="AG1256" s="86" t="n">
        <v>327762.232350161</v>
      </c>
      <c r="AH1256" s="87" t="str">
        <f>IF(H1256="shared-count-once",COUNTIFS($A$2:$A$1353,A1256,$B$2:$B$1353,B1256,$E$2:$E$1353,E1256),1)</f>
      </c>
    </row>
    <row r="1257">
      <c r="A1257" t="s">
        <v>75</v>
      </c>
      <c r="B1257" s="59" t="n">
        <v>2032</v>
      </c>
      <c r="C1257" t="s">
        <v>220</v>
      </c>
      <c r="D1257" t="s">
        <v>184</v>
      </c>
      <c r="E1257" s="60" t="s">
        <v>316</v>
      </c>
      <c r="F1257" s="61" t="s">
        <v>317</v>
      </c>
      <c r="G1257" s="62" t="s">
        <v>224</v>
      </c>
      <c r="H1257" s="63" t="s">
        <v>195</v>
      </c>
      <c r="I1257" s="64" t="s">
        <v>170</v>
      </c>
      <c r="J1257" s="65" t="str">
        <f>IFERROR(INDEX('Cost_Components'!$K$2:$K$27,MATCH(E1257,'Cost_Components'!$A$2:$A$27,0)),"")</f>
      </c>
      <c r="K1257" s="66" t="str">
        <f>IF(OR(L1257="",Z1257="",AA1257="",AB1257=""),"",IF(B1257&lt;AA1257,L1257,IF(B1257&gt;AB1257,Z1257,L1257+(Z1257-L1257)*MIN(MAX((B1257-AA1257+1)/MAX(AB1257-AA1257+1,1),0),1))))</f>
      </c>
      <c r="L1257" s="67" t="str">
        <f>IFERROR(INDEX('Cost_Components'!$S$2:$S$27,MATCH(E1257,'Cost_Components'!$A$2:$A$27,0)),"")</f>
      </c>
      <c r="M1257" s="68" t="str">
        <f>IFERROR(INDEX('Cost_Components'!$L$2:$L$27,MATCH(E1257,'Cost_Components'!$A$2:$A$27,0)),"")</f>
      </c>
      <c r="N1257" s="69" t="str">
        <f>IFERROR(INDEX('Cost_Components'!$P$2:$P$27,MATCH(E1257,'Cost_Components'!$A$2:$A$27,0)),"")</f>
      </c>
      <c r="O1257" s="70" t="str">
        <f>AF1257*J1257</f>
      </c>
      <c r="P1257" s="71" t="str">
        <f>AG1257*J1257</f>
      </c>
      <c r="Q1257" s="72" t="str">
        <f>P1257*L1257*M1257*N1257</f>
      </c>
      <c r="R1257" s="73" t="str">
        <f>O1257*K1257*M1257*N1257</f>
      </c>
      <c r="S1257" s="74" t="str">
        <f>R1257-Q1257</f>
      </c>
      <c r="T1257" s="20" t="str">
        <f>IFERROR(INDEX('Cost_Components'!$R$2:$R$27,MATCH(E1257,'Cost_Components'!$A$2:$A$27,0)),"")</f>
      </c>
      <c r="U1257" s="75" t="str">
        <f>IFERROR(INDEX('Cost_Components'!$Q$2:$Q$27,MATCH(E1257,'Cost_Components'!$A$2:$A$27,0)),"")</f>
      </c>
      <c r="V1257" s="76" t="str">
        <f>1/(1+'Calculation_Assumptions'!$B$5)^(B1257-'Calculation_Assumptions'!$B$2)</f>
      </c>
      <c r="W1257" s="77" t="str">
        <f>Q1257*V1257</f>
      </c>
      <c r="X1257" s="78" t="str">
        <f>R1257*V1257</f>
      </c>
      <c r="Y1257" s="79" t="str">
        <f>S1257*V1257</f>
      </c>
      <c r="Z1257" s="80" t="str">
        <f>IFERROR(INDEX('Cost_Components'!$T$2:$T$27,MATCH(E1257,'Cost_Components'!$A$2:$A$27,0)),"")</f>
      </c>
      <c r="AA1257" s="81" t="str">
        <f>IFERROR(INDEX('Cost_Components'!$U$2:$U$27,MATCH(E1257,'Cost_Components'!$A$2:$A$27,0)),"")</f>
      </c>
      <c r="AB1257" s="82" t="str">
        <f>IFERROR(INDEX('Cost_Components'!$V$2:$V$27,MATCH(E1257,'Cost_Components'!$A$2:$A$27,0)),"")</f>
      </c>
      <c r="AC1257" s="83" t="str">
        <f>IFERROR(INDEX('Cost_Components'!$M$2:$M$27,MATCH(E1257,'Cost_Components'!$A$2:$A$27,0)),"")</f>
      </c>
      <c r="AD1257" s="84" t="str">
        <f>IFERROR(INDEX('Cost_Components'!$N$2:$N$27,MATCH(E1257,'Cost_Components'!$A$2:$A$27,0)),"")</f>
      </c>
      <c r="AE1257" s="20" t="str">
        <f>IFERROR(INDEX('Cost_Components'!$O$2:$O$27,MATCH(E1257,'Cost_Components'!$A$2:$A$27,0)),"")</f>
      </c>
      <c r="AF1257" s="85" t="n">
        <v>308492.222787509</v>
      </c>
      <c r="AG1257" s="86" t="n">
        <v>330179.970910655</v>
      </c>
      <c r="AH1257" s="87" t="str">
        <f>IF(H1257="shared-count-once",COUNTIFS($A$2:$A$1353,A1257,$B$2:$B$1353,B1257,$E$2:$E$1353,E1257),1)</f>
      </c>
    </row>
    <row r="1258">
      <c r="A1258" t="s">
        <v>75</v>
      </c>
      <c r="B1258" s="59" t="n">
        <v>2033</v>
      </c>
      <c r="C1258" t="s">
        <v>220</v>
      </c>
      <c r="D1258" t="s">
        <v>184</v>
      </c>
      <c r="E1258" s="60" t="s">
        <v>316</v>
      </c>
      <c r="F1258" s="61" t="s">
        <v>317</v>
      </c>
      <c r="G1258" s="62" t="s">
        <v>224</v>
      </c>
      <c r="H1258" s="63" t="s">
        <v>195</v>
      </c>
      <c r="I1258" s="64" t="s">
        <v>170</v>
      </c>
      <c r="J1258" s="65" t="str">
        <f>IFERROR(INDEX('Cost_Components'!$K$2:$K$27,MATCH(E1258,'Cost_Components'!$A$2:$A$27,0)),"")</f>
      </c>
      <c r="K1258" s="66" t="str">
        <f>IF(OR(L1258="",Z1258="",AA1258="",AB1258=""),"",IF(B1258&lt;AA1258,L1258,IF(B1258&gt;AB1258,Z1258,L1258+(Z1258-L1258)*MIN(MAX((B1258-AA1258+1)/MAX(AB1258-AA1258+1,1),0),1))))</f>
      </c>
      <c r="L1258" s="67" t="str">
        <f>IFERROR(INDEX('Cost_Components'!$S$2:$S$27,MATCH(E1258,'Cost_Components'!$A$2:$A$27,0)),"")</f>
      </c>
      <c r="M1258" s="68" t="str">
        <f>IFERROR(INDEX('Cost_Components'!$L$2:$L$27,MATCH(E1258,'Cost_Components'!$A$2:$A$27,0)),"")</f>
      </c>
      <c r="N1258" s="69" t="str">
        <f>IFERROR(INDEX('Cost_Components'!$P$2:$P$27,MATCH(E1258,'Cost_Components'!$A$2:$A$27,0)),"")</f>
      </c>
      <c r="O1258" s="70" t="str">
        <f>AF1258*J1258</f>
      </c>
      <c r="P1258" s="71" t="str">
        <f>AG1258*J1258</f>
      </c>
      <c r="Q1258" s="72" t="str">
        <f>P1258*L1258*M1258*N1258</f>
      </c>
      <c r="R1258" s="73" t="str">
        <f>O1258*K1258*M1258*N1258</f>
      </c>
      <c r="S1258" s="74" t="str">
        <f>R1258-Q1258</f>
      </c>
      <c r="T1258" s="20" t="str">
        <f>IFERROR(INDEX('Cost_Components'!$R$2:$R$27,MATCH(E1258,'Cost_Components'!$A$2:$A$27,0)),"")</f>
      </c>
      <c r="U1258" s="75" t="str">
        <f>IFERROR(INDEX('Cost_Components'!$Q$2:$Q$27,MATCH(E1258,'Cost_Components'!$A$2:$A$27,0)),"")</f>
      </c>
      <c r="V1258" s="76" t="str">
        <f>1/(1+'Calculation_Assumptions'!$B$5)^(B1258-'Calculation_Assumptions'!$B$2)</f>
      </c>
      <c r="W1258" s="77" t="str">
        <f>Q1258*V1258</f>
      </c>
      <c r="X1258" s="78" t="str">
        <f>R1258*V1258</f>
      </c>
      <c r="Y1258" s="79" t="str">
        <f>S1258*V1258</f>
      </c>
      <c r="Z1258" s="80" t="str">
        <f>IFERROR(INDEX('Cost_Components'!$T$2:$T$27,MATCH(E1258,'Cost_Components'!$A$2:$A$27,0)),"")</f>
      </c>
      <c r="AA1258" s="81" t="str">
        <f>IFERROR(INDEX('Cost_Components'!$U$2:$U$27,MATCH(E1258,'Cost_Components'!$A$2:$A$27,0)),"")</f>
      </c>
      <c r="AB1258" s="82" t="str">
        <f>IFERROR(INDEX('Cost_Components'!$V$2:$V$27,MATCH(E1258,'Cost_Components'!$A$2:$A$27,0)),"")</f>
      </c>
      <c r="AC1258" s="83" t="str">
        <f>IFERROR(INDEX('Cost_Components'!$M$2:$M$27,MATCH(E1258,'Cost_Components'!$A$2:$A$27,0)),"")</f>
      </c>
      <c r="AD1258" s="84" t="str">
        <f>IFERROR(INDEX('Cost_Components'!$N$2:$N$27,MATCH(E1258,'Cost_Components'!$A$2:$A$27,0)),"")</f>
      </c>
      <c r="AE1258" s="20" t="str">
        <f>IFERROR(INDEX('Cost_Components'!$O$2:$O$27,MATCH(E1258,'Cost_Components'!$A$2:$A$27,0)),"")</f>
      </c>
      <c r="AF1258" s="85" t="n">
        <v>308970.714986822</v>
      </c>
      <c r="AG1258" s="86" t="n">
        <v>333648.867258242</v>
      </c>
      <c r="AH1258" s="87" t="str">
        <f>IF(H1258="shared-count-once",COUNTIFS($A$2:$A$1353,A1258,$B$2:$B$1353,B1258,$E$2:$E$1353,E1258),1)</f>
      </c>
    </row>
    <row r="1259">
      <c r="A1259" t="s">
        <v>75</v>
      </c>
      <c r="B1259" s="59" t="n">
        <v>2034</v>
      </c>
      <c r="C1259" t="s">
        <v>220</v>
      </c>
      <c r="D1259" t="s">
        <v>184</v>
      </c>
      <c r="E1259" s="60" t="s">
        <v>316</v>
      </c>
      <c r="F1259" s="61" t="s">
        <v>317</v>
      </c>
      <c r="G1259" s="62" t="s">
        <v>224</v>
      </c>
      <c r="H1259" s="63" t="s">
        <v>195</v>
      </c>
      <c r="I1259" s="64" t="s">
        <v>170</v>
      </c>
      <c r="J1259" s="65" t="str">
        <f>IFERROR(INDEX('Cost_Components'!$K$2:$K$27,MATCH(E1259,'Cost_Components'!$A$2:$A$27,0)),"")</f>
      </c>
      <c r="K1259" s="66" t="str">
        <f>IF(OR(L1259="",Z1259="",AA1259="",AB1259=""),"",IF(B1259&lt;AA1259,L1259,IF(B1259&gt;AB1259,Z1259,L1259+(Z1259-L1259)*MIN(MAX((B1259-AA1259+1)/MAX(AB1259-AA1259+1,1),0),1))))</f>
      </c>
      <c r="L1259" s="67" t="str">
        <f>IFERROR(INDEX('Cost_Components'!$S$2:$S$27,MATCH(E1259,'Cost_Components'!$A$2:$A$27,0)),"")</f>
      </c>
      <c r="M1259" s="68" t="str">
        <f>IFERROR(INDEX('Cost_Components'!$L$2:$L$27,MATCH(E1259,'Cost_Components'!$A$2:$A$27,0)),"")</f>
      </c>
      <c r="N1259" s="69" t="str">
        <f>IFERROR(INDEX('Cost_Components'!$P$2:$P$27,MATCH(E1259,'Cost_Components'!$A$2:$A$27,0)),"")</f>
      </c>
      <c r="O1259" s="70" t="str">
        <f>AF1259*J1259</f>
      </c>
      <c r="P1259" s="71" t="str">
        <f>AG1259*J1259</f>
      </c>
      <c r="Q1259" s="72" t="str">
        <f>P1259*L1259*M1259*N1259</f>
      </c>
      <c r="R1259" s="73" t="str">
        <f>O1259*K1259*M1259*N1259</f>
      </c>
      <c r="S1259" s="74" t="str">
        <f>R1259-Q1259</f>
      </c>
      <c r="T1259" s="20" t="str">
        <f>IFERROR(INDEX('Cost_Components'!$R$2:$R$27,MATCH(E1259,'Cost_Components'!$A$2:$A$27,0)),"")</f>
      </c>
      <c r="U1259" s="75" t="str">
        <f>IFERROR(INDEX('Cost_Components'!$Q$2:$Q$27,MATCH(E1259,'Cost_Components'!$A$2:$A$27,0)),"")</f>
      </c>
      <c r="V1259" s="76" t="str">
        <f>1/(1+'Calculation_Assumptions'!$B$5)^(B1259-'Calculation_Assumptions'!$B$2)</f>
      </c>
      <c r="W1259" s="77" t="str">
        <f>Q1259*V1259</f>
      </c>
      <c r="X1259" s="78" t="str">
        <f>R1259*V1259</f>
      </c>
      <c r="Y1259" s="79" t="str">
        <f>S1259*V1259</f>
      </c>
      <c r="Z1259" s="80" t="str">
        <f>IFERROR(INDEX('Cost_Components'!$T$2:$T$27,MATCH(E1259,'Cost_Components'!$A$2:$A$27,0)),"")</f>
      </c>
      <c r="AA1259" s="81" t="str">
        <f>IFERROR(INDEX('Cost_Components'!$U$2:$U$27,MATCH(E1259,'Cost_Components'!$A$2:$A$27,0)),"")</f>
      </c>
      <c r="AB1259" s="82" t="str">
        <f>IFERROR(INDEX('Cost_Components'!$V$2:$V$27,MATCH(E1259,'Cost_Components'!$A$2:$A$27,0)),"")</f>
      </c>
      <c r="AC1259" s="83" t="str">
        <f>IFERROR(INDEX('Cost_Components'!$M$2:$M$27,MATCH(E1259,'Cost_Components'!$A$2:$A$27,0)),"")</f>
      </c>
      <c r="AD1259" s="84" t="str">
        <f>IFERROR(INDEX('Cost_Components'!$N$2:$N$27,MATCH(E1259,'Cost_Components'!$A$2:$A$27,0)),"")</f>
      </c>
      <c r="AE1259" s="20" t="str">
        <f>IFERROR(INDEX('Cost_Components'!$O$2:$O$27,MATCH(E1259,'Cost_Components'!$A$2:$A$27,0)),"")</f>
      </c>
      <c r="AF1259" s="85" t="n">
        <v>307246.153442636</v>
      </c>
      <c r="AG1259" s="86" t="n">
        <v>334674.203772287</v>
      </c>
      <c r="AH1259" s="87" t="str">
        <f>IF(H1259="shared-count-once",COUNTIFS($A$2:$A$1353,A1259,$B$2:$B$1353,B1259,$E$2:$E$1353,E1259),1)</f>
      </c>
    </row>
    <row r="1260">
      <c r="A1260" t="s">
        <v>75</v>
      </c>
      <c r="B1260" s="59" t="n">
        <v>2035</v>
      </c>
      <c r="C1260" t="s">
        <v>220</v>
      </c>
      <c r="D1260" t="s">
        <v>184</v>
      </c>
      <c r="E1260" s="60" t="s">
        <v>316</v>
      </c>
      <c r="F1260" s="61" t="s">
        <v>317</v>
      </c>
      <c r="G1260" s="62" t="s">
        <v>224</v>
      </c>
      <c r="H1260" s="63" t="s">
        <v>195</v>
      </c>
      <c r="I1260" s="64" t="s">
        <v>170</v>
      </c>
      <c r="J1260" s="65" t="str">
        <f>IFERROR(INDEX('Cost_Components'!$K$2:$K$27,MATCH(E1260,'Cost_Components'!$A$2:$A$27,0)),"")</f>
      </c>
      <c r="K1260" s="66" t="str">
        <f>IF(OR(L1260="",Z1260="",AA1260="",AB1260=""),"",IF(B1260&lt;AA1260,L1260,IF(B1260&gt;AB1260,Z1260,L1260+(Z1260-L1260)*MIN(MAX((B1260-AA1260+1)/MAX(AB1260-AA1260+1,1),0),1))))</f>
      </c>
      <c r="L1260" s="67" t="str">
        <f>IFERROR(INDEX('Cost_Components'!$S$2:$S$27,MATCH(E1260,'Cost_Components'!$A$2:$A$27,0)),"")</f>
      </c>
      <c r="M1260" s="68" t="str">
        <f>IFERROR(INDEX('Cost_Components'!$L$2:$L$27,MATCH(E1260,'Cost_Components'!$A$2:$A$27,0)),"")</f>
      </c>
      <c r="N1260" s="69" t="str">
        <f>IFERROR(INDEX('Cost_Components'!$P$2:$P$27,MATCH(E1260,'Cost_Components'!$A$2:$A$27,0)),"")</f>
      </c>
      <c r="O1260" s="70" t="str">
        <f>AF1260*J1260</f>
      </c>
      <c r="P1260" s="71" t="str">
        <f>AG1260*J1260</f>
      </c>
      <c r="Q1260" s="72" t="str">
        <f>P1260*L1260*M1260*N1260</f>
      </c>
      <c r="R1260" s="73" t="str">
        <f>O1260*K1260*M1260*N1260</f>
      </c>
      <c r="S1260" s="74" t="str">
        <f>R1260-Q1260</f>
      </c>
      <c r="T1260" s="20" t="str">
        <f>IFERROR(INDEX('Cost_Components'!$R$2:$R$27,MATCH(E1260,'Cost_Components'!$A$2:$A$27,0)),"")</f>
      </c>
      <c r="U1260" s="75" t="str">
        <f>IFERROR(INDEX('Cost_Components'!$Q$2:$Q$27,MATCH(E1260,'Cost_Components'!$A$2:$A$27,0)),"")</f>
      </c>
      <c r="V1260" s="76" t="str">
        <f>1/(1+'Calculation_Assumptions'!$B$5)^(B1260-'Calculation_Assumptions'!$B$2)</f>
      </c>
      <c r="W1260" s="77" t="str">
        <f>Q1260*V1260</f>
      </c>
      <c r="X1260" s="78" t="str">
        <f>R1260*V1260</f>
      </c>
      <c r="Y1260" s="79" t="str">
        <f>S1260*V1260</f>
      </c>
      <c r="Z1260" s="80" t="str">
        <f>IFERROR(INDEX('Cost_Components'!$T$2:$T$27,MATCH(E1260,'Cost_Components'!$A$2:$A$27,0)),"")</f>
      </c>
      <c r="AA1260" s="81" t="str">
        <f>IFERROR(INDEX('Cost_Components'!$U$2:$U$27,MATCH(E1260,'Cost_Components'!$A$2:$A$27,0)),"")</f>
      </c>
      <c r="AB1260" s="82" t="str">
        <f>IFERROR(INDEX('Cost_Components'!$V$2:$V$27,MATCH(E1260,'Cost_Components'!$A$2:$A$27,0)),"")</f>
      </c>
      <c r="AC1260" s="83" t="str">
        <f>IFERROR(INDEX('Cost_Components'!$M$2:$M$27,MATCH(E1260,'Cost_Components'!$A$2:$A$27,0)),"")</f>
      </c>
      <c r="AD1260" s="84" t="str">
        <f>IFERROR(INDEX('Cost_Components'!$N$2:$N$27,MATCH(E1260,'Cost_Components'!$A$2:$A$27,0)),"")</f>
      </c>
      <c r="AE1260" s="20" t="str">
        <f>IFERROR(INDEX('Cost_Components'!$O$2:$O$27,MATCH(E1260,'Cost_Components'!$A$2:$A$27,0)),"")</f>
      </c>
      <c r="AF1260" s="85" t="n">
        <v>307547.707056199</v>
      </c>
      <c r="AG1260" s="86" t="n">
        <v>337924.768863803</v>
      </c>
      <c r="AH1260" s="87" t="str">
        <f>IF(H1260="shared-count-once",COUNTIFS($A$2:$A$1353,A1260,$B$2:$B$1353,B1260,$E$2:$E$1353,E1260),1)</f>
      </c>
    </row>
    <row r="1261">
      <c r="A1261" t="s">
        <v>75</v>
      </c>
      <c r="B1261" s="59" t="n">
        <v>2036</v>
      </c>
      <c r="C1261" t="s">
        <v>220</v>
      </c>
      <c r="D1261" t="s">
        <v>184</v>
      </c>
      <c r="E1261" s="60" t="s">
        <v>316</v>
      </c>
      <c r="F1261" s="61" t="s">
        <v>317</v>
      </c>
      <c r="G1261" s="62" t="s">
        <v>224</v>
      </c>
      <c r="H1261" s="63" t="s">
        <v>195</v>
      </c>
      <c r="I1261" s="64" t="s">
        <v>170</v>
      </c>
      <c r="J1261" s="65" t="str">
        <f>IFERROR(INDEX('Cost_Components'!$K$2:$K$27,MATCH(E1261,'Cost_Components'!$A$2:$A$27,0)),"")</f>
      </c>
      <c r="K1261" s="66" t="str">
        <f>IF(OR(L1261="",Z1261="",AA1261="",AB1261=""),"",IF(B1261&lt;AA1261,L1261,IF(B1261&gt;AB1261,Z1261,L1261+(Z1261-L1261)*MIN(MAX((B1261-AA1261+1)/MAX(AB1261-AA1261+1,1),0),1))))</f>
      </c>
      <c r="L1261" s="67" t="str">
        <f>IFERROR(INDEX('Cost_Components'!$S$2:$S$27,MATCH(E1261,'Cost_Components'!$A$2:$A$27,0)),"")</f>
      </c>
      <c r="M1261" s="68" t="str">
        <f>IFERROR(INDEX('Cost_Components'!$L$2:$L$27,MATCH(E1261,'Cost_Components'!$A$2:$A$27,0)),"")</f>
      </c>
      <c r="N1261" s="69" t="str">
        <f>IFERROR(INDEX('Cost_Components'!$P$2:$P$27,MATCH(E1261,'Cost_Components'!$A$2:$A$27,0)),"")</f>
      </c>
      <c r="O1261" s="70" t="str">
        <f>AF1261*J1261</f>
      </c>
      <c r="P1261" s="71" t="str">
        <f>AG1261*J1261</f>
      </c>
      <c r="Q1261" s="72" t="str">
        <f>P1261*L1261*M1261*N1261</f>
      </c>
      <c r="R1261" s="73" t="str">
        <f>O1261*K1261*M1261*N1261</f>
      </c>
      <c r="S1261" s="74" t="str">
        <f>R1261-Q1261</f>
      </c>
      <c r="T1261" s="20" t="str">
        <f>IFERROR(INDEX('Cost_Components'!$R$2:$R$27,MATCH(E1261,'Cost_Components'!$A$2:$A$27,0)),"")</f>
      </c>
      <c r="U1261" s="75" t="str">
        <f>IFERROR(INDEX('Cost_Components'!$Q$2:$Q$27,MATCH(E1261,'Cost_Components'!$A$2:$A$27,0)),"")</f>
      </c>
      <c r="V1261" s="76" t="str">
        <f>1/(1+'Calculation_Assumptions'!$B$5)^(B1261-'Calculation_Assumptions'!$B$2)</f>
      </c>
      <c r="W1261" s="77" t="str">
        <f>Q1261*V1261</f>
      </c>
      <c r="X1261" s="78" t="str">
        <f>R1261*V1261</f>
      </c>
      <c r="Y1261" s="79" t="str">
        <f>S1261*V1261</f>
      </c>
      <c r="Z1261" s="80" t="str">
        <f>IFERROR(INDEX('Cost_Components'!$T$2:$T$27,MATCH(E1261,'Cost_Components'!$A$2:$A$27,0)),"")</f>
      </c>
      <c r="AA1261" s="81" t="str">
        <f>IFERROR(INDEX('Cost_Components'!$U$2:$U$27,MATCH(E1261,'Cost_Components'!$A$2:$A$27,0)),"")</f>
      </c>
      <c r="AB1261" s="82" t="str">
        <f>IFERROR(INDEX('Cost_Components'!$V$2:$V$27,MATCH(E1261,'Cost_Components'!$A$2:$A$27,0)),"")</f>
      </c>
      <c r="AC1261" s="83" t="str">
        <f>IFERROR(INDEX('Cost_Components'!$M$2:$M$27,MATCH(E1261,'Cost_Components'!$A$2:$A$27,0)),"")</f>
      </c>
      <c r="AD1261" s="84" t="str">
        <f>IFERROR(INDEX('Cost_Components'!$N$2:$N$27,MATCH(E1261,'Cost_Components'!$A$2:$A$27,0)),"")</f>
      </c>
      <c r="AE1261" s="20" t="str">
        <f>IFERROR(INDEX('Cost_Components'!$O$2:$O$27,MATCH(E1261,'Cost_Components'!$A$2:$A$27,0)),"")</f>
      </c>
      <c r="AF1261" s="85" t="n">
        <v>307984.436309255</v>
      </c>
      <c r="AG1261" s="86" t="n">
        <v>341369.347065037</v>
      </c>
      <c r="AH1261" s="87" t="str">
        <f>IF(H1261="shared-count-once",COUNTIFS($A$2:$A$1353,A1261,$B$2:$B$1353,B1261,$E$2:$E$1353,E1261),1)</f>
      </c>
    </row>
    <row r="1262">
      <c r="A1262" t="s">
        <v>75</v>
      </c>
      <c r="B1262" s="59" t="n">
        <v>2037</v>
      </c>
      <c r="C1262" t="s">
        <v>220</v>
      </c>
      <c r="D1262" t="s">
        <v>184</v>
      </c>
      <c r="E1262" s="60" t="s">
        <v>316</v>
      </c>
      <c r="F1262" s="61" t="s">
        <v>317</v>
      </c>
      <c r="G1262" s="62" t="s">
        <v>224</v>
      </c>
      <c r="H1262" s="63" t="s">
        <v>195</v>
      </c>
      <c r="I1262" s="64" t="s">
        <v>170</v>
      </c>
      <c r="J1262" s="65" t="str">
        <f>IFERROR(INDEX('Cost_Components'!$K$2:$K$27,MATCH(E1262,'Cost_Components'!$A$2:$A$27,0)),"")</f>
      </c>
      <c r="K1262" s="66" t="str">
        <f>IF(OR(L1262="",Z1262="",AA1262="",AB1262=""),"",IF(B1262&lt;AA1262,L1262,IF(B1262&gt;AB1262,Z1262,L1262+(Z1262-L1262)*MIN(MAX((B1262-AA1262+1)/MAX(AB1262-AA1262+1,1),0),1))))</f>
      </c>
      <c r="L1262" s="67" t="str">
        <f>IFERROR(INDEX('Cost_Components'!$S$2:$S$27,MATCH(E1262,'Cost_Components'!$A$2:$A$27,0)),"")</f>
      </c>
      <c r="M1262" s="68" t="str">
        <f>IFERROR(INDEX('Cost_Components'!$L$2:$L$27,MATCH(E1262,'Cost_Components'!$A$2:$A$27,0)),"")</f>
      </c>
      <c r="N1262" s="69" t="str">
        <f>IFERROR(INDEX('Cost_Components'!$P$2:$P$27,MATCH(E1262,'Cost_Components'!$A$2:$A$27,0)),"")</f>
      </c>
      <c r="O1262" s="70" t="str">
        <f>AF1262*J1262</f>
      </c>
      <c r="P1262" s="71" t="str">
        <f>AG1262*J1262</f>
      </c>
      <c r="Q1262" s="72" t="str">
        <f>P1262*L1262*M1262*N1262</f>
      </c>
      <c r="R1262" s="73" t="str">
        <f>O1262*K1262*M1262*N1262</f>
      </c>
      <c r="S1262" s="74" t="str">
        <f>R1262-Q1262</f>
      </c>
      <c r="T1262" s="20" t="str">
        <f>IFERROR(INDEX('Cost_Components'!$R$2:$R$27,MATCH(E1262,'Cost_Components'!$A$2:$A$27,0)),"")</f>
      </c>
      <c r="U1262" s="75" t="str">
        <f>IFERROR(INDEX('Cost_Components'!$Q$2:$Q$27,MATCH(E1262,'Cost_Components'!$A$2:$A$27,0)),"")</f>
      </c>
      <c r="V1262" s="76" t="str">
        <f>1/(1+'Calculation_Assumptions'!$B$5)^(B1262-'Calculation_Assumptions'!$B$2)</f>
      </c>
      <c r="W1262" s="77" t="str">
        <f>Q1262*V1262</f>
      </c>
      <c r="X1262" s="78" t="str">
        <f>R1262*V1262</f>
      </c>
      <c r="Y1262" s="79" t="str">
        <f>S1262*V1262</f>
      </c>
      <c r="Z1262" s="80" t="str">
        <f>IFERROR(INDEX('Cost_Components'!$T$2:$T$27,MATCH(E1262,'Cost_Components'!$A$2:$A$27,0)),"")</f>
      </c>
      <c r="AA1262" s="81" t="str">
        <f>IFERROR(INDEX('Cost_Components'!$U$2:$U$27,MATCH(E1262,'Cost_Components'!$A$2:$A$27,0)),"")</f>
      </c>
      <c r="AB1262" s="82" t="str">
        <f>IFERROR(INDEX('Cost_Components'!$V$2:$V$27,MATCH(E1262,'Cost_Components'!$A$2:$A$27,0)),"")</f>
      </c>
      <c r="AC1262" s="83" t="str">
        <f>IFERROR(INDEX('Cost_Components'!$M$2:$M$27,MATCH(E1262,'Cost_Components'!$A$2:$A$27,0)),"")</f>
      </c>
      <c r="AD1262" s="84" t="str">
        <f>IFERROR(INDEX('Cost_Components'!$N$2:$N$27,MATCH(E1262,'Cost_Components'!$A$2:$A$27,0)),"")</f>
      </c>
      <c r="AE1262" s="20" t="str">
        <f>IFERROR(INDEX('Cost_Components'!$O$2:$O$27,MATCH(E1262,'Cost_Components'!$A$2:$A$27,0)),"")</f>
      </c>
      <c r="AF1262" s="85" t="n">
        <v>308820.627131654</v>
      </c>
      <c r="AG1262" s="86" t="n">
        <v>345282.393340026</v>
      </c>
      <c r="AH1262" s="87" t="str">
        <f>IF(H1262="shared-count-once",COUNTIFS($A$2:$A$1353,A1262,$B$2:$B$1353,B1262,$E$2:$E$1353,E1262),1)</f>
      </c>
    </row>
    <row r="1263">
      <c r="A1263" t="s">
        <v>75</v>
      </c>
      <c r="B1263" s="59" t="n">
        <v>2038</v>
      </c>
      <c r="C1263" t="s">
        <v>220</v>
      </c>
      <c r="D1263" t="s">
        <v>184</v>
      </c>
      <c r="E1263" s="60" t="s">
        <v>316</v>
      </c>
      <c r="F1263" s="61" t="s">
        <v>317</v>
      </c>
      <c r="G1263" s="62" t="s">
        <v>224</v>
      </c>
      <c r="H1263" s="63" t="s">
        <v>195</v>
      </c>
      <c r="I1263" s="64" t="s">
        <v>170</v>
      </c>
      <c r="J1263" s="65" t="str">
        <f>IFERROR(INDEX('Cost_Components'!$K$2:$K$27,MATCH(E1263,'Cost_Components'!$A$2:$A$27,0)),"")</f>
      </c>
      <c r="K1263" s="66" t="str">
        <f>IF(OR(L1263="",Z1263="",AA1263="",AB1263=""),"",IF(B1263&lt;AA1263,L1263,IF(B1263&gt;AB1263,Z1263,L1263+(Z1263-L1263)*MIN(MAX((B1263-AA1263+1)/MAX(AB1263-AA1263+1,1),0),1))))</f>
      </c>
      <c r="L1263" s="67" t="str">
        <f>IFERROR(INDEX('Cost_Components'!$S$2:$S$27,MATCH(E1263,'Cost_Components'!$A$2:$A$27,0)),"")</f>
      </c>
      <c r="M1263" s="68" t="str">
        <f>IFERROR(INDEX('Cost_Components'!$L$2:$L$27,MATCH(E1263,'Cost_Components'!$A$2:$A$27,0)),"")</f>
      </c>
      <c r="N1263" s="69" t="str">
        <f>IFERROR(INDEX('Cost_Components'!$P$2:$P$27,MATCH(E1263,'Cost_Components'!$A$2:$A$27,0)),"")</f>
      </c>
      <c r="O1263" s="70" t="str">
        <f>AF1263*J1263</f>
      </c>
      <c r="P1263" s="71" t="str">
        <f>AG1263*J1263</f>
      </c>
      <c r="Q1263" s="72" t="str">
        <f>P1263*L1263*M1263*N1263</f>
      </c>
      <c r="R1263" s="73" t="str">
        <f>O1263*K1263*M1263*N1263</f>
      </c>
      <c r="S1263" s="74" t="str">
        <f>R1263-Q1263</f>
      </c>
      <c r="T1263" s="20" t="str">
        <f>IFERROR(INDEX('Cost_Components'!$R$2:$R$27,MATCH(E1263,'Cost_Components'!$A$2:$A$27,0)),"")</f>
      </c>
      <c r="U1263" s="75" t="str">
        <f>IFERROR(INDEX('Cost_Components'!$Q$2:$Q$27,MATCH(E1263,'Cost_Components'!$A$2:$A$27,0)),"")</f>
      </c>
      <c r="V1263" s="76" t="str">
        <f>1/(1+'Calculation_Assumptions'!$B$5)^(B1263-'Calculation_Assumptions'!$B$2)</f>
      </c>
      <c r="W1263" s="77" t="str">
        <f>Q1263*V1263</f>
      </c>
      <c r="X1263" s="78" t="str">
        <f>R1263*V1263</f>
      </c>
      <c r="Y1263" s="79" t="str">
        <f>S1263*V1263</f>
      </c>
      <c r="Z1263" s="80" t="str">
        <f>IFERROR(INDEX('Cost_Components'!$T$2:$T$27,MATCH(E1263,'Cost_Components'!$A$2:$A$27,0)),"")</f>
      </c>
      <c r="AA1263" s="81" t="str">
        <f>IFERROR(INDEX('Cost_Components'!$U$2:$U$27,MATCH(E1263,'Cost_Components'!$A$2:$A$27,0)),"")</f>
      </c>
      <c r="AB1263" s="82" t="str">
        <f>IFERROR(INDEX('Cost_Components'!$V$2:$V$27,MATCH(E1263,'Cost_Components'!$A$2:$A$27,0)),"")</f>
      </c>
      <c r="AC1263" s="83" t="str">
        <f>IFERROR(INDEX('Cost_Components'!$M$2:$M$27,MATCH(E1263,'Cost_Components'!$A$2:$A$27,0)),"")</f>
      </c>
      <c r="AD1263" s="84" t="str">
        <f>IFERROR(INDEX('Cost_Components'!$N$2:$N$27,MATCH(E1263,'Cost_Components'!$A$2:$A$27,0)),"")</f>
      </c>
      <c r="AE1263" s="20" t="str">
        <f>IFERROR(INDEX('Cost_Components'!$O$2:$O$27,MATCH(E1263,'Cost_Components'!$A$2:$A$27,0)),"")</f>
      </c>
      <c r="AF1263" s="85" t="n">
        <v>310185.867998225</v>
      </c>
      <c r="AG1263" s="86" t="n">
        <v>349841.170119383</v>
      </c>
      <c r="AH1263" s="87" t="str">
        <f>IF(H1263="shared-count-once",COUNTIFS($A$2:$A$1353,A1263,$B$2:$B$1353,B1263,$E$2:$E$1353,E1263),1)</f>
      </c>
    </row>
    <row r="1264">
      <c r="A1264" t="s">
        <v>75</v>
      </c>
      <c r="B1264" s="59" t="n">
        <v>2039</v>
      </c>
      <c r="C1264" t="s">
        <v>220</v>
      </c>
      <c r="D1264" t="s">
        <v>184</v>
      </c>
      <c r="E1264" s="60" t="s">
        <v>316</v>
      </c>
      <c r="F1264" s="61" t="s">
        <v>317</v>
      </c>
      <c r="G1264" s="62" t="s">
        <v>224</v>
      </c>
      <c r="H1264" s="63" t="s">
        <v>195</v>
      </c>
      <c r="I1264" s="64" t="s">
        <v>170</v>
      </c>
      <c r="J1264" s="65" t="str">
        <f>IFERROR(INDEX('Cost_Components'!$K$2:$K$27,MATCH(E1264,'Cost_Components'!$A$2:$A$27,0)),"")</f>
      </c>
      <c r="K1264" s="66" t="str">
        <f>IF(OR(L1264="",Z1264="",AA1264="",AB1264=""),"",IF(B1264&lt;AA1264,L1264,IF(B1264&gt;AB1264,Z1264,L1264+(Z1264-L1264)*MIN(MAX((B1264-AA1264+1)/MAX(AB1264-AA1264+1,1),0),1))))</f>
      </c>
      <c r="L1264" s="67" t="str">
        <f>IFERROR(INDEX('Cost_Components'!$S$2:$S$27,MATCH(E1264,'Cost_Components'!$A$2:$A$27,0)),"")</f>
      </c>
      <c r="M1264" s="68" t="str">
        <f>IFERROR(INDEX('Cost_Components'!$L$2:$L$27,MATCH(E1264,'Cost_Components'!$A$2:$A$27,0)),"")</f>
      </c>
      <c r="N1264" s="69" t="str">
        <f>IFERROR(INDEX('Cost_Components'!$P$2:$P$27,MATCH(E1264,'Cost_Components'!$A$2:$A$27,0)),"")</f>
      </c>
      <c r="O1264" s="70" t="str">
        <f>AF1264*J1264</f>
      </c>
      <c r="P1264" s="71" t="str">
        <f>AG1264*J1264</f>
      </c>
      <c r="Q1264" s="72" t="str">
        <f>P1264*L1264*M1264*N1264</f>
      </c>
      <c r="R1264" s="73" t="str">
        <f>O1264*K1264*M1264*N1264</f>
      </c>
      <c r="S1264" s="74" t="str">
        <f>R1264-Q1264</f>
      </c>
      <c r="T1264" s="20" t="str">
        <f>IFERROR(INDEX('Cost_Components'!$R$2:$R$27,MATCH(E1264,'Cost_Components'!$A$2:$A$27,0)),"")</f>
      </c>
      <c r="U1264" s="75" t="str">
        <f>IFERROR(INDEX('Cost_Components'!$Q$2:$Q$27,MATCH(E1264,'Cost_Components'!$A$2:$A$27,0)),"")</f>
      </c>
      <c r="V1264" s="76" t="str">
        <f>1/(1+'Calculation_Assumptions'!$B$5)^(B1264-'Calculation_Assumptions'!$B$2)</f>
      </c>
      <c r="W1264" s="77" t="str">
        <f>Q1264*V1264</f>
      </c>
      <c r="X1264" s="78" t="str">
        <f>R1264*V1264</f>
      </c>
      <c r="Y1264" s="79" t="str">
        <f>S1264*V1264</f>
      </c>
      <c r="Z1264" s="80" t="str">
        <f>IFERROR(INDEX('Cost_Components'!$T$2:$T$27,MATCH(E1264,'Cost_Components'!$A$2:$A$27,0)),"")</f>
      </c>
      <c r="AA1264" s="81" t="str">
        <f>IFERROR(INDEX('Cost_Components'!$U$2:$U$27,MATCH(E1264,'Cost_Components'!$A$2:$A$27,0)),"")</f>
      </c>
      <c r="AB1264" s="82" t="str">
        <f>IFERROR(INDEX('Cost_Components'!$V$2:$V$27,MATCH(E1264,'Cost_Components'!$A$2:$A$27,0)),"")</f>
      </c>
      <c r="AC1264" s="83" t="str">
        <f>IFERROR(INDEX('Cost_Components'!$M$2:$M$27,MATCH(E1264,'Cost_Components'!$A$2:$A$27,0)),"")</f>
      </c>
      <c r="AD1264" s="84" t="str">
        <f>IFERROR(INDEX('Cost_Components'!$N$2:$N$27,MATCH(E1264,'Cost_Components'!$A$2:$A$27,0)),"")</f>
      </c>
      <c r="AE1264" s="20" t="str">
        <f>IFERROR(INDEX('Cost_Components'!$O$2:$O$27,MATCH(E1264,'Cost_Components'!$A$2:$A$27,0)),"")</f>
      </c>
      <c r="AF1264" s="85" t="n">
        <v>309532.40278856</v>
      </c>
      <c r="AG1264" s="86" t="n">
        <v>352026.389852762</v>
      </c>
      <c r="AH1264" s="87" t="str">
        <f>IF(H1264="shared-count-once",COUNTIFS($A$2:$A$1353,A1264,$B$2:$B$1353,B1264,$E$2:$E$1353,E1264),1)</f>
      </c>
    </row>
    <row r="1265">
      <c r="A1265" t="s">
        <v>75</v>
      </c>
      <c r="B1265" s="59" t="n">
        <v>2040</v>
      </c>
      <c r="C1265" t="s">
        <v>220</v>
      </c>
      <c r="D1265" t="s">
        <v>184</v>
      </c>
      <c r="E1265" s="60" t="s">
        <v>316</v>
      </c>
      <c r="F1265" s="61" t="s">
        <v>317</v>
      </c>
      <c r="G1265" s="62" t="s">
        <v>224</v>
      </c>
      <c r="H1265" s="63" t="s">
        <v>195</v>
      </c>
      <c r="I1265" s="64" t="s">
        <v>170</v>
      </c>
      <c r="J1265" s="65" t="str">
        <f>IFERROR(INDEX('Cost_Components'!$K$2:$K$27,MATCH(E1265,'Cost_Components'!$A$2:$A$27,0)),"")</f>
      </c>
      <c r="K1265" s="66" t="str">
        <f>IF(OR(L1265="",Z1265="",AA1265="",AB1265=""),"",IF(B1265&lt;AA1265,L1265,IF(B1265&gt;AB1265,Z1265,L1265+(Z1265-L1265)*MIN(MAX((B1265-AA1265+1)/MAX(AB1265-AA1265+1,1),0),1))))</f>
      </c>
      <c r="L1265" s="67" t="str">
        <f>IFERROR(INDEX('Cost_Components'!$S$2:$S$27,MATCH(E1265,'Cost_Components'!$A$2:$A$27,0)),"")</f>
      </c>
      <c r="M1265" s="68" t="str">
        <f>IFERROR(INDEX('Cost_Components'!$L$2:$L$27,MATCH(E1265,'Cost_Components'!$A$2:$A$27,0)),"")</f>
      </c>
      <c r="N1265" s="69" t="str">
        <f>IFERROR(INDEX('Cost_Components'!$P$2:$P$27,MATCH(E1265,'Cost_Components'!$A$2:$A$27,0)),"")</f>
      </c>
      <c r="O1265" s="70" t="str">
        <f>AF1265*J1265</f>
      </c>
      <c r="P1265" s="71" t="str">
        <f>AG1265*J1265</f>
      </c>
      <c r="Q1265" s="72" t="str">
        <f>P1265*L1265*M1265*N1265</f>
      </c>
      <c r="R1265" s="73" t="str">
        <f>O1265*K1265*M1265*N1265</f>
      </c>
      <c r="S1265" s="74" t="str">
        <f>R1265-Q1265</f>
      </c>
      <c r="T1265" s="20" t="str">
        <f>IFERROR(INDEX('Cost_Components'!$R$2:$R$27,MATCH(E1265,'Cost_Components'!$A$2:$A$27,0)),"")</f>
      </c>
      <c r="U1265" s="75" t="str">
        <f>IFERROR(INDEX('Cost_Components'!$Q$2:$Q$27,MATCH(E1265,'Cost_Components'!$A$2:$A$27,0)),"")</f>
      </c>
      <c r="V1265" s="76" t="str">
        <f>1/(1+'Calculation_Assumptions'!$B$5)^(B1265-'Calculation_Assumptions'!$B$2)</f>
      </c>
      <c r="W1265" s="77" t="str">
        <f>Q1265*V1265</f>
      </c>
      <c r="X1265" s="78" t="str">
        <f>R1265*V1265</f>
      </c>
      <c r="Y1265" s="79" t="str">
        <f>S1265*V1265</f>
      </c>
      <c r="Z1265" s="80" t="str">
        <f>IFERROR(INDEX('Cost_Components'!$T$2:$T$27,MATCH(E1265,'Cost_Components'!$A$2:$A$27,0)),"")</f>
      </c>
      <c r="AA1265" s="81" t="str">
        <f>IFERROR(INDEX('Cost_Components'!$U$2:$U$27,MATCH(E1265,'Cost_Components'!$A$2:$A$27,0)),"")</f>
      </c>
      <c r="AB1265" s="82" t="str">
        <f>IFERROR(INDEX('Cost_Components'!$V$2:$V$27,MATCH(E1265,'Cost_Components'!$A$2:$A$27,0)),"")</f>
      </c>
      <c r="AC1265" s="83" t="str">
        <f>IFERROR(INDEX('Cost_Components'!$M$2:$M$27,MATCH(E1265,'Cost_Components'!$A$2:$A$27,0)),"")</f>
      </c>
      <c r="AD1265" s="84" t="str">
        <f>IFERROR(INDEX('Cost_Components'!$N$2:$N$27,MATCH(E1265,'Cost_Components'!$A$2:$A$27,0)),"")</f>
      </c>
      <c r="AE1265" s="20" t="str">
        <f>IFERROR(INDEX('Cost_Components'!$O$2:$O$27,MATCH(E1265,'Cost_Components'!$A$2:$A$27,0)),"")</f>
      </c>
      <c r="AF1265" s="85" t="n">
        <v>310289.113297159</v>
      </c>
      <c r="AG1265" s="86" t="n">
        <v>355854.445909176</v>
      </c>
      <c r="AH1265" s="87" t="str">
        <f>IF(H1265="shared-count-once",COUNTIFS($A$2:$A$1353,A1265,$B$2:$B$1353,B1265,$E$2:$E$1353,E1265),1)</f>
      </c>
    </row>
    <row r="1266">
      <c r="A1266" t="s">
        <v>75</v>
      </c>
      <c r="B1266" s="59" t="n">
        <v>2041</v>
      </c>
      <c r="C1266" t="s">
        <v>220</v>
      </c>
      <c r="D1266" t="s">
        <v>184</v>
      </c>
      <c r="E1266" s="60" t="s">
        <v>316</v>
      </c>
      <c r="F1266" s="61" t="s">
        <v>317</v>
      </c>
      <c r="G1266" s="62" t="s">
        <v>224</v>
      </c>
      <c r="H1266" s="63" t="s">
        <v>195</v>
      </c>
      <c r="I1266" s="64" t="s">
        <v>170</v>
      </c>
      <c r="J1266" s="65" t="str">
        <f>IFERROR(INDEX('Cost_Components'!$K$2:$K$27,MATCH(E1266,'Cost_Components'!$A$2:$A$27,0)),"")</f>
      </c>
      <c r="K1266" s="66" t="str">
        <f>IF(OR(L1266="",Z1266="",AA1266="",AB1266=""),"",IF(B1266&lt;AA1266,L1266,IF(B1266&gt;AB1266,Z1266,L1266+(Z1266-L1266)*MIN(MAX((B1266-AA1266+1)/MAX(AB1266-AA1266+1,1),0),1))))</f>
      </c>
      <c r="L1266" s="67" t="str">
        <f>IFERROR(INDEX('Cost_Components'!$S$2:$S$27,MATCH(E1266,'Cost_Components'!$A$2:$A$27,0)),"")</f>
      </c>
      <c r="M1266" s="68" t="str">
        <f>IFERROR(INDEX('Cost_Components'!$L$2:$L$27,MATCH(E1266,'Cost_Components'!$A$2:$A$27,0)),"")</f>
      </c>
      <c r="N1266" s="69" t="str">
        <f>IFERROR(INDEX('Cost_Components'!$P$2:$P$27,MATCH(E1266,'Cost_Components'!$A$2:$A$27,0)),"")</f>
      </c>
      <c r="O1266" s="70" t="str">
        <f>AF1266*J1266</f>
      </c>
      <c r="P1266" s="71" t="str">
        <f>AG1266*J1266</f>
      </c>
      <c r="Q1266" s="72" t="str">
        <f>P1266*L1266*M1266*N1266</f>
      </c>
      <c r="R1266" s="73" t="str">
        <f>O1266*K1266*M1266*N1266</f>
      </c>
      <c r="S1266" s="74" t="str">
        <f>R1266-Q1266</f>
      </c>
      <c r="T1266" s="20" t="str">
        <f>IFERROR(INDEX('Cost_Components'!$R$2:$R$27,MATCH(E1266,'Cost_Components'!$A$2:$A$27,0)),"")</f>
      </c>
      <c r="U1266" s="75" t="str">
        <f>IFERROR(INDEX('Cost_Components'!$Q$2:$Q$27,MATCH(E1266,'Cost_Components'!$A$2:$A$27,0)),"")</f>
      </c>
      <c r="V1266" s="76" t="str">
        <f>1/(1+'Calculation_Assumptions'!$B$5)^(B1266-'Calculation_Assumptions'!$B$2)</f>
      </c>
      <c r="W1266" s="77" t="str">
        <f>Q1266*V1266</f>
      </c>
      <c r="X1266" s="78" t="str">
        <f>R1266*V1266</f>
      </c>
      <c r="Y1266" s="79" t="str">
        <f>S1266*V1266</f>
      </c>
      <c r="Z1266" s="80" t="str">
        <f>IFERROR(INDEX('Cost_Components'!$T$2:$T$27,MATCH(E1266,'Cost_Components'!$A$2:$A$27,0)),"")</f>
      </c>
      <c r="AA1266" s="81" t="str">
        <f>IFERROR(INDEX('Cost_Components'!$U$2:$U$27,MATCH(E1266,'Cost_Components'!$A$2:$A$27,0)),"")</f>
      </c>
      <c r="AB1266" s="82" t="str">
        <f>IFERROR(INDEX('Cost_Components'!$V$2:$V$27,MATCH(E1266,'Cost_Components'!$A$2:$A$27,0)),"")</f>
      </c>
      <c r="AC1266" s="83" t="str">
        <f>IFERROR(INDEX('Cost_Components'!$M$2:$M$27,MATCH(E1266,'Cost_Components'!$A$2:$A$27,0)),"")</f>
      </c>
      <c r="AD1266" s="84" t="str">
        <f>IFERROR(INDEX('Cost_Components'!$N$2:$N$27,MATCH(E1266,'Cost_Components'!$A$2:$A$27,0)),"")</f>
      </c>
      <c r="AE1266" s="20" t="str">
        <f>IFERROR(INDEX('Cost_Components'!$O$2:$O$27,MATCH(E1266,'Cost_Components'!$A$2:$A$27,0)),"")</f>
      </c>
      <c r="AF1266" s="85" t="n">
        <v>310974.882330088</v>
      </c>
      <c r="AG1266" s="86" t="n">
        <v>359648.918487635</v>
      </c>
      <c r="AH1266" s="87" t="str">
        <f>IF(H1266="shared-count-once",COUNTIFS($A$2:$A$1353,A1266,$B$2:$B$1353,B1266,$E$2:$E$1353,E1266),1)</f>
      </c>
    </row>
    <row r="1267">
      <c r="A1267" t="s">
        <v>75</v>
      </c>
      <c r="B1267" s="59" t="n">
        <v>2042</v>
      </c>
      <c r="C1267" t="s">
        <v>220</v>
      </c>
      <c r="D1267" t="s">
        <v>184</v>
      </c>
      <c r="E1267" s="60" t="s">
        <v>316</v>
      </c>
      <c r="F1267" s="61" t="s">
        <v>317</v>
      </c>
      <c r="G1267" s="62" t="s">
        <v>224</v>
      </c>
      <c r="H1267" s="63" t="s">
        <v>195</v>
      </c>
      <c r="I1267" s="64" t="s">
        <v>170</v>
      </c>
      <c r="J1267" s="65" t="str">
        <f>IFERROR(INDEX('Cost_Components'!$K$2:$K$27,MATCH(E1267,'Cost_Components'!$A$2:$A$27,0)),"")</f>
      </c>
      <c r="K1267" s="66" t="str">
        <f>IF(OR(L1267="",Z1267="",AA1267="",AB1267=""),"",IF(B1267&lt;AA1267,L1267,IF(B1267&gt;AB1267,Z1267,L1267+(Z1267-L1267)*MIN(MAX((B1267-AA1267+1)/MAX(AB1267-AA1267+1,1),0),1))))</f>
      </c>
      <c r="L1267" s="67" t="str">
        <f>IFERROR(INDEX('Cost_Components'!$S$2:$S$27,MATCH(E1267,'Cost_Components'!$A$2:$A$27,0)),"")</f>
      </c>
      <c r="M1267" s="68" t="str">
        <f>IFERROR(INDEX('Cost_Components'!$L$2:$L$27,MATCH(E1267,'Cost_Components'!$A$2:$A$27,0)),"")</f>
      </c>
      <c r="N1267" s="69" t="str">
        <f>IFERROR(INDEX('Cost_Components'!$P$2:$P$27,MATCH(E1267,'Cost_Components'!$A$2:$A$27,0)),"")</f>
      </c>
      <c r="O1267" s="70" t="str">
        <f>AF1267*J1267</f>
      </c>
      <c r="P1267" s="71" t="str">
        <f>AG1267*J1267</f>
      </c>
      <c r="Q1267" s="72" t="str">
        <f>P1267*L1267*M1267*N1267</f>
      </c>
      <c r="R1267" s="73" t="str">
        <f>O1267*K1267*M1267*N1267</f>
      </c>
      <c r="S1267" s="74" t="str">
        <f>R1267-Q1267</f>
      </c>
      <c r="T1267" s="20" t="str">
        <f>IFERROR(INDEX('Cost_Components'!$R$2:$R$27,MATCH(E1267,'Cost_Components'!$A$2:$A$27,0)),"")</f>
      </c>
      <c r="U1267" s="75" t="str">
        <f>IFERROR(INDEX('Cost_Components'!$Q$2:$Q$27,MATCH(E1267,'Cost_Components'!$A$2:$A$27,0)),"")</f>
      </c>
      <c r="V1267" s="76" t="str">
        <f>1/(1+'Calculation_Assumptions'!$B$5)^(B1267-'Calculation_Assumptions'!$B$2)</f>
      </c>
      <c r="W1267" s="77" t="str">
        <f>Q1267*V1267</f>
      </c>
      <c r="X1267" s="78" t="str">
        <f>R1267*V1267</f>
      </c>
      <c r="Y1267" s="79" t="str">
        <f>S1267*V1267</f>
      </c>
      <c r="Z1267" s="80" t="str">
        <f>IFERROR(INDEX('Cost_Components'!$T$2:$T$27,MATCH(E1267,'Cost_Components'!$A$2:$A$27,0)),"")</f>
      </c>
      <c r="AA1267" s="81" t="str">
        <f>IFERROR(INDEX('Cost_Components'!$U$2:$U$27,MATCH(E1267,'Cost_Components'!$A$2:$A$27,0)),"")</f>
      </c>
      <c r="AB1267" s="82" t="str">
        <f>IFERROR(INDEX('Cost_Components'!$V$2:$V$27,MATCH(E1267,'Cost_Components'!$A$2:$A$27,0)),"")</f>
      </c>
      <c r="AC1267" s="83" t="str">
        <f>IFERROR(INDEX('Cost_Components'!$M$2:$M$27,MATCH(E1267,'Cost_Components'!$A$2:$A$27,0)),"")</f>
      </c>
      <c r="AD1267" s="84" t="str">
        <f>IFERROR(INDEX('Cost_Components'!$N$2:$N$27,MATCH(E1267,'Cost_Components'!$A$2:$A$27,0)),"")</f>
      </c>
      <c r="AE1267" s="20" t="str">
        <f>IFERROR(INDEX('Cost_Components'!$O$2:$O$27,MATCH(E1267,'Cost_Components'!$A$2:$A$27,0)),"")</f>
      </c>
      <c r="AF1267" s="85" t="n">
        <v>311959.079582986</v>
      </c>
      <c r="AG1267" s="86" t="n">
        <v>363819.35126225</v>
      </c>
      <c r="AH1267" s="87" t="str">
        <f>IF(H1267="shared-count-once",COUNTIFS($A$2:$A$1353,A1267,$B$2:$B$1353,B1267,$E$2:$E$1353,E1267),1)</f>
      </c>
    </row>
    <row r="1268">
      <c r="A1268" t="s">
        <v>75</v>
      </c>
      <c r="B1268" s="59" t="n">
        <v>2043</v>
      </c>
      <c r="C1268" t="s">
        <v>220</v>
      </c>
      <c r="D1268" t="s">
        <v>184</v>
      </c>
      <c r="E1268" s="60" t="s">
        <v>316</v>
      </c>
      <c r="F1268" s="61" t="s">
        <v>317</v>
      </c>
      <c r="G1268" s="62" t="s">
        <v>224</v>
      </c>
      <c r="H1268" s="63" t="s">
        <v>195</v>
      </c>
      <c r="I1268" s="64" t="s">
        <v>170</v>
      </c>
      <c r="J1268" s="65" t="str">
        <f>IFERROR(INDEX('Cost_Components'!$K$2:$K$27,MATCH(E1268,'Cost_Components'!$A$2:$A$27,0)),"")</f>
      </c>
      <c r="K1268" s="66" t="str">
        <f>IF(OR(L1268="",Z1268="",AA1268="",AB1268=""),"",IF(B1268&lt;AA1268,L1268,IF(B1268&gt;AB1268,Z1268,L1268+(Z1268-L1268)*MIN(MAX((B1268-AA1268+1)/MAX(AB1268-AA1268+1,1),0),1))))</f>
      </c>
      <c r="L1268" s="67" t="str">
        <f>IFERROR(INDEX('Cost_Components'!$S$2:$S$27,MATCH(E1268,'Cost_Components'!$A$2:$A$27,0)),"")</f>
      </c>
      <c r="M1268" s="68" t="str">
        <f>IFERROR(INDEX('Cost_Components'!$L$2:$L$27,MATCH(E1268,'Cost_Components'!$A$2:$A$27,0)),"")</f>
      </c>
      <c r="N1268" s="69" t="str">
        <f>IFERROR(INDEX('Cost_Components'!$P$2:$P$27,MATCH(E1268,'Cost_Components'!$A$2:$A$27,0)),"")</f>
      </c>
      <c r="O1268" s="70" t="str">
        <f>AF1268*J1268</f>
      </c>
      <c r="P1268" s="71" t="str">
        <f>AG1268*J1268</f>
      </c>
      <c r="Q1268" s="72" t="str">
        <f>P1268*L1268*M1268*N1268</f>
      </c>
      <c r="R1268" s="73" t="str">
        <f>O1268*K1268*M1268*N1268</f>
      </c>
      <c r="S1268" s="74" t="str">
        <f>R1268-Q1268</f>
      </c>
      <c r="T1268" s="20" t="str">
        <f>IFERROR(INDEX('Cost_Components'!$R$2:$R$27,MATCH(E1268,'Cost_Components'!$A$2:$A$27,0)),"")</f>
      </c>
      <c r="U1268" s="75" t="str">
        <f>IFERROR(INDEX('Cost_Components'!$Q$2:$Q$27,MATCH(E1268,'Cost_Components'!$A$2:$A$27,0)),"")</f>
      </c>
      <c r="V1268" s="76" t="str">
        <f>1/(1+'Calculation_Assumptions'!$B$5)^(B1268-'Calculation_Assumptions'!$B$2)</f>
      </c>
      <c r="W1268" s="77" t="str">
        <f>Q1268*V1268</f>
      </c>
      <c r="X1268" s="78" t="str">
        <f>R1268*V1268</f>
      </c>
      <c r="Y1268" s="79" t="str">
        <f>S1268*V1268</f>
      </c>
      <c r="Z1268" s="80" t="str">
        <f>IFERROR(INDEX('Cost_Components'!$T$2:$T$27,MATCH(E1268,'Cost_Components'!$A$2:$A$27,0)),"")</f>
      </c>
      <c r="AA1268" s="81" t="str">
        <f>IFERROR(INDEX('Cost_Components'!$U$2:$U$27,MATCH(E1268,'Cost_Components'!$A$2:$A$27,0)),"")</f>
      </c>
      <c r="AB1268" s="82" t="str">
        <f>IFERROR(INDEX('Cost_Components'!$V$2:$V$27,MATCH(E1268,'Cost_Components'!$A$2:$A$27,0)),"")</f>
      </c>
      <c r="AC1268" s="83" t="str">
        <f>IFERROR(INDEX('Cost_Components'!$M$2:$M$27,MATCH(E1268,'Cost_Components'!$A$2:$A$27,0)),"")</f>
      </c>
      <c r="AD1268" s="84" t="str">
        <f>IFERROR(INDEX('Cost_Components'!$N$2:$N$27,MATCH(E1268,'Cost_Components'!$A$2:$A$27,0)),"")</f>
      </c>
      <c r="AE1268" s="20" t="str">
        <f>IFERROR(INDEX('Cost_Components'!$O$2:$O$27,MATCH(E1268,'Cost_Components'!$A$2:$A$27,0)),"")</f>
      </c>
      <c r="AF1268" s="85" t="n">
        <v>313085.536338851</v>
      </c>
      <c r="AG1268" s="86" t="n">
        <v>368229.364757541</v>
      </c>
      <c r="AH1268" s="87" t="str">
        <f>IF(H1268="shared-count-once",COUNTIFS($A$2:$A$1353,A1268,$B$2:$B$1353,B1268,$E$2:$E$1353,E1268),1)</f>
      </c>
    </row>
    <row r="1269">
      <c r="A1269" t="s">
        <v>75</v>
      </c>
      <c r="B1269" s="59" t="n">
        <v>2044</v>
      </c>
      <c r="C1269" t="s">
        <v>220</v>
      </c>
      <c r="D1269" t="s">
        <v>184</v>
      </c>
      <c r="E1269" s="60" t="s">
        <v>316</v>
      </c>
      <c r="F1269" s="61" t="s">
        <v>317</v>
      </c>
      <c r="G1269" s="62" t="s">
        <v>224</v>
      </c>
      <c r="H1269" s="63" t="s">
        <v>195</v>
      </c>
      <c r="I1269" s="64" t="s">
        <v>170</v>
      </c>
      <c r="J1269" s="65" t="str">
        <f>IFERROR(INDEX('Cost_Components'!$K$2:$K$27,MATCH(E1269,'Cost_Components'!$A$2:$A$27,0)),"")</f>
      </c>
      <c r="K1269" s="66" t="str">
        <f>IF(OR(L1269="",Z1269="",AA1269="",AB1269=""),"",IF(B1269&lt;AA1269,L1269,IF(B1269&gt;AB1269,Z1269,L1269+(Z1269-L1269)*MIN(MAX((B1269-AA1269+1)/MAX(AB1269-AA1269+1,1),0),1))))</f>
      </c>
      <c r="L1269" s="67" t="str">
        <f>IFERROR(INDEX('Cost_Components'!$S$2:$S$27,MATCH(E1269,'Cost_Components'!$A$2:$A$27,0)),"")</f>
      </c>
      <c r="M1269" s="68" t="str">
        <f>IFERROR(INDEX('Cost_Components'!$L$2:$L$27,MATCH(E1269,'Cost_Components'!$A$2:$A$27,0)),"")</f>
      </c>
      <c r="N1269" s="69" t="str">
        <f>IFERROR(INDEX('Cost_Components'!$P$2:$P$27,MATCH(E1269,'Cost_Components'!$A$2:$A$27,0)),"")</f>
      </c>
      <c r="O1269" s="70" t="str">
        <f>AF1269*J1269</f>
      </c>
      <c r="P1269" s="71" t="str">
        <f>AG1269*J1269</f>
      </c>
      <c r="Q1269" s="72" t="str">
        <f>P1269*L1269*M1269*N1269</f>
      </c>
      <c r="R1269" s="73" t="str">
        <f>O1269*K1269*M1269*N1269</f>
      </c>
      <c r="S1269" s="74" t="str">
        <f>R1269-Q1269</f>
      </c>
      <c r="T1269" s="20" t="str">
        <f>IFERROR(INDEX('Cost_Components'!$R$2:$R$27,MATCH(E1269,'Cost_Components'!$A$2:$A$27,0)),"")</f>
      </c>
      <c r="U1269" s="75" t="str">
        <f>IFERROR(INDEX('Cost_Components'!$Q$2:$Q$27,MATCH(E1269,'Cost_Components'!$A$2:$A$27,0)),"")</f>
      </c>
      <c r="V1269" s="76" t="str">
        <f>1/(1+'Calculation_Assumptions'!$B$5)^(B1269-'Calculation_Assumptions'!$B$2)</f>
      </c>
      <c r="W1269" s="77" t="str">
        <f>Q1269*V1269</f>
      </c>
      <c r="X1269" s="78" t="str">
        <f>R1269*V1269</f>
      </c>
      <c r="Y1269" s="79" t="str">
        <f>S1269*V1269</f>
      </c>
      <c r="Z1269" s="80" t="str">
        <f>IFERROR(INDEX('Cost_Components'!$T$2:$T$27,MATCH(E1269,'Cost_Components'!$A$2:$A$27,0)),"")</f>
      </c>
      <c r="AA1269" s="81" t="str">
        <f>IFERROR(INDEX('Cost_Components'!$U$2:$U$27,MATCH(E1269,'Cost_Components'!$A$2:$A$27,0)),"")</f>
      </c>
      <c r="AB1269" s="82" t="str">
        <f>IFERROR(INDEX('Cost_Components'!$V$2:$V$27,MATCH(E1269,'Cost_Components'!$A$2:$A$27,0)),"")</f>
      </c>
      <c r="AC1269" s="83" t="str">
        <f>IFERROR(INDEX('Cost_Components'!$M$2:$M$27,MATCH(E1269,'Cost_Components'!$A$2:$A$27,0)),"")</f>
      </c>
      <c r="AD1269" s="84" t="str">
        <f>IFERROR(INDEX('Cost_Components'!$N$2:$N$27,MATCH(E1269,'Cost_Components'!$A$2:$A$27,0)),"")</f>
      </c>
      <c r="AE1269" s="20" t="str">
        <f>IFERROR(INDEX('Cost_Components'!$O$2:$O$27,MATCH(E1269,'Cost_Components'!$A$2:$A$27,0)),"")</f>
      </c>
      <c r="AF1269" s="85" t="n">
        <v>312313.257683771</v>
      </c>
      <c r="AG1269" s="86" t="n">
        <v>370283.02327632</v>
      </c>
      <c r="AH1269" s="87" t="str">
        <f>IF(H1269="shared-count-once",COUNTIFS($A$2:$A$1353,A1269,$B$2:$B$1353,B1269,$E$2:$E$1353,E1269),1)</f>
      </c>
    </row>
    <row r="1270">
      <c r="A1270" t="s">
        <v>75</v>
      </c>
      <c r="B1270" s="59" t="n">
        <v>2045</v>
      </c>
      <c r="C1270" t="s">
        <v>220</v>
      </c>
      <c r="D1270" t="s">
        <v>184</v>
      </c>
      <c r="E1270" s="60" t="s">
        <v>316</v>
      </c>
      <c r="F1270" s="61" t="s">
        <v>317</v>
      </c>
      <c r="G1270" s="62" t="s">
        <v>224</v>
      </c>
      <c r="H1270" s="63" t="s">
        <v>195</v>
      </c>
      <c r="I1270" s="64" t="s">
        <v>170</v>
      </c>
      <c r="J1270" s="65" t="str">
        <f>IFERROR(INDEX('Cost_Components'!$K$2:$K$27,MATCH(E1270,'Cost_Components'!$A$2:$A$27,0)),"")</f>
      </c>
      <c r="K1270" s="66" t="str">
        <f>IF(OR(L1270="",Z1270="",AA1270="",AB1270=""),"",IF(B1270&lt;AA1270,L1270,IF(B1270&gt;AB1270,Z1270,L1270+(Z1270-L1270)*MIN(MAX((B1270-AA1270+1)/MAX(AB1270-AA1270+1,1),0),1))))</f>
      </c>
      <c r="L1270" s="67" t="str">
        <f>IFERROR(INDEX('Cost_Components'!$S$2:$S$27,MATCH(E1270,'Cost_Components'!$A$2:$A$27,0)),"")</f>
      </c>
      <c r="M1270" s="68" t="str">
        <f>IFERROR(INDEX('Cost_Components'!$L$2:$L$27,MATCH(E1270,'Cost_Components'!$A$2:$A$27,0)),"")</f>
      </c>
      <c r="N1270" s="69" t="str">
        <f>IFERROR(INDEX('Cost_Components'!$P$2:$P$27,MATCH(E1270,'Cost_Components'!$A$2:$A$27,0)),"")</f>
      </c>
      <c r="O1270" s="70" t="str">
        <f>AF1270*J1270</f>
      </c>
      <c r="P1270" s="71" t="str">
        <f>AG1270*J1270</f>
      </c>
      <c r="Q1270" s="72" t="str">
        <f>P1270*L1270*M1270*N1270</f>
      </c>
      <c r="R1270" s="73" t="str">
        <f>O1270*K1270*M1270*N1270</f>
      </c>
      <c r="S1270" s="74" t="str">
        <f>R1270-Q1270</f>
      </c>
      <c r="T1270" s="20" t="str">
        <f>IFERROR(INDEX('Cost_Components'!$R$2:$R$27,MATCH(E1270,'Cost_Components'!$A$2:$A$27,0)),"")</f>
      </c>
      <c r="U1270" s="75" t="str">
        <f>IFERROR(INDEX('Cost_Components'!$Q$2:$Q$27,MATCH(E1270,'Cost_Components'!$A$2:$A$27,0)),"")</f>
      </c>
      <c r="V1270" s="76" t="str">
        <f>1/(1+'Calculation_Assumptions'!$B$5)^(B1270-'Calculation_Assumptions'!$B$2)</f>
      </c>
      <c r="W1270" s="77" t="str">
        <f>Q1270*V1270</f>
      </c>
      <c r="X1270" s="78" t="str">
        <f>R1270*V1270</f>
      </c>
      <c r="Y1270" s="79" t="str">
        <f>S1270*V1270</f>
      </c>
      <c r="Z1270" s="80" t="str">
        <f>IFERROR(INDEX('Cost_Components'!$T$2:$T$27,MATCH(E1270,'Cost_Components'!$A$2:$A$27,0)),"")</f>
      </c>
      <c r="AA1270" s="81" t="str">
        <f>IFERROR(INDEX('Cost_Components'!$U$2:$U$27,MATCH(E1270,'Cost_Components'!$A$2:$A$27,0)),"")</f>
      </c>
      <c r="AB1270" s="82" t="str">
        <f>IFERROR(INDEX('Cost_Components'!$V$2:$V$27,MATCH(E1270,'Cost_Components'!$A$2:$A$27,0)),"")</f>
      </c>
      <c r="AC1270" s="83" t="str">
        <f>IFERROR(INDEX('Cost_Components'!$M$2:$M$27,MATCH(E1270,'Cost_Components'!$A$2:$A$27,0)),"")</f>
      </c>
      <c r="AD1270" s="84" t="str">
        <f>IFERROR(INDEX('Cost_Components'!$N$2:$N$27,MATCH(E1270,'Cost_Components'!$A$2:$A$27,0)),"")</f>
      </c>
      <c r="AE1270" s="20" t="str">
        <f>IFERROR(INDEX('Cost_Components'!$O$2:$O$27,MATCH(E1270,'Cost_Components'!$A$2:$A$27,0)),"")</f>
      </c>
      <c r="AF1270" s="85" t="n">
        <v>312474.647288793</v>
      </c>
      <c r="AG1270" s="86" t="n">
        <v>373507.682564293</v>
      </c>
      <c r="AH1270" s="87" t="str">
        <f>IF(H1270="shared-count-once",COUNTIFS($A$2:$A$1353,A1270,$B$2:$B$1353,B1270,$E$2:$E$1353,E1270),1)</f>
      </c>
    </row>
    <row r="1271">
      <c r="A1271" t="s">
        <v>75</v>
      </c>
      <c r="B1271" s="59" t="n">
        <v>2046</v>
      </c>
      <c r="C1271" t="s">
        <v>220</v>
      </c>
      <c r="D1271" t="s">
        <v>184</v>
      </c>
      <c r="E1271" s="60" t="s">
        <v>316</v>
      </c>
      <c r="F1271" s="61" t="s">
        <v>317</v>
      </c>
      <c r="G1271" s="62" t="s">
        <v>224</v>
      </c>
      <c r="H1271" s="63" t="s">
        <v>195</v>
      </c>
      <c r="I1271" s="64" t="s">
        <v>170</v>
      </c>
      <c r="J1271" s="65" t="str">
        <f>IFERROR(INDEX('Cost_Components'!$K$2:$K$27,MATCH(E1271,'Cost_Components'!$A$2:$A$27,0)),"")</f>
      </c>
      <c r="K1271" s="66" t="str">
        <f>IF(OR(L1271="",Z1271="",AA1271="",AB1271=""),"",IF(B1271&lt;AA1271,L1271,IF(B1271&gt;AB1271,Z1271,L1271+(Z1271-L1271)*MIN(MAX((B1271-AA1271+1)/MAX(AB1271-AA1271+1,1),0),1))))</f>
      </c>
      <c r="L1271" s="67" t="str">
        <f>IFERROR(INDEX('Cost_Components'!$S$2:$S$27,MATCH(E1271,'Cost_Components'!$A$2:$A$27,0)),"")</f>
      </c>
      <c r="M1271" s="68" t="str">
        <f>IFERROR(INDEX('Cost_Components'!$L$2:$L$27,MATCH(E1271,'Cost_Components'!$A$2:$A$27,0)),"")</f>
      </c>
      <c r="N1271" s="69" t="str">
        <f>IFERROR(INDEX('Cost_Components'!$P$2:$P$27,MATCH(E1271,'Cost_Components'!$A$2:$A$27,0)),"")</f>
      </c>
      <c r="O1271" s="70" t="str">
        <f>AF1271*J1271</f>
      </c>
      <c r="P1271" s="71" t="str">
        <f>AG1271*J1271</f>
      </c>
      <c r="Q1271" s="72" t="str">
        <f>P1271*L1271*M1271*N1271</f>
      </c>
      <c r="R1271" s="73" t="str">
        <f>O1271*K1271*M1271*N1271</f>
      </c>
      <c r="S1271" s="74" t="str">
        <f>R1271-Q1271</f>
      </c>
      <c r="T1271" s="20" t="str">
        <f>IFERROR(INDEX('Cost_Components'!$R$2:$R$27,MATCH(E1271,'Cost_Components'!$A$2:$A$27,0)),"")</f>
      </c>
      <c r="U1271" s="75" t="str">
        <f>IFERROR(INDEX('Cost_Components'!$Q$2:$Q$27,MATCH(E1271,'Cost_Components'!$A$2:$A$27,0)),"")</f>
      </c>
      <c r="V1271" s="76" t="str">
        <f>1/(1+'Calculation_Assumptions'!$B$5)^(B1271-'Calculation_Assumptions'!$B$2)</f>
      </c>
      <c r="W1271" s="77" t="str">
        <f>Q1271*V1271</f>
      </c>
      <c r="X1271" s="78" t="str">
        <f>R1271*V1271</f>
      </c>
      <c r="Y1271" s="79" t="str">
        <f>S1271*V1271</f>
      </c>
      <c r="Z1271" s="80" t="str">
        <f>IFERROR(INDEX('Cost_Components'!$T$2:$T$27,MATCH(E1271,'Cost_Components'!$A$2:$A$27,0)),"")</f>
      </c>
      <c r="AA1271" s="81" t="str">
        <f>IFERROR(INDEX('Cost_Components'!$U$2:$U$27,MATCH(E1271,'Cost_Components'!$A$2:$A$27,0)),"")</f>
      </c>
      <c r="AB1271" s="82" t="str">
        <f>IFERROR(INDEX('Cost_Components'!$V$2:$V$27,MATCH(E1271,'Cost_Components'!$A$2:$A$27,0)),"")</f>
      </c>
      <c r="AC1271" s="83" t="str">
        <f>IFERROR(INDEX('Cost_Components'!$M$2:$M$27,MATCH(E1271,'Cost_Components'!$A$2:$A$27,0)),"")</f>
      </c>
      <c r="AD1271" s="84" t="str">
        <f>IFERROR(INDEX('Cost_Components'!$N$2:$N$27,MATCH(E1271,'Cost_Components'!$A$2:$A$27,0)),"")</f>
      </c>
      <c r="AE1271" s="20" t="str">
        <f>IFERROR(INDEX('Cost_Components'!$O$2:$O$27,MATCH(E1271,'Cost_Components'!$A$2:$A$27,0)),"")</f>
      </c>
      <c r="AF1271" s="85" t="n">
        <v>312613.160213458</v>
      </c>
      <c r="AG1271" s="86" t="n">
        <v>376757.474642468</v>
      </c>
      <c r="AH1271" s="87" t="str">
        <f>IF(H1271="shared-count-once",COUNTIFS($A$2:$A$1353,A1271,$B$2:$B$1353,B1271,$E$2:$E$1353,E1271),1)</f>
      </c>
    </row>
    <row r="1272">
      <c r="A1272" t="s">
        <v>75</v>
      </c>
      <c r="B1272" s="59" t="n">
        <v>2047</v>
      </c>
      <c r="C1272" t="s">
        <v>220</v>
      </c>
      <c r="D1272" t="s">
        <v>184</v>
      </c>
      <c r="E1272" s="60" t="s">
        <v>316</v>
      </c>
      <c r="F1272" s="61" t="s">
        <v>317</v>
      </c>
      <c r="G1272" s="62" t="s">
        <v>224</v>
      </c>
      <c r="H1272" s="63" t="s">
        <v>195</v>
      </c>
      <c r="I1272" s="64" t="s">
        <v>170</v>
      </c>
      <c r="J1272" s="65" t="str">
        <f>IFERROR(INDEX('Cost_Components'!$K$2:$K$27,MATCH(E1272,'Cost_Components'!$A$2:$A$27,0)),"")</f>
      </c>
      <c r="K1272" s="66" t="str">
        <f>IF(OR(L1272="",Z1272="",AA1272="",AB1272=""),"",IF(B1272&lt;AA1272,L1272,IF(B1272&gt;AB1272,Z1272,L1272+(Z1272-L1272)*MIN(MAX((B1272-AA1272+1)/MAX(AB1272-AA1272+1,1),0),1))))</f>
      </c>
      <c r="L1272" s="67" t="str">
        <f>IFERROR(INDEX('Cost_Components'!$S$2:$S$27,MATCH(E1272,'Cost_Components'!$A$2:$A$27,0)),"")</f>
      </c>
      <c r="M1272" s="68" t="str">
        <f>IFERROR(INDEX('Cost_Components'!$L$2:$L$27,MATCH(E1272,'Cost_Components'!$A$2:$A$27,0)),"")</f>
      </c>
      <c r="N1272" s="69" t="str">
        <f>IFERROR(INDEX('Cost_Components'!$P$2:$P$27,MATCH(E1272,'Cost_Components'!$A$2:$A$27,0)),"")</f>
      </c>
      <c r="O1272" s="70" t="str">
        <f>AF1272*J1272</f>
      </c>
      <c r="P1272" s="71" t="str">
        <f>AG1272*J1272</f>
      </c>
      <c r="Q1272" s="72" t="str">
        <f>P1272*L1272*M1272*N1272</f>
      </c>
      <c r="R1272" s="73" t="str">
        <f>O1272*K1272*M1272*N1272</f>
      </c>
      <c r="S1272" s="74" t="str">
        <f>R1272-Q1272</f>
      </c>
      <c r="T1272" s="20" t="str">
        <f>IFERROR(INDEX('Cost_Components'!$R$2:$R$27,MATCH(E1272,'Cost_Components'!$A$2:$A$27,0)),"")</f>
      </c>
      <c r="U1272" s="75" t="str">
        <f>IFERROR(INDEX('Cost_Components'!$Q$2:$Q$27,MATCH(E1272,'Cost_Components'!$A$2:$A$27,0)),"")</f>
      </c>
      <c r="V1272" s="76" t="str">
        <f>1/(1+'Calculation_Assumptions'!$B$5)^(B1272-'Calculation_Assumptions'!$B$2)</f>
      </c>
      <c r="W1272" s="77" t="str">
        <f>Q1272*V1272</f>
      </c>
      <c r="X1272" s="78" t="str">
        <f>R1272*V1272</f>
      </c>
      <c r="Y1272" s="79" t="str">
        <f>S1272*V1272</f>
      </c>
      <c r="Z1272" s="80" t="str">
        <f>IFERROR(INDEX('Cost_Components'!$T$2:$T$27,MATCH(E1272,'Cost_Components'!$A$2:$A$27,0)),"")</f>
      </c>
      <c r="AA1272" s="81" t="str">
        <f>IFERROR(INDEX('Cost_Components'!$U$2:$U$27,MATCH(E1272,'Cost_Components'!$A$2:$A$27,0)),"")</f>
      </c>
      <c r="AB1272" s="82" t="str">
        <f>IFERROR(INDEX('Cost_Components'!$V$2:$V$27,MATCH(E1272,'Cost_Components'!$A$2:$A$27,0)),"")</f>
      </c>
      <c r="AC1272" s="83" t="str">
        <f>IFERROR(INDEX('Cost_Components'!$M$2:$M$27,MATCH(E1272,'Cost_Components'!$A$2:$A$27,0)),"")</f>
      </c>
      <c r="AD1272" s="84" t="str">
        <f>IFERROR(INDEX('Cost_Components'!$N$2:$N$27,MATCH(E1272,'Cost_Components'!$A$2:$A$27,0)),"")</f>
      </c>
      <c r="AE1272" s="20" t="str">
        <f>IFERROR(INDEX('Cost_Components'!$O$2:$O$27,MATCH(E1272,'Cost_Components'!$A$2:$A$27,0)),"")</f>
      </c>
      <c r="AF1272" s="85" t="n">
        <v>312875.001757764</v>
      </c>
      <c r="AG1272" s="86" t="n">
        <v>380232.464953237</v>
      </c>
      <c r="AH1272" s="87" t="str">
        <f>IF(H1272="shared-count-once",COUNTIFS($A$2:$A$1353,A1272,$B$2:$B$1353,B1272,$E$2:$E$1353,E1272),1)</f>
      </c>
    </row>
    <row r="1273">
      <c r="A1273" t="s">
        <v>75</v>
      </c>
      <c r="B1273" s="59" t="n">
        <v>2048</v>
      </c>
      <c r="C1273" t="s">
        <v>220</v>
      </c>
      <c r="D1273" t="s">
        <v>184</v>
      </c>
      <c r="E1273" s="60" t="s">
        <v>316</v>
      </c>
      <c r="F1273" s="61" t="s">
        <v>317</v>
      </c>
      <c r="G1273" s="62" t="s">
        <v>224</v>
      </c>
      <c r="H1273" s="63" t="s">
        <v>195</v>
      </c>
      <c r="I1273" s="64" t="s">
        <v>170</v>
      </c>
      <c r="J1273" s="65" t="str">
        <f>IFERROR(INDEX('Cost_Components'!$K$2:$K$27,MATCH(E1273,'Cost_Components'!$A$2:$A$27,0)),"")</f>
      </c>
      <c r="K1273" s="66" t="str">
        <f>IF(OR(L1273="",Z1273="",AA1273="",AB1273=""),"",IF(B1273&lt;AA1273,L1273,IF(B1273&gt;AB1273,Z1273,L1273+(Z1273-L1273)*MIN(MAX((B1273-AA1273+1)/MAX(AB1273-AA1273+1,1),0),1))))</f>
      </c>
      <c r="L1273" s="67" t="str">
        <f>IFERROR(INDEX('Cost_Components'!$S$2:$S$27,MATCH(E1273,'Cost_Components'!$A$2:$A$27,0)),"")</f>
      </c>
      <c r="M1273" s="68" t="str">
        <f>IFERROR(INDEX('Cost_Components'!$L$2:$L$27,MATCH(E1273,'Cost_Components'!$A$2:$A$27,0)),"")</f>
      </c>
      <c r="N1273" s="69" t="str">
        <f>IFERROR(INDEX('Cost_Components'!$P$2:$P$27,MATCH(E1273,'Cost_Components'!$A$2:$A$27,0)),"")</f>
      </c>
      <c r="O1273" s="70" t="str">
        <f>AF1273*J1273</f>
      </c>
      <c r="P1273" s="71" t="str">
        <f>AG1273*J1273</f>
      </c>
      <c r="Q1273" s="72" t="str">
        <f>P1273*L1273*M1273*N1273</f>
      </c>
      <c r="R1273" s="73" t="str">
        <f>O1273*K1273*M1273*N1273</f>
      </c>
      <c r="S1273" s="74" t="str">
        <f>R1273-Q1273</f>
      </c>
      <c r="T1273" s="20" t="str">
        <f>IFERROR(INDEX('Cost_Components'!$R$2:$R$27,MATCH(E1273,'Cost_Components'!$A$2:$A$27,0)),"")</f>
      </c>
      <c r="U1273" s="75" t="str">
        <f>IFERROR(INDEX('Cost_Components'!$Q$2:$Q$27,MATCH(E1273,'Cost_Components'!$A$2:$A$27,0)),"")</f>
      </c>
      <c r="V1273" s="76" t="str">
        <f>1/(1+'Calculation_Assumptions'!$B$5)^(B1273-'Calculation_Assumptions'!$B$2)</f>
      </c>
      <c r="W1273" s="77" t="str">
        <f>Q1273*V1273</f>
      </c>
      <c r="X1273" s="78" t="str">
        <f>R1273*V1273</f>
      </c>
      <c r="Y1273" s="79" t="str">
        <f>S1273*V1273</f>
      </c>
      <c r="Z1273" s="80" t="str">
        <f>IFERROR(INDEX('Cost_Components'!$T$2:$T$27,MATCH(E1273,'Cost_Components'!$A$2:$A$27,0)),"")</f>
      </c>
      <c r="AA1273" s="81" t="str">
        <f>IFERROR(INDEX('Cost_Components'!$U$2:$U$27,MATCH(E1273,'Cost_Components'!$A$2:$A$27,0)),"")</f>
      </c>
      <c r="AB1273" s="82" t="str">
        <f>IFERROR(INDEX('Cost_Components'!$V$2:$V$27,MATCH(E1273,'Cost_Components'!$A$2:$A$27,0)),"")</f>
      </c>
      <c r="AC1273" s="83" t="str">
        <f>IFERROR(INDEX('Cost_Components'!$M$2:$M$27,MATCH(E1273,'Cost_Components'!$A$2:$A$27,0)),"")</f>
      </c>
      <c r="AD1273" s="84" t="str">
        <f>IFERROR(INDEX('Cost_Components'!$N$2:$N$27,MATCH(E1273,'Cost_Components'!$A$2:$A$27,0)),"")</f>
      </c>
      <c r="AE1273" s="20" t="str">
        <f>IFERROR(INDEX('Cost_Components'!$O$2:$O$27,MATCH(E1273,'Cost_Components'!$A$2:$A$27,0)),"")</f>
      </c>
      <c r="AF1273" s="85" t="n">
        <v>313342.110566597</v>
      </c>
      <c r="AG1273" s="86" t="n">
        <v>383956.375748744</v>
      </c>
      <c r="AH1273" s="87" t="str">
        <f>IF(H1273="shared-count-once",COUNTIFS($A$2:$A$1353,A1273,$B$2:$B$1353,B1273,$E$2:$E$1353,E1273),1)</f>
      </c>
    </row>
    <row r="1274">
      <c r="A1274" t="s">
        <v>75</v>
      </c>
      <c r="B1274" s="59" t="n">
        <v>2049</v>
      </c>
      <c r="C1274" t="s">
        <v>220</v>
      </c>
      <c r="D1274" t="s">
        <v>184</v>
      </c>
      <c r="E1274" s="60" t="s">
        <v>316</v>
      </c>
      <c r="F1274" s="61" t="s">
        <v>317</v>
      </c>
      <c r="G1274" s="62" t="s">
        <v>224</v>
      </c>
      <c r="H1274" s="63" t="s">
        <v>195</v>
      </c>
      <c r="I1274" s="64" t="s">
        <v>170</v>
      </c>
      <c r="J1274" s="65" t="str">
        <f>IFERROR(INDEX('Cost_Components'!$K$2:$K$27,MATCH(E1274,'Cost_Components'!$A$2:$A$27,0)),"")</f>
      </c>
      <c r="K1274" s="66" t="str">
        <f>IF(OR(L1274="",Z1274="",AA1274="",AB1274=""),"",IF(B1274&lt;AA1274,L1274,IF(B1274&gt;AB1274,Z1274,L1274+(Z1274-L1274)*MIN(MAX((B1274-AA1274+1)/MAX(AB1274-AA1274+1,1),0),1))))</f>
      </c>
      <c r="L1274" s="67" t="str">
        <f>IFERROR(INDEX('Cost_Components'!$S$2:$S$27,MATCH(E1274,'Cost_Components'!$A$2:$A$27,0)),"")</f>
      </c>
      <c r="M1274" s="68" t="str">
        <f>IFERROR(INDEX('Cost_Components'!$L$2:$L$27,MATCH(E1274,'Cost_Components'!$A$2:$A$27,0)),"")</f>
      </c>
      <c r="N1274" s="69" t="str">
        <f>IFERROR(INDEX('Cost_Components'!$P$2:$P$27,MATCH(E1274,'Cost_Components'!$A$2:$A$27,0)),"")</f>
      </c>
      <c r="O1274" s="70" t="str">
        <f>AF1274*J1274</f>
      </c>
      <c r="P1274" s="71" t="str">
        <f>AG1274*J1274</f>
      </c>
      <c r="Q1274" s="72" t="str">
        <f>P1274*L1274*M1274*N1274</f>
      </c>
      <c r="R1274" s="73" t="str">
        <f>O1274*K1274*M1274*N1274</f>
      </c>
      <c r="S1274" s="74" t="str">
        <f>R1274-Q1274</f>
      </c>
      <c r="T1274" s="20" t="str">
        <f>IFERROR(INDEX('Cost_Components'!$R$2:$R$27,MATCH(E1274,'Cost_Components'!$A$2:$A$27,0)),"")</f>
      </c>
      <c r="U1274" s="75" t="str">
        <f>IFERROR(INDEX('Cost_Components'!$Q$2:$Q$27,MATCH(E1274,'Cost_Components'!$A$2:$A$27,0)),"")</f>
      </c>
      <c r="V1274" s="76" t="str">
        <f>1/(1+'Calculation_Assumptions'!$B$5)^(B1274-'Calculation_Assumptions'!$B$2)</f>
      </c>
      <c r="W1274" s="77" t="str">
        <f>Q1274*V1274</f>
      </c>
      <c r="X1274" s="78" t="str">
        <f>R1274*V1274</f>
      </c>
      <c r="Y1274" s="79" t="str">
        <f>S1274*V1274</f>
      </c>
      <c r="Z1274" s="80" t="str">
        <f>IFERROR(INDEX('Cost_Components'!$T$2:$T$27,MATCH(E1274,'Cost_Components'!$A$2:$A$27,0)),"")</f>
      </c>
      <c r="AA1274" s="81" t="str">
        <f>IFERROR(INDEX('Cost_Components'!$U$2:$U$27,MATCH(E1274,'Cost_Components'!$A$2:$A$27,0)),"")</f>
      </c>
      <c r="AB1274" s="82" t="str">
        <f>IFERROR(INDEX('Cost_Components'!$V$2:$V$27,MATCH(E1274,'Cost_Components'!$A$2:$A$27,0)),"")</f>
      </c>
      <c r="AC1274" s="83" t="str">
        <f>IFERROR(INDEX('Cost_Components'!$M$2:$M$27,MATCH(E1274,'Cost_Components'!$A$2:$A$27,0)),"")</f>
      </c>
      <c r="AD1274" s="84" t="str">
        <f>IFERROR(INDEX('Cost_Components'!$N$2:$N$27,MATCH(E1274,'Cost_Components'!$A$2:$A$27,0)),"")</f>
      </c>
      <c r="AE1274" s="20" t="str">
        <f>IFERROR(INDEX('Cost_Components'!$O$2:$O$27,MATCH(E1274,'Cost_Components'!$A$2:$A$27,0)),"")</f>
      </c>
      <c r="AF1274" s="85" t="n">
        <v>312390.013451148</v>
      </c>
      <c r="AG1274" s="86" t="n">
        <v>385757.489417592</v>
      </c>
      <c r="AH1274" s="87" t="str">
        <f>IF(H1274="shared-count-once",COUNTIFS($A$2:$A$1353,A1274,$B$2:$B$1353,B1274,$E$2:$E$1353,E1274),1)</f>
      </c>
    </row>
    <row r="1275">
      <c r="A1275" t="s">
        <v>75</v>
      </c>
      <c r="B1275" s="59" t="n">
        <v>2050</v>
      </c>
      <c r="C1275" t="s">
        <v>220</v>
      </c>
      <c r="D1275" t="s">
        <v>184</v>
      </c>
      <c r="E1275" s="60" t="s">
        <v>316</v>
      </c>
      <c r="F1275" s="61" t="s">
        <v>317</v>
      </c>
      <c r="G1275" s="62" t="s">
        <v>224</v>
      </c>
      <c r="H1275" s="63" t="s">
        <v>195</v>
      </c>
      <c r="I1275" s="64" t="s">
        <v>170</v>
      </c>
      <c r="J1275" s="65" t="str">
        <f>IFERROR(INDEX('Cost_Components'!$K$2:$K$27,MATCH(E1275,'Cost_Components'!$A$2:$A$27,0)),"")</f>
      </c>
      <c r="K1275" s="66" t="str">
        <f>IF(OR(L1275="",Z1275="",AA1275="",AB1275=""),"",IF(B1275&lt;AA1275,L1275,IF(B1275&gt;AB1275,Z1275,L1275+(Z1275-L1275)*MIN(MAX((B1275-AA1275+1)/MAX(AB1275-AA1275+1,1),0),1))))</f>
      </c>
      <c r="L1275" s="67" t="str">
        <f>IFERROR(INDEX('Cost_Components'!$S$2:$S$27,MATCH(E1275,'Cost_Components'!$A$2:$A$27,0)),"")</f>
      </c>
      <c r="M1275" s="68" t="str">
        <f>IFERROR(INDEX('Cost_Components'!$L$2:$L$27,MATCH(E1275,'Cost_Components'!$A$2:$A$27,0)),"")</f>
      </c>
      <c r="N1275" s="69" t="str">
        <f>IFERROR(INDEX('Cost_Components'!$P$2:$P$27,MATCH(E1275,'Cost_Components'!$A$2:$A$27,0)),"")</f>
      </c>
      <c r="O1275" s="70" t="str">
        <f>AF1275*J1275</f>
      </c>
      <c r="P1275" s="71" t="str">
        <f>AG1275*J1275</f>
      </c>
      <c r="Q1275" s="72" t="str">
        <f>P1275*L1275*M1275*N1275</f>
      </c>
      <c r="R1275" s="73" t="str">
        <f>O1275*K1275*M1275*N1275</f>
      </c>
      <c r="S1275" s="74" t="str">
        <f>R1275-Q1275</f>
      </c>
      <c r="T1275" s="20" t="str">
        <f>IFERROR(INDEX('Cost_Components'!$R$2:$R$27,MATCH(E1275,'Cost_Components'!$A$2:$A$27,0)),"")</f>
      </c>
      <c r="U1275" s="75" t="str">
        <f>IFERROR(INDEX('Cost_Components'!$Q$2:$Q$27,MATCH(E1275,'Cost_Components'!$A$2:$A$27,0)),"")</f>
      </c>
      <c r="V1275" s="76" t="str">
        <f>1/(1+'Calculation_Assumptions'!$B$5)^(B1275-'Calculation_Assumptions'!$B$2)</f>
      </c>
      <c r="W1275" s="77" t="str">
        <f>Q1275*V1275</f>
      </c>
      <c r="X1275" s="78" t="str">
        <f>R1275*V1275</f>
      </c>
      <c r="Y1275" s="79" t="str">
        <f>S1275*V1275</f>
      </c>
      <c r="Z1275" s="80" t="str">
        <f>IFERROR(INDEX('Cost_Components'!$T$2:$T$27,MATCH(E1275,'Cost_Components'!$A$2:$A$27,0)),"")</f>
      </c>
      <c r="AA1275" s="81" t="str">
        <f>IFERROR(INDEX('Cost_Components'!$U$2:$U$27,MATCH(E1275,'Cost_Components'!$A$2:$A$27,0)),"")</f>
      </c>
      <c r="AB1275" s="82" t="str">
        <f>IFERROR(INDEX('Cost_Components'!$V$2:$V$27,MATCH(E1275,'Cost_Components'!$A$2:$A$27,0)),"")</f>
      </c>
      <c r="AC1275" s="83" t="str">
        <f>IFERROR(INDEX('Cost_Components'!$M$2:$M$27,MATCH(E1275,'Cost_Components'!$A$2:$A$27,0)),"")</f>
      </c>
      <c r="AD1275" s="84" t="str">
        <f>IFERROR(INDEX('Cost_Components'!$N$2:$N$27,MATCH(E1275,'Cost_Components'!$A$2:$A$27,0)),"")</f>
      </c>
      <c r="AE1275" s="20" t="str">
        <f>IFERROR(INDEX('Cost_Components'!$O$2:$O$27,MATCH(E1275,'Cost_Components'!$A$2:$A$27,0)),"")</f>
      </c>
      <c r="AF1275" s="85" t="n">
        <v>311971.778318701</v>
      </c>
      <c r="AG1275" s="86" t="n">
        <v>388318.804229393</v>
      </c>
      <c r="AH1275" s="87" t="str">
        <f>IF(H1275="shared-count-once",COUNTIFS($A$2:$A$1353,A1275,$B$2:$B$1353,B1275,$E$2:$E$1353,E1275),1)</f>
      </c>
    </row>
    <row r="1276">
      <c r="A1276" t="s">
        <v>75</v>
      </c>
      <c r="B1276" s="59" t="n">
        <v>2025</v>
      </c>
      <c r="C1276" t="s">
        <v>220</v>
      </c>
      <c r="D1276" t="s">
        <v>184</v>
      </c>
      <c r="E1276" s="60" t="s">
        <v>318</v>
      </c>
      <c r="F1276" s="61" t="s">
        <v>319</v>
      </c>
      <c r="G1276" s="62" t="s">
        <v>224</v>
      </c>
      <c r="H1276" s="63" t="s">
        <v>195</v>
      </c>
      <c r="I1276" s="64" t="s">
        <v>267</v>
      </c>
      <c r="J1276" s="65" t="str">
        <f>IFERROR(INDEX('Cost_Components'!$K$2:$K$27,MATCH(E1276,'Cost_Components'!$A$2:$A$27,0)),"")</f>
      </c>
      <c r="K1276" s="66" t="str">
        <f>IF(OR(L1276="",Z1276="",AA1276="",AB1276=""),"",IF(B1276&lt;AA1276,L1276,IF(B1276&gt;AB1276,Z1276,L1276+(Z1276-L1276)*MIN(MAX((B1276-AA1276+1)/MAX(AB1276-AA1276+1,1),0),1))))</f>
      </c>
      <c r="L1276" s="67" t="str">
        <f>IFERROR(INDEX('Cost_Components'!$S$2:$S$27,MATCH(E1276,'Cost_Components'!$A$2:$A$27,0)),"")</f>
      </c>
      <c r="M1276" s="68" t="str">
        <f>IFERROR(INDEX('Cost_Components'!$L$2:$L$27,MATCH(E1276,'Cost_Components'!$A$2:$A$27,0)),"")</f>
      </c>
      <c r="N1276" s="69" t="str">
        <f>IFERROR(INDEX('Cost_Components'!$P$2:$P$27,MATCH(E1276,'Cost_Components'!$A$2:$A$27,0)),"")</f>
      </c>
      <c r="O1276" s="70" t="str">
        <f>AF1276*J1276</f>
      </c>
      <c r="P1276" s="71" t="str">
        <f>AG1276*J1276</f>
      </c>
      <c r="Q1276" s="72" t="str">
        <f>P1276*L1276*M1276*N1276</f>
      </c>
      <c r="R1276" s="73" t="str">
        <f>O1276*K1276*M1276*N1276</f>
      </c>
      <c r="S1276" s="74" t="str">
        <f>R1276-Q1276</f>
      </c>
      <c r="T1276" s="20" t="str">
        <f>IFERROR(INDEX('Cost_Components'!$R$2:$R$27,MATCH(E1276,'Cost_Components'!$A$2:$A$27,0)),"")</f>
      </c>
      <c r="U1276" s="75" t="str">
        <f>IFERROR(INDEX('Cost_Components'!$Q$2:$Q$27,MATCH(E1276,'Cost_Components'!$A$2:$A$27,0)),"")</f>
      </c>
      <c r="V1276" s="76" t="str">
        <f>1/(1+'Calculation_Assumptions'!$B$5)^(B1276-'Calculation_Assumptions'!$B$2)</f>
      </c>
      <c r="W1276" s="77" t="str">
        <f>Q1276*V1276</f>
      </c>
      <c r="X1276" s="78" t="str">
        <f>R1276*V1276</f>
      </c>
      <c r="Y1276" s="79" t="str">
        <f>S1276*V1276</f>
      </c>
      <c r="Z1276" s="80" t="str">
        <f>IFERROR(INDEX('Cost_Components'!$T$2:$T$27,MATCH(E1276,'Cost_Components'!$A$2:$A$27,0)),"")</f>
      </c>
      <c r="AA1276" s="81" t="str">
        <f>IFERROR(INDEX('Cost_Components'!$U$2:$U$27,MATCH(E1276,'Cost_Components'!$A$2:$A$27,0)),"")</f>
      </c>
      <c r="AB1276" s="82" t="str">
        <f>IFERROR(INDEX('Cost_Components'!$V$2:$V$27,MATCH(E1276,'Cost_Components'!$A$2:$A$27,0)),"")</f>
      </c>
      <c r="AC1276" s="83" t="str">
        <f>IFERROR(INDEX('Cost_Components'!$M$2:$M$27,MATCH(E1276,'Cost_Components'!$A$2:$A$27,0)),"")</f>
      </c>
      <c r="AD1276" s="84" t="str">
        <f>IFERROR(INDEX('Cost_Components'!$N$2:$N$27,MATCH(E1276,'Cost_Components'!$A$2:$A$27,0)),"")</f>
      </c>
      <c r="AE1276" s="20" t="str">
        <f>IFERROR(INDEX('Cost_Components'!$O$2:$O$27,MATCH(E1276,'Cost_Components'!$A$2:$A$27,0)),"")</f>
      </c>
      <c r="AF1276" s="85" t="n">
        <v>3185632.10423403</v>
      </c>
      <c r="AG1276" s="86" t="n">
        <v>3188117.25112586</v>
      </c>
      <c r="AH1276" s="87" t="str">
        <f>IF(H1276="shared-count-once",COUNTIFS($A$2:$A$1353,A1276,$B$2:$B$1353,B1276,$E$2:$E$1353,E1276),1)</f>
      </c>
    </row>
    <row r="1277">
      <c r="A1277" t="s">
        <v>75</v>
      </c>
      <c r="B1277" s="59" t="n">
        <v>2026</v>
      </c>
      <c r="C1277" t="s">
        <v>220</v>
      </c>
      <c r="D1277" t="s">
        <v>184</v>
      </c>
      <c r="E1277" s="60" t="s">
        <v>318</v>
      </c>
      <c r="F1277" s="61" t="s">
        <v>319</v>
      </c>
      <c r="G1277" s="62" t="s">
        <v>224</v>
      </c>
      <c r="H1277" s="63" t="s">
        <v>195</v>
      </c>
      <c r="I1277" s="64" t="s">
        <v>267</v>
      </c>
      <c r="J1277" s="65" t="str">
        <f>IFERROR(INDEX('Cost_Components'!$K$2:$K$27,MATCH(E1277,'Cost_Components'!$A$2:$A$27,0)),"")</f>
      </c>
      <c r="K1277" s="66" t="str">
        <f>IF(OR(L1277="",Z1277="",AA1277="",AB1277=""),"",IF(B1277&lt;AA1277,L1277,IF(B1277&gt;AB1277,Z1277,L1277+(Z1277-L1277)*MIN(MAX((B1277-AA1277+1)/MAX(AB1277-AA1277+1,1),0),1))))</f>
      </c>
      <c r="L1277" s="67" t="str">
        <f>IFERROR(INDEX('Cost_Components'!$S$2:$S$27,MATCH(E1277,'Cost_Components'!$A$2:$A$27,0)),"")</f>
      </c>
      <c r="M1277" s="68" t="str">
        <f>IFERROR(INDEX('Cost_Components'!$L$2:$L$27,MATCH(E1277,'Cost_Components'!$A$2:$A$27,0)),"")</f>
      </c>
      <c r="N1277" s="69" t="str">
        <f>IFERROR(INDEX('Cost_Components'!$P$2:$P$27,MATCH(E1277,'Cost_Components'!$A$2:$A$27,0)),"")</f>
      </c>
      <c r="O1277" s="70" t="str">
        <f>AF1277*J1277</f>
      </c>
      <c r="P1277" s="71" t="str">
        <f>AG1277*J1277</f>
      </c>
      <c r="Q1277" s="72" t="str">
        <f>P1277*L1277*M1277*N1277</f>
      </c>
      <c r="R1277" s="73" t="str">
        <f>O1277*K1277*M1277*N1277</f>
      </c>
      <c r="S1277" s="74" t="str">
        <f>R1277-Q1277</f>
      </c>
      <c r="T1277" s="20" t="str">
        <f>IFERROR(INDEX('Cost_Components'!$R$2:$R$27,MATCH(E1277,'Cost_Components'!$A$2:$A$27,0)),"")</f>
      </c>
      <c r="U1277" s="75" t="str">
        <f>IFERROR(INDEX('Cost_Components'!$Q$2:$Q$27,MATCH(E1277,'Cost_Components'!$A$2:$A$27,0)),"")</f>
      </c>
      <c r="V1277" s="76" t="str">
        <f>1/(1+'Calculation_Assumptions'!$B$5)^(B1277-'Calculation_Assumptions'!$B$2)</f>
      </c>
      <c r="W1277" s="77" t="str">
        <f>Q1277*V1277</f>
      </c>
      <c r="X1277" s="78" t="str">
        <f>R1277*V1277</f>
      </c>
      <c r="Y1277" s="79" t="str">
        <f>S1277*V1277</f>
      </c>
      <c r="Z1277" s="80" t="str">
        <f>IFERROR(INDEX('Cost_Components'!$T$2:$T$27,MATCH(E1277,'Cost_Components'!$A$2:$A$27,0)),"")</f>
      </c>
      <c r="AA1277" s="81" t="str">
        <f>IFERROR(INDEX('Cost_Components'!$U$2:$U$27,MATCH(E1277,'Cost_Components'!$A$2:$A$27,0)),"")</f>
      </c>
      <c r="AB1277" s="82" t="str">
        <f>IFERROR(INDEX('Cost_Components'!$V$2:$V$27,MATCH(E1277,'Cost_Components'!$A$2:$A$27,0)),"")</f>
      </c>
      <c r="AC1277" s="83" t="str">
        <f>IFERROR(INDEX('Cost_Components'!$M$2:$M$27,MATCH(E1277,'Cost_Components'!$A$2:$A$27,0)),"")</f>
      </c>
      <c r="AD1277" s="84" t="str">
        <f>IFERROR(INDEX('Cost_Components'!$N$2:$N$27,MATCH(E1277,'Cost_Components'!$A$2:$A$27,0)),"")</f>
      </c>
      <c r="AE1277" s="20" t="str">
        <f>IFERROR(INDEX('Cost_Components'!$O$2:$O$27,MATCH(E1277,'Cost_Components'!$A$2:$A$27,0)),"")</f>
      </c>
      <c r="AF1277" s="85" t="n">
        <v>3214910.56713064</v>
      </c>
      <c r="AG1277" s="86" t="n">
        <v>3222204.21040927</v>
      </c>
      <c r="AH1277" s="87" t="str">
        <f>IF(H1277="shared-count-once",COUNTIFS($A$2:$A$1353,A1277,$B$2:$B$1353,B1277,$E$2:$E$1353,E1277),1)</f>
      </c>
    </row>
    <row r="1278">
      <c r="A1278" t="s">
        <v>75</v>
      </c>
      <c r="B1278" s="59" t="n">
        <v>2027</v>
      </c>
      <c r="C1278" t="s">
        <v>220</v>
      </c>
      <c r="D1278" t="s">
        <v>184</v>
      </c>
      <c r="E1278" s="60" t="s">
        <v>318</v>
      </c>
      <c r="F1278" s="61" t="s">
        <v>319</v>
      </c>
      <c r="G1278" s="62" t="s">
        <v>224</v>
      </c>
      <c r="H1278" s="63" t="s">
        <v>195</v>
      </c>
      <c r="I1278" s="64" t="s">
        <v>267</v>
      </c>
      <c r="J1278" s="65" t="str">
        <f>IFERROR(INDEX('Cost_Components'!$K$2:$K$27,MATCH(E1278,'Cost_Components'!$A$2:$A$27,0)),"")</f>
      </c>
      <c r="K1278" s="66" t="str">
        <f>IF(OR(L1278="",Z1278="",AA1278="",AB1278=""),"",IF(B1278&lt;AA1278,L1278,IF(B1278&gt;AB1278,Z1278,L1278+(Z1278-L1278)*MIN(MAX((B1278-AA1278+1)/MAX(AB1278-AA1278+1,1),0),1))))</f>
      </c>
      <c r="L1278" s="67" t="str">
        <f>IFERROR(INDEX('Cost_Components'!$S$2:$S$27,MATCH(E1278,'Cost_Components'!$A$2:$A$27,0)),"")</f>
      </c>
      <c r="M1278" s="68" t="str">
        <f>IFERROR(INDEX('Cost_Components'!$L$2:$L$27,MATCH(E1278,'Cost_Components'!$A$2:$A$27,0)),"")</f>
      </c>
      <c r="N1278" s="69" t="str">
        <f>IFERROR(INDEX('Cost_Components'!$P$2:$P$27,MATCH(E1278,'Cost_Components'!$A$2:$A$27,0)),"")</f>
      </c>
      <c r="O1278" s="70" t="str">
        <f>AF1278*J1278</f>
      </c>
      <c r="P1278" s="71" t="str">
        <f>AG1278*J1278</f>
      </c>
      <c r="Q1278" s="72" t="str">
        <f>P1278*L1278*M1278*N1278</f>
      </c>
      <c r="R1278" s="73" t="str">
        <f>O1278*K1278*M1278*N1278</f>
      </c>
      <c r="S1278" s="74" t="str">
        <f>R1278-Q1278</f>
      </c>
      <c r="T1278" s="20" t="str">
        <f>IFERROR(INDEX('Cost_Components'!$R$2:$R$27,MATCH(E1278,'Cost_Components'!$A$2:$A$27,0)),"")</f>
      </c>
      <c r="U1278" s="75" t="str">
        <f>IFERROR(INDEX('Cost_Components'!$Q$2:$Q$27,MATCH(E1278,'Cost_Components'!$A$2:$A$27,0)),"")</f>
      </c>
      <c r="V1278" s="76" t="str">
        <f>1/(1+'Calculation_Assumptions'!$B$5)^(B1278-'Calculation_Assumptions'!$B$2)</f>
      </c>
      <c r="W1278" s="77" t="str">
        <f>Q1278*V1278</f>
      </c>
      <c r="X1278" s="78" t="str">
        <f>R1278*V1278</f>
      </c>
      <c r="Y1278" s="79" t="str">
        <f>S1278*V1278</f>
      </c>
      <c r="Z1278" s="80" t="str">
        <f>IFERROR(INDEX('Cost_Components'!$T$2:$T$27,MATCH(E1278,'Cost_Components'!$A$2:$A$27,0)),"")</f>
      </c>
      <c r="AA1278" s="81" t="str">
        <f>IFERROR(INDEX('Cost_Components'!$U$2:$U$27,MATCH(E1278,'Cost_Components'!$A$2:$A$27,0)),"")</f>
      </c>
      <c r="AB1278" s="82" t="str">
        <f>IFERROR(INDEX('Cost_Components'!$V$2:$V$27,MATCH(E1278,'Cost_Components'!$A$2:$A$27,0)),"")</f>
      </c>
      <c r="AC1278" s="83" t="str">
        <f>IFERROR(INDEX('Cost_Components'!$M$2:$M$27,MATCH(E1278,'Cost_Components'!$A$2:$A$27,0)),"")</f>
      </c>
      <c r="AD1278" s="84" t="str">
        <f>IFERROR(INDEX('Cost_Components'!$N$2:$N$27,MATCH(E1278,'Cost_Components'!$A$2:$A$27,0)),"")</f>
      </c>
      <c r="AE1278" s="20" t="str">
        <f>IFERROR(INDEX('Cost_Components'!$O$2:$O$27,MATCH(E1278,'Cost_Components'!$A$2:$A$27,0)),"")</f>
      </c>
      <c r="AF1278" s="85" t="n">
        <v>3242522.21424841</v>
      </c>
      <c r="AG1278" s="86" t="n">
        <v>3256783.7933962</v>
      </c>
      <c r="AH1278" s="87" t="str">
        <f>IF(H1278="shared-count-once",COUNTIFS($A$2:$A$1353,A1278,$B$2:$B$1353,B1278,$E$2:$E$1353,E1278),1)</f>
      </c>
    </row>
    <row r="1279">
      <c r="A1279" t="s">
        <v>75</v>
      </c>
      <c r="B1279" s="59" t="n">
        <v>2028</v>
      </c>
      <c r="C1279" t="s">
        <v>220</v>
      </c>
      <c r="D1279" t="s">
        <v>184</v>
      </c>
      <c r="E1279" s="60" t="s">
        <v>318</v>
      </c>
      <c r="F1279" s="61" t="s">
        <v>319</v>
      </c>
      <c r="G1279" s="62" t="s">
        <v>224</v>
      </c>
      <c r="H1279" s="63" t="s">
        <v>195</v>
      </c>
      <c r="I1279" s="64" t="s">
        <v>267</v>
      </c>
      <c r="J1279" s="65" t="str">
        <f>IFERROR(INDEX('Cost_Components'!$K$2:$K$27,MATCH(E1279,'Cost_Components'!$A$2:$A$27,0)),"")</f>
      </c>
      <c r="K1279" s="66" t="str">
        <f>IF(OR(L1279="",Z1279="",AA1279="",AB1279=""),"",IF(B1279&lt;AA1279,L1279,IF(B1279&gt;AB1279,Z1279,L1279+(Z1279-L1279)*MIN(MAX((B1279-AA1279+1)/MAX(AB1279-AA1279+1,1),0),1))))</f>
      </c>
      <c r="L1279" s="67" t="str">
        <f>IFERROR(INDEX('Cost_Components'!$S$2:$S$27,MATCH(E1279,'Cost_Components'!$A$2:$A$27,0)),"")</f>
      </c>
      <c r="M1279" s="68" t="str">
        <f>IFERROR(INDEX('Cost_Components'!$L$2:$L$27,MATCH(E1279,'Cost_Components'!$A$2:$A$27,0)),"")</f>
      </c>
      <c r="N1279" s="69" t="str">
        <f>IFERROR(INDEX('Cost_Components'!$P$2:$P$27,MATCH(E1279,'Cost_Components'!$A$2:$A$27,0)),"")</f>
      </c>
      <c r="O1279" s="70" t="str">
        <f>AF1279*J1279</f>
      </c>
      <c r="P1279" s="71" t="str">
        <f>AG1279*J1279</f>
      </c>
      <c r="Q1279" s="72" t="str">
        <f>P1279*L1279*M1279*N1279</f>
      </c>
      <c r="R1279" s="73" t="str">
        <f>O1279*K1279*M1279*N1279</f>
      </c>
      <c r="S1279" s="74" t="str">
        <f>R1279-Q1279</f>
      </c>
      <c r="T1279" s="20" t="str">
        <f>IFERROR(INDEX('Cost_Components'!$R$2:$R$27,MATCH(E1279,'Cost_Components'!$A$2:$A$27,0)),"")</f>
      </c>
      <c r="U1279" s="75" t="str">
        <f>IFERROR(INDEX('Cost_Components'!$Q$2:$Q$27,MATCH(E1279,'Cost_Components'!$A$2:$A$27,0)),"")</f>
      </c>
      <c r="V1279" s="76" t="str">
        <f>1/(1+'Calculation_Assumptions'!$B$5)^(B1279-'Calculation_Assumptions'!$B$2)</f>
      </c>
      <c r="W1279" s="77" t="str">
        <f>Q1279*V1279</f>
      </c>
      <c r="X1279" s="78" t="str">
        <f>R1279*V1279</f>
      </c>
      <c r="Y1279" s="79" t="str">
        <f>S1279*V1279</f>
      </c>
      <c r="Z1279" s="80" t="str">
        <f>IFERROR(INDEX('Cost_Components'!$T$2:$T$27,MATCH(E1279,'Cost_Components'!$A$2:$A$27,0)),"")</f>
      </c>
      <c r="AA1279" s="81" t="str">
        <f>IFERROR(INDEX('Cost_Components'!$U$2:$U$27,MATCH(E1279,'Cost_Components'!$A$2:$A$27,0)),"")</f>
      </c>
      <c r="AB1279" s="82" t="str">
        <f>IFERROR(INDEX('Cost_Components'!$V$2:$V$27,MATCH(E1279,'Cost_Components'!$A$2:$A$27,0)),"")</f>
      </c>
      <c r="AC1279" s="83" t="str">
        <f>IFERROR(INDEX('Cost_Components'!$M$2:$M$27,MATCH(E1279,'Cost_Components'!$A$2:$A$27,0)),"")</f>
      </c>
      <c r="AD1279" s="84" t="str">
        <f>IFERROR(INDEX('Cost_Components'!$N$2:$N$27,MATCH(E1279,'Cost_Components'!$A$2:$A$27,0)),"")</f>
      </c>
      <c r="AE1279" s="20" t="str">
        <f>IFERROR(INDEX('Cost_Components'!$O$2:$O$27,MATCH(E1279,'Cost_Components'!$A$2:$A$27,0)),"")</f>
      </c>
      <c r="AF1279" s="85" t="n">
        <v>3270379.29840024</v>
      </c>
      <c r="AG1279" s="86" t="n">
        <v>3293666.14343879</v>
      </c>
      <c r="AH1279" s="87" t="str">
        <f>IF(H1279="shared-count-once",COUNTIFS($A$2:$A$1353,A1279,$B$2:$B$1353,B1279,$E$2:$E$1353,E1279),1)</f>
      </c>
    </row>
    <row r="1280">
      <c r="A1280" t="s">
        <v>75</v>
      </c>
      <c r="B1280" s="59" t="n">
        <v>2029</v>
      </c>
      <c r="C1280" t="s">
        <v>220</v>
      </c>
      <c r="D1280" t="s">
        <v>184</v>
      </c>
      <c r="E1280" s="60" t="s">
        <v>318</v>
      </c>
      <c r="F1280" s="61" t="s">
        <v>319</v>
      </c>
      <c r="G1280" s="62" t="s">
        <v>224</v>
      </c>
      <c r="H1280" s="63" t="s">
        <v>195</v>
      </c>
      <c r="I1280" s="64" t="s">
        <v>267</v>
      </c>
      <c r="J1280" s="65" t="str">
        <f>IFERROR(INDEX('Cost_Components'!$K$2:$K$27,MATCH(E1280,'Cost_Components'!$A$2:$A$27,0)),"")</f>
      </c>
      <c r="K1280" s="66" t="str">
        <f>IF(OR(L1280="",Z1280="",AA1280="",AB1280=""),"",IF(B1280&lt;AA1280,L1280,IF(B1280&gt;AB1280,Z1280,L1280+(Z1280-L1280)*MIN(MAX((B1280-AA1280+1)/MAX(AB1280-AA1280+1,1),0),1))))</f>
      </c>
      <c r="L1280" s="67" t="str">
        <f>IFERROR(INDEX('Cost_Components'!$S$2:$S$27,MATCH(E1280,'Cost_Components'!$A$2:$A$27,0)),"")</f>
      </c>
      <c r="M1280" s="68" t="str">
        <f>IFERROR(INDEX('Cost_Components'!$L$2:$L$27,MATCH(E1280,'Cost_Components'!$A$2:$A$27,0)),"")</f>
      </c>
      <c r="N1280" s="69" t="str">
        <f>IFERROR(INDEX('Cost_Components'!$P$2:$P$27,MATCH(E1280,'Cost_Components'!$A$2:$A$27,0)),"")</f>
      </c>
      <c r="O1280" s="70" t="str">
        <f>AF1280*J1280</f>
      </c>
      <c r="P1280" s="71" t="str">
        <f>AG1280*J1280</f>
      </c>
      <c r="Q1280" s="72" t="str">
        <f>P1280*L1280*M1280*N1280</f>
      </c>
      <c r="R1280" s="73" t="str">
        <f>O1280*K1280*M1280*N1280</f>
      </c>
      <c r="S1280" s="74" t="str">
        <f>R1280-Q1280</f>
      </c>
      <c r="T1280" s="20" t="str">
        <f>IFERROR(INDEX('Cost_Components'!$R$2:$R$27,MATCH(E1280,'Cost_Components'!$A$2:$A$27,0)),"")</f>
      </c>
      <c r="U1280" s="75" t="str">
        <f>IFERROR(INDEX('Cost_Components'!$Q$2:$Q$27,MATCH(E1280,'Cost_Components'!$A$2:$A$27,0)),"")</f>
      </c>
      <c r="V1280" s="76" t="str">
        <f>1/(1+'Calculation_Assumptions'!$B$5)^(B1280-'Calculation_Assumptions'!$B$2)</f>
      </c>
      <c r="W1280" s="77" t="str">
        <f>Q1280*V1280</f>
      </c>
      <c r="X1280" s="78" t="str">
        <f>R1280*V1280</f>
      </c>
      <c r="Y1280" s="79" t="str">
        <f>S1280*V1280</f>
      </c>
      <c r="Z1280" s="80" t="str">
        <f>IFERROR(INDEX('Cost_Components'!$T$2:$T$27,MATCH(E1280,'Cost_Components'!$A$2:$A$27,0)),"")</f>
      </c>
      <c r="AA1280" s="81" t="str">
        <f>IFERROR(INDEX('Cost_Components'!$U$2:$U$27,MATCH(E1280,'Cost_Components'!$A$2:$A$27,0)),"")</f>
      </c>
      <c r="AB1280" s="82" t="str">
        <f>IFERROR(INDEX('Cost_Components'!$V$2:$V$27,MATCH(E1280,'Cost_Components'!$A$2:$A$27,0)),"")</f>
      </c>
      <c r="AC1280" s="83" t="str">
        <f>IFERROR(INDEX('Cost_Components'!$M$2:$M$27,MATCH(E1280,'Cost_Components'!$A$2:$A$27,0)),"")</f>
      </c>
      <c r="AD1280" s="84" t="str">
        <f>IFERROR(INDEX('Cost_Components'!$N$2:$N$27,MATCH(E1280,'Cost_Components'!$A$2:$A$27,0)),"")</f>
      </c>
      <c r="AE1280" s="20" t="str">
        <f>IFERROR(INDEX('Cost_Components'!$O$2:$O$27,MATCH(E1280,'Cost_Components'!$A$2:$A$27,0)),"")</f>
      </c>
      <c r="AF1280" s="85" t="n">
        <v>3298240.75554769</v>
      </c>
      <c r="AG1280" s="86" t="n">
        <v>3332379.93942688</v>
      </c>
      <c r="AH1280" s="87" t="str">
        <f>IF(H1280="shared-count-once",COUNTIFS($A$2:$A$1353,A1280,$B$2:$B$1353,B1280,$E$2:$E$1353,E1280),1)</f>
      </c>
    </row>
    <row r="1281">
      <c r="A1281" t="s">
        <v>75</v>
      </c>
      <c r="B1281" s="59" t="n">
        <v>2030</v>
      </c>
      <c r="C1281" t="s">
        <v>220</v>
      </c>
      <c r="D1281" t="s">
        <v>184</v>
      </c>
      <c r="E1281" s="60" t="s">
        <v>318</v>
      </c>
      <c r="F1281" s="61" t="s">
        <v>319</v>
      </c>
      <c r="G1281" s="62" t="s">
        <v>224</v>
      </c>
      <c r="H1281" s="63" t="s">
        <v>195</v>
      </c>
      <c r="I1281" s="64" t="s">
        <v>267</v>
      </c>
      <c r="J1281" s="65" t="str">
        <f>IFERROR(INDEX('Cost_Components'!$K$2:$K$27,MATCH(E1281,'Cost_Components'!$A$2:$A$27,0)),"")</f>
      </c>
      <c r="K1281" s="66" t="str">
        <f>IF(OR(L1281="",Z1281="",AA1281="",AB1281=""),"",IF(B1281&lt;AA1281,L1281,IF(B1281&gt;AB1281,Z1281,L1281+(Z1281-L1281)*MIN(MAX((B1281-AA1281+1)/MAX(AB1281-AA1281+1,1),0),1))))</f>
      </c>
      <c r="L1281" s="67" t="str">
        <f>IFERROR(INDEX('Cost_Components'!$S$2:$S$27,MATCH(E1281,'Cost_Components'!$A$2:$A$27,0)),"")</f>
      </c>
      <c r="M1281" s="68" t="str">
        <f>IFERROR(INDEX('Cost_Components'!$L$2:$L$27,MATCH(E1281,'Cost_Components'!$A$2:$A$27,0)),"")</f>
      </c>
      <c r="N1281" s="69" t="str">
        <f>IFERROR(INDEX('Cost_Components'!$P$2:$P$27,MATCH(E1281,'Cost_Components'!$A$2:$A$27,0)),"")</f>
      </c>
      <c r="O1281" s="70" t="str">
        <f>AF1281*J1281</f>
      </c>
      <c r="P1281" s="71" t="str">
        <f>AG1281*J1281</f>
      </c>
      <c r="Q1281" s="72" t="str">
        <f>P1281*L1281*M1281*N1281</f>
      </c>
      <c r="R1281" s="73" t="str">
        <f>O1281*K1281*M1281*N1281</f>
      </c>
      <c r="S1281" s="74" t="str">
        <f>R1281-Q1281</f>
      </c>
      <c r="T1281" s="20" t="str">
        <f>IFERROR(INDEX('Cost_Components'!$R$2:$R$27,MATCH(E1281,'Cost_Components'!$A$2:$A$27,0)),"")</f>
      </c>
      <c r="U1281" s="75" t="str">
        <f>IFERROR(INDEX('Cost_Components'!$Q$2:$Q$27,MATCH(E1281,'Cost_Components'!$A$2:$A$27,0)),"")</f>
      </c>
      <c r="V1281" s="76" t="str">
        <f>1/(1+'Calculation_Assumptions'!$B$5)^(B1281-'Calculation_Assumptions'!$B$2)</f>
      </c>
      <c r="W1281" s="77" t="str">
        <f>Q1281*V1281</f>
      </c>
      <c r="X1281" s="78" t="str">
        <f>R1281*V1281</f>
      </c>
      <c r="Y1281" s="79" t="str">
        <f>S1281*V1281</f>
      </c>
      <c r="Z1281" s="80" t="str">
        <f>IFERROR(INDEX('Cost_Components'!$T$2:$T$27,MATCH(E1281,'Cost_Components'!$A$2:$A$27,0)),"")</f>
      </c>
      <c r="AA1281" s="81" t="str">
        <f>IFERROR(INDEX('Cost_Components'!$U$2:$U$27,MATCH(E1281,'Cost_Components'!$A$2:$A$27,0)),"")</f>
      </c>
      <c r="AB1281" s="82" t="str">
        <f>IFERROR(INDEX('Cost_Components'!$V$2:$V$27,MATCH(E1281,'Cost_Components'!$A$2:$A$27,0)),"")</f>
      </c>
      <c r="AC1281" s="83" t="str">
        <f>IFERROR(INDEX('Cost_Components'!$M$2:$M$27,MATCH(E1281,'Cost_Components'!$A$2:$A$27,0)),"")</f>
      </c>
      <c r="AD1281" s="84" t="str">
        <f>IFERROR(INDEX('Cost_Components'!$N$2:$N$27,MATCH(E1281,'Cost_Components'!$A$2:$A$27,0)),"")</f>
      </c>
      <c r="AE1281" s="20" t="str">
        <f>IFERROR(INDEX('Cost_Components'!$O$2:$O$27,MATCH(E1281,'Cost_Components'!$A$2:$A$27,0)),"")</f>
      </c>
      <c r="AF1281" s="85" t="n">
        <v>3326902.12243455</v>
      </c>
      <c r="AG1281" s="86" t="n">
        <v>3373705.64784687</v>
      </c>
      <c r="AH1281" s="87" t="str">
        <f>IF(H1281="shared-count-once",COUNTIFS($A$2:$A$1353,A1281,$B$2:$B$1353,B1281,$E$2:$E$1353,E1281),1)</f>
      </c>
    </row>
    <row r="1282">
      <c r="A1282" t="s">
        <v>75</v>
      </c>
      <c r="B1282" s="59" t="n">
        <v>2031</v>
      </c>
      <c r="C1282" t="s">
        <v>220</v>
      </c>
      <c r="D1282" t="s">
        <v>184</v>
      </c>
      <c r="E1282" s="60" t="s">
        <v>318</v>
      </c>
      <c r="F1282" s="61" t="s">
        <v>319</v>
      </c>
      <c r="G1282" s="62" t="s">
        <v>224</v>
      </c>
      <c r="H1282" s="63" t="s">
        <v>195</v>
      </c>
      <c r="I1282" s="64" t="s">
        <v>267</v>
      </c>
      <c r="J1282" s="65" t="str">
        <f>IFERROR(INDEX('Cost_Components'!$K$2:$K$27,MATCH(E1282,'Cost_Components'!$A$2:$A$27,0)),"")</f>
      </c>
      <c r="K1282" s="66" t="str">
        <f>IF(OR(L1282="",Z1282="",AA1282="",AB1282=""),"",IF(B1282&lt;AA1282,L1282,IF(B1282&gt;AB1282,Z1282,L1282+(Z1282-L1282)*MIN(MAX((B1282-AA1282+1)/MAX(AB1282-AA1282+1,1),0),1))))</f>
      </c>
      <c r="L1282" s="67" t="str">
        <f>IFERROR(INDEX('Cost_Components'!$S$2:$S$27,MATCH(E1282,'Cost_Components'!$A$2:$A$27,0)),"")</f>
      </c>
      <c r="M1282" s="68" t="str">
        <f>IFERROR(INDEX('Cost_Components'!$L$2:$L$27,MATCH(E1282,'Cost_Components'!$A$2:$A$27,0)),"")</f>
      </c>
      <c r="N1282" s="69" t="str">
        <f>IFERROR(INDEX('Cost_Components'!$P$2:$P$27,MATCH(E1282,'Cost_Components'!$A$2:$A$27,0)),"")</f>
      </c>
      <c r="O1282" s="70" t="str">
        <f>AF1282*J1282</f>
      </c>
      <c r="P1282" s="71" t="str">
        <f>AG1282*J1282</f>
      </c>
      <c r="Q1282" s="72" t="str">
        <f>P1282*L1282*M1282*N1282</f>
      </c>
      <c r="R1282" s="73" t="str">
        <f>O1282*K1282*M1282*N1282</f>
      </c>
      <c r="S1282" s="74" t="str">
        <f>R1282-Q1282</f>
      </c>
      <c r="T1282" s="20" t="str">
        <f>IFERROR(INDEX('Cost_Components'!$R$2:$R$27,MATCH(E1282,'Cost_Components'!$A$2:$A$27,0)),"")</f>
      </c>
      <c r="U1282" s="75" t="str">
        <f>IFERROR(INDEX('Cost_Components'!$Q$2:$Q$27,MATCH(E1282,'Cost_Components'!$A$2:$A$27,0)),"")</f>
      </c>
      <c r="V1282" s="76" t="str">
        <f>1/(1+'Calculation_Assumptions'!$B$5)^(B1282-'Calculation_Assumptions'!$B$2)</f>
      </c>
      <c r="W1282" s="77" t="str">
        <f>Q1282*V1282</f>
      </c>
      <c r="X1282" s="78" t="str">
        <f>R1282*V1282</f>
      </c>
      <c r="Y1282" s="79" t="str">
        <f>S1282*V1282</f>
      </c>
      <c r="Z1282" s="80" t="str">
        <f>IFERROR(INDEX('Cost_Components'!$T$2:$T$27,MATCH(E1282,'Cost_Components'!$A$2:$A$27,0)),"")</f>
      </c>
      <c r="AA1282" s="81" t="str">
        <f>IFERROR(INDEX('Cost_Components'!$U$2:$U$27,MATCH(E1282,'Cost_Components'!$A$2:$A$27,0)),"")</f>
      </c>
      <c r="AB1282" s="82" t="str">
        <f>IFERROR(INDEX('Cost_Components'!$V$2:$V$27,MATCH(E1282,'Cost_Components'!$A$2:$A$27,0)),"")</f>
      </c>
      <c r="AC1282" s="83" t="str">
        <f>IFERROR(INDEX('Cost_Components'!$M$2:$M$27,MATCH(E1282,'Cost_Components'!$A$2:$A$27,0)),"")</f>
      </c>
      <c r="AD1282" s="84" t="str">
        <f>IFERROR(INDEX('Cost_Components'!$N$2:$N$27,MATCH(E1282,'Cost_Components'!$A$2:$A$27,0)),"")</f>
      </c>
      <c r="AE1282" s="20" t="str">
        <f>IFERROR(INDEX('Cost_Components'!$O$2:$O$27,MATCH(E1282,'Cost_Components'!$A$2:$A$27,0)),"")</f>
      </c>
      <c r="AF1282" s="85" t="n">
        <v>3356653.49105996</v>
      </c>
      <c r="AG1282" s="86" t="n">
        <v>3417886.53070673</v>
      </c>
      <c r="AH1282" s="87" t="str">
        <f>IF(H1282="shared-count-once",COUNTIFS($A$2:$A$1353,A1282,$B$2:$B$1353,B1282,$E$2:$E$1353,E1282),1)</f>
      </c>
    </row>
    <row r="1283">
      <c r="A1283" t="s">
        <v>75</v>
      </c>
      <c r="B1283" s="59" t="n">
        <v>2032</v>
      </c>
      <c r="C1283" t="s">
        <v>220</v>
      </c>
      <c r="D1283" t="s">
        <v>184</v>
      </c>
      <c r="E1283" s="60" t="s">
        <v>318</v>
      </c>
      <c r="F1283" s="61" t="s">
        <v>319</v>
      </c>
      <c r="G1283" s="62" t="s">
        <v>224</v>
      </c>
      <c r="H1283" s="63" t="s">
        <v>195</v>
      </c>
      <c r="I1283" s="64" t="s">
        <v>267</v>
      </c>
      <c r="J1283" s="65" t="str">
        <f>IFERROR(INDEX('Cost_Components'!$K$2:$K$27,MATCH(E1283,'Cost_Components'!$A$2:$A$27,0)),"")</f>
      </c>
      <c r="K1283" s="66" t="str">
        <f>IF(OR(L1283="",Z1283="",AA1283="",AB1283=""),"",IF(B1283&lt;AA1283,L1283,IF(B1283&gt;AB1283,Z1283,L1283+(Z1283-L1283)*MIN(MAX((B1283-AA1283+1)/MAX(AB1283-AA1283+1,1),0),1))))</f>
      </c>
      <c r="L1283" s="67" t="str">
        <f>IFERROR(INDEX('Cost_Components'!$S$2:$S$27,MATCH(E1283,'Cost_Components'!$A$2:$A$27,0)),"")</f>
      </c>
      <c r="M1283" s="68" t="str">
        <f>IFERROR(INDEX('Cost_Components'!$L$2:$L$27,MATCH(E1283,'Cost_Components'!$A$2:$A$27,0)),"")</f>
      </c>
      <c r="N1283" s="69" t="str">
        <f>IFERROR(INDEX('Cost_Components'!$P$2:$P$27,MATCH(E1283,'Cost_Components'!$A$2:$A$27,0)),"")</f>
      </c>
      <c r="O1283" s="70" t="str">
        <f>AF1283*J1283</f>
      </c>
      <c r="P1283" s="71" t="str">
        <f>AG1283*J1283</f>
      </c>
      <c r="Q1283" s="72" t="str">
        <f>P1283*L1283*M1283*N1283</f>
      </c>
      <c r="R1283" s="73" t="str">
        <f>O1283*K1283*M1283*N1283</f>
      </c>
      <c r="S1283" s="74" t="str">
        <f>R1283-Q1283</f>
      </c>
      <c r="T1283" s="20" t="str">
        <f>IFERROR(INDEX('Cost_Components'!$R$2:$R$27,MATCH(E1283,'Cost_Components'!$A$2:$A$27,0)),"")</f>
      </c>
      <c r="U1283" s="75" t="str">
        <f>IFERROR(INDEX('Cost_Components'!$Q$2:$Q$27,MATCH(E1283,'Cost_Components'!$A$2:$A$27,0)),"")</f>
      </c>
      <c r="V1283" s="76" t="str">
        <f>1/(1+'Calculation_Assumptions'!$B$5)^(B1283-'Calculation_Assumptions'!$B$2)</f>
      </c>
      <c r="W1283" s="77" t="str">
        <f>Q1283*V1283</f>
      </c>
      <c r="X1283" s="78" t="str">
        <f>R1283*V1283</f>
      </c>
      <c r="Y1283" s="79" t="str">
        <f>S1283*V1283</f>
      </c>
      <c r="Z1283" s="80" t="str">
        <f>IFERROR(INDEX('Cost_Components'!$T$2:$T$27,MATCH(E1283,'Cost_Components'!$A$2:$A$27,0)),"")</f>
      </c>
      <c r="AA1283" s="81" t="str">
        <f>IFERROR(INDEX('Cost_Components'!$U$2:$U$27,MATCH(E1283,'Cost_Components'!$A$2:$A$27,0)),"")</f>
      </c>
      <c r="AB1283" s="82" t="str">
        <f>IFERROR(INDEX('Cost_Components'!$V$2:$V$27,MATCH(E1283,'Cost_Components'!$A$2:$A$27,0)),"")</f>
      </c>
      <c r="AC1283" s="83" t="str">
        <f>IFERROR(INDEX('Cost_Components'!$M$2:$M$27,MATCH(E1283,'Cost_Components'!$A$2:$A$27,0)),"")</f>
      </c>
      <c r="AD1283" s="84" t="str">
        <f>IFERROR(INDEX('Cost_Components'!$N$2:$N$27,MATCH(E1283,'Cost_Components'!$A$2:$A$27,0)),"")</f>
      </c>
      <c r="AE1283" s="20" t="str">
        <f>IFERROR(INDEX('Cost_Components'!$O$2:$O$27,MATCH(E1283,'Cost_Components'!$A$2:$A$27,0)),"")</f>
      </c>
      <c r="AF1283" s="85" t="n">
        <v>3387376.50606083</v>
      </c>
      <c r="AG1283" s="86" t="n">
        <v>3464746.35411179</v>
      </c>
      <c r="AH1283" s="87" t="str">
        <f>IF(H1283="shared-count-once",COUNTIFS($A$2:$A$1353,A1283,$B$2:$B$1353,B1283,$E$2:$E$1353,E1283),1)</f>
      </c>
    </row>
    <row r="1284">
      <c r="A1284" t="s">
        <v>75</v>
      </c>
      <c r="B1284" s="59" t="n">
        <v>2033</v>
      </c>
      <c r="C1284" t="s">
        <v>220</v>
      </c>
      <c r="D1284" t="s">
        <v>184</v>
      </c>
      <c r="E1284" s="60" t="s">
        <v>318</v>
      </c>
      <c r="F1284" s="61" t="s">
        <v>319</v>
      </c>
      <c r="G1284" s="62" t="s">
        <v>224</v>
      </c>
      <c r="H1284" s="63" t="s">
        <v>195</v>
      </c>
      <c r="I1284" s="64" t="s">
        <v>267</v>
      </c>
      <c r="J1284" s="65" t="str">
        <f>IFERROR(INDEX('Cost_Components'!$K$2:$K$27,MATCH(E1284,'Cost_Components'!$A$2:$A$27,0)),"")</f>
      </c>
      <c r="K1284" s="66" t="str">
        <f>IF(OR(L1284="",Z1284="",AA1284="",AB1284=""),"",IF(B1284&lt;AA1284,L1284,IF(B1284&gt;AB1284,Z1284,L1284+(Z1284-L1284)*MIN(MAX((B1284-AA1284+1)/MAX(AB1284-AA1284+1,1),0),1))))</f>
      </c>
      <c r="L1284" s="67" t="str">
        <f>IFERROR(INDEX('Cost_Components'!$S$2:$S$27,MATCH(E1284,'Cost_Components'!$A$2:$A$27,0)),"")</f>
      </c>
      <c r="M1284" s="68" t="str">
        <f>IFERROR(INDEX('Cost_Components'!$L$2:$L$27,MATCH(E1284,'Cost_Components'!$A$2:$A$27,0)),"")</f>
      </c>
      <c r="N1284" s="69" t="str">
        <f>IFERROR(INDEX('Cost_Components'!$P$2:$P$27,MATCH(E1284,'Cost_Components'!$A$2:$A$27,0)),"")</f>
      </c>
      <c r="O1284" s="70" t="str">
        <f>AF1284*J1284</f>
      </c>
      <c r="P1284" s="71" t="str">
        <f>AG1284*J1284</f>
      </c>
      <c r="Q1284" s="72" t="str">
        <f>P1284*L1284*M1284*N1284</f>
      </c>
      <c r="R1284" s="73" t="str">
        <f>O1284*K1284*M1284*N1284</f>
      </c>
      <c r="S1284" s="74" t="str">
        <f>R1284-Q1284</f>
      </c>
      <c r="T1284" s="20" t="str">
        <f>IFERROR(INDEX('Cost_Components'!$R$2:$R$27,MATCH(E1284,'Cost_Components'!$A$2:$A$27,0)),"")</f>
      </c>
      <c r="U1284" s="75" t="str">
        <f>IFERROR(INDEX('Cost_Components'!$Q$2:$Q$27,MATCH(E1284,'Cost_Components'!$A$2:$A$27,0)),"")</f>
      </c>
      <c r="V1284" s="76" t="str">
        <f>1/(1+'Calculation_Assumptions'!$B$5)^(B1284-'Calculation_Assumptions'!$B$2)</f>
      </c>
      <c r="W1284" s="77" t="str">
        <f>Q1284*V1284</f>
      </c>
      <c r="X1284" s="78" t="str">
        <f>R1284*V1284</f>
      </c>
      <c r="Y1284" s="79" t="str">
        <f>S1284*V1284</f>
      </c>
      <c r="Z1284" s="80" t="str">
        <f>IFERROR(INDEX('Cost_Components'!$T$2:$T$27,MATCH(E1284,'Cost_Components'!$A$2:$A$27,0)),"")</f>
      </c>
      <c r="AA1284" s="81" t="str">
        <f>IFERROR(INDEX('Cost_Components'!$U$2:$U$27,MATCH(E1284,'Cost_Components'!$A$2:$A$27,0)),"")</f>
      </c>
      <c r="AB1284" s="82" t="str">
        <f>IFERROR(INDEX('Cost_Components'!$V$2:$V$27,MATCH(E1284,'Cost_Components'!$A$2:$A$27,0)),"")</f>
      </c>
      <c r="AC1284" s="83" t="str">
        <f>IFERROR(INDEX('Cost_Components'!$M$2:$M$27,MATCH(E1284,'Cost_Components'!$A$2:$A$27,0)),"")</f>
      </c>
      <c r="AD1284" s="84" t="str">
        <f>IFERROR(INDEX('Cost_Components'!$N$2:$N$27,MATCH(E1284,'Cost_Components'!$A$2:$A$27,0)),"")</f>
      </c>
      <c r="AE1284" s="20" t="str">
        <f>IFERROR(INDEX('Cost_Components'!$O$2:$O$27,MATCH(E1284,'Cost_Components'!$A$2:$A$27,0)),"")</f>
      </c>
      <c r="AF1284" s="85" t="n">
        <v>3418802.83630685</v>
      </c>
      <c r="AG1284" s="86" t="n">
        <v>3514003.85121205</v>
      </c>
      <c r="AH1284" s="87" t="str">
        <f>IF(H1284="shared-count-once",COUNTIFS($A$2:$A$1353,A1284,$B$2:$B$1353,B1284,$E$2:$E$1353,E1284),1)</f>
      </c>
    </row>
    <row r="1285">
      <c r="A1285" t="s">
        <v>75</v>
      </c>
      <c r="B1285" s="59" t="n">
        <v>2034</v>
      </c>
      <c r="C1285" t="s">
        <v>220</v>
      </c>
      <c r="D1285" t="s">
        <v>184</v>
      </c>
      <c r="E1285" s="60" t="s">
        <v>318</v>
      </c>
      <c r="F1285" s="61" t="s">
        <v>319</v>
      </c>
      <c r="G1285" s="62" t="s">
        <v>224</v>
      </c>
      <c r="H1285" s="63" t="s">
        <v>195</v>
      </c>
      <c r="I1285" s="64" t="s">
        <v>267</v>
      </c>
      <c r="J1285" s="65" t="str">
        <f>IFERROR(INDEX('Cost_Components'!$K$2:$K$27,MATCH(E1285,'Cost_Components'!$A$2:$A$27,0)),"")</f>
      </c>
      <c r="K1285" s="66" t="str">
        <f>IF(OR(L1285="",Z1285="",AA1285="",AB1285=""),"",IF(B1285&lt;AA1285,L1285,IF(B1285&gt;AB1285,Z1285,L1285+(Z1285-L1285)*MIN(MAX((B1285-AA1285+1)/MAX(AB1285-AA1285+1,1),0),1))))</f>
      </c>
      <c r="L1285" s="67" t="str">
        <f>IFERROR(INDEX('Cost_Components'!$S$2:$S$27,MATCH(E1285,'Cost_Components'!$A$2:$A$27,0)),"")</f>
      </c>
      <c r="M1285" s="68" t="str">
        <f>IFERROR(INDEX('Cost_Components'!$L$2:$L$27,MATCH(E1285,'Cost_Components'!$A$2:$A$27,0)),"")</f>
      </c>
      <c r="N1285" s="69" t="str">
        <f>IFERROR(INDEX('Cost_Components'!$P$2:$P$27,MATCH(E1285,'Cost_Components'!$A$2:$A$27,0)),"")</f>
      </c>
      <c r="O1285" s="70" t="str">
        <f>AF1285*J1285</f>
      </c>
      <c r="P1285" s="71" t="str">
        <f>AG1285*J1285</f>
      </c>
      <c r="Q1285" s="72" t="str">
        <f>P1285*L1285*M1285*N1285</f>
      </c>
      <c r="R1285" s="73" t="str">
        <f>O1285*K1285*M1285*N1285</f>
      </c>
      <c r="S1285" s="74" t="str">
        <f>R1285-Q1285</f>
      </c>
      <c r="T1285" s="20" t="str">
        <f>IFERROR(INDEX('Cost_Components'!$R$2:$R$27,MATCH(E1285,'Cost_Components'!$A$2:$A$27,0)),"")</f>
      </c>
      <c r="U1285" s="75" t="str">
        <f>IFERROR(INDEX('Cost_Components'!$Q$2:$Q$27,MATCH(E1285,'Cost_Components'!$A$2:$A$27,0)),"")</f>
      </c>
      <c r="V1285" s="76" t="str">
        <f>1/(1+'Calculation_Assumptions'!$B$5)^(B1285-'Calculation_Assumptions'!$B$2)</f>
      </c>
      <c r="W1285" s="77" t="str">
        <f>Q1285*V1285</f>
      </c>
      <c r="X1285" s="78" t="str">
        <f>R1285*V1285</f>
      </c>
      <c r="Y1285" s="79" t="str">
        <f>S1285*V1285</f>
      </c>
      <c r="Z1285" s="80" t="str">
        <f>IFERROR(INDEX('Cost_Components'!$T$2:$T$27,MATCH(E1285,'Cost_Components'!$A$2:$A$27,0)),"")</f>
      </c>
      <c r="AA1285" s="81" t="str">
        <f>IFERROR(INDEX('Cost_Components'!$U$2:$U$27,MATCH(E1285,'Cost_Components'!$A$2:$A$27,0)),"")</f>
      </c>
      <c r="AB1285" s="82" t="str">
        <f>IFERROR(INDEX('Cost_Components'!$V$2:$V$27,MATCH(E1285,'Cost_Components'!$A$2:$A$27,0)),"")</f>
      </c>
      <c r="AC1285" s="83" t="str">
        <f>IFERROR(INDEX('Cost_Components'!$M$2:$M$27,MATCH(E1285,'Cost_Components'!$A$2:$A$27,0)),"")</f>
      </c>
      <c r="AD1285" s="84" t="str">
        <f>IFERROR(INDEX('Cost_Components'!$N$2:$N$27,MATCH(E1285,'Cost_Components'!$A$2:$A$27,0)),"")</f>
      </c>
      <c r="AE1285" s="20" t="str">
        <f>IFERROR(INDEX('Cost_Components'!$O$2:$O$27,MATCH(E1285,'Cost_Components'!$A$2:$A$27,0)),"")</f>
      </c>
      <c r="AF1285" s="85" t="n">
        <v>3449683.28457402</v>
      </c>
      <c r="AG1285" s="86" t="n">
        <v>3564054.13829594</v>
      </c>
      <c r="AH1285" s="87" t="str">
        <f>IF(H1285="shared-count-once",COUNTIFS($A$2:$A$1353,A1285,$B$2:$B$1353,B1285,$E$2:$E$1353,E1285),1)</f>
      </c>
    </row>
    <row r="1286">
      <c r="A1286" t="s">
        <v>75</v>
      </c>
      <c r="B1286" s="59" t="n">
        <v>2035</v>
      </c>
      <c r="C1286" t="s">
        <v>220</v>
      </c>
      <c r="D1286" t="s">
        <v>184</v>
      </c>
      <c r="E1286" s="60" t="s">
        <v>318</v>
      </c>
      <c r="F1286" s="61" t="s">
        <v>319</v>
      </c>
      <c r="G1286" s="62" t="s">
        <v>224</v>
      </c>
      <c r="H1286" s="63" t="s">
        <v>195</v>
      </c>
      <c r="I1286" s="64" t="s">
        <v>267</v>
      </c>
      <c r="J1286" s="65" t="str">
        <f>IFERROR(INDEX('Cost_Components'!$K$2:$K$27,MATCH(E1286,'Cost_Components'!$A$2:$A$27,0)),"")</f>
      </c>
      <c r="K1286" s="66" t="str">
        <f>IF(OR(L1286="",Z1286="",AA1286="",AB1286=""),"",IF(B1286&lt;AA1286,L1286,IF(B1286&gt;AB1286,Z1286,L1286+(Z1286-L1286)*MIN(MAX((B1286-AA1286+1)/MAX(AB1286-AA1286+1,1),0),1))))</f>
      </c>
      <c r="L1286" s="67" t="str">
        <f>IFERROR(INDEX('Cost_Components'!$S$2:$S$27,MATCH(E1286,'Cost_Components'!$A$2:$A$27,0)),"")</f>
      </c>
      <c r="M1286" s="68" t="str">
        <f>IFERROR(INDEX('Cost_Components'!$L$2:$L$27,MATCH(E1286,'Cost_Components'!$A$2:$A$27,0)),"")</f>
      </c>
      <c r="N1286" s="69" t="str">
        <f>IFERROR(INDEX('Cost_Components'!$P$2:$P$27,MATCH(E1286,'Cost_Components'!$A$2:$A$27,0)),"")</f>
      </c>
      <c r="O1286" s="70" t="str">
        <f>AF1286*J1286</f>
      </c>
      <c r="P1286" s="71" t="str">
        <f>AG1286*J1286</f>
      </c>
      <c r="Q1286" s="72" t="str">
        <f>P1286*L1286*M1286*N1286</f>
      </c>
      <c r="R1286" s="73" t="str">
        <f>O1286*K1286*M1286*N1286</f>
      </c>
      <c r="S1286" s="74" t="str">
        <f>R1286-Q1286</f>
      </c>
      <c r="T1286" s="20" t="str">
        <f>IFERROR(INDEX('Cost_Components'!$R$2:$R$27,MATCH(E1286,'Cost_Components'!$A$2:$A$27,0)),"")</f>
      </c>
      <c r="U1286" s="75" t="str">
        <f>IFERROR(INDEX('Cost_Components'!$Q$2:$Q$27,MATCH(E1286,'Cost_Components'!$A$2:$A$27,0)),"")</f>
      </c>
      <c r="V1286" s="76" t="str">
        <f>1/(1+'Calculation_Assumptions'!$B$5)^(B1286-'Calculation_Assumptions'!$B$2)</f>
      </c>
      <c r="W1286" s="77" t="str">
        <f>Q1286*V1286</f>
      </c>
      <c r="X1286" s="78" t="str">
        <f>R1286*V1286</f>
      </c>
      <c r="Y1286" s="79" t="str">
        <f>S1286*V1286</f>
      </c>
      <c r="Z1286" s="80" t="str">
        <f>IFERROR(INDEX('Cost_Components'!$T$2:$T$27,MATCH(E1286,'Cost_Components'!$A$2:$A$27,0)),"")</f>
      </c>
      <c r="AA1286" s="81" t="str">
        <f>IFERROR(INDEX('Cost_Components'!$U$2:$U$27,MATCH(E1286,'Cost_Components'!$A$2:$A$27,0)),"")</f>
      </c>
      <c r="AB1286" s="82" t="str">
        <f>IFERROR(INDEX('Cost_Components'!$V$2:$V$27,MATCH(E1286,'Cost_Components'!$A$2:$A$27,0)),"")</f>
      </c>
      <c r="AC1286" s="83" t="str">
        <f>IFERROR(INDEX('Cost_Components'!$M$2:$M$27,MATCH(E1286,'Cost_Components'!$A$2:$A$27,0)),"")</f>
      </c>
      <c r="AD1286" s="84" t="str">
        <f>IFERROR(INDEX('Cost_Components'!$N$2:$N$27,MATCH(E1286,'Cost_Components'!$A$2:$A$27,0)),"")</f>
      </c>
      <c r="AE1286" s="20" t="str">
        <f>IFERROR(INDEX('Cost_Components'!$O$2:$O$27,MATCH(E1286,'Cost_Components'!$A$2:$A$27,0)),"")</f>
      </c>
      <c r="AF1286" s="85" t="n">
        <v>3480552.26565337</v>
      </c>
      <c r="AG1286" s="86" t="n">
        <v>3615546.17318505</v>
      </c>
      <c r="AH1286" s="87" t="str">
        <f>IF(H1286="shared-count-once",COUNTIFS($A$2:$A$1353,A1286,$B$2:$B$1353,B1286,$E$2:$E$1353,E1286),1)</f>
      </c>
    </row>
    <row r="1287">
      <c r="A1287" t="s">
        <v>75</v>
      </c>
      <c r="B1287" s="59" t="n">
        <v>2036</v>
      </c>
      <c r="C1287" t="s">
        <v>220</v>
      </c>
      <c r="D1287" t="s">
        <v>184</v>
      </c>
      <c r="E1287" s="60" t="s">
        <v>318</v>
      </c>
      <c r="F1287" s="61" t="s">
        <v>319</v>
      </c>
      <c r="G1287" s="62" t="s">
        <v>224</v>
      </c>
      <c r="H1287" s="63" t="s">
        <v>195</v>
      </c>
      <c r="I1287" s="64" t="s">
        <v>267</v>
      </c>
      <c r="J1287" s="65" t="str">
        <f>IFERROR(INDEX('Cost_Components'!$K$2:$K$27,MATCH(E1287,'Cost_Components'!$A$2:$A$27,0)),"")</f>
      </c>
      <c r="K1287" s="66" t="str">
        <f>IF(OR(L1287="",Z1287="",AA1287="",AB1287=""),"",IF(B1287&lt;AA1287,L1287,IF(B1287&gt;AB1287,Z1287,L1287+(Z1287-L1287)*MIN(MAX((B1287-AA1287+1)/MAX(AB1287-AA1287+1,1),0),1))))</f>
      </c>
      <c r="L1287" s="67" t="str">
        <f>IFERROR(INDEX('Cost_Components'!$S$2:$S$27,MATCH(E1287,'Cost_Components'!$A$2:$A$27,0)),"")</f>
      </c>
      <c r="M1287" s="68" t="str">
        <f>IFERROR(INDEX('Cost_Components'!$L$2:$L$27,MATCH(E1287,'Cost_Components'!$A$2:$A$27,0)),"")</f>
      </c>
      <c r="N1287" s="69" t="str">
        <f>IFERROR(INDEX('Cost_Components'!$P$2:$P$27,MATCH(E1287,'Cost_Components'!$A$2:$A$27,0)),"")</f>
      </c>
      <c r="O1287" s="70" t="str">
        <f>AF1287*J1287</f>
      </c>
      <c r="P1287" s="71" t="str">
        <f>AG1287*J1287</f>
      </c>
      <c r="Q1287" s="72" t="str">
        <f>P1287*L1287*M1287*N1287</f>
      </c>
      <c r="R1287" s="73" t="str">
        <f>O1287*K1287*M1287*N1287</f>
      </c>
      <c r="S1287" s="74" t="str">
        <f>R1287-Q1287</f>
      </c>
      <c r="T1287" s="20" t="str">
        <f>IFERROR(INDEX('Cost_Components'!$R$2:$R$27,MATCH(E1287,'Cost_Components'!$A$2:$A$27,0)),"")</f>
      </c>
      <c r="U1287" s="75" t="str">
        <f>IFERROR(INDEX('Cost_Components'!$Q$2:$Q$27,MATCH(E1287,'Cost_Components'!$A$2:$A$27,0)),"")</f>
      </c>
      <c r="V1287" s="76" t="str">
        <f>1/(1+'Calculation_Assumptions'!$B$5)^(B1287-'Calculation_Assumptions'!$B$2)</f>
      </c>
      <c r="W1287" s="77" t="str">
        <f>Q1287*V1287</f>
      </c>
      <c r="X1287" s="78" t="str">
        <f>R1287*V1287</f>
      </c>
      <c r="Y1287" s="79" t="str">
        <f>S1287*V1287</f>
      </c>
      <c r="Z1287" s="80" t="str">
        <f>IFERROR(INDEX('Cost_Components'!$T$2:$T$27,MATCH(E1287,'Cost_Components'!$A$2:$A$27,0)),"")</f>
      </c>
      <c r="AA1287" s="81" t="str">
        <f>IFERROR(INDEX('Cost_Components'!$U$2:$U$27,MATCH(E1287,'Cost_Components'!$A$2:$A$27,0)),"")</f>
      </c>
      <c r="AB1287" s="82" t="str">
        <f>IFERROR(INDEX('Cost_Components'!$V$2:$V$27,MATCH(E1287,'Cost_Components'!$A$2:$A$27,0)),"")</f>
      </c>
      <c r="AC1287" s="83" t="str">
        <f>IFERROR(INDEX('Cost_Components'!$M$2:$M$27,MATCH(E1287,'Cost_Components'!$A$2:$A$27,0)),"")</f>
      </c>
      <c r="AD1287" s="84" t="str">
        <f>IFERROR(INDEX('Cost_Components'!$N$2:$N$27,MATCH(E1287,'Cost_Components'!$A$2:$A$27,0)),"")</f>
      </c>
      <c r="AE1287" s="20" t="str">
        <f>IFERROR(INDEX('Cost_Components'!$O$2:$O$27,MATCH(E1287,'Cost_Components'!$A$2:$A$27,0)),"")</f>
      </c>
      <c r="AF1287" s="85" t="n">
        <v>3510893.64561799</v>
      </c>
      <c r="AG1287" s="86" t="n">
        <v>3667928.72735175</v>
      </c>
      <c r="AH1287" s="87" t="str">
        <f>IF(H1287="shared-count-once",COUNTIFS($A$2:$A$1353,A1287,$B$2:$B$1353,B1287,$E$2:$E$1353,E1287),1)</f>
      </c>
    </row>
    <row r="1288">
      <c r="A1288" t="s">
        <v>75</v>
      </c>
      <c r="B1288" s="59" t="n">
        <v>2037</v>
      </c>
      <c r="C1288" t="s">
        <v>220</v>
      </c>
      <c r="D1288" t="s">
        <v>184</v>
      </c>
      <c r="E1288" s="60" t="s">
        <v>318</v>
      </c>
      <c r="F1288" s="61" t="s">
        <v>319</v>
      </c>
      <c r="G1288" s="62" t="s">
        <v>224</v>
      </c>
      <c r="H1288" s="63" t="s">
        <v>195</v>
      </c>
      <c r="I1288" s="64" t="s">
        <v>267</v>
      </c>
      <c r="J1288" s="65" t="str">
        <f>IFERROR(INDEX('Cost_Components'!$K$2:$K$27,MATCH(E1288,'Cost_Components'!$A$2:$A$27,0)),"")</f>
      </c>
      <c r="K1288" s="66" t="str">
        <f>IF(OR(L1288="",Z1288="",AA1288="",AB1288=""),"",IF(B1288&lt;AA1288,L1288,IF(B1288&gt;AB1288,Z1288,L1288+(Z1288-L1288)*MIN(MAX((B1288-AA1288+1)/MAX(AB1288-AA1288+1,1),0),1))))</f>
      </c>
      <c r="L1288" s="67" t="str">
        <f>IFERROR(INDEX('Cost_Components'!$S$2:$S$27,MATCH(E1288,'Cost_Components'!$A$2:$A$27,0)),"")</f>
      </c>
      <c r="M1288" s="68" t="str">
        <f>IFERROR(INDEX('Cost_Components'!$L$2:$L$27,MATCH(E1288,'Cost_Components'!$A$2:$A$27,0)),"")</f>
      </c>
      <c r="N1288" s="69" t="str">
        <f>IFERROR(INDEX('Cost_Components'!$P$2:$P$27,MATCH(E1288,'Cost_Components'!$A$2:$A$27,0)),"")</f>
      </c>
      <c r="O1288" s="70" t="str">
        <f>AF1288*J1288</f>
      </c>
      <c r="P1288" s="71" t="str">
        <f>AG1288*J1288</f>
      </c>
      <c r="Q1288" s="72" t="str">
        <f>P1288*L1288*M1288*N1288</f>
      </c>
      <c r="R1288" s="73" t="str">
        <f>O1288*K1288*M1288*N1288</f>
      </c>
      <c r="S1288" s="74" t="str">
        <f>R1288-Q1288</f>
      </c>
      <c r="T1288" s="20" t="str">
        <f>IFERROR(INDEX('Cost_Components'!$R$2:$R$27,MATCH(E1288,'Cost_Components'!$A$2:$A$27,0)),"")</f>
      </c>
      <c r="U1288" s="75" t="str">
        <f>IFERROR(INDEX('Cost_Components'!$Q$2:$Q$27,MATCH(E1288,'Cost_Components'!$A$2:$A$27,0)),"")</f>
      </c>
      <c r="V1288" s="76" t="str">
        <f>1/(1+'Calculation_Assumptions'!$B$5)^(B1288-'Calculation_Assumptions'!$B$2)</f>
      </c>
      <c r="W1288" s="77" t="str">
        <f>Q1288*V1288</f>
      </c>
      <c r="X1288" s="78" t="str">
        <f>R1288*V1288</f>
      </c>
      <c r="Y1288" s="79" t="str">
        <f>S1288*V1288</f>
      </c>
      <c r="Z1288" s="80" t="str">
        <f>IFERROR(INDEX('Cost_Components'!$T$2:$T$27,MATCH(E1288,'Cost_Components'!$A$2:$A$27,0)),"")</f>
      </c>
      <c r="AA1288" s="81" t="str">
        <f>IFERROR(INDEX('Cost_Components'!$U$2:$U$27,MATCH(E1288,'Cost_Components'!$A$2:$A$27,0)),"")</f>
      </c>
      <c r="AB1288" s="82" t="str">
        <f>IFERROR(INDEX('Cost_Components'!$V$2:$V$27,MATCH(E1288,'Cost_Components'!$A$2:$A$27,0)),"")</f>
      </c>
      <c r="AC1288" s="83" t="str">
        <f>IFERROR(INDEX('Cost_Components'!$M$2:$M$27,MATCH(E1288,'Cost_Components'!$A$2:$A$27,0)),"")</f>
      </c>
      <c r="AD1288" s="84" t="str">
        <f>IFERROR(INDEX('Cost_Components'!$N$2:$N$27,MATCH(E1288,'Cost_Components'!$A$2:$A$27,0)),"")</f>
      </c>
      <c r="AE1288" s="20" t="str">
        <f>IFERROR(INDEX('Cost_Components'!$O$2:$O$27,MATCH(E1288,'Cost_Components'!$A$2:$A$27,0)),"")</f>
      </c>
      <c r="AF1288" s="85" t="n">
        <v>3540600.17268251</v>
      </c>
      <c r="AG1288" s="86" t="n">
        <v>3721068.13433463</v>
      </c>
      <c r="AH1288" s="87" t="str">
        <f>IF(H1288="shared-count-once",COUNTIFS($A$2:$A$1353,A1288,$B$2:$B$1353,B1288,$E$2:$E$1353,E1288),1)</f>
      </c>
    </row>
    <row r="1289">
      <c r="A1289" t="s">
        <v>75</v>
      </c>
      <c r="B1289" s="59" t="n">
        <v>2038</v>
      </c>
      <c r="C1289" t="s">
        <v>220</v>
      </c>
      <c r="D1289" t="s">
        <v>184</v>
      </c>
      <c r="E1289" s="60" t="s">
        <v>318</v>
      </c>
      <c r="F1289" s="61" t="s">
        <v>319</v>
      </c>
      <c r="G1289" s="62" t="s">
        <v>224</v>
      </c>
      <c r="H1289" s="63" t="s">
        <v>195</v>
      </c>
      <c r="I1289" s="64" t="s">
        <v>267</v>
      </c>
      <c r="J1289" s="65" t="str">
        <f>IFERROR(INDEX('Cost_Components'!$K$2:$K$27,MATCH(E1289,'Cost_Components'!$A$2:$A$27,0)),"")</f>
      </c>
      <c r="K1289" s="66" t="str">
        <f>IF(OR(L1289="",Z1289="",AA1289="",AB1289=""),"",IF(B1289&lt;AA1289,L1289,IF(B1289&gt;AB1289,Z1289,L1289+(Z1289-L1289)*MIN(MAX((B1289-AA1289+1)/MAX(AB1289-AA1289+1,1),0),1))))</f>
      </c>
      <c r="L1289" s="67" t="str">
        <f>IFERROR(INDEX('Cost_Components'!$S$2:$S$27,MATCH(E1289,'Cost_Components'!$A$2:$A$27,0)),"")</f>
      </c>
      <c r="M1289" s="68" t="str">
        <f>IFERROR(INDEX('Cost_Components'!$L$2:$L$27,MATCH(E1289,'Cost_Components'!$A$2:$A$27,0)),"")</f>
      </c>
      <c r="N1289" s="69" t="str">
        <f>IFERROR(INDEX('Cost_Components'!$P$2:$P$27,MATCH(E1289,'Cost_Components'!$A$2:$A$27,0)),"")</f>
      </c>
      <c r="O1289" s="70" t="str">
        <f>AF1289*J1289</f>
      </c>
      <c r="P1289" s="71" t="str">
        <f>AG1289*J1289</f>
      </c>
      <c r="Q1289" s="72" t="str">
        <f>P1289*L1289*M1289*N1289</f>
      </c>
      <c r="R1289" s="73" t="str">
        <f>O1289*K1289*M1289*N1289</f>
      </c>
      <c r="S1289" s="74" t="str">
        <f>R1289-Q1289</f>
      </c>
      <c r="T1289" s="20" t="str">
        <f>IFERROR(INDEX('Cost_Components'!$R$2:$R$27,MATCH(E1289,'Cost_Components'!$A$2:$A$27,0)),"")</f>
      </c>
      <c r="U1289" s="75" t="str">
        <f>IFERROR(INDEX('Cost_Components'!$Q$2:$Q$27,MATCH(E1289,'Cost_Components'!$A$2:$A$27,0)),"")</f>
      </c>
      <c r="V1289" s="76" t="str">
        <f>1/(1+'Calculation_Assumptions'!$B$5)^(B1289-'Calculation_Assumptions'!$B$2)</f>
      </c>
      <c r="W1289" s="77" t="str">
        <f>Q1289*V1289</f>
      </c>
      <c r="X1289" s="78" t="str">
        <f>R1289*V1289</f>
      </c>
      <c r="Y1289" s="79" t="str">
        <f>S1289*V1289</f>
      </c>
      <c r="Z1289" s="80" t="str">
        <f>IFERROR(INDEX('Cost_Components'!$T$2:$T$27,MATCH(E1289,'Cost_Components'!$A$2:$A$27,0)),"")</f>
      </c>
      <c r="AA1289" s="81" t="str">
        <f>IFERROR(INDEX('Cost_Components'!$U$2:$U$27,MATCH(E1289,'Cost_Components'!$A$2:$A$27,0)),"")</f>
      </c>
      <c r="AB1289" s="82" t="str">
        <f>IFERROR(INDEX('Cost_Components'!$V$2:$V$27,MATCH(E1289,'Cost_Components'!$A$2:$A$27,0)),"")</f>
      </c>
      <c r="AC1289" s="83" t="str">
        <f>IFERROR(INDEX('Cost_Components'!$M$2:$M$27,MATCH(E1289,'Cost_Components'!$A$2:$A$27,0)),"")</f>
      </c>
      <c r="AD1289" s="84" t="str">
        <f>IFERROR(INDEX('Cost_Components'!$N$2:$N$27,MATCH(E1289,'Cost_Components'!$A$2:$A$27,0)),"")</f>
      </c>
      <c r="AE1289" s="20" t="str">
        <f>IFERROR(INDEX('Cost_Components'!$O$2:$O$27,MATCH(E1289,'Cost_Components'!$A$2:$A$27,0)),"")</f>
      </c>
      <c r="AF1289" s="85" t="n">
        <v>3570152.19717696</v>
      </c>
      <c r="AG1289" s="86" t="n">
        <v>3775472.58492593</v>
      </c>
      <c r="AH1289" s="87" t="str">
        <f>IF(H1289="shared-count-once",COUNTIFS($A$2:$A$1353,A1289,$B$2:$B$1353,B1289,$E$2:$E$1353,E1289),1)</f>
      </c>
    </row>
    <row r="1290">
      <c r="A1290" t="s">
        <v>75</v>
      </c>
      <c r="B1290" s="59" t="n">
        <v>2039</v>
      </c>
      <c r="C1290" t="s">
        <v>220</v>
      </c>
      <c r="D1290" t="s">
        <v>184</v>
      </c>
      <c r="E1290" s="60" t="s">
        <v>318</v>
      </c>
      <c r="F1290" s="61" t="s">
        <v>319</v>
      </c>
      <c r="G1290" s="62" t="s">
        <v>224</v>
      </c>
      <c r="H1290" s="63" t="s">
        <v>195</v>
      </c>
      <c r="I1290" s="64" t="s">
        <v>267</v>
      </c>
      <c r="J1290" s="65" t="str">
        <f>IFERROR(INDEX('Cost_Components'!$K$2:$K$27,MATCH(E1290,'Cost_Components'!$A$2:$A$27,0)),"")</f>
      </c>
      <c r="K1290" s="66" t="str">
        <f>IF(OR(L1290="",Z1290="",AA1290="",AB1290=""),"",IF(B1290&lt;AA1290,L1290,IF(B1290&gt;AB1290,Z1290,L1290+(Z1290-L1290)*MIN(MAX((B1290-AA1290+1)/MAX(AB1290-AA1290+1,1),0),1))))</f>
      </c>
      <c r="L1290" s="67" t="str">
        <f>IFERROR(INDEX('Cost_Components'!$S$2:$S$27,MATCH(E1290,'Cost_Components'!$A$2:$A$27,0)),"")</f>
      </c>
      <c r="M1290" s="68" t="str">
        <f>IFERROR(INDEX('Cost_Components'!$L$2:$L$27,MATCH(E1290,'Cost_Components'!$A$2:$A$27,0)),"")</f>
      </c>
      <c r="N1290" s="69" t="str">
        <f>IFERROR(INDEX('Cost_Components'!$P$2:$P$27,MATCH(E1290,'Cost_Components'!$A$2:$A$27,0)),"")</f>
      </c>
      <c r="O1290" s="70" t="str">
        <f>AF1290*J1290</f>
      </c>
      <c r="P1290" s="71" t="str">
        <f>AG1290*J1290</f>
      </c>
      <c r="Q1290" s="72" t="str">
        <f>P1290*L1290*M1290*N1290</f>
      </c>
      <c r="R1290" s="73" t="str">
        <f>O1290*K1290*M1290*N1290</f>
      </c>
      <c r="S1290" s="74" t="str">
        <f>R1290-Q1290</f>
      </c>
      <c r="T1290" s="20" t="str">
        <f>IFERROR(INDEX('Cost_Components'!$R$2:$R$27,MATCH(E1290,'Cost_Components'!$A$2:$A$27,0)),"")</f>
      </c>
      <c r="U1290" s="75" t="str">
        <f>IFERROR(INDEX('Cost_Components'!$Q$2:$Q$27,MATCH(E1290,'Cost_Components'!$A$2:$A$27,0)),"")</f>
      </c>
      <c r="V1290" s="76" t="str">
        <f>1/(1+'Calculation_Assumptions'!$B$5)^(B1290-'Calculation_Assumptions'!$B$2)</f>
      </c>
      <c r="W1290" s="77" t="str">
        <f>Q1290*V1290</f>
      </c>
      <c r="X1290" s="78" t="str">
        <f>R1290*V1290</f>
      </c>
      <c r="Y1290" s="79" t="str">
        <f>S1290*V1290</f>
      </c>
      <c r="Z1290" s="80" t="str">
        <f>IFERROR(INDEX('Cost_Components'!$T$2:$T$27,MATCH(E1290,'Cost_Components'!$A$2:$A$27,0)),"")</f>
      </c>
      <c r="AA1290" s="81" t="str">
        <f>IFERROR(INDEX('Cost_Components'!$U$2:$U$27,MATCH(E1290,'Cost_Components'!$A$2:$A$27,0)),"")</f>
      </c>
      <c r="AB1290" s="82" t="str">
        <f>IFERROR(INDEX('Cost_Components'!$V$2:$V$27,MATCH(E1290,'Cost_Components'!$A$2:$A$27,0)),"")</f>
      </c>
      <c r="AC1290" s="83" t="str">
        <f>IFERROR(INDEX('Cost_Components'!$M$2:$M$27,MATCH(E1290,'Cost_Components'!$A$2:$A$27,0)),"")</f>
      </c>
      <c r="AD1290" s="84" t="str">
        <f>IFERROR(INDEX('Cost_Components'!$N$2:$N$27,MATCH(E1290,'Cost_Components'!$A$2:$A$27,0)),"")</f>
      </c>
      <c r="AE1290" s="20" t="str">
        <f>IFERROR(INDEX('Cost_Components'!$O$2:$O$27,MATCH(E1290,'Cost_Components'!$A$2:$A$27,0)),"")</f>
      </c>
      <c r="AF1290" s="85" t="n">
        <v>3598342.89779857</v>
      </c>
      <c r="AG1290" s="86" t="n">
        <v>3829480.21439614</v>
      </c>
      <c r="AH1290" s="87" t="str">
        <f>IF(H1290="shared-count-once",COUNTIFS($A$2:$A$1353,A1290,$B$2:$B$1353,B1290,$E$2:$E$1353,E1290),1)</f>
      </c>
    </row>
    <row r="1291">
      <c r="A1291" t="s">
        <v>75</v>
      </c>
      <c r="B1291" s="59" t="n">
        <v>2040</v>
      </c>
      <c r="C1291" t="s">
        <v>220</v>
      </c>
      <c r="D1291" t="s">
        <v>184</v>
      </c>
      <c r="E1291" s="60" t="s">
        <v>318</v>
      </c>
      <c r="F1291" s="61" t="s">
        <v>319</v>
      </c>
      <c r="G1291" s="62" t="s">
        <v>224</v>
      </c>
      <c r="H1291" s="63" t="s">
        <v>195</v>
      </c>
      <c r="I1291" s="64" t="s">
        <v>267</v>
      </c>
      <c r="J1291" s="65" t="str">
        <f>IFERROR(INDEX('Cost_Components'!$K$2:$K$27,MATCH(E1291,'Cost_Components'!$A$2:$A$27,0)),"")</f>
      </c>
      <c r="K1291" s="66" t="str">
        <f>IF(OR(L1291="",Z1291="",AA1291="",AB1291=""),"",IF(B1291&lt;AA1291,L1291,IF(B1291&gt;AB1291,Z1291,L1291+(Z1291-L1291)*MIN(MAX((B1291-AA1291+1)/MAX(AB1291-AA1291+1,1),0),1))))</f>
      </c>
      <c r="L1291" s="67" t="str">
        <f>IFERROR(INDEX('Cost_Components'!$S$2:$S$27,MATCH(E1291,'Cost_Components'!$A$2:$A$27,0)),"")</f>
      </c>
      <c r="M1291" s="68" t="str">
        <f>IFERROR(INDEX('Cost_Components'!$L$2:$L$27,MATCH(E1291,'Cost_Components'!$A$2:$A$27,0)),"")</f>
      </c>
      <c r="N1291" s="69" t="str">
        <f>IFERROR(INDEX('Cost_Components'!$P$2:$P$27,MATCH(E1291,'Cost_Components'!$A$2:$A$27,0)),"")</f>
      </c>
      <c r="O1291" s="70" t="str">
        <f>AF1291*J1291</f>
      </c>
      <c r="P1291" s="71" t="str">
        <f>AG1291*J1291</f>
      </c>
      <c r="Q1291" s="72" t="str">
        <f>P1291*L1291*M1291*N1291</f>
      </c>
      <c r="R1291" s="73" t="str">
        <f>O1291*K1291*M1291*N1291</f>
      </c>
      <c r="S1291" s="74" t="str">
        <f>R1291-Q1291</f>
      </c>
      <c r="T1291" s="20" t="str">
        <f>IFERROR(INDEX('Cost_Components'!$R$2:$R$27,MATCH(E1291,'Cost_Components'!$A$2:$A$27,0)),"")</f>
      </c>
      <c r="U1291" s="75" t="str">
        <f>IFERROR(INDEX('Cost_Components'!$Q$2:$Q$27,MATCH(E1291,'Cost_Components'!$A$2:$A$27,0)),"")</f>
      </c>
      <c r="V1291" s="76" t="str">
        <f>1/(1+'Calculation_Assumptions'!$B$5)^(B1291-'Calculation_Assumptions'!$B$2)</f>
      </c>
      <c r="W1291" s="77" t="str">
        <f>Q1291*V1291</f>
      </c>
      <c r="X1291" s="78" t="str">
        <f>R1291*V1291</f>
      </c>
      <c r="Y1291" s="79" t="str">
        <f>S1291*V1291</f>
      </c>
      <c r="Z1291" s="80" t="str">
        <f>IFERROR(INDEX('Cost_Components'!$T$2:$T$27,MATCH(E1291,'Cost_Components'!$A$2:$A$27,0)),"")</f>
      </c>
      <c r="AA1291" s="81" t="str">
        <f>IFERROR(INDEX('Cost_Components'!$U$2:$U$27,MATCH(E1291,'Cost_Components'!$A$2:$A$27,0)),"")</f>
      </c>
      <c r="AB1291" s="82" t="str">
        <f>IFERROR(INDEX('Cost_Components'!$V$2:$V$27,MATCH(E1291,'Cost_Components'!$A$2:$A$27,0)),"")</f>
      </c>
      <c r="AC1291" s="83" t="str">
        <f>IFERROR(INDEX('Cost_Components'!$M$2:$M$27,MATCH(E1291,'Cost_Components'!$A$2:$A$27,0)),"")</f>
      </c>
      <c r="AD1291" s="84" t="str">
        <f>IFERROR(INDEX('Cost_Components'!$N$2:$N$27,MATCH(E1291,'Cost_Components'!$A$2:$A$27,0)),"")</f>
      </c>
      <c r="AE1291" s="20" t="str">
        <f>IFERROR(INDEX('Cost_Components'!$O$2:$O$27,MATCH(E1291,'Cost_Components'!$A$2:$A$27,0)),"")</f>
      </c>
      <c r="AF1291" s="85" t="n">
        <v>3625498.85666568</v>
      </c>
      <c r="AG1291" s="86" t="n">
        <v>3883598.89791547</v>
      </c>
      <c r="AH1291" s="87" t="str">
        <f>IF(H1291="shared-count-once",COUNTIFS($A$2:$A$1353,A1291,$B$2:$B$1353,B1291,$E$2:$E$1353,E1291),1)</f>
      </c>
    </row>
    <row r="1292">
      <c r="A1292" t="s">
        <v>75</v>
      </c>
      <c r="B1292" s="59" t="n">
        <v>2041</v>
      </c>
      <c r="C1292" t="s">
        <v>220</v>
      </c>
      <c r="D1292" t="s">
        <v>184</v>
      </c>
      <c r="E1292" s="60" t="s">
        <v>318</v>
      </c>
      <c r="F1292" s="61" t="s">
        <v>319</v>
      </c>
      <c r="G1292" s="62" t="s">
        <v>224</v>
      </c>
      <c r="H1292" s="63" t="s">
        <v>195</v>
      </c>
      <c r="I1292" s="64" t="s">
        <v>267</v>
      </c>
      <c r="J1292" s="65" t="str">
        <f>IFERROR(INDEX('Cost_Components'!$K$2:$K$27,MATCH(E1292,'Cost_Components'!$A$2:$A$27,0)),"")</f>
      </c>
      <c r="K1292" s="66" t="str">
        <f>IF(OR(L1292="",Z1292="",AA1292="",AB1292=""),"",IF(B1292&lt;AA1292,L1292,IF(B1292&gt;AB1292,Z1292,L1292+(Z1292-L1292)*MIN(MAX((B1292-AA1292+1)/MAX(AB1292-AA1292+1,1),0),1))))</f>
      </c>
      <c r="L1292" s="67" t="str">
        <f>IFERROR(INDEX('Cost_Components'!$S$2:$S$27,MATCH(E1292,'Cost_Components'!$A$2:$A$27,0)),"")</f>
      </c>
      <c r="M1292" s="68" t="str">
        <f>IFERROR(INDEX('Cost_Components'!$L$2:$L$27,MATCH(E1292,'Cost_Components'!$A$2:$A$27,0)),"")</f>
      </c>
      <c r="N1292" s="69" t="str">
        <f>IFERROR(INDEX('Cost_Components'!$P$2:$P$27,MATCH(E1292,'Cost_Components'!$A$2:$A$27,0)),"")</f>
      </c>
      <c r="O1292" s="70" t="str">
        <f>AF1292*J1292</f>
      </c>
      <c r="P1292" s="71" t="str">
        <f>AG1292*J1292</f>
      </c>
      <c r="Q1292" s="72" t="str">
        <f>P1292*L1292*M1292*N1292</f>
      </c>
      <c r="R1292" s="73" t="str">
        <f>O1292*K1292*M1292*N1292</f>
      </c>
      <c r="S1292" s="74" t="str">
        <f>R1292-Q1292</f>
      </c>
      <c r="T1292" s="20" t="str">
        <f>IFERROR(INDEX('Cost_Components'!$R$2:$R$27,MATCH(E1292,'Cost_Components'!$A$2:$A$27,0)),"")</f>
      </c>
      <c r="U1292" s="75" t="str">
        <f>IFERROR(INDEX('Cost_Components'!$Q$2:$Q$27,MATCH(E1292,'Cost_Components'!$A$2:$A$27,0)),"")</f>
      </c>
      <c r="V1292" s="76" t="str">
        <f>1/(1+'Calculation_Assumptions'!$B$5)^(B1292-'Calculation_Assumptions'!$B$2)</f>
      </c>
      <c r="W1292" s="77" t="str">
        <f>Q1292*V1292</f>
      </c>
      <c r="X1292" s="78" t="str">
        <f>R1292*V1292</f>
      </c>
      <c r="Y1292" s="79" t="str">
        <f>S1292*V1292</f>
      </c>
      <c r="Z1292" s="80" t="str">
        <f>IFERROR(INDEX('Cost_Components'!$T$2:$T$27,MATCH(E1292,'Cost_Components'!$A$2:$A$27,0)),"")</f>
      </c>
      <c r="AA1292" s="81" t="str">
        <f>IFERROR(INDEX('Cost_Components'!$U$2:$U$27,MATCH(E1292,'Cost_Components'!$A$2:$A$27,0)),"")</f>
      </c>
      <c r="AB1292" s="82" t="str">
        <f>IFERROR(INDEX('Cost_Components'!$V$2:$V$27,MATCH(E1292,'Cost_Components'!$A$2:$A$27,0)),"")</f>
      </c>
      <c r="AC1292" s="83" t="str">
        <f>IFERROR(INDEX('Cost_Components'!$M$2:$M$27,MATCH(E1292,'Cost_Components'!$A$2:$A$27,0)),"")</f>
      </c>
      <c r="AD1292" s="84" t="str">
        <f>IFERROR(INDEX('Cost_Components'!$N$2:$N$27,MATCH(E1292,'Cost_Components'!$A$2:$A$27,0)),"")</f>
      </c>
      <c r="AE1292" s="20" t="str">
        <f>IFERROR(INDEX('Cost_Components'!$O$2:$O$27,MATCH(E1292,'Cost_Components'!$A$2:$A$27,0)),"")</f>
      </c>
      <c r="AF1292" s="85" t="n">
        <v>3651454.8547008</v>
      </c>
      <c r="AG1292" s="86" t="n">
        <v>3937634.1299724</v>
      </c>
      <c r="AH1292" s="87" t="str">
        <f>IF(H1292="shared-count-once",COUNTIFS($A$2:$A$1353,A1292,$B$2:$B$1353,B1292,$E$2:$E$1353,E1292),1)</f>
      </c>
    </row>
    <row r="1293">
      <c r="A1293" t="s">
        <v>75</v>
      </c>
      <c r="B1293" s="59" t="n">
        <v>2042</v>
      </c>
      <c r="C1293" t="s">
        <v>220</v>
      </c>
      <c r="D1293" t="s">
        <v>184</v>
      </c>
      <c r="E1293" s="60" t="s">
        <v>318</v>
      </c>
      <c r="F1293" s="61" t="s">
        <v>319</v>
      </c>
      <c r="G1293" s="62" t="s">
        <v>224</v>
      </c>
      <c r="H1293" s="63" t="s">
        <v>195</v>
      </c>
      <c r="I1293" s="64" t="s">
        <v>267</v>
      </c>
      <c r="J1293" s="65" t="str">
        <f>IFERROR(INDEX('Cost_Components'!$K$2:$K$27,MATCH(E1293,'Cost_Components'!$A$2:$A$27,0)),"")</f>
      </c>
      <c r="K1293" s="66" t="str">
        <f>IF(OR(L1293="",Z1293="",AA1293="",AB1293=""),"",IF(B1293&lt;AA1293,L1293,IF(B1293&gt;AB1293,Z1293,L1293+(Z1293-L1293)*MIN(MAX((B1293-AA1293+1)/MAX(AB1293-AA1293+1,1),0),1))))</f>
      </c>
      <c r="L1293" s="67" t="str">
        <f>IFERROR(INDEX('Cost_Components'!$S$2:$S$27,MATCH(E1293,'Cost_Components'!$A$2:$A$27,0)),"")</f>
      </c>
      <c r="M1293" s="68" t="str">
        <f>IFERROR(INDEX('Cost_Components'!$L$2:$L$27,MATCH(E1293,'Cost_Components'!$A$2:$A$27,0)),"")</f>
      </c>
      <c r="N1293" s="69" t="str">
        <f>IFERROR(INDEX('Cost_Components'!$P$2:$P$27,MATCH(E1293,'Cost_Components'!$A$2:$A$27,0)),"")</f>
      </c>
      <c r="O1293" s="70" t="str">
        <f>AF1293*J1293</f>
      </c>
      <c r="P1293" s="71" t="str">
        <f>AG1293*J1293</f>
      </c>
      <c r="Q1293" s="72" t="str">
        <f>P1293*L1293*M1293*N1293</f>
      </c>
      <c r="R1293" s="73" t="str">
        <f>O1293*K1293*M1293*N1293</f>
      </c>
      <c r="S1293" s="74" t="str">
        <f>R1293-Q1293</f>
      </c>
      <c r="T1293" s="20" t="str">
        <f>IFERROR(INDEX('Cost_Components'!$R$2:$R$27,MATCH(E1293,'Cost_Components'!$A$2:$A$27,0)),"")</f>
      </c>
      <c r="U1293" s="75" t="str">
        <f>IFERROR(INDEX('Cost_Components'!$Q$2:$Q$27,MATCH(E1293,'Cost_Components'!$A$2:$A$27,0)),"")</f>
      </c>
      <c r="V1293" s="76" t="str">
        <f>1/(1+'Calculation_Assumptions'!$B$5)^(B1293-'Calculation_Assumptions'!$B$2)</f>
      </c>
      <c r="W1293" s="77" t="str">
        <f>Q1293*V1293</f>
      </c>
      <c r="X1293" s="78" t="str">
        <f>R1293*V1293</f>
      </c>
      <c r="Y1293" s="79" t="str">
        <f>S1293*V1293</f>
      </c>
      <c r="Z1293" s="80" t="str">
        <f>IFERROR(INDEX('Cost_Components'!$T$2:$T$27,MATCH(E1293,'Cost_Components'!$A$2:$A$27,0)),"")</f>
      </c>
      <c r="AA1293" s="81" t="str">
        <f>IFERROR(INDEX('Cost_Components'!$U$2:$U$27,MATCH(E1293,'Cost_Components'!$A$2:$A$27,0)),"")</f>
      </c>
      <c r="AB1293" s="82" t="str">
        <f>IFERROR(INDEX('Cost_Components'!$V$2:$V$27,MATCH(E1293,'Cost_Components'!$A$2:$A$27,0)),"")</f>
      </c>
      <c r="AC1293" s="83" t="str">
        <f>IFERROR(INDEX('Cost_Components'!$M$2:$M$27,MATCH(E1293,'Cost_Components'!$A$2:$A$27,0)),"")</f>
      </c>
      <c r="AD1293" s="84" t="str">
        <f>IFERROR(INDEX('Cost_Components'!$N$2:$N$27,MATCH(E1293,'Cost_Components'!$A$2:$A$27,0)),"")</f>
      </c>
      <c r="AE1293" s="20" t="str">
        <f>IFERROR(INDEX('Cost_Components'!$O$2:$O$27,MATCH(E1293,'Cost_Components'!$A$2:$A$27,0)),"")</f>
      </c>
      <c r="AF1293" s="85" t="n">
        <v>3676353.59686615</v>
      </c>
      <c r="AG1293" s="86" t="n">
        <v>3991736.16905114</v>
      </c>
      <c r="AH1293" s="87" t="str">
        <f>IF(H1293="shared-count-once",COUNTIFS($A$2:$A$1353,A1293,$B$2:$B$1353,B1293,$E$2:$E$1353,E1293),1)</f>
      </c>
    </row>
    <row r="1294">
      <c r="A1294" t="s">
        <v>75</v>
      </c>
      <c r="B1294" s="59" t="n">
        <v>2043</v>
      </c>
      <c r="C1294" t="s">
        <v>220</v>
      </c>
      <c r="D1294" t="s">
        <v>184</v>
      </c>
      <c r="E1294" s="60" t="s">
        <v>318</v>
      </c>
      <c r="F1294" s="61" t="s">
        <v>319</v>
      </c>
      <c r="G1294" s="62" t="s">
        <v>224</v>
      </c>
      <c r="H1294" s="63" t="s">
        <v>195</v>
      </c>
      <c r="I1294" s="64" t="s">
        <v>267</v>
      </c>
      <c r="J1294" s="65" t="str">
        <f>IFERROR(INDEX('Cost_Components'!$K$2:$K$27,MATCH(E1294,'Cost_Components'!$A$2:$A$27,0)),"")</f>
      </c>
      <c r="K1294" s="66" t="str">
        <f>IF(OR(L1294="",Z1294="",AA1294="",AB1294=""),"",IF(B1294&lt;AA1294,L1294,IF(B1294&gt;AB1294,Z1294,L1294+(Z1294-L1294)*MIN(MAX((B1294-AA1294+1)/MAX(AB1294-AA1294+1,1),0),1))))</f>
      </c>
      <c r="L1294" s="67" t="str">
        <f>IFERROR(INDEX('Cost_Components'!$S$2:$S$27,MATCH(E1294,'Cost_Components'!$A$2:$A$27,0)),"")</f>
      </c>
      <c r="M1294" s="68" t="str">
        <f>IFERROR(INDEX('Cost_Components'!$L$2:$L$27,MATCH(E1294,'Cost_Components'!$A$2:$A$27,0)),"")</f>
      </c>
      <c r="N1294" s="69" t="str">
        <f>IFERROR(INDEX('Cost_Components'!$P$2:$P$27,MATCH(E1294,'Cost_Components'!$A$2:$A$27,0)),"")</f>
      </c>
      <c r="O1294" s="70" t="str">
        <f>AF1294*J1294</f>
      </c>
      <c r="P1294" s="71" t="str">
        <f>AG1294*J1294</f>
      </c>
      <c r="Q1294" s="72" t="str">
        <f>P1294*L1294*M1294*N1294</f>
      </c>
      <c r="R1294" s="73" t="str">
        <f>O1294*K1294*M1294*N1294</f>
      </c>
      <c r="S1294" s="74" t="str">
        <f>R1294-Q1294</f>
      </c>
      <c r="T1294" s="20" t="str">
        <f>IFERROR(INDEX('Cost_Components'!$R$2:$R$27,MATCH(E1294,'Cost_Components'!$A$2:$A$27,0)),"")</f>
      </c>
      <c r="U1294" s="75" t="str">
        <f>IFERROR(INDEX('Cost_Components'!$Q$2:$Q$27,MATCH(E1294,'Cost_Components'!$A$2:$A$27,0)),"")</f>
      </c>
      <c r="V1294" s="76" t="str">
        <f>1/(1+'Calculation_Assumptions'!$B$5)^(B1294-'Calculation_Assumptions'!$B$2)</f>
      </c>
      <c r="W1294" s="77" t="str">
        <f>Q1294*V1294</f>
      </c>
      <c r="X1294" s="78" t="str">
        <f>R1294*V1294</f>
      </c>
      <c r="Y1294" s="79" t="str">
        <f>S1294*V1294</f>
      </c>
      <c r="Z1294" s="80" t="str">
        <f>IFERROR(INDEX('Cost_Components'!$T$2:$T$27,MATCH(E1294,'Cost_Components'!$A$2:$A$27,0)),"")</f>
      </c>
      <c r="AA1294" s="81" t="str">
        <f>IFERROR(INDEX('Cost_Components'!$U$2:$U$27,MATCH(E1294,'Cost_Components'!$A$2:$A$27,0)),"")</f>
      </c>
      <c r="AB1294" s="82" t="str">
        <f>IFERROR(INDEX('Cost_Components'!$V$2:$V$27,MATCH(E1294,'Cost_Components'!$A$2:$A$27,0)),"")</f>
      </c>
      <c r="AC1294" s="83" t="str">
        <f>IFERROR(INDEX('Cost_Components'!$M$2:$M$27,MATCH(E1294,'Cost_Components'!$A$2:$A$27,0)),"")</f>
      </c>
      <c r="AD1294" s="84" t="str">
        <f>IFERROR(INDEX('Cost_Components'!$N$2:$N$27,MATCH(E1294,'Cost_Components'!$A$2:$A$27,0)),"")</f>
      </c>
      <c r="AE1294" s="20" t="str">
        <f>IFERROR(INDEX('Cost_Components'!$O$2:$O$27,MATCH(E1294,'Cost_Components'!$A$2:$A$27,0)),"")</f>
      </c>
      <c r="AF1294" s="85" t="n">
        <v>3699919.49499372</v>
      </c>
      <c r="AG1294" s="86" t="n">
        <v>4045667.2624209</v>
      </c>
      <c r="AH1294" s="87" t="str">
        <f>IF(H1294="shared-count-once",COUNTIFS($A$2:$A$1353,A1294,$B$2:$B$1353,B1294,$E$2:$E$1353,E1294),1)</f>
      </c>
    </row>
    <row r="1295">
      <c r="A1295" t="s">
        <v>75</v>
      </c>
      <c r="B1295" s="59" t="n">
        <v>2044</v>
      </c>
      <c r="C1295" t="s">
        <v>220</v>
      </c>
      <c r="D1295" t="s">
        <v>184</v>
      </c>
      <c r="E1295" s="60" t="s">
        <v>318</v>
      </c>
      <c r="F1295" s="61" t="s">
        <v>319</v>
      </c>
      <c r="G1295" s="62" t="s">
        <v>224</v>
      </c>
      <c r="H1295" s="63" t="s">
        <v>195</v>
      </c>
      <c r="I1295" s="64" t="s">
        <v>267</v>
      </c>
      <c r="J1295" s="65" t="str">
        <f>IFERROR(INDEX('Cost_Components'!$K$2:$K$27,MATCH(E1295,'Cost_Components'!$A$2:$A$27,0)),"")</f>
      </c>
      <c r="K1295" s="66" t="str">
        <f>IF(OR(L1295="",Z1295="",AA1295="",AB1295=""),"",IF(B1295&lt;AA1295,L1295,IF(B1295&gt;AB1295,Z1295,L1295+(Z1295-L1295)*MIN(MAX((B1295-AA1295+1)/MAX(AB1295-AA1295+1,1),0),1))))</f>
      </c>
      <c r="L1295" s="67" t="str">
        <f>IFERROR(INDEX('Cost_Components'!$S$2:$S$27,MATCH(E1295,'Cost_Components'!$A$2:$A$27,0)),"")</f>
      </c>
      <c r="M1295" s="68" t="str">
        <f>IFERROR(INDEX('Cost_Components'!$L$2:$L$27,MATCH(E1295,'Cost_Components'!$A$2:$A$27,0)),"")</f>
      </c>
      <c r="N1295" s="69" t="str">
        <f>IFERROR(INDEX('Cost_Components'!$P$2:$P$27,MATCH(E1295,'Cost_Components'!$A$2:$A$27,0)),"")</f>
      </c>
      <c r="O1295" s="70" t="str">
        <f>AF1295*J1295</f>
      </c>
      <c r="P1295" s="71" t="str">
        <f>AG1295*J1295</f>
      </c>
      <c r="Q1295" s="72" t="str">
        <f>P1295*L1295*M1295*N1295</f>
      </c>
      <c r="R1295" s="73" t="str">
        <f>O1295*K1295*M1295*N1295</f>
      </c>
      <c r="S1295" s="74" t="str">
        <f>R1295-Q1295</f>
      </c>
      <c r="T1295" s="20" t="str">
        <f>IFERROR(INDEX('Cost_Components'!$R$2:$R$27,MATCH(E1295,'Cost_Components'!$A$2:$A$27,0)),"")</f>
      </c>
      <c r="U1295" s="75" t="str">
        <f>IFERROR(INDEX('Cost_Components'!$Q$2:$Q$27,MATCH(E1295,'Cost_Components'!$A$2:$A$27,0)),"")</f>
      </c>
      <c r="V1295" s="76" t="str">
        <f>1/(1+'Calculation_Assumptions'!$B$5)^(B1295-'Calculation_Assumptions'!$B$2)</f>
      </c>
      <c r="W1295" s="77" t="str">
        <f>Q1295*V1295</f>
      </c>
      <c r="X1295" s="78" t="str">
        <f>R1295*V1295</f>
      </c>
      <c r="Y1295" s="79" t="str">
        <f>S1295*V1295</f>
      </c>
      <c r="Z1295" s="80" t="str">
        <f>IFERROR(INDEX('Cost_Components'!$T$2:$T$27,MATCH(E1295,'Cost_Components'!$A$2:$A$27,0)),"")</f>
      </c>
      <c r="AA1295" s="81" t="str">
        <f>IFERROR(INDEX('Cost_Components'!$U$2:$U$27,MATCH(E1295,'Cost_Components'!$A$2:$A$27,0)),"")</f>
      </c>
      <c r="AB1295" s="82" t="str">
        <f>IFERROR(INDEX('Cost_Components'!$V$2:$V$27,MATCH(E1295,'Cost_Components'!$A$2:$A$27,0)),"")</f>
      </c>
      <c r="AC1295" s="83" t="str">
        <f>IFERROR(INDEX('Cost_Components'!$M$2:$M$27,MATCH(E1295,'Cost_Components'!$A$2:$A$27,0)),"")</f>
      </c>
      <c r="AD1295" s="84" t="str">
        <f>IFERROR(INDEX('Cost_Components'!$N$2:$N$27,MATCH(E1295,'Cost_Components'!$A$2:$A$27,0)),"")</f>
      </c>
      <c r="AE1295" s="20" t="str">
        <f>IFERROR(INDEX('Cost_Components'!$O$2:$O$27,MATCH(E1295,'Cost_Components'!$A$2:$A$27,0)),"")</f>
      </c>
      <c r="AF1295" s="85" t="n">
        <v>3721434.20350833</v>
      </c>
      <c r="AG1295" s="86" t="n">
        <v>4098192.61525517</v>
      </c>
      <c r="AH1295" s="87" t="str">
        <f>IF(H1295="shared-count-once",COUNTIFS($A$2:$A$1353,A1295,$B$2:$B$1353,B1295,$E$2:$E$1353,E1295),1)</f>
      </c>
    </row>
    <row r="1296">
      <c r="A1296" t="s">
        <v>75</v>
      </c>
      <c r="B1296" s="59" t="n">
        <v>2045</v>
      </c>
      <c r="C1296" t="s">
        <v>220</v>
      </c>
      <c r="D1296" t="s">
        <v>184</v>
      </c>
      <c r="E1296" s="60" t="s">
        <v>318</v>
      </c>
      <c r="F1296" s="61" t="s">
        <v>319</v>
      </c>
      <c r="G1296" s="62" t="s">
        <v>224</v>
      </c>
      <c r="H1296" s="63" t="s">
        <v>195</v>
      </c>
      <c r="I1296" s="64" t="s">
        <v>267</v>
      </c>
      <c r="J1296" s="65" t="str">
        <f>IFERROR(INDEX('Cost_Components'!$K$2:$K$27,MATCH(E1296,'Cost_Components'!$A$2:$A$27,0)),"")</f>
      </c>
      <c r="K1296" s="66" t="str">
        <f>IF(OR(L1296="",Z1296="",AA1296="",AB1296=""),"",IF(B1296&lt;AA1296,L1296,IF(B1296&gt;AB1296,Z1296,L1296+(Z1296-L1296)*MIN(MAX((B1296-AA1296+1)/MAX(AB1296-AA1296+1,1),0),1))))</f>
      </c>
      <c r="L1296" s="67" t="str">
        <f>IFERROR(INDEX('Cost_Components'!$S$2:$S$27,MATCH(E1296,'Cost_Components'!$A$2:$A$27,0)),"")</f>
      </c>
      <c r="M1296" s="68" t="str">
        <f>IFERROR(INDEX('Cost_Components'!$L$2:$L$27,MATCH(E1296,'Cost_Components'!$A$2:$A$27,0)),"")</f>
      </c>
      <c r="N1296" s="69" t="str">
        <f>IFERROR(INDEX('Cost_Components'!$P$2:$P$27,MATCH(E1296,'Cost_Components'!$A$2:$A$27,0)),"")</f>
      </c>
      <c r="O1296" s="70" t="str">
        <f>AF1296*J1296</f>
      </c>
      <c r="P1296" s="71" t="str">
        <f>AG1296*J1296</f>
      </c>
      <c r="Q1296" s="72" t="str">
        <f>P1296*L1296*M1296*N1296</f>
      </c>
      <c r="R1296" s="73" t="str">
        <f>O1296*K1296*M1296*N1296</f>
      </c>
      <c r="S1296" s="74" t="str">
        <f>R1296-Q1296</f>
      </c>
      <c r="T1296" s="20" t="str">
        <f>IFERROR(INDEX('Cost_Components'!$R$2:$R$27,MATCH(E1296,'Cost_Components'!$A$2:$A$27,0)),"")</f>
      </c>
      <c r="U1296" s="75" t="str">
        <f>IFERROR(INDEX('Cost_Components'!$Q$2:$Q$27,MATCH(E1296,'Cost_Components'!$A$2:$A$27,0)),"")</f>
      </c>
      <c r="V1296" s="76" t="str">
        <f>1/(1+'Calculation_Assumptions'!$B$5)^(B1296-'Calculation_Assumptions'!$B$2)</f>
      </c>
      <c r="W1296" s="77" t="str">
        <f>Q1296*V1296</f>
      </c>
      <c r="X1296" s="78" t="str">
        <f>R1296*V1296</f>
      </c>
      <c r="Y1296" s="79" t="str">
        <f>S1296*V1296</f>
      </c>
      <c r="Z1296" s="80" t="str">
        <f>IFERROR(INDEX('Cost_Components'!$T$2:$T$27,MATCH(E1296,'Cost_Components'!$A$2:$A$27,0)),"")</f>
      </c>
      <c r="AA1296" s="81" t="str">
        <f>IFERROR(INDEX('Cost_Components'!$U$2:$U$27,MATCH(E1296,'Cost_Components'!$A$2:$A$27,0)),"")</f>
      </c>
      <c r="AB1296" s="82" t="str">
        <f>IFERROR(INDEX('Cost_Components'!$V$2:$V$27,MATCH(E1296,'Cost_Components'!$A$2:$A$27,0)),"")</f>
      </c>
      <c r="AC1296" s="83" t="str">
        <f>IFERROR(INDEX('Cost_Components'!$M$2:$M$27,MATCH(E1296,'Cost_Components'!$A$2:$A$27,0)),"")</f>
      </c>
      <c r="AD1296" s="84" t="str">
        <f>IFERROR(INDEX('Cost_Components'!$N$2:$N$27,MATCH(E1296,'Cost_Components'!$A$2:$A$27,0)),"")</f>
      </c>
      <c r="AE1296" s="20" t="str">
        <f>IFERROR(INDEX('Cost_Components'!$O$2:$O$27,MATCH(E1296,'Cost_Components'!$A$2:$A$27,0)),"")</f>
      </c>
      <c r="AF1296" s="85" t="n">
        <v>3740584.24617917</v>
      </c>
      <c r="AG1296" s="86" t="n">
        <v>4149200.71005982</v>
      </c>
      <c r="AH1296" s="87" t="str">
        <f>IF(H1296="shared-count-once",COUNTIFS($A$2:$A$1353,A1296,$B$2:$B$1353,B1296,$E$2:$E$1353,E1296),1)</f>
      </c>
    </row>
    <row r="1297">
      <c r="A1297" t="s">
        <v>75</v>
      </c>
      <c r="B1297" s="59" t="n">
        <v>2046</v>
      </c>
      <c r="C1297" t="s">
        <v>220</v>
      </c>
      <c r="D1297" t="s">
        <v>184</v>
      </c>
      <c r="E1297" s="60" t="s">
        <v>318</v>
      </c>
      <c r="F1297" s="61" t="s">
        <v>319</v>
      </c>
      <c r="G1297" s="62" t="s">
        <v>224</v>
      </c>
      <c r="H1297" s="63" t="s">
        <v>195</v>
      </c>
      <c r="I1297" s="64" t="s">
        <v>267</v>
      </c>
      <c r="J1297" s="65" t="str">
        <f>IFERROR(INDEX('Cost_Components'!$K$2:$K$27,MATCH(E1297,'Cost_Components'!$A$2:$A$27,0)),"")</f>
      </c>
      <c r="K1297" s="66" t="str">
        <f>IF(OR(L1297="",Z1297="",AA1297="",AB1297=""),"",IF(B1297&lt;AA1297,L1297,IF(B1297&gt;AB1297,Z1297,L1297+(Z1297-L1297)*MIN(MAX((B1297-AA1297+1)/MAX(AB1297-AA1297+1,1),0),1))))</f>
      </c>
      <c r="L1297" s="67" t="str">
        <f>IFERROR(INDEX('Cost_Components'!$S$2:$S$27,MATCH(E1297,'Cost_Components'!$A$2:$A$27,0)),"")</f>
      </c>
      <c r="M1297" s="68" t="str">
        <f>IFERROR(INDEX('Cost_Components'!$L$2:$L$27,MATCH(E1297,'Cost_Components'!$A$2:$A$27,0)),"")</f>
      </c>
      <c r="N1297" s="69" t="str">
        <f>IFERROR(INDEX('Cost_Components'!$P$2:$P$27,MATCH(E1297,'Cost_Components'!$A$2:$A$27,0)),"")</f>
      </c>
      <c r="O1297" s="70" t="str">
        <f>AF1297*J1297</f>
      </c>
      <c r="P1297" s="71" t="str">
        <f>AG1297*J1297</f>
      </c>
      <c r="Q1297" s="72" t="str">
        <f>P1297*L1297*M1297*N1297</f>
      </c>
      <c r="R1297" s="73" t="str">
        <f>O1297*K1297*M1297*N1297</f>
      </c>
      <c r="S1297" s="74" t="str">
        <f>R1297-Q1297</f>
      </c>
      <c r="T1297" s="20" t="str">
        <f>IFERROR(INDEX('Cost_Components'!$R$2:$R$27,MATCH(E1297,'Cost_Components'!$A$2:$A$27,0)),"")</f>
      </c>
      <c r="U1297" s="75" t="str">
        <f>IFERROR(INDEX('Cost_Components'!$Q$2:$Q$27,MATCH(E1297,'Cost_Components'!$A$2:$A$27,0)),"")</f>
      </c>
      <c r="V1297" s="76" t="str">
        <f>1/(1+'Calculation_Assumptions'!$B$5)^(B1297-'Calculation_Assumptions'!$B$2)</f>
      </c>
      <c r="W1297" s="77" t="str">
        <f>Q1297*V1297</f>
      </c>
      <c r="X1297" s="78" t="str">
        <f>R1297*V1297</f>
      </c>
      <c r="Y1297" s="79" t="str">
        <f>S1297*V1297</f>
      </c>
      <c r="Z1297" s="80" t="str">
        <f>IFERROR(INDEX('Cost_Components'!$T$2:$T$27,MATCH(E1297,'Cost_Components'!$A$2:$A$27,0)),"")</f>
      </c>
      <c r="AA1297" s="81" t="str">
        <f>IFERROR(INDEX('Cost_Components'!$U$2:$U$27,MATCH(E1297,'Cost_Components'!$A$2:$A$27,0)),"")</f>
      </c>
      <c r="AB1297" s="82" t="str">
        <f>IFERROR(INDEX('Cost_Components'!$V$2:$V$27,MATCH(E1297,'Cost_Components'!$A$2:$A$27,0)),"")</f>
      </c>
      <c r="AC1297" s="83" t="str">
        <f>IFERROR(INDEX('Cost_Components'!$M$2:$M$27,MATCH(E1297,'Cost_Components'!$A$2:$A$27,0)),"")</f>
      </c>
      <c r="AD1297" s="84" t="str">
        <f>IFERROR(INDEX('Cost_Components'!$N$2:$N$27,MATCH(E1297,'Cost_Components'!$A$2:$A$27,0)),"")</f>
      </c>
      <c r="AE1297" s="20" t="str">
        <f>IFERROR(INDEX('Cost_Components'!$O$2:$O$27,MATCH(E1297,'Cost_Components'!$A$2:$A$27,0)),"")</f>
      </c>
      <c r="AF1297" s="85" t="n">
        <v>3757221.0248127</v>
      </c>
      <c r="AG1297" s="86" t="n">
        <v>4198546.30462015</v>
      </c>
      <c r="AH1297" s="87" t="str">
        <f>IF(H1297="shared-count-once",COUNTIFS($A$2:$A$1353,A1297,$B$2:$B$1353,B1297,$E$2:$E$1353,E1297),1)</f>
      </c>
    </row>
    <row r="1298">
      <c r="A1298" t="s">
        <v>75</v>
      </c>
      <c r="B1298" s="59" t="n">
        <v>2047</v>
      </c>
      <c r="C1298" t="s">
        <v>220</v>
      </c>
      <c r="D1298" t="s">
        <v>184</v>
      </c>
      <c r="E1298" s="60" t="s">
        <v>318</v>
      </c>
      <c r="F1298" s="61" t="s">
        <v>319</v>
      </c>
      <c r="G1298" s="62" t="s">
        <v>224</v>
      </c>
      <c r="H1298" s="63" t="s">
        <v>195</v>
      </c>
      <c r="I1298" s="64" t="s">
        <v>267</v>
      </c>
      <c r="J1298" s="65" t="str">
        <f>IFERROR(INDEX('Cost_Components'!$K$2:$K$27,MATCH(E1298,'Cost_Components'!$A$2:$A$27,0)),"")</f>
      </c>
      <c r="K1298" s="66" t="str">
        <f>IF(OR(L1298="",Z1298="",AA1298="",AB1298=""),"",IF(B1298&lt;AA1298,L1298,IF(B1298&gt;AB1298,Z1298,L1298+(Z1298-L1298)*MIN(MAX((B1298-AA1298+1)/MAX(AB1298-AA1298+1,1),0),1))))</f>
      </c>
      <c r="L1298" s="67" t="str">
        <f>IFERROR(INDEX('Cost_Components'!$S$2:$S$27,MATCH(E1298,'Cost_Components'!$A$2:$A$27,0)),"")</f>
      </c>
      <c r="M1298" s="68" t="str">
        <f>IFERROR(INDEX('Cost_Components'!$L$2:$L$27,MATCH(E1298,'Cost_Components'!$A$2:$A$27,0)),"")</f>
      </c>
      <c r="N1298" s="69" t="str">
        <f>IFERROR(INDEX('Cost_Components'!$P$2:$P$27,MATCH(E1298,'Cost_Components'!$A$2:$A$27,0)),"")</f>
      </c>
      <c r="O1298" s="70" t="str">
        <f>AF1298*J1298</f>
      </c>
      <c r="P1298" s="71" t="str">
        <f>AG1298*J1298</f>
      </c>
      <c r="Q1298" s="72" t="str">
        <f>P1298*L1298*M1298*N1298</f>
      </c>
      <c r="R1298" s="73" t="str">
        <f>O1298*K1298*M1298*N1298</f>
      </c>
      <c r="S1298" s="74" t="str">
        <f>R1298-Q1298</f>
      </c>
      <c r="T1298" s="20" t="str">
        <f>IFERROR(INDEX('Cost_Components'!$R$2:$R$27,MATCH(E1298,'Cost_Components'!$A$2:$A$27,0)),"")</f>
      </c>
      <c r="U1298" s="75" t="str">
        <f>IFERROR(INDEX('Cost_Components'!$Q$2:$Q$27,MATCH(E1298,'Cost_Components'!$A$2:$A$27,0)),"")</f>
      </c>
      <c r="V1298" s="76" t="str">
        <f>1/(1+'Calculation_Assumptions'!$B$5)^(B1298-'Calculation_Assumptions'!$B$2)</f>
      </c>
      <c r="W1298" s="77" t="str">
        <f>Q1298*V1298</f>
      </c>
      <c r="X1298" s="78" t="str">
        <f>R1298*V1298</f>
      </c>
      <c r="Y1298" s="79" t="str">
        <f>S1298*V1298</f>
      </c>
      <c r="Z1298" s="80" t="str">
        <f>IFERROR(INDEX('Cost_Components'!$T$2:$T$27,MATCH(E1298,'Cost_Components'!$A$2:$A$27,0)),"")</f>
      </c>
      <c r="AA1298" s="81" t="str">
        <f>IFERROR(INDEX('Cost_Components'!$U$2:$U$27,MATCH(E1298,'Cost_Components'!$A$2:$A$27,0)),"")</f>
      </c>
      <c r="AB1298" s="82" t="str">
        <f>IFERROR(INDEX('Cost_Components'!$V$2:$V$27,MATCH(E1298,'Cost_Components'!$A$2:$A$27,0)),"")</f>
      </c>
      <c r="AC1298" s="83" t="str">
        <f>IFERROR(INDEX('Cost_Components'!$M$2:$M$27,MATCH(E1298,'Cost_Components'!$A$2:$A$27,0)),"")</f>
      </c>
      <c r="AD1298" s="84" t="str">
        <f>IFERROR(INDEX('Cost_Components'!$N$2:$N$27,MATCH(E1298,'Cost_Components'!$A$2:$A$27,0)),"")</f>
      </c>
      <c r="AE1298" s="20" t="str">
        <f>IFERROR(INDEX('Cost_Components'!$O$2:$O$27,MATCH(E1298,'Cost_Components'!$A$2:$A$27,0)),"")</f>
      </c>
      <c r="AF1298" s="85" t="n">
        <v>3771202.91153412</v>
      </c>
      <c r="AG1298" s="86" t="n">
        <v>4246148.41293331</v>
      </c>
      <c r="AH1298" s="87" t="str">
        <f>IF(H1298="shared-count-once",COUNTIFS($A$2:$A$1353,A1298,$B$2:$B$1353,B1298,$E$2:$E$1353,E1298),1)</f>
      </c>
    </row>
    <row r="1299">
      <c r="A1299" t="s">
        <v>75</v>
      </c>
      <c r="B1299" s="59" t="n">
        <v>2048</v>
      </c>
      <c r="C1299" t="s">
        <v>220</v>
      </c>
      <c r="D1299" t="s">
        <v>184</v>
      </c>
      <c r="E1299" s="60" t="s">
        <v>318</v>
      </c>
      <c r="F1299" s="61" t="s">
        <v>319</v>
      </c>
      <c r="G1299" s="62" t="s">
        <v>224</v>
      </c>
      <c r="H1299" s="63" t="s">
        <v>195</v>
      </c>
      <c r="I1299" s="64" t="s">
        <v>267</v>
      </c>
      <c r="J1299" s="65" t="str">
        <f>IFERROR(INDEX('Cost_Components'!$K$2:$K$27,MATCH(E1299,'Cost_Components'!$A$2:$A$27,0)),"")</f>
      </c>
      <c r="K1299" s="66" t="str">
        <f>IF(OR(L1299="",Z1299="",AA1299="",AB1299=""),"",IF(B1299&lt;AA1299,L1299,IF(B1299&gt;AB1299,Z1299,L1299+(Z1299-L1299)*MIN(MAX((B1299-AA1299+1)/MAX(AB1299-AA1299+1,1),0),1))))</f>
      </c>
      <c r="L1299" s="67" t="str">
        <f>IFERROR(INDEX('Cost_Components'!$S$2:$S$27,MATCH(E1299,'Cost_Components'!$A$2:$A$27,0)),"")</f>
      </c>
      <c r="M1299" s="68" t="str">
        <f>IFERROR(INDEX('Cost_Components'!$L$2:$L$27,MATCH(E1299,'Cost_Components'!$A$2:$A$27,0)),"")</f>
      </c>
      <c r="N1299" s="69" t="str">
        <f>IFERROR(INDEX('Cost_Components'!$P$2:$P$27,MATCH(E1299,'Cost_Components'!$A$2:$A$27,0)),"")</f>
      </c>
      <c r="O1299" s="70" t="str">
        <f>AF1299*J1299</f>
      </c>
      <c r="P1299" s="71" t="str">
        <f>AG1299*J1299</f>
      </c>
      <c r="Q1299" s="72" t="str">
        <f>P1299*L1299*M1299*N1299</f>
      </c>
      <c r="R1299" s="73" t="str">
        <f>O1299*K1299*M1299*N1299</f>
      </c>
      <c r="S1299" s="74" t="str">
        <f>R1299-Q1299</f>
      </c>
      <c r="T1299" s="20" t="str">
        <f>IFERROR(INDEX('Cost_Components'!$R$2:$R$27,MATCH(E1299,'Cost_Components'!$A$2:$A$27,0)),"")</f>
      </c>
      <c r="U1299" s="75" t="str">
        <f>IFERROR(INDEX('Cost_Components'!$Q$2:$Q$27,MATCH(E1299,'Cost_Components'!$A$2:$A$27,0)),"")</f>
      </c>
      <c r="V1299" s="76" t="str">
        <f>1/(1+'Calculation_Assumptions'!$B$5)^(B1299-'Calculation_Assumptions'!$B$2)</f>
      </c>
      <c r="W1299" s="77" t="str">
        <f>Q1299*V1299</f>
      </c>
      <c r="X1299" s="78" t="str">
        <f>R1299*V1299</f>
      </c>
      <c r="Y1299" s="79" t="str">
        <f>S1299*V1299</f>
      </c>
      <c r="Z1299" s="80" t="str">
        <f>IFERROR(INDEX('Cost_Components'!$T$2:$T$27,MATCH(E1299,'Cost_Components'!$A$2:$A$27,0)),"")</f>
      </c>
      <c r="AA1299" s="81" t="str">
        <f>IFERROR(INDEX('Cost_Components'!$U$2:$U$27,MATCH(E1299,'Cost_Components'!$A$2:$A$27,0)),"")</f>
      </c>
      <c r="AB1299" s="82" t="str">
        <f>IFERROR(INDEX('Cost_Components'!$V$2:$V$27,MATCH(E1299,'Cost_Components'!$A$2:$A$27,0)),"")</f>
      </c>
      <c r="AC1299" s="83" t="str">
        <f>IFERROR(INDEX('Cost_Components'!$M$2:$M$27,MATCH(E1299,'Cost_Components'!$A$2:$A$27,0)),"")</f>
      </c>
      <c r="AD1299" s="84" t="str">
        <f>IFERROR(INDEX('Cost_Components'!$N$2:$N$27,MATCH(E1299,'Cost_Components'!$A$2:$A$27,0)),"")</f>
      </c>
      <c r="AE1299" s="20" t="str">
        <f>IFERROR(INDEX('Cost_Components'!$O$2:$O$27,MATCH(E1299,'Cost_Components'!$A$2:$A$27,0)),"")</f>
      </c>
      <c r="AF1299" s="85" t="n">
        <v>3783721.96867022</v>
      </c>
      <c r="AG1299" s="86" t="n">
        <v>4293214.6864212</v>
      </c>
      <c r="AH1299" s="87" t="str">
        <f>IF(H1299="shared-count-once",COUNTIFS($A$2:$A$1353,A1299,$B$2:$B$1353,B1299,$E$2:$E$1353,E1299),1)</f>
      </c>
    </row>
    <row r="1300">
      <c r="A1300" t="s">
        <v>75</v>
      </c>
      <c r="B1300" s="59" t="n">
        <v>2049</v>
      </c>
      <c r="C1300" t="s">
        <v>220</v>
      </c>
      <c r="D1300" t="s">
        <v>184</v>
      </c>
      <c r="E1300" s="60" t="s">
        <v>318</v>
      </c>
      <c r="F1300" s="61" t="s">
        <v>319</v>
      </c>
      <c r="G1300" s="62" t="s">
        <v>224</v>
      </c>
      <c r="H1300" s="63" t="s">
        <v>195</v>
      </c>
      <c r="I1300" s="64" t="s">
        <v>267</v>
      </c>
      <c r="J1300" s="65" t="str">
        <f>IFERROR(INDEX('Cost_Components'!$K$2:$K$27,MATCH(E1300,'Cost_Components'!$A$2:$A$27,0)),"")</f>
      </c>
      <c r="K1300" s="66" t="str">
        <f>IF(OR(L1300="",Z1300="",AA1300="",AB1300=""),"",IF(B1300&lt;AA1300,L1300,IF(B1300&gt;AB1300,Z1300,L1300+(Z1300-L1300)*MIN(MAX((B1300-AA1300+1)/MAX(AB1300-AA1300+1,1),0),1))))</f>
      </c>
      <c r="L1300" s="67" t="str">
        <f>IFERROR(INDEX('Cost_Components'!$S$2:$S$27,MATCH(E1300,'Cost_Components'!$A$2:$A$27,0)),"")</f>
      </c>
      <c r="M1300" s="68" t="str">
        <f>IFERROR(INDEX('Cost_Components'!$L$2:$L$27,MATCH(E1300,'Cost_Components'!$A$2:$A$27,0)),"")</f>
      </c>
      <c r="N1300" s="69" t="str">
        <f>IFERROR(INDEX('Cost_Components'!$P$2:$P$27,MATCH(E1300,'Cost_Components'!$A$2:$A$27,0)),"")</f>
      </c>
      <c r="O1300" s="70" t="str">
        <f>AF1300*J1300</f>
      </c>
      <c r="P1300" s="71" t="str">
        <f>AG1300*J1300</f>
      </c>
      <c r="Q1300" s="72" t="str">
        <f>P1300*L1300*M1300*N1300</f>
      </c>
      <c r="R1300" s="73" t="str">
        <f>O1300*K1300*M1300*N1300</f>
      </c>
      <c r="S1300" s="74" t="str">
        <f>R1300-Q1300</f>
      </c>
      <c r="T1300" s="20" t="str">
        <f>IFERROR(INDEX('Cost_Components'!$R$2:$R$27,MATCH(E1300,'Cost_Components'!$A$2:$A$27,0)),"")</f>
      </c>
      <c r="U1300" s="75" t="str">
        <f>IFERROR(INDEX('Cost_Components'!$Q$2:$Q$27,MATCH(E1300,'Cost_Components'!$A$2:$A$27,0)),"")</f>
      </c>
      <c r="V1300" s="76" t="str">
        <f>1/(1+'Calculation_Assumptions'!$B$5)^(B1300-'Calculation_Assumptions'!$B$2)</f>
      </c>
      <c r="W1300" s="77" t="str">
        <f>Q1300*V1300</f>
      </c>
      <c r="X1300" s="78" t="str">
        <f>R1300*V1300</f>
      </c>
      <c r="Y1300" s="79" t="str">
        <f>S1300*V1300</f>
      </c>
      <c r="Z1300" s="80" t="str">
        <f>IFERROR(INDEX('Cost_Components'!$T$2:$T$27,MATCH(E1300,'Cost_Components'!$A$2:$A$27,0)),"")</f>
      </c>
      <c r="AA1300" s="81" t="str">
        <f>IFERROR(INDEX('Cost_Components'!$U$2:$U$27,MATCH(E1300,'Cost_Components'!$A$2:$A$27,0)),"")</f>
      </c>
      <c r="AB1300" s="82" t="str">
        <f>IFERROR(INDEX('Cost_Components'!$V$2:$V$27,MATCH(E1300,'Cost_Components'!$A$2:$A$27,0)),"")</f>
      </c>
      <c r="AC1300" s="83" t="str">
        <f>IFERROR(INDEX('Cost_Components'!$M$2:$M$27,MATCH(E1300,'Cost_Components'!$A$2:$A$27,0)),"")</f>
      </c>
      <c r="AD1300" s="84" t="str">
        <f>IFERROR(INDEX('Cost_Components'!$N$2:$N$27,MATCH(E1300,'Cost_Components'!$A$2:$A$27,0)),"")</f>
      </c>
      <c r="AE1300" s="20" t="str">
        <f>IFERROR(INDEX('Cost_Components'!$O$2:$O$27,MATCH(E1300,'Cost_Components'!$A$2:$A$27,0)),"")</f>
      </c>
      <c r="AF1300" s="85" t="n">
        <v>3794248.83486323</v>
      </c>
      <c r="AG1300" s="86" t="n">
        <v>4338658.76537223</v>
      </c>
      <c r="AH1300" s="87" t="str">
        <f>IF(H1300="shared-count-once",COUNTIFS($A$2:$A$1353,A1300,$B$2:$B$1353,B1300,$E$2:$E$1353,E1300),1)</f>
      </c>
    </row>
    <row r="1301">
      <c r="A1301" t="s">
        <v>75</v>
      </c>
      <c r="B1301" s="59" t="n">
        <v>2050</v>
      </c>
      <c r="C1301" t="s">
        <v>220</v>
      </c>
      <c r="D1301" t="s">
        <v>184</v>
      </c>
      <c r="E1301" s="60" t="s">
        <v>318</v>
      </c>
      <c r="F1301" s="61" t="s">
        <v>319</v>
      </c>
      <c r="G1301" s="62" t="s">
        <v>224</v>
      </c>
      <c r="H1301" s="63" t="s">
        <v>195</v>
      </c>
      <c r="I1301" s="64" t="s">
        <v>267</v>
      </c>
      <c r="J1301" s="65" t="str">
        <f>IFERROR(INDEX('Cost_Components'!$K$2:$K$27,MATCH(E1301,'Cost_Components'!$A$2:$A$27,0)),"")</f>
      </c>
      <c r="K1301" s="66" t="str">
        <f>IF(OR(L1301="",Z1301="",AA1301="",AB1301=""),"",IF(B1301&lt;AA1301,L1301,IF(B1301&gt;AB1301,Z1301,L1301+(Z1301-L1301)*MIN(MAX((B1301-AA1301+1)/MAX(AB1301-AA1301+1,1),0),1))))</f>
      </c>
      <c r="L1301" s="67" t="str">
        <f>IFERROR(INDEX('Cost_Components'!$S$2:$S$27,MATCH(E1301,'Cost_Components'!$A$2:$A$27,0)),"")</f>
      </c>
      <c r="M1301" s="68" t="str">
        <f>IFERROR(INDEX('Cost_Components'!$L$2:$L$27,MATCH(E1301,'Cost_Components'!$A$2:$A$27,0)),"")</f>
      </c>
      <c r="N1301" s="69" t="str">
        <f>IFERROR(INDEX('Cost_Components'!$P$2:$P$27,MATCH(E1301,'Cost_Components'!$A$2:$A$27,0)),"")</f>
      </c>
      <c r="O1301" s="70" t="str">
        <f>AF1301*J1301</f>
      </c>
      <c r="P1301" s="71" t="str">
        <f>AG1301*J1301</f>
      </c>
      <c r="Q1301" s="72" t="str">
        <f>P1301*L1301*M1301*N1301</f>
      </c>
      <c r="R1301" s="73" t="str">
        <f>O1301*K1301*M1301*N1301</f>
      </c>
      <c r="S1301" s="74" t="str">
        <f>R1301-Q1301</f>
      </c>
      <c r="T1301" s="20" t="str">
        <f>IFERROR(INDEX('Cost_Components'!$R$2:$R$27,MATCH(E1301,'Cost_Components'!$A$2:$A$27,0)),"")</f>
      </c>
      <c r="U1301" s="75" t="str">
        <f>IFERROR(INDEX('Cost_Components'!$Q$2:$Q$27,MATCH(E1301,'Cost_Components'!$A$2:$A$27,0)),"")</f>
      </c>
      <c r="V1301" s="76" t="str">
        <f>1/(1+'Calculation_Assumptions'!$B$5)^(B1301-'Calculation_Assumptions'!$B$2)</f>
      </c>
      <c r="W1301" s="77" t="str">
        <f>Q1301*V1301</f>
      </c>
      <c r="X1301" s="78" t="str">
        <f>R1301*V1301</f>
      </c>
      <c r="Y1301" s="79" t="str">
        <f>S1301*V1301</f>
      </c>
      <c r="Z1301" s="80" t="str">
        <f>IFERROR(INDEX('Cost_Components'!$T$2:$T$27,MATCH(E1301,'Cost_Components'!$A$2:$A$27,0)),"")</f>
      </c>
      <c r="AA1301" s="81" t="str">
        <f>IFERROR(INDEX('Cost_Components'!$U$2:$U$27,MATCH(E1301,'Cost_Components'!$A$2:$A$27,0)),"")</f>
      </c>
      <c r="AB1301" s="82" t="str">
        <f>IFERROR(INDEX('Cost_Components'!$V$2:$V$27,MATCH(E1301,'Cost_Components'!$A$2:$A$27,0)),"")</f>
      </c>
      <c r="AC1301" s="83" t="str">
        <f>IFERROR(INDEX('Cost_Components'!$M$2:$M$27,MATCH(E1301,'Cost_Components'!$A$2:$A$27,0)),"")</f>
      </c>
      <c r="AD1301" s="84" t="str">
        <f>IFERROR(INDEX('Cost_Components'!$N$2:$N$27,MATCH(E1301,'Cost_Components'!$A$2:$A$27,0)),"")</f>
      </c>
      <c r="AE1301" s="20" t="str">
        <f>IFERROR(INDEX('Cost_Components'!$O$2:$O$27,MATCH(E1301,'Cost_Components'!$A$2:$A$27,0)),"")</f>
      </c>
      <c r="AF1301" s="85" t="n">
        <v>3802715.1446055</v>
      </c>
      <c r="AG1301" s="86" t="n">
        <v>4382641.21298528</v>
      </c>
      <c r="AH1301" s="87" t="str">
        <f>IF(H1301="shared-count-once",COUNTIFS($A$2:$A$1353,A1301,$B$2:$B$1353,B1301,$E$2:$E$1353,E1301),1)</f>
      </c>
    </row>
    <row r="1302">
      <c r="A1302" t="s">
        <v>75</v>
      </c>
      <c r="B1302" s="59" t="n">
        <v>2025</v>
      </c>
      <c r="C1302" t="s">
        <v>220</v>
      </c>
      <c r="D1302" t="s">
        <v>184</v>
      </c>
      <c r="E1302" s="60" t="s">
        <v>320</v>
      </c>
      <c r="F1302" s="61" t="s">
        <v>321</v>
      </c>
      <c r="G1302" s="62" t="s">
        <v>224</v>
      </c>
      <c r="H1302" s="63" t="s">
        <v>195</v>
      </c>
      <c r="I1302" s="64" t="s">
        <v>267</v>
      </c>
      <c r="J1302" s="65" t="str">
        <f>IFERROR(INDEX('Cost_Components'!$K$2:$K$27,MATCH(E1302,'Cost_Components'!$A$2:$A$27,0)),"")</f>
      </c>
      <c r="K1302" s="66" t="str">
        <f>IF(OR(L1302="",Z1302="",AA1302="",AB1302=""),"",IF(B1302&lt;AA1302,L1302,IF(B1302&gt;AB1302,Z1302,L1302+(Z1302-L1302)*MIN(MAX((B1302-AA1302+1)/MAX(AB1302-AA1302+1,1),0),1))))</f>
      </c>
      <c r="L1302" s="67" t="str">
        <f>IFERROR(INDEX('Cost_Components'!$S$2:$S$27,MATCH(E1302,'Cost_Components'!$A$2:$A$27,0)),"")</f>
      </c>
      <c r="M1302" s="68" t="str">
        <f>IFERROR(INDEX('Cost_Components'!$L$2:$L$27,MATCH(E1302,'Cost_Components'!$A$2:$A$27,0)),"")</f>
      </c>
      <c r="N1302" s="69" t="str">
        <f>IFERROR(INDEX('Cost_Components'!$P$2:$P$27,MATCH(E1302,'Cost_Components'!$A$2:$A$27,0)),"")</f>
      </c>
      <c r="O1302" s="70" t="str">
        <f>AF1302*J1302</f>
      </c>
      <c r="P1302" s="71" t="str">
        <f>AG1302*J1302</f>
      </c>
      <c r="Q1302" s="72" t="str">
        <f>P1302*L1302*M1302*N1302</f>
      </c>
      <c r="R1302" s="73" t="str">
        <f>O1302*K1302*M1302*N1302</f>
      </c>
      <c r="S1302" s="74" t="str">
        <f>R1302-Q1302</f>
      </c>
      <c r="T1302" s="20" t="str">
        <f>IFERROR(INDEX('Cost_Components'!$R$2:$R$27,MATCH(E1302,'Cost_Components'!$A$2:$A$27,0)),"")</f>
      </c>
      <c r="U1302" s="75" t="str">
        <f>IFERROR(INDEX('Cost_Components'!$Q$2:$Q$27,MATCH(E1302,'Cost_Components'!$A$2:$A$27,0)),"")</f>
      </c>
      <c r="V1302" s="76" t="str">
        <f>1/(1+'Calculation_Assumptions'!$B$5)^(B1302-'Calculation_Assumptions'!$B$2)</f>
      </c>
      <c r="W1302" s="77" t="str">
        <f>Q1302*V1302</f>
      </c>
      <c r="X1302" s="78" t="str">
        <f>R1302*V1302</f>
      </c>
      <c r="Y1302" s="79" t="str">
        <f>S1302*V1302</f>
      </c>
      <c r="Z1302" s="80" t="str">
        <f>IFERROR(INDEX('Cost_Components'!$T$2:$T$27,MATCH(E1302,'Cost_Components'!$A$2:$A$27,0)),"")</f>
      </c>
      <c r="AA1302" s="81" t="str">
        <f>IFERROR(INDEX('Cost_Components'!$U$2:$U$27,MATCH(E1302,'Cost_Components'!$A$2:$A$27,0)),"")</f>
      </c>
      <c r="AB1302" s="82" t="str">
        <f>IFERROR(INDEX('Cost_Components'!$V$2:$V$27,MATCH(E1302,'Cost_Components'!$A$2:$A$27,0)),"")</f>
      </c>
      <c r="AC1302" s="83" t="str">
        <f>IFERROR(INDEX('Cost_Components'!$M$2:$M$27,MATCH(E1302,'Cost_Components'!$A$2:$A$27,0)),"")</f>
      </c>
      <c r="AD1302" s="84" t="str">
        <f>IFERROR(INDEX('Cost_Components'!$N$2:$N$27,MATCH(E1302,'Cost_Components'!$A$2:$A$27,0)),"")</f>
      </c>
      <c r="AE1302" s="20" t="str">
        <f>IFERROR(INDEX('Cost_Components'!$O$2:$O$27,MATCH(E1302,'Cost_Components'!$A$2:$A$27,0)),"")</f>
      </c>
      <c r="AF1302" s="85" t="n">
        <v>3185632.10423403</v>
      </c>
      <c r="AG1302" s="86" t="n">
        <v>3188117.25112586</v>
      </c>
      <c r="AH1302" s="87" t="str">
        <f>IF(H1302="shared-count-once",COUNTIFS($A$2:$A$1353,A1302,$B$2:$B$1353,B1302,$E$2:$E$1353,E1302),1)</f>
      </c>
    </row>
    <row r="1303">
      <c r="A1303" t="s">
        <v>75</v>
      </c>
      <c r="B1303" s="59" t="n">
        <v>2026</v>
      </c>
      <c r="C1303" t="s">
        <v>220</v>
      </c>
      <c r="D1303" t="s">
        <v>184</v>
      </c>
      <c r="E1303" s="60" t="s">
        <v>320</v>
      </c>
      <c r="F1303" s="61" t="s">
        <v>321</v>
      </c>
      <c r="G1303" s="62" t="s">
        <v>224</v>
      </c>
      <c r="H1303" s="63" t="s">
        <v>195</v>
      </c>
      <c r="I1303" s="64" t="s">
        <v>267</v>
      </c>
      <c r="J1303" s="65" t="str">
        <f>IFERROR(INDEX('Cost_Components'!$K$2:$K$27,MATCH(E1303,'Cost_Components'!$A$2:$A$27,0)),"")</f>
      </c>
      <c r="K1303" s="66" t="str">
        <f>IF(OR(L1303="",Z1303="",AA1303="",AB1303=""),"",IF(B1303&lt;AA1303,L1303,IF(B1303&gt;AB1303,Z1303,L1303+(Z1303-L1303)*MIN(MAX((B1303-AA1303+1)/MAX(AB1303-AA1303+1,1),0),1))))</f>
      </c>
      <c r="L1303" s="67" t="str">
        <f>IFERROR(INDEX('Cost_Components'!$S$2:$S$27,MATCH(E1303,'Cost_Components'!$A$2:$A$27,0)),"")</f>
      </c>
      <c r="M1303" s="68" t="str">
        <f>IFERROR(INDEX('Cost_Components'!$L$2:$L$27,MATCH(E1303,'Cost_Components'!$A$2:$A$27,0)),"")</f>
      </c>
      <c r="N1303" s="69" t="str">
        <f>IFERROR(INDEX('Cost_Components'!$P$2:$P$27,MATCH(E1303,'Cost_Components'!$A$2:$A$27,0)),"")</f>
      </c>
      <c r="O1303" s="70" t="str">
        <f>AF1303*J1303</f>
      </c>
      <c r="P1303" s="71" t="str">
        <f>AG1303*J1303</f>
      </c>
      <c r="Q1303" s="72" t="str">
        <f>P1303*L1303*M1303*N1303</f>
      </c>
      <c r="R1303" s="73" t="str">
        <f>O1303*K1303*M1303*N1303</f>
      </c>
      <c r="S1303" s="74" t="str">
        <f>R1303-Q1303</f>
      </c>
      <c r="T1303" s="20" t="str">
        <f>IFERROR(INDEX('Cost_Components'!$R$2:$R$27,MATCH(E1303,'Cost_Components'!$A$2:$A$27,0)),"")</f>
      </c>
      <c r="U1303" s="75" t="str">
        <f>IFERROR(INDEX('Cost_Components'!$Q$2:$Q$27,MATCH(E1303,'Cost_Components'!$A$2:$A$27,0)),"")</f>
      </c>
      <c r="V1303" s="76" t="str">
        <f>1/(1+'Calculation_Assumptions'!$B$5)^(B1303-'Calculation_Assumptions'!$B$2)</f>
      </c>
      <c r="W1303" s="77" t="str">
        <f>Q1303*V1303</f>
      </c>
      <c r="X1303" s="78" t="str">
        <f>R1303*V1303</f>
      </c>
      <c r="Y1303" s="79" t="str">
        <f>S1303*V1303</f>
      </c>
      <c r="Z1303" s="80" t="str">
        <f>IFERROR(INDEX('Cost_Components'!$T$2:$T$27,MATCH(E1303,'Cost_Components'!$A$2:$A$27,0)),"")</f>
      </c>
      <c r="AA1303" s="81" t="str">
        <f>IFERROR(INDEX('Cost_Components'!$U$2:$U$27,MATCH(E1303,'Cost_Components'!$A$2:$A$27,0)),"")</f>
      </c>
      <c r="AB1303" s="82" t="str">
        <f>IFERROR(INDEX('Cost_Components'!$V$2:$V$27,MATCH(E1303,'Cost_Components'!$A$2:$A$27,0)),"")</f>
      </c>
      <c r="AC1303" s="83" t="str">
        <f>IFERROR(INDEX('Cost_Components'!$M$2:$M$27,MATCH(E1303,'Cost_Components'!$A$2:$A$27,0)),"")</f>
      </c>
      <c r="AD1303" s="84" t="str">
        <f>IFERROR(INDEX('Cost_Components'!$N$2:$N$27,MATCH(E1303,'Cost_Components'!$A$2:$A$27,0)),"")</f>
      </c>
      <c r="AE1303" s="20" t="str">
        <f>IFERROR(INDEX('Cost_Components'!$O$2:$O$27,MATCH(E1303,'Cost_Components'!$A$2:$A$27,0)),"")</f>
      </c>
      <c r="AF1303" s="85" t="n">
        <v>3214910.56713064</v>
      </c>
      <c r="AG1303" s="86" t="n">
        <v>3222204.21040927</v>
      </c>
      <c r="AH1303" s="87" t="str">
        <f>IF(H1303="shared-count-once",COUNTIFS($A$2:$A$1353,A1303,$B$2:$B$1353,B1303,$E$2:$E$1353,E1303),1)</f>
      </c>
    </row>
    <row r="1304">
      <c r="A1304" t="s">
        <v>75</v>
      </c>
      <c r="B1304" s="59" t="n">
        <v>2027</v>
      </c>
      <c r="C1304" t="s">
        <v>220</v>
      </c>
      <c r="D1304" t="s">
        <v>184</v>
      </c>
      <c r="E1304" s="60" t="s">
        <v>320</v>
      </c>
      <c r="F1304" s="61" t="s">
        <v>321</v>
      </c>
      <c r="G1304" s="62" t="s">
        <v>224</v>
      </c>
      <c r="H1304" s="63" t="s">
        <v>195</v>
      </c>
      <c r="I1304" s="64" t="s">
        <v>267</v>
      </c>
      <c r="J1304" s="65" t="str">
        <f>IFERROR(INDEX('Cost_Components'!$K$2:$K$27,MATCH(E1304,'Cost_Components'!$A$2:$A$27,0)),"")</f>
      </c>
      <c r="K1304" s="66" t="str">
        <f>IF(OR(L1304="",Z1304="",AA1304="",AB1304=""),"",IF(B1304&lt;AA1304,L1304,IF(B1304&gt;AB1304,Z1304,L1304+(Z1304-L1304)*MIN(MAX((B1304-AA1304+1)/MAX(AB1304-AA1304+1,1),0),1))))</f>
      </c>
      <c r="L1304" s="67" t="str">
        <f>IFERROR(INDEX('Cost_Components'!$S$2:$S$27,MATCH(E1304,'Cost_Components'!$A$2:$A$27,0)),"")</f>
      </c>
      <c r="M1304" s="68" t="str">
        <f>IFERROR(INDEX('Cost_Components'!$L$2:$L$27,MATCH(E1304,'Cost_Components'!$A$2:$A$27,0)),"")</f>
      </c>
      <c r="N1304" s="69" t="str">
        <f>IFERROR(INDEX('Cost_Components'!$P$2:$P$27,MATCH(E1304,'Cost_Components'!$A$2:$A$27,0)),"")</f>
      </c>
      <c r="O1304" s="70" t="str">
        <f>AF1304*J1304</f>
      </c>
      <c r="P1304" s="71" t="str">
        <f>AG1304*J1304</f>
      </c>
      <c r="Q1304" s="72" t="str">
        <f>P1304*L1304*M1304*N1304</f>
      </c>
      <c r="R1304" s="73" t="str">
        <f>O1304*K1304*M1304*N1304</f>
      </c>
      <c r="S1304" s="74" t="str">
        <f>R1304-Q1304</f>
      </c>
      <c r="T1304" s="20" t="str">
        <f>IFERROR(INDEX('Cost_Components'!$R$2:$R$27,MATCH(E1304,'Cost_Components'!$A$2:$A$27,0)),"")</f>
      </c>
      <c r="U1304" s="75" t="str">
        <f>IFERROR(INDEX('Cost_Components'!$Q$2:$Q$27,MATCH(E1304,'Cost_Components'!$A$2:$A$27,0)),"")</f>
      </c>
      <c r="V1304" s="76" t="str">
        <f>1/(1+'Calculation_Assumptions'!$B$5)^(B1304-'Calculation_Assumptions'!$B$2)</f>
      </c>
      <c r="W1304" s="77" t="str">
        <f>Q1304*V1304</f>
      </c>
      <c r="X1304" s="78" t="str">
        <f>R1304*V1304</f>
      </c>
      <c r="Y1304" s="79" t="str">
        <f>S1304*V1304</f>
      </c>
      <c r="Z1304" s="80" t="str">
        <f>IFERROR(INDEX('Cost_Components'!$T$2:$T$27,MATCH(E1304,'Cost_Components'!$A$2:$A$27,0)),"")</f>
      </c>
      <c r="AA1304" s="81" t="str">
        <f>IFERROR(INDEX('Cost_Components'!$U$2:$U$27,MATCH(E1304,'Cost_Components'!$A$2:$A$27,0)),"")</f>
      </c>
      <c r="AB1304" s="82" t="str">
        <f>IFERROR(INDEX('Cost_Components'!$V$2:$V$27,MATCH(E1304,'Cost_Components'!$A$2:$A$27,0)),"")</f>
      </c>
      <c r="AC1304" s="83" t="str">
        <f>IFERROR(INDEX('Cost_Components'!$M$2:$M$27,MATCH(E1304,'Cost_Components'!$A$2:$A$27,0)),"")</f>
      </c>
      <c r="AD1304" s="84" t="str">
        <f>IFERROR(INDEX('Cost_Components'!$N$2:$N$27,MATCH(E1304,'Cost_Components'!$A$2:$A$27,0)),"")</f>
      </c>
      <c r="AE1304" s="20" t="str">
        <f>IFERROR(INDEX('Cost_Components'!$O$2:$O$27,MATCH(E1304,'Cost_Components'!$A$2:$A$27,0)),"")</f>
      </c>
      <c r="AF1304" s="85" t="n">
        <v>3242522.21424841</v>
      </c>
      <c r="AG1304" s="86" t="n">
        <v>3256783.7933962</v>
      </c>
      <c r="AH1304" s="87" t="str">
        <f>IF(H1304="shared-count-once",COUNTIFS($A$2:$A$1353,A1304,$B$2:$B$1353,B1304,$E$2:$E$1353,E1304),1)</f>
      </c>
    </row>
    <row r="1305">
      <c r="A1305" t="s">
        <v>75</v>
      </c>
      <c r="B1305" s="59" t="n">
        <v>2028</v>
      </c>
      <c r="C1305" t="s">
        <v>220</v>
      </c>
      <c r="D1305" t="s">
        <v>184</v>
      </c>
      <c r="E1305" s="60" t="s">
        <v>320</v>
      </c>
      <c r="F1305" s="61" t="s">
        <v>321</v>
      </c>
      <c r="G1305" s="62" t="s">
        <v>224</v>
      </c>
      <c r="H1305" s="63" t="s">
        <v>195</v>
      </c>
      <c r="I1305" s="64" t="s">
        <v>267</v>
      </c>
      <c r="J1305" s="65" t="str">
        <f>IFERROR(INDEX('Cost_Components'!$K$2:$K$27,MATCH(E1305,'Cost_Components'!$A$2:$A$27,0)),"")</f>
      </c>
      <c r="K1305" s="66" t="str">
        <f>IF(OR(L1305="",Z1305="",AA1305="",AB1305=""),"",IF(B1305&lt;AA1305,L1305,IF(B1305&gt;AB1305,Z1305,L1305+(Z1305-L1305)*MIN(MAX((B1305-AA1305+1)/MAX(AB1305-AA1305+1,1),0),1))))</f>
      </c>
      <c r="L1305" s="67" t="str">
        <f>IFERROR(INDEX('Cost_Components'!$S$2:$S$27,MATCH(E1305,'Cost_Components'!$A$2:$A$27,0)),"")</f>
      </c>
      <c r="M1305" s="68" t="str">
        <f>IFERROR(INDEX('Cost_Components'!$L$2:$L$27,MATCH(E1305,'Cost_Components'!$A$2:$A$27,0)),"")</f>
      </c>
      <c r="N1305" s="69" t="str">
        <f>IFERROR(INDEX('Cost_Components'!$P$2:$P$27,MATCH(E1305,'Cost_Components'!$A$2:$A$27,0)),"")</f>
      </c>
      <c r="O1305" s="70" t="str">
        <f>AF1305*J1305</f>
      </c>
      <c r="P1305" s="71" t="str">
        <f>AG1305*J1305</f>
      </c>
      <c r="Q1305" s="72" t="str">
        <f>P1305*L1305*M1305*N1305</f>
      </c>
      <c r="R1305" s="73" t="str">
        <f>O1305*K1305*M1305*N1305</f>
      </c>
      <c r="S1305" s="74" t="str">
        <f>R1305-Q1305</f>
      </c>
      <c r="T1305" s="20" t="str">
        <f>IFERROR(INDEX('Cost_Components'!$R$2:$R$27,MATCH(E1305,'Cost_Components'!$A$2:$A$27,0)),"")</f>
      </c>
      <c r="U1305" s="75" t="str">
        <f>IFERROR(INDEX('Cost_Components'!$Q$2:$Q$27,MATCH(E1305,'Cost_Components'!$A$2:$A$27,0)),"")</f>
      </c>
      <c r="V1305" s="76" t="str">
        <f>1/(1+'Calculation_Assumptions'!$B$5)^(B1305-'Calculation_Assumptions'!$B$2)</f>
      </c>
      <c r="W1305" s="77" t="str">
        <f>Q1305*V1305</f>
      </c>
      <c r="X1305" s="78" t="str">
        <f>R1305*V1305</f>
      </c>
      <c r="Y1305" s="79" t="str">
        <f>S1305*V1305</f>
      </c>
      <c r="Z1305" s="80" t="str">
        <f>IFERROR(INDEX('Cost_Components'!$T$2:$T$27,MATCH(E1305,'Cost_Components'!$A$2:$A$27,0)),"")</f>
      </c>
      <c r="AA1305" s="81" t="str">
        <f>IFERROR(INDEX('Cost_Components'!$U$2:$U$27,MATCH(E1305,'Cost_Components'!$A$2:$A$27,0)),"")</f>
      </c>
      <c r="AB1305" s="82" t="str">
        <f>IFERROR(INDEX('Cost_Components'!$V$2:$V$27,MATCH(E1305,'Cost_Components'!$A$2:$A$27,0)),"")</f>
      </c>
      <c r="AC1305" s="83" t="str">
        <f>IFERROR(INDEX('Cost_Components'!$M$2:$M$27,MATCH(E1305,'Cost_Components'!$A$2:$A$27,0)),"")</f>
      </c>
      <c r="AD1305" s="84" t="str">
        <f>IFERROR(INDEX('Cost_Components'!$N$2:$N$27,MATCH(E1305,'Cost_Components'!$A$2:$A$27,0)),"")</f>
      </c>
      <c r="AE1305" s="20" t="str">
        <f>IFERROR(INDEX('Cost_Components'!$O$2:$O$27,MATCH(E1305,'Cost_Components'!$A$2:$A$27,0)),"")</f>
      </c>
      <c r="AF1305" s="85" t="n">
        <v>3270379.29840024</v>
      </c>
      <c r="AG1305" s="86" t="n">
        <v>3293666.14343879</v>
      </c>
      <c r="AH1305" s="87" t="str">
        <f>IF(H1305="shared-count-once",COUNTIFS($A$2:$A$1353,A1305,$B$2:$B$1353,B1305,$E$2:$E$1353,E1305),1)</f>
      </c>
    </row>
    <row r="1306">
      <c r="A1306" t="s">
        <v>75</v>
      </c>
      <c r="B1306" s="59" t="n">
        <v>2029</v>
      </c>
      <c r="C1306" t="s">
        <v>220</v>
      </c>
      <c r="D1306" t="s">
        <v>184</v>
      </c>
      <c r="E1306" s="60" t="s">
        <v>320</v>
      </c>
      <c r="F1306" s="61" t="s">
        <v>321</v>
      </c>
      <c r="G1306" s="62" t="s">
        <v>224</v>
      </c>
      <c r="H1306" s="63" t="s">
        <v>195</v>
      </c>
      <c r="I1306" s="64" t="s">
        <v>267</v>
      </c>
      <c r="J1306" s="65" t="str">
        <f>IFERROR(INDEX('Cost_Components'!$K$2:$K$27,MATCH(E1306,'Cost_Components'!$A$2:$A$27,0)),"")</f>
      </c>
      <c r="K1306" s="66" t="str">
        <f>IF(OR(L1306="",Z1306="",AA1306="",AB1306=""),"",IF(B1306&lt;AA1306,L1306,IF(B1306&gt;AB1306,Z1306,L1306+(Z1306-L1306)*MIN(MAX((B1306-AA1306+1)/MAX(AB1306-AA1306+1,1),0),1))))</f>
      </c>
      <c r="L1306" s="67" t="str">
        <f>IFERROR(INDEX('Cost_Components'!$S$2:$S$27,MATCH(E1306,'Cost_Components'!$A$2:$A$27,0)),"")</f>
      </c>
      <c r="M1306" s="68" t="str">
        <f>IFERROR(INDEX('Cost_Components'!$L$2:$L$27,MATCH(E1306,'Cost_Components'!$A$2:$A$27,0)),"")</f>
      </c>
      <c r="N1306" s="69" t="str">
        <f>IFERROR(INDEX('Cost_Components'!$P$2:$P$27,MATCH(E1306,'Cost_Components'!$A$2:$A$27,0)),"")</f>
      </c>
      <c r="O1306" s="70" t="str">
        <f>AF1306*J1306</f>
      </c>
      <c r="P1306" s="71" t="str">
        <f>AG1306*J1306</f>
      </c>
      <c r="Q1306" s="72" t="str">
        <f>P1306*L1306*M1306*N1306</f>
      </c>
      <c r="R1306" s="73" t="str">
        <f>O1306*K1306*M1306*N1306</f>
      </c>
      <c r="S1306" s="74" t="str">
        <f>R1306-Q1306</f>
      </c>
      <c r="T1306" s="20" t="str">
        <f>IFERROR(INDEX('Cost_Components'!$R$2:$R$27,MATCH(E1306,'Cost_Components'!$A$2:$A$27,0)),"")</f>
      </c>
      <c r="U1306" s="75" t="str">
        <f>IFERROR(INDEX('Cost_Components'!$Q$2:$Q$27,MATCH(E1306,'Cost_Components'!$A$2:$A$27,0)),"")</f>
      </c>
      <c r="V1306" s="76" t="str">
        <f>1/(1+'Calculation_Assumptions'!$B$5)^(B1306-'Calculation_Assumptions'!$B$2)</f>
      </c>
      <c r="W1306" s="77" t="str">
        <f>Q1306*V1306</f>
      </c>
      <c r="X1306" s="78" t="str">
        <f>R1306*V1306</f>
      </c>
      <c r="Y1306" s="79" t="str">
        <f>S1306*V1306</f>
      </c>
      <c r="Z1306" s="80" t="str">
        <f>IFERROR(INDEX('Cost_Components'!$T$2:$T$27,MATCH(E1306,'Cost_Components'!$A$2:$A$27,0)),"")</f>
      </c>
      <c r="AA1306" s="81" t="str">
        <f>IFERROR(INDEX('Cost_Components'!$U$2:$U$27,MATCH(E1306,'Cost_Components'!$A$2:$A$27,0)),"")</f>
      </c>
      <c r="AB1306" s="82" t="str">
        <f>IFERROR(INDEX('Cost_Components'!$V$2:$V$27,MATCH(E1306,'Cost_Components'!$A$2:$A$27,0)),"")</f>
      </c>
      <c r="AC1306" s="83" t="str">
        <f>IFERROR(INDEX('Cost_Components'!$M$2:$M$27,MATCH(E1306,'Cost_Components'!$A$2:$A$27,0)),"")</f>
      </c>
      <c r="AD1306" s="84" t="str">
        <f>IFERROR(INDEX('Cost_Components'!$N$2:$N$27,MATCH(E1306,'Cost_Components'!$A$2:$A$27,0)),"")</f>
      </c>
      <c r="AE1306" s="20" t="str">
        <f>IFERROR(INDEX('Cost_Components'!$O$2:$O$27,MATCH(E1306,'Cost_Components'!$A$2:$A$27,0)),"")</f>
      </c>
      <c r="AF1306" s="85" t="n">
        <v>3298240.75554769</v>
      </c>
      <c r="AG1306" s="86" t="n">
        <v>3332379.93942688</v>
      </c>
      <c r="AH1306" s="87" t="str">
        <f>IF(H1306="shared-count-once",COUNTIFS($A$2:$A$1353,A1306,$B$2:$B$1353,B1306,$E$2:$E$1353,E1306),1)</f>
      </c>
    </row>
    <row r="1307">
      <c r="A1307" t="s">
        <v>75</v>
      </c>
      <c r="B1307" s="59" t="n">
        <v>2030</v>
      </c>
      <c r="C1307" t="s">
        <v>220</v>
      </c>
      <c r="D1307" t="s">
        <v>184</v>
      </c>
      <c r="E1307" s="60" t="s">
        <v>320</v>
      </c>
      <c r="F1307" s="61" t="s">
        <v>321</v>
      </c>
      <c r="G1307" s="62" t="s">
        <v>224</v>
      </c>
      <c r="H1307" s="63" t="s">
        <v>195</v>
      </c>
      <c r="I1307" s="64" t="s">
        <v>267</v>
      </c>
      <c r="J1307" s="65" t="str">
        <f>IFERROR(INDEX('Cost_Components'!$K$2:$K$27,MATCH(E1307,'Cost_Components'!$A$2:$A$27,0)),"")</f>
      </c>
      <c r="K1307" s="66" t="str">
        <f>IF(OR(L1307="",Z1307="",AA1307="",AB1307=""),"",IF(B1307&lt;AA1307,L1307,IF(B1307&gt;AB1307,Z1307,L1307+(Z1307-L1307)*MIN(MAX((B1307-AA1307+1)/MAX(AB1307-AA1307+1,1),0),1))))</f>
      </c>
      <c r="L1307" s="67" t="str">
        <f>IFERROR(INDEX('Cost_Components'!$S$2:$S$27,MATCH(E1307,'Cost_Components'!$A$2:$A$27,0)),"")</f>
      </c>
      <c r="M1307" s="68" t="str">
        <f>IFERROR(INDEX('Cost_Components'!$L$2:$L$27,MATCH(E1307,'Cost_Components'!$A$2:$A$27,0)),"")</f>
      </c>
      <c r="N1307" s="69" t="str">
        <f>IFERROR(INDEX('Cost_Components'!$P$2:$P$27,MATCH(E1307,'Cost_Components'!$A$2:$A$27,0)),"")</f>
      </c>
      <c r="O1307" s="70" t="str">
        <f>AF1307*J1307</f>
      </c>
      <c r="P1307" s="71" t="str">
        <f>AG1307*J1307</f>
      </c>
      <c r="Q1307" s="72" t="str">
        <f>P1307*L1307*M1307*N1307</f>
      </c>
      <c r="R1307" s="73" t="str">
        <f>O1307*K1307*M1307*N1307</f>
      </c>
      <c r="S1307" s="74" t="str">
        <f>R1307-Q1307</f>
      </c>
      <c r="T1307" s="20" t="str">
        <f>IFERROR(INDEX('Cost_Components'!$R$2:$R$27,MATCH(E1307,'Cost_Components'!$A$2:$A$27,0)),"")</f>
      </c>
      <c r="U1307" s="75" t="str">
        <f>IFERROR(INDEX('Cost_Components'!$Q$2:$Q$27,MATCH(E1307,'Cost_Components'!$A$2:$A$27,0)),"")</f>
      </c>
      <c r="V1307" s="76" t="str">
        <f>1/(1+'Calculation_Assumptions'!$B$5)^(B1307-'Calculation_Assumptions'!$B$2)</f>
      </c>
      <c r="W1307" s="77" t="str">
        <f>Q1307*V1307</f>
      </c>
      <c r="X1307" s="78" t="str">
        <f>R1307*V1307</f>
      </c>
      <c r="Y1307" s="79" t="str">
        <f>S1307*V1307</f>
      </c>
      <c r="Z1307" s="80" t="str">
        <f>IFERROR(INDEX('Cost_Components'!$T$2:$T$27,MATCH(E1307,'Cost_Components'!$A$2:$A$27,0)),"")</f>
      </c>
      <c r="AA1307" s="81" t="str">
        <f>IFERROR(INDEX('Cost_Components'!$U$2:$U$27,MATCH(E1307,'Cost_Components'!$A$2:$A$27,0)),"")</f>
      </c>
      <c r="AB1307" s="82" t="str">
        <f>IFERROR(INDEX('Cost_Components'!$V$2:$V$27,MATCH(E1307,'Cost_Components'!$A$2:$A$27,0)),"")</f>
      </c>
      <c r="AC1307" s="83" t="str">
        <f>IFERROR(INDEX('Cost_Components'!$M$2:$M$27,MATCH(E1307,'Cost_Components'!$A$2:$A$27,0)),"")</f>
      </c>
      <c r="AD1307" s="84" t="str">
        <f>IFERROR(INDEX('Cost_Components'!$N$2:$N$27,MATCH(E1307,'Cost_Components'!$A$2:$A$27,0)),"")</f>
      </c>
      <c r="AE1307" s="20" t="str">
        <f>IFERROR(INDEX('Cost_Components'!$O$2:$O$27,MATCH(E1307,'Cost_Components'!$A$2:$A$27,0)),"")</f>
      </c>
      <c r="AF1307" s="85" t="n">
        <v>3326902.12243455</v>
      </c>
      <c r="AG1307" s="86" t="n">
        <v>3373705.64784687</v>
      </c>
      <c r="AH1307" s="87" t="str">
        <f>IF(H1307="shared-count-once",COUNTIFS($A$2:$A$1353,A1307,$B$2:$B$1353,B1307,$E$2:$E$1353,E1307),1)</f>
      </c>
    </row>
    <row r="1308">
      <c r="A1308" t="s">
        <v>75</v>
      </c>
      <c r="B1308" s="59" t="n">
        <v>2031</v>
      </c>
      <c r="C1308" t="s">
        <v>220</v>
      </c>
      <c r="D1308" t="s">
        <v>184</v>
      </c>
      <c r="E1308" s="60" t="s">
        <v>320</v>
      </c>
      <c r="F1308" s="61" t="s">
        <v>321</v>
      </c>
      <c r="G1308" s="62" t="s">
        <v>224</v>
      </c>
      <c r="H1308" s="63" t="s">
        <v>195</v>
      </c>
      <c r="I1308" s="64" t="s">
        <v>267</v>
      </c>
      <c r="J1308" s="65" t="str">
        <f>IFERROR(INDEX('Cost_Components'!$K$2:$K$27,MATCH(E1308,'Cost_Components'!$A$2:$A$27,0)),"")</f>
      </c>
      <c r="K1308" s="66" t="str">
        <f>IF(OR(L1308="",Z1308="",AA1308="",AB1308=""),"",IF(B1308&lt;AA1308,L1308,IF(B1308&gt;AB1308,Z1308,L1308+(Z1308-L1308)*MIN(MAX((B1308-AA1308+1)/MAX(AB1308-AA1308+1,1),0),1))))</f>
      </c>
      <c r="L1308" s="67" t="str">
        <f>IFERROR(INDEX('Cost_Components'!$S$2:$S$27,MATCH(E1308,'Cost_Components'!$A$2:$A$27,0)),"")</f>
      </c>
      <c r="M1308" s="68" t="str">
        <f>IFERROR(INDEX('Cost_Components'!$L$2:$L$27,MATCH(E1308,'Cost_Components'!$A$2:$A$27,0)),"")</f>
      </c>
      <c r="N1308" s="69" t="str">
        <f>IFERROR(INDEX('Cost_Components'!$P$2:$P$27,MATCH(E1308,'Cost_Components'!$A$2:$A$27,0)),"")</f>
      </c>
      <c r="O1308" s="70" t="str">
        <f>AF1308*J1308</f>
      </c>
      <c r="P1308" s="71" t="str">
        <f>AG1308*J1308</f>
      </c>
      <c r="Q1308" s="72" t="str">
        <f>P1308*L1308*M1308*N1308</f>
      </c>
      <c r="R1308" s="73" t="str">
        <f>O1308*K1308*M1308*N1308</f>
      </c>
      <c r="S1308" s="74" t="str">
        <f>R1308-Q1308</f>
      </c>
      <c r="T1308" s="20" t="str">
        <f>IFERROR(INDEX('Cost_Components'!$R$2:$R$27,MATCH(E1308,'Cost_Components'!$A$2:$A$27,0)),"")</f>
      </c>
      <c r="U1308" s="75" t="str">
        <f>IFERROR(INDEX('Cost_Components'!$Q$2:$Q$27,MATCH(E1308,'Cost_Components'!$A$2:$A$27,0)),"")</f>
      </c>
      <c r="V1308" s="76" t="str">
        <f>1/(1+'Calculation_Assumptions'!$B$5)^(B1308-'Calculation_Assumptions'!$B$2)</f>
      </c>
      <c r="W1308" s="77" t="str">
        <f>Q1308*V1308</f>
      </c>
      <c r="X1308" s="78" t="str">
        <f>R1308*V1308</f>
      </c>
      <c r="Y1308" s="79" t="str">
        <f>S1308*V1308</f>
      </c>
      <c r="Z1308" s="80" t="str">
        <f>IFERROR(INDEX('Cost_Components'!$T$2:$T$27,MATCH(E1308,'Cost_Components'!$A$2:$A$27,0)),"")</f>
      </c>
      <c r="AA1308" s="81" t="str">
        <f>IFERROR(INDEX('Cost_Components'!$U$2:$U$27,MATCH(E1308,'Cost_Components'!$A$2:$A$27,0)),"")</f>
      </c>
      <c r="AB1308" s="82" t="str">
        <f>IFERROR(INDEX('Cost_Components'!$V$2:$V$27,MATCH(E1308,'Cost_Components'!$A$2:$A$27,0)),"")</f>
      </c>
      <c r="AC1308" s="83" t="str">
        <f>IFERROR(INDEX('Cost_Components'!$M$2:$M$27,MATCH(E1308,'Cost_Components'!$A$2:$A$27,0)),"")</f>
      </c>
      <c r="AD1308" s="84" t="str">
        <f>IFERROR(INDEX('Cost_Components'!$N$2:$N$27,MATCH(E1308,'Cost_Components'!$A$2:$A$27,0)),"")</f>
      </c>
      <c r="AE1308" s="20" t="str">
        <f>IFERROR(INDEX('Cost_Components'!$O$2:$O$27,MATCH(E1308,'Cost_Components'!$A$2:$A$27,0)),"")</f>
      </c>
      <c r="AF1308" s="85" t="n">
        <v>3356653.49105996</v>
      </c>
      <c r="AG1308" s="86" t="n">
        <v>3417886.53070673</v>
      </c>
      <c r="AH1308" s="87" t="str">
        <f>IF(H1308="shared-count-once",COUNTIFS($A$2:$A$1353,A1308,$B$2:$B$1353,B1308,$E$2:$E$1353,E1308),1)</f>
      </c>
    </row>
    <row r="1309">
      <c r="A1309" t="s">
        <v>75</v>
      </c>
      <c r="B1309" s="59" t="n">
        <v>2032</v>
      </c>
      <c r="C1309" t="s">
        <v>220</v>
      </c>
      <c r="D1309" t="s">
        <v>184</v>
      </c>
      <c r="E1309" s="60" t="s">
        <v>320</v>
      </c>
      <c r="F1309" s="61" t="s">
        <v>321</v>
      </c>
      <c r="G1309" s="62" t="s">
        <v>224</v>
      </c>
      <c r="H1309" s="63" t="s">
        <v>195</v>
      </c>
      <c r="I1309" s="64" t="s">
        <v>267</v>
      </c>
      <c r="J1309" s="65" t="str">
        <f>IFERROR(INDEX('Cost_Components'!$K$2:$K$27,MATCH(E1309,'Cost_Components'!$A$2:$A$27,0)),"")</f>
      </c>
      <c r="K1309" s="66" t="str">
        <f>IF(OR(L1309="",Z1309="",AA1309="",AB1309=""),"",IF(B1309&lt;AA1309,L1309,IF(B1309&gt;AB1309,Z1309,L1309+(Z1309-L1309)*MIN(MAX((B1309-AA1309+1)/MAX(AB1309-AA1309+1,1),0),1))))</f>
      </c>
      <c r="L1309" s="67" t="str">
        <f>IFERROR(INDEX('Cost_Components'!$S$2:$S$27,MATCH(E1309,'Cost_Components'!$A$2:$A$27,0)),"")</f>
      </c>
      <c r="M1309" s="68" t="str">
        <f>IFERROR(INDEX('Cost_Components'!$L$2:$L$27,MATCH(E1309,'Cost_Components'!$A$2:$A$27,0)),"")</f>
      </c>
      <c r="N1309" s="69" t="str">
        <f>IFERROR(INDEX('Cost_Components'!$P$2:$P$27,MATCH(E1309,'Cost_Components'!$A$2:$A$27,0)),"")</f>
      </c>
      <c r="O1309" s="70" t="str">
        <f>AF1309*J1309</f>
      </c>
      <c r="P1309" s="71" t="str">
        <f>AG1309*J1309</f>
      </c>
      <c r="Q1309" s="72" t="str">
        <f>P1309*L1309*M1309*N1309</f>
      </c>
      <c r="R1309" s="73" t="str">
        <f>O1309*K1309*M1309*N1309</f>
      </c>
      <c r="S1309" s="74" t="str">
        <f>R1309-Q1309</f>
      </c>
      <c r="T1309" s="20" t="str">
        <f>IFERROR(INDEX('Cost_Components'!$R$2:$R$27,MATCH(E1309,'Cost_Components'!$A$2:$A$27,0)),"")</f>
      </c>
      <c r="U1309" s="75" t="str">
        <f>IFERROR(INDEX('Cost_Components'!$Q$2:$Q$27,MATCH(E1309,'Cost_Components'!$A$2:$A$27,0)),"")</f>
      </c>
      <c r="V1309" s="76" t="str">
        <f>1/(1+'Calculation_Assumptions'!$B$5)^(B1309-'Calculation_Assumptions'!$B$2)</f>
      </c>
      <c r="W1309" s="77" t="str">
        <f>Q1309*V1309</f>
      </c>
      <c r="X1309" s="78" t="str">
        <f>R1309*V1309</f>
      </c>
      <c r="Y1309" s="79" t="str">
        <f>S1309*V1309</f>
      </c>
      <c r="Z1309" s="80" t="str">
        <f>IFERROR(INDEX('Cost_Components'!$T$2:$T$27,MATCH(E1309,'Cost_Components'!$A$2:$A$27,0)),"")</f>
      </c>
      <c r="AA1309" s="81" t="str">
        <f>IFERROR(INDEX('Cost_Components'!$U$2:$U$27,MATCH(E1309,'Cost_Components'!$A$2:$A$27,0)),"")</f>
      </c>
      <c r="AB1309" s="82" t="str">
        <f>IFERROR(INDEX('Cost_Components'!$V$2:$V$27,MATCH(E1309,'Cost_Components'!$A$2:$A$27,0)),"")</f>
      </c>
      <c r="AC1309" s="83" t="str">
        <f>IFERROR(INDEX('Cost_Components'!$M$2:$M$27,MATCH(E1309,'Cost_Components'!$A$2:$A$27,0)),"")</f>
      </c>
      <c r="AD1309" s="84" t="str">
        <f>IFERROR(INDEX('Cost_Components'!$N$2:$N$27,MATCH(E1309,'Cost_Components'!$A$2:$A$27,0)),"")</f>
      </c>
      <c r="AE1309" s="20" t="str">
        <f>IFERROR(INDEX('Cost_Components'!$O$2:$O$27,MATCH(E1309,'Cost_Components'!$A$2:$A$27,0)),"")</f>
      </c>
      <c r="AF1309" s="85" t="n">
        <v>3387376.50606083</v>
      </c>
      <c r="AG1309" s="86" t="n">
        <v>3464746.35411179</v>
      </c>
      <c r="AH1309" s="87" t="str">
        <f>IF(H1309="shared-count-once",COUNTIFS($A$2:$A$1353,A1309,$B$2:$B$1353,B1309,$E$2:$E$1353,E1309),1)</f>
      </c>
    </row>
    <row r="1310">
      <c r="A1310" t="s">
        <v>75</v>
      </c>
      <c r="B1310" s="59" t="n">
        <v>2033</v>
      </c>
      <c r="C1310" t="s">
        <v>220</v>
      </c>
      <c r="D1310" t="s">
        <v>184</v>
      </c>
      <c r="E1310" s="60" t="s">
        <v>320</v>
      </c>
      <c r="F1310" s="61" t="s">
        <v>321</v>
      </c>
      <c r="G1310" s="62" t="s">
        <v>224</v>
      </c>
      <c r="H1310" s="63" t="s">
        <v>195</v>
      </c>
      <c r="I1310" s="64" t="s">
        <v>267</v>
      </c>
      <c r="J1310" s="65" t="str">
        <f>IFERROR(INDEX('Cost_Components'!$K$2:$K$27,MATCH(E1310,'Cost_Components'!$A$2:$A$27,0)),"")</f>
      </c>
      <c r="K1310" s="66" t="str">
        <f>IF(OR(L1310="",Z1310="",AA1310="",AB1310=""),"",IF(B1310&lt;AA1310,L1310,IF(B1310&gt;AB1310,Z1310,L1310+(Z1310-L1310)*MIN(MAX((B1310-AA1310+1)/MAX(AB1310-AA1310+1,1),0),1))))</f>
      </c>
      <c r="L1310" s="67" t="str">
        <f>IFERROR(INDEX('Cost_Components'!$S$2:$S$27,MATCH(E1310,'Cost_Components'!$A$2:$A$27,0)),"")</f>
      </c>
      <c r="M1310" s="68" t="str">
        <f>IFERROR(INDEX('Cost_Components'!$L$2:$L$27,MATCH(E1310,'Cost_Components'!$A$2:$A$27,0)),"")</f>
      </c>
      <c r="N1310" s="69" t="str">
        <f>IFERROR(INDEX('Cost_Components'!$P$2:$P$27,MATCH(E1310,'Cost_Components'!$A$2:$A$27,0)),"")</f>
      </c>
      <c r="O1310" s="70" t="str">
        <f>AF1310*J1310</f>
      </c>
      <c r="P1310" s="71" t="str">
        <f>AG1310*J1310</f>
      </c>
      <c r="Q1310" s="72" t="str">
        <f>P1310*L1310*M1310*N1310</f>
      </c>
      <c r="R1310" s="73" t="str">
        <f>O1310*K1310*M1310*N1310</f>
      </c>
      <c r="S1310" s="74" t="str">
        <f>R1310-Q1310</f>
      </c>
      <c r="T1310" s="20" t="str">
        <f>IFERROR(INDEX('Cost_Components'!$R$2:$R$27,MATCH(E1310,'Cost_Components'!$A$2:$A$27,0)),"")</f>
      </c>
      <c r="U1310" s="75" t="str">
        <f>IFERROR(INDEX('Cost_Components'!$Q$2:$Q$27,MATCH(E1310,'Cost_Components'!$A$2:$A$27,0)),"")</f>
      </c>
      <c r="V1310" s="76" t="str">
        <f>1/(1+'Calculation_Assumptions'!$B$5)^(B1310-'Calculation_Assumptions'!$B$2)</f>
      </c>
      <c r="W1310" s="77" t="str">
        <f>Q1310*V1310</f>
      </c>
      <c r="X1310" s="78" t="str">
        <f>R1310*V1310</f>
      </c>
      <c r="Y1310" s="79" t="str">
        <f>S1310*V1310</f>
      </c>
      <c r="Z1310" s="80" t="str">
        <f>IFERROR(INDEX('Cost_Components'!$T$2:$T$27,MATCH(E1310,'Cost_Components'!$A$2:$A$27,0)),"")</f>
      </c>
      <c r="AA1310" s="81" t="str">
        <f>IFERROR(INDEX('Cost_Components'!$U$2:$U$27,MATCH(E1310,'Cost_Components'!$A$2:$A$27,0)),"")</f>
      </c>
      <c r="AB1310" s="82" t="str">
        <f>IFERROR(INDEX('Cost_Components'!$V$2:$V$27,MATCH(E1310,'Cost_Components'!$A$2:$A$27,0)),"")</f>
      </c>
      <c r="AC1310" s="83" t="str">
        <f>IFERROR(INDEX('Cost_Components'!$M$2:$M$27,MATCH(E1310,'Cost_Components'!$A$2:$A$27,0)),"")</f>
      </c>
      <c r="AD1310" s="84" t="str">
        <f>IFERROR(INDEX('Cost_Components'!$N$2:$N$27,MATCH(E1310,'Cost_Components'!$A$2:$A$27,0)),"")</f>
      </c>
      <c r="AE1310" s="20" t="str">
        <f>IFERROR(INDEX('Cost_Components'!$O$2:$O$27,MATCH(E1310,'Cost_Components'!$A$2:$A$27,0)),"")</f>
      </c>
      <c r="AF1310" s="85" t="n">
        <v>3418802.83630685</v>
      </c>
      <c r="AG1310" s="86" t="n">
        <v>3514003.85121205</v>
      </c>
      <c r="AH1310" s="87" t="str">
        <f>IF(H1310="shared-count-once",COUNTIFS($A$2:$A$1353,A1310,$B$2:$B$1353,B1310,$E$2:$E$1353,E1310),1)</f>
      </c>
    </row>
    <row r="1311">
      <c r="A1311" t="s">
        <v>75</v>
      </c>
      <c r="B1311" s="59" t="n">
        <v>2034</v>
      </c>
      <c r="C1311" t="s">
        <v>220</v>
      </c>
      <c r="D1311" t="s">
        <v>184</v>
      </c>
      <c r="E1311" s="60" t="s">
        <v>320</v>
      </c>
      <c r="F1311" s="61" t="s">
        <v>321</v>
      </c>
      <c r="G1311" s="62" t="s">
        <v>224</v>
      </c>
      <c r="H1311" s="63" t="s">
        <v>195</v>
      </c>
      <c r="I1311" s="64" t="s">
        <v>267</v>
      </c>
      <c r="J1311" s="65" t="str">
        <f>IFERROR(INDEX('Cost_Components'!$K$2:$K$27,MATCH(E1311,'Cost_Components'!$A$2:$A$27,0)),"")</f>
      </c>
      <c r="K1311" s="66" t="str">
        <f>IF(OR(L1311="",Z1311="",AA1311="",AB1311=""),"",IF(B1311&lt;AA1311,L1311,IF(B1311&gt;AB1311,Z1311,L1311+(Z1311-L1311)*MIN(MAX((B1311-AA1311+1)/MAX(AB1311-AA1311+1,1),0),1))))</f>
      </c>
      <c r="L1311" s="67" t="str">
        <f>IFERROR(INDEX('Cost_Components'!$S$2:$S$27,MATCH(E1311,'Cost_Components'!$A$2:$A$27,0)),"")</f>
      </c>
      <c r="M1311" s="68" t="str">
        <f>IFERROR(INDEX('Cost_Components'!$L$2:$L$27,MATCH(E1311,'Cost_Components'!$A$2:$A$27,0)),"")</f>
      </c>
      <c r="N1311" s="69" t="str">
        <f>IFERROR(INDEX('Cost_Components'!$P$2:$P$27,MATCH(E1311,'Cost_Components'!$A$2:$A$27,0)),"")</f>
      </c>
      <c r="O1311" s="70" t="str">
        <f>AF1311*J1311</f>
      </c>
      <c r="P1311" s="71" t="str">
        <f>AG1311*J1311</f>
      </c>
      <c r="Q1311" s="72" t="str">
        <f>P1311*L1311*M1311*N1311</f>
      </c>
      <c r="R1311" s="73" t="str">
        <f>O1311*K1311*M1311*N1311</f>
      </c>
      <c r="S1311" s="74" t="str">
        <f>R1311-Q1311</f>
      </c>
      <c r="T1311" s="20" t="str">
        <f>IFERROR(INDEX('Cost_Components'!$R$2:$R$27,MATCH(E1311,'Cost_Components'!$A$2:$A$27,0)),"")</f>
      </c>
      <c r="U1311" s="75" t="str">
        <f>IFERROR(INDEX('Cost_Components'!$Q$2:$Q$27,MATCH(E1311,'Cost_Components'!$A$2:$A$27,0)),"")</f>
      </c>
      <c r="V1311" s="76" t="str">
        <f>1/(1+'Calculation_Assumptions'!$B$5)^(B1311-'Calculation_Assumptions'!$B$2)</f>
      </c>
      <c r="W1311" s="77" t="str">
        <f>Q1311*V1311</f>
      </c>
      <c r="X1311" s="78" t="str">
        <f>R1311*V1311</f>
      </c>
      <c r="Y1311" s="79" t="str">
        <f>S1311*V1311</f>
      </c>
      <c r="Z1311" s="80" t="str">
        <f>IFERROR(INDEX('Cost_Components'!$T$2:$T$27,MATCH(E1311,'Cost_Components'!$A$2:$A$27,0)),"")</f>
      </c>
      <c r="AA1311" s="81" t="str">
        <f>IFERROR(INDEX('Cost_Components'!$U$2:$U$27,MATCH(E1311,'Cost_Components'!$A$2:$A$27,0)),"")</f>
      </c>
      <c r="AB1311" s="82" t="str">
        <f>IFERROR(INDEX('Cost_Components'!$V$2:$V$27,MATCH(E1311,'Cost_Components'!$A$2:$A$27,0)),"")</f>
      </c>
      <c r="AC1311" s="83" t="str">
        <f>IFERROR(INDEX('Cost_Components'!$M$2:$M$27,MATCH(E1311,'Cost_Components'!$A$2:$A$27,0)),"")</f>
      </c>
      <c r="AD1311" s="84" t="str">
        <f>IFERROR(INDEX('Cost_Components'!$N$2:$N$27,MATCH(E1311,'Cost_Components'!$A$2:$A$27,0)),"")</f>
      </c>
      <c r="AE1311" s="20" t="str">
        <f>IFERROR(INDEX('Cost_Components'!$O$2:$O$27,MATCH(E1311,'Cost_Components'!$A$2:$A$27,0)),"")</f>
      </c>
      <c r="AF1311" s="85" t="n">
        <v>3449683.28457402</v>
      </c>
      <c r="AG1311" s="86" t="n">
        <v>3564054.13829594</v>
      </c>
      <c r="AH1311" s="87" t="str">
        <f>IF(H1311="shared-count-once",COUNTIFS($A$2:$A$1353,A1311,$B$2:$B$1353,B1311,$E$2:$E$1353,E1311),1)</f>
      </c>
    </row>
    <row r="1312">
      <c r="A1312" t="s">
        <v>75</v>
      </c>
      <c r="B1312" s="59" t="n">
        <v>2035</v>
      </c>
      <c r="C1312" t="s">
        <v>220</v>
      </c>
      <c r="D1312" t="s">
        <v>184</v>
      </c>
      <c r="E1312" s="60" t="s">
        <v>320</v>
      </c>
      <c r="F1312" s="61" t="s">
        <v>321</v>
      </c>
      <c r="G1312" s="62" t="s">
        <v>224</v>
      </c>
      <c r="H1312" s="63" t="s">
        <v>195</v>
      </c>
      <c r="I1312" s="64" t="s">
        <v>267</v>
      </c>
      <c r="J1312" s="65" t="str">
        <f>IFERROR(INDEX('Cost_Components'!$K$2:$K$27,MATCH(E1312,'Cost_Components'!$A$2:$A$27,0)),"")</f>
      </c>
      <c r="K1312" s="66" t="str">
        <f>IF(OR(L1312="",Z1312="",AA1312="",AB1312=""),"",IF(B1312&lt;AA1312,L1312,IF(B1312&gt;AB1312,Z1312,L1312+(Z1312-L1312)*MIN(MAX((B1312-AA1312+1)/MAX(AB1312-AA1312+1,1),0),1))))</f>
      </c>
      <c r="L1312" s="67" t="str">
        <f>IFERROR(INDEX('Cost_Components'!$S$2:$S$27,MATCH(E1312,'Cost_Components'!$A$2:$A$27,0)),"")</f>
      </c>
      <c r="M1312" s="68" t="str">
        <f>IFERROR(INDEX('Cost_Components'!$L$2:$L$27,MATCH(E1312,'Cost_Components'!$A$2:$A$27,0)),"")</f>
      </c>
      <c r="N1312" s="69" t="str">
        <f>IFERROR(INDEX('Cost_Components'!$P$2:$P$27,MATCH(E1312,'Cost_Components'!$A$2:$A$27,0)),"")</f>
      </c>
      <c r="O1312" s="70" t="str">
        <f>AF1312*J1312</f>
      </c>
      <c r="P1312" s="71" t="str">
        <f>AG1312*J1312</f>
      </c>
      <c r="Q1312" s="72" t="str">
        <f>P1312*L1312*M1312*N1312</f>
      </c>
      <c r="R1312" s="73" t="str">
        <f>O1312*K1312*M1312*N1312</f>
      </c>
      <c r="S1312" s="74" t="str">
        <f>R1312-Q1312</f>
      </c>
      <c r="T1312" s="20" t="str">
        <f>IFERROR(INDEX('Cost_Components'!$R$2:$R$27,MATCH(E1312,'Cost_Components'!$A$2:$A$27,0)),"")</f>
      </c>
      <c r="U1312" s="75" t="str">
        <f>IFERROR(INDEX('Cost_Components'!$Q$2:$Q$27,MATCH(E1312,'Cost_Components'!$A$2:$A$27,0)),"")</f>
      </c>
      <c r="V1312" s="76" t="str">
        <f>1/(1+'Calculation_Assumptions'!$B$5)^(B1312-'Calculation_Assumptions'!$B$2)</f>
      </c>
      <c r="W1312" s="77" t="str">
        <f>Q1312*V1312</f>
      </c>
      <c r="X1312" s="78" t="str">
        <f>R1312*V1312</f>
      </c>
      <c r="Y1312" s="79" t="str">
        <f>S1312*V1312</f>
      </c>
      <c r="Z1312" s="80" t="str">
        <f>IFERROR(INDEX('Cost_Components'!$T$2:$T$27,MATCH(E1312,'Cost_Components'!$A$2:$A$27,0)),"")</f>
      </c>
      <c r="AA1312" s="81" t="str">
        <f>IFERROR(INDEX('Cost_Components'!$U$2:$U$27,MATCH(E1312,'Cost_Components'!$A$2:$A$27,0)),"")</f>
      </c>
      <c r="AB1312" s="82" t="str">
        <f>IFERROR(INDEX('Cost_Components'!$V$2:$V$27,MATCH(E1312,'Cost_Components'!$A$2:$A$27,0)),"")</f>
      </c>
      <c r="AC1312" s="83" t="str">
        <f>IFERROR(INDEX('Cost_Components'!$M$2:$M$27,MATCH(E1312,'Cost_Components'!$A$2:$A$27,0)),"")</f>
      </c>
      <c r="AD1312" s="84" t="str">
        <f>IFERROR(INDEX('Cost_Components'!$N$2:$N$27,MATCH(E1312,'Cost_Components'!$A$2:$A$27,0)),"")</f>
      </c>
      <c r="AE1312" s="20" t="str">
        <f>IFERROR(INDEX('Cost_Components'!$O$2:$O$27,MATCH(E1312,'Cost_Components'!$A$2:$A$27,0)),"")</f>
      </c>
      <c r="AF1312" s="85" t="n">
        <v>3480552.26565337</v>
      </c>
      <c r="AG1312" s="86" t="n">
        <v>3615546.17318505</v>
      </c>
      <c r="AH1312" s="87" t="str">
        <f>IF(H1312="shared-count-once",COUNTIFS($A$2:$A$1353,A1312,$B$2:$B$1353,B1312,$E$2:$E$1353,E1312),1)</f>
      </c>
    </row>
    <row r="1313">
      <c r="A1313" t="s">
        <v>75</v>
      </c>
      <c r="B1313" s="59" t="n">
        <v>2036</v>
      </c>
      <c r="C1313" t="s">
        <v>220</v>
      </c>
      <c r="D1313" t="s">
        <v>184</v>
      </c>
      <c r="E1313" s="60" t="s">
        <v>320</v>
      </c>
      <c r="F1313" s="61" t="s">
        <v>321</v>
      </c>
      <c r="G1313" s="62" t="s">
        <v>224</v>
      </c>
      <c r="H1313" s="63" t="s">
        <v>195</v>
      </c>
      <c r="I1313" s="64" t="s">
        <v>267</v>
      </c>
      <c r="J1313" s="65" t="str">
        <f>IFERROR(INDEX('Cost_Components'!$K$2:$K$27,MATCH(E1313,'Cost_Components'!$A$2:$A$27,0)),"")</f>
      </c>
      <c r="K1313" s="66" t="str">
        <f>IF(OR(L1313="",Z1313="",AA1313="",AB1313=""),"",IF(B1313&lt;AA1313,L1313,IF(B1313&gt;AB1313,Z1313,L1313+(Z1313-L1313)*MIN(MAX((B1313-AA1313+1)/MAX(AB1313-AA1313+1,1),0),1))))</f>
      </c>
      <c r="L1313" s="67" t="str">
        <f>IFERROR(INDEX('Cost_Components'!$S$2:$S$27,MATCH(E1313,'Cost_Components'!$A$2:$A$27,0)),"")</f>
      </c>
      <c r="M1313" s="68" t="str">
        <f>IFERROR(INDEX('Cost_Components'!$L$2:$L$27,MATCH(E1313,'Cost_Components'!$A$2:$A$27,0)),"")</f>
      </c>
      <c r="N1313" s="69" t="str">
        <f>IFERROR(INDEX('Cost_Components'!$P$2:$P$27,MATCH(E1313,'Cost_Components'!$A$2:$A$27,0)),"")</f>
      </c>
      <c r="O1313" s="70" t="str">
        <f>AF1313*J1313</f>
      </c>
      <c r="P1313" s="71" t="str">
        <f>AG1313*J1313</f>
      </c>
      <c r="Q1313" s="72" t="str">
        <f>P1313*L1313*M1313*N1313</f>
      </c>
      <c r="R1313" s="73" t="str">
        <f>O1313*K1313*M1313*N1313</f>
      </c>
      <c r="S1313" s="74" t="str">
        <f>R1313-Q1313</f>
      </c>
      <c r="T1313" s="20" t="str">
        <f>IFERROR(INDEX('Cost_Components'!$R$2:$R$27,MATCH(E1313,'Cost_Components'!$A$2:$A$27,0)),"")</f>
      </c>
      <c r="U1313" s="75" t="str">
        <f>IFERROR(INDEX('Cost_Components'!$Q$2:$Q$27,MATCH(E1313,'Cost_Components'!$A$2:$A$27,0)),"")</f>
      </c>
      <c r="V1313" s="76" t="str">
        <f>1/(1+'Calculation_Assumptions'!$B$5)^(B1313-'Calculation_Assumptions'!$B$2)</f>
      </c>
      <c r="W1313" s="77" t="str">
        <f>Q1313*V1313</f>
      </c>
      <c r="X1313" s="78" t="str">
        <f>R1313*V1313</f>
      </c>
      <c r="Y1313" s="79" t="str">
        <f>S1313*V1313</f>
      </c>
      <c r="Z1313" s="80" t="str">
        <f>IFERROR(INDEX('Cost_Components'!$T$2:$T$27,MATCH(E1313,'Cost_Components'!$A$2:$A$27,0)),"")</f>
      </c>
      <c r="AA1313" s="81" t="str">
        <f>IFERROR(INDEX('Cost_Components'!$U$2:$U$27,MATCH(E1313,'Cost_Components'!$A$2:$A$27,0)),"")</f>
      </c>
      <c r="AB1313" s="82" t="str">
        <f>IFERROR(INDEX('Cost_Components'!$V$2:$V$27,MATCH(E1313,'Cost_Components'!$A$2:$A$27,0)),"")</f>
      </c>
      <c r="AC1313" s="83" t="str">
        <f>IFERROR(INDEX('Cost_Components'!$M$2:$M$27,MATCH(E1313,'Cost_Components'!$A$2:$A$27,0)),"")</f>
      </c>
      <c r="AD1313" s="84" t="str">
        <f>IFERROR(INDEX('Cost_Components'!$N$2:$N$27,MATCH(E1313,'Cost_Components'!$A$2:$A$27,0)),"")</f>
      </c>
      <c r="AE1313" s="20" t="str">
        <f>IFERROR(INDEX('Cost_Components'!$O$2:$O$27,MATCH(E1313,'Cost_Components'!$A$2:$A$27,0)),"")</f>
      </c>
      <c r="AF1313" s="85" t="n">
        <v>3510893.64561799</v>
      </c>
      <c r="AG1313" s="86" t="n">
        <v>3667928.72735175</v>
      </c>
      <c r="AH1313" s="87" t="str">
        <f>IF(H1313="shared-count-once",COUNTIFS($A$2:$A$1353,A1313,$B$2:$B$1353,B1313,$E$2:$E$1353,E1313),1)</f>
      </c>
    </row>
    <row r="1314">
      <c r="A1314" t="s">
        <v>75</v>
      </c>
      <c r="B1314" s="59" t="n">
        <v>2037</v>
      </c>
      <c r="C1314" t="s">
        <v>220</v>
      </c>
      <c r="D1314" t="s">
        <v>184</v>
      </c>
      <c r="E1314" s="60" t="s">
        <v>320</v>
      </c>
      <c r="F1314" s="61" t="s">
        <v>321</v>
      </c>
      <c r="G1314" s="62" t="s">
        <v>224</v>
      </c>
      <c r="H1314" s="63" t="s">
        <v>195</v>
      </c>
      <c r="I1314" s="64" t="s">
        <v>267</v>
      </c>
      <c r="J1314" s="65" t="str">
        <f>IFERROR(INDEX('Cost_Components'!$K$2:$K$27,MATCH(E1314,'Cost_Components'!$A$2:$A$27,0)),"")</f>
      </c>
      <c r="K1314" s="66" t="str">
        <f>IF(OR(L1314="",Z1314="",AA1314="",AB1314=""),"",IF(B1314&lt;AA1314,L1314,IF(B1314&gt;AB1314,Z1314,L1314+(Z1314-L1314)*MIN(MAX((B1314-AA1314+1)/MAX(AB1314-AA1314+1,1),0),1))))</f>
      </c>
      <c r="L1314" s="67" t="str">
        <f>IFERROR(INDEX('Cost_Components'!$S$2:$S$27,MATCH(E1314,'Cost_Components'!$A$2:$A$27,0)),"")</f>
      </c>
      <c r="M1314" s="68" t="str">
        <f>IFERROR(INDEX('Cost_Components'!$L$2:$L$27,MATCH(E1314,'Cost_Components'!$A$2:$A$27,0)),"")</f>
      </c>
      <c r="N1314" s="69" t="str">
        <f>IFERROR(INDEX('Cost_Components'!$P$2:$P$27,MATCH(E1314,'Cost_Components'!$A$2:$A$27,0)),"")</f>
      </c>
      <c r="O1314" s="70" t="str">
        <f>AF1314*J1314</f>
      </c>
      <c r="P1314" s="71" t="str">
        <f>AG1314*J1314</f>
      </c>
      <c r="Q1314" s="72" t="str">
        <f>P1314*L1314*M1314*N1314</f>
      </c>
      <c r="R1314" s="73" t="str">
        <f>O1314*K1314*M1314*N1314</f>
      </c>
      <c r="S1314" s="74" t="str">
        <f>R1314-Q1314</f>
      </c>
      <c r="T1314" s="20" t="str">
        <f>IFERROR(INDEX('Cost_Components'!$R$2:$R$27,MATCH(E1314,'Cost_Components'!$A$2:$A$27,0)),"")</f>
      </c>
      <c r="U1314" s="75" t="str">
        <f>IFERROR(INDEX('Cost_Components'!$Q$2:$Q$27,MATCH(E1314,'Cost_Components'!$A$2:$A$27,0)),"")</f>
      </c>
      <c r="V1314" s="76" t="str">
        <f>1/(1+'Calculation_Assumptions'!$B$5)^(B1314-'Calculation_Assumptions'!$B$2)</f>
      </c>
      <c r="W1314" s="77" t="str">
        <f>Q1314*V1314</f>
      </c>
      <c r="X1314" s="78" t="str">
        <f>R1314*V1314</f>
      </c>
      <c r="Y1314" s="79" t="str">
        <f>S1314*V1314</f>
      </c>
      <c r="Z1314" s="80" t="str">
        <f>IFERROR(INDEX('Cost_Components'!$T$2:$T$27,MATCH(E1314,'Cost_Components'!$A$2:$A$27,0)),"")</f>
      </c>
      <c r="AA1314" s="81" t="str">
        <f>IFERROR(INDEX('Cost_Components'!$U$2:$U$27,MATCH(E1314,'Cost_Components'!$A$2:$A$27,0)),"")</f>
      </c>
      <c r="AB1314" s="82" t="str">
        <f>IFERROR(INDEX('Cost_Components'!$V$2:$V$27,MATCH(E1314,'Cost_Components'!$A$2:$A$27,0)),"")</f>
      </c>
      <c r="AC1314" s="83" t="str">
        <f>IFERROR(INDEX('Cost_Components'!$M$2:$M$27,MATCH(E1314,'Cost_Components'!$A$2:$A$27,0)),"")</f>
      </c>
      <c r="AD1314" s="84" t="str">
        <f>IFERROR(INDEX('Cost_Components'!$N$2:$N$27,MATCH(E1314,'Cost_Components'!$A$2:$A$27,0)),"")</f>
      </c>
      <c r="AE1314" s="20" t="str">
        <f>IFERROR(INDEX('Cost_Components'!$O$2:$O$27,MATCH(E1314,'Cost_Components'!$A$2:$A$27,0)),"")</f>
      </c>
      <c r="AF1314" s="85" t="n">
        <v>3540600.17268251</v>
      </c>
      <c r="AG1314" s="86" t="n">
        <v>3721068.13433463</v>
      </c>
      <c r="AH1314" s="87" t="str">
        <f>IF(H1314="shared-count-once",COUNTIFS($A$2:$A$1353,A1314,$B$2:$B$1353,B1314,$E$2:$E$1353,E1314),1)</f>
      </c>
    </row>
    <row r="1315">
      <c r="A1315" t="s">
        <v>75</v>
      </c>
      <c r="B1315" s="59" t="n">
        <v>2038</v>
      </c>
      <c r="C1315" t="s">
        <v>220</v>
      </c>
      <c r="D1315" t="s">
        <v>184</v>
      </c>
      <c r="E1315" s="60" t="s">
        <v>320</v>
      </c>
      <c r="F1315" s="61" t="s">
        <v>321</v>
      </c>
      <c r="G1315" s="62" t="s">
        <v>224</v>
      </c>
      <c r="H1315" s="63" t="s">
        <v>195</v>
      </c>
      <c r="I1315" s="64" t="s">
        <v>267</v>
      </c>
      <c r="J1315" s="65" t="str">
        <f>IFERROR(INDEX('Cost_Components'!$K$2:$K$27,MATCH(E1315,'Cost_Components'!$A$2:$A$27,0)),"")</f>
      </c>
      <c r="K1315" s="66" t="str">
        <f>IF(OR(L1315="",Z1315="",AA1315="",AB1315=""),"",IF(B1315&lt;AA1315,L1315,IF(B1315&gt;AB1315,Z1315,L1315+(Z1315-L1315)*MIN(MAX((B1315-AA1315+1)/MAX(AB1315-AA1315+1,1),0),1))))</f>
      </c>
      <c r="L1315" s="67" t="str">
        <f>IFERROR(INDEX('Cost_Components'!$S$2:$S$27,MATCH(E1315,'Cost_Components'!$A$2:$A$27,0)),"")</f>
      </c>
      <c r="M1315" s="68" t="str">
        <f>IFERROR(INDEX('Cost_Components'!$L$2:$L$27,MATCH(E1315,'Cost_Components'!$A$2:$A$27,0)),"")</f>
      </c>
      <c r="N1315" s="69" t="str">
        <f>IFERROR(INDEX('Cost_Components'!$P$2:$P$27,MATCH(E1315,'Cost_Components'!$A$2:$A$27,0)),"")</f>
      </c>
      <c r="O1315" s="70" t="str">
        <f>AF1315*J1315</f>
      </c>
      <c r="P1315" s="71" t="str">
        <f>AG1315*J1315</f>
      </c>
      <c r="Q1315" s="72" t="str">
        <f>P1315*L1315*M1315*N1315</f>
      </c>
      <c r="R1315" s="73" t="str">
        <f>O1315*K1315*M1315*N1315</f>
      </c>
      <c r="S1315" s="74" t="str">
        <f>R1315-Q1315</f>
      </c>
      <c r="T1315" s="20" t="str">
        <f>IFERROR(INDEX('Cost_Components'!$R$2:$R$27,MATCH(E1315,'Cost_Components'!$A$2:$A$27,0)),"")</f>
      </c>
      <c r="U1315" s="75" t="str">
        <f>IFERROR(INDEX('Cost_Components'!$Q$2:$Q$27,MATCH(E1315,'Cost_Components'!$A$2:$A$27,0)),"")</f>
      </c>
      <c r="V1315" s="76" t="str">
        <f>1/(1+'Calculation_Assumptions'!$B$5)^(B1315-'Calculation_Assumptions'!$B$2)</f>
      </c>
      <c r="W1315" s="77" t="str">
        <f>Q1315*V1315</f>
      </c>
      <c r="X1315" s="78" t="str">
        <f>R1315*V1315</f>
      </c>
      <c r="Y1315" s="79" t="str">
        <f>S1315*V1315</f>
      </c>
      <c r="Z1315" s="80" t="str">
        <f>IFERROR(INDEX('Cost_Components'!$T$2:$T$27,MATCH(E1315,'Cost_Components'!$A$2:$A$27,0)),"")</f>
      </c>
      <c r="AA1315" s="81" t="str">
        <f>IFERROR(INDEX('Cost_Components'!$U$2:$U$27,MATCH(E1315,'Cost_Components'!$A$2:$A$27,0)),"")</f>
      </c>
      <c r="AB1315" s="82" t="str">
        <f>IFERROR(INDEX('Cost_Components'!$V$2:$V$27,MATCH(E1315,'Cost_Components'!$A$2:$A$27,0)),"")</f>
      </c>
      <c r="AC1315" s="83" t="str">
        <f>IFERROR(INDEX('Cost_Components'!$M$2:$M$27,MATCH(E1315,'Cost_Components'!$A$2:$A$27,0)),"")</f>
      </c>
      <c r="AD1315" s="84" t="str">
        <f>IFERROR(INDEX('Cost_Components'!$N$2:$N$27,MATCH(E1315,'Cost_Components'!$A$2:$A$27,0)),"")</f>
      </c>
      <c r="AE1315" s="20" t="str">
        <f>IFERROR(INDEX('Cost_Components'!$O$2:$O$27,MATCH(E1315,'Cost_Components'!$A$2:$A$27,0)),"")</f>
      </c>
      <c r="AF1315" s="85" t="n">
        <v>3570152.19717696</v>
      </c>
      <c r="AG1315" s="86" t="n">
        <v>3775472.58492593</v>
      </c>
      <c r="AH1315" s="87" t="str">
        <f>IF(H1315="shared-count-once",COUNTIFS($A$2:$A$1353,A1315,$B$2:$B$1353,B1315,$E$2:$E$1353,E1315),1)</f>
      </c>
    </row>
    <row r="1316">
      <c r="A1316" t="s">
        <v>75</v>
      </c>
      <c r="B1316" s="59" t="n">
        <v>2039</v>
      </c>
      <c r="C1316" t="s">
        <v>220</v>
      </c>
      <c r="D1316" t="s">
        <v>184</v>
      </c>
      <c r="E1316" s="60" t="s">
        <v>320</v>
      </c>
      <c r="F1316" s="61" t="s">
        <v>321</v>
      </c>
      <c r="G1316" s="62" t="s">
        <v>224</v>
      </c>
      <c r="H1316" s="63" t="s">
        <v>195</v>
      </c>
      <c r="I1316" s="64" t="s">
        <v>267</v>
      </c>
      <c r="J1316" s="65" t="str">
        <f>IFERROR(INDEX('Cost_Components'!$K$2:$K$27,MATCH(E1316,'Cost_Components'!$A$2:$A$27,0)),"")</f>
      </c>
      <c r="K1316" s="66" t="str">
        <f>IF(OR(L1316="",Z1316="",AA1316="",AB1316=""),"",IF(B1316&lt;AA1316,L1316,IF(B1316&gt;AB1316,Z1316,L1316+(Z1316-L1316)*MIN(MAX((B1316-AA1316+1)/MAX(AB1316-AA1316+1,1),0),1))))</f>
      </c>
      <c r="L1316" s="67" t="str">
        <f>IFERROR(INDEX('Cost_Components'!$S$2:$S$27,MATCH(E1316,'Cost_Components'!$A$2:$A$27,0)),"")</f>
      </c>
      <c r="M1316" s="68" t="str">
        <f>IFERROR(INDEX('Cost_Components'!$L$2:$L$27,MATCH(E1316,'Cost_Components'!$A$2:$A$27,0)),"")</f>
      </c>
      <c r="N1316" s="69" t="str">
        <f>IFERROR(INDEX('Cost_Components'!$P$2:$P$27,MATCH(E1316,'Cost_Components'!$A$2:$A$27,0)),"")</f>
      </c>
      <c r="O1316" s="70" t="str">
        <f>AF1316*J1316</f>
      </c>
      <c r="P1316" s="71" t="str">
        <f>AG1316*J1316</f>
      </c>
      <c r="Q1316" s="72" t="str">
        <f>P1316*L1316*M1316*N1316</f>
      </c>
      <c r="R1316" s="73" t="str">
        <f>O1316*K1316*M1316*N1316</f>
      </c>
      <c r="S1316" s="74" t="str">
        <f>R1316-Q1316</f>
      </c>
      <c r="T1316" s="20" t="str">
        <f>IFERROR(INDEX('Cost_Components'!$R$2:$R$27,MATCH(E1316,'Cost_Components'!$A$2:$A$27,0)),"")</f>
      </c>
      <c r="U1316" s="75" t="str">
        <f>IFERROR(INDEX('Cost_Components'!$Q$2:$Q$27,MATCH(E1316,'Cost_Components'!$A$2:$A$27,0)),"")</f>
      </c>
      <c r="V1316" s="76" t="str">
        <f>1/(1+'Calculation_Assumptions'!$B$5)^(B1316-'Calculation_Assumptions'!$B$2)</f>
      </c>
      <c r="W1316" s="77" t="str">
        <f>Q1316*V1316</f>
      </c>
      <c r="X1316" s="78" t="str">
        <f>R1316*V1316</f>
      </c>
      <c r="Y1316" s="79" t="str">
        <f>S1316*V1316</f>
      </c>
      <c r="Z1316" s="80" t="str">
        <f>IFERROR(INDEX('Cost_Components'!$T$2:$T$27,MATCH(E1316,'Cost_Components'!$A$2:$A$27,0)),"")</f>
      </c>
      <c r="AA1316" s="81" t="str">
        <f>IFERROR(INDEX('Cost_Components'!$U$2:$U$27,MATCH(E1316,'Cost_Components'!$A$2:$A$27,0)),"")</f>
      </c>
      <c r="AB1316" s="82" t="str">
        <f>IFERROR(INDEX('Cost_Components'!$V$2:$V$27,MATCH(E1316,'Cost_Components'!$A$2:$A$27,0)),"")</f>
      </c>
      <c r="AC1316" s="83" t="str">
        <f>IFERROR(INDEX('Cost_Components'!$M$2:$M$27,MATCH(E1316,'Cost_Components'!$A$2:$A$27,0)),"")</f>
      </c>
      <c r="AD1316" s="84" t="str">
        <f>IFERROR(INDEX('Cost_Components'!$N$2:$N$27,MATCH(E1316,'Cost_Components'!$A$2:$A$27,0)),"")</f>
      </c>
      <c r="AE1316" s="20" t="str">
        <f>IFERROR(INDEX('Cost_Components'!$O$2:$O$27,MATCH(E1316,'Cost_Components'!$A$2:$A$27,0)),"")</f>
      </c>
      <c r="AF1316" s="85" t="n">
        <v>3598342.89779857</v>
      </c>
      <c r="AG1316" s="86" t="n">
        <v>3829480.21439614</v>
      </c>
      <c r="AH1316" s="87" t="str">
        <f>IF(H1316="shared-count-once",COUNTIFS($A$2:$A$1353,A1316,$B$2:$B$1353,B1316,$E$2:$E$1353,E1316),1)</f>
      </c>
    </row>
    <row r="1317">
      <c r="A1317" t="s">
        <v>75</v>
      </c>
      <c r="B1317" s="59" t="n">
        <v>2040</v>
      </c>
      <c r="C1317" t="s">
        <v>220</v>
      </c>
      <c r="D1317" t="s">
        <v>184</v>
      </c>
      <c r="E1317" s="60" t="s">
        <v>320</v>
      </c>
      <c r="F1317" s="61" t="s">
        <v>321</v>
      </c>
      <c r="G1317" s="62" t="s">
        <v>224</v>
      </c>
      <c r="H1317" s="63" t="s">
        <v>195</v>
      </c>
      <c r="I1317" s="64" t="s">
        <v>267</v>
      </c>
      <c r="J1317" s="65" t="str">
        <f>IFERROR(INDEX('Cost_Components'!$K$2:$K$27,MATCH(E1317,'Cost_Components'!$A$2:$A$27,0)),"")</f>
      </c>
      <c r="K1317" s="66" t="str">
        <f>IF(OR(L1317="",Z1317="",AA1317="",AB1317=""),"",IF(B1317&lt;AA1317,L1317,IF(B1317&gt;AB1317,Z1317,L1317+(Z1317-L1317)*MIN(MAX((B1317-AA1317+1)/MAX(AB1317-AA1317+1,1),0),1))))</f>
      </c>
      <c r="L1317" s="67" t="str">
        <f>IFERROR(INDEX('Cost_Components'!$S$2:$S$27,MATCH(E1317,'Cost_Components'!$A$2:$A$27,0)),"")</f>
      </c>
      <c r="M1317" s="68" t="str">
        <f>IFERROR(INDEX('Cost_Components'!$L$2:$L$27,MATCH(E1317,'Cost_Components'!$A$2:$A$27,0)),"")</f>
      </c>
      <c r="N1317" s="69" t="str">
        <f>IFERROR(INDEX('Cost_Components'!$P$2:$P$27,MATCH(E1317,'Cost_Components'!$A$2:$A$27,0)),"")</f>
      </c>
      <c r="O1317" s="70" t="str">
        <f>AF1317*J1317</f>
      </c>
      <c r="P1317" s="71" t="str">
        <f>AG1317*J1317</f>
      </c>
      <c r="Q1317" s="72" t="str">
        <f>P1317*L1317*M1317*N1317</f>
      </c>
      <c r="R1317" s="73" t="str">
        <f>O1317*K1317*M1317*N1317</f>
      </c>
      <c r="S1317" s="74" t="str">
        <f>R1317-Q1317</f>
      </c>
      <c r="T1317" s="20" t="str">
        <f>IFERROR(INDEX('Cost_Components'!$R$2:$R$27,MATCH(E1317,'Cost_Components'!$A$2:$A$27,0)),"")</f>
      </c>
      <c r="U1317" s="75" t="str">
        <f>IFERROR(INDEX('Cost_Components'!$Q$2:$Q$27,MATCH(E1317,'Cost_Components'!$A$2:$A$27,0)),"")</f>
      </c>
      <c r="V1317" s="76" t="str">
        <f>1/(1+'Calculation_Assumptions'!$B$5)^(B1317-'Calculation_Assumptions'!$B$2)</f>
      </c>
      <c r="W1317" s="77" t="str">
        <f>Q1317*V1317</f>
      </c>
      <c r="X1317" s="78" t="str">
        <f>R1317*V1317</f>
      </c>
      <c r="Y1317" s="79" t="str">
        <f>S1317*V1317</f>
      </c>
      <c r="Z1317" s="80" t="str">
        <f>IFERROR(INDEX('Cost_Components'!$T$2:$T$27,MATCH(E1317,'Cost_Components'!$A$2:$A$27,0)),"")</f>
      </c>
      <c r="AA1317" s="81" t="str">
        <f>IFERROR(INDEX('Cost_Components'!$U$2:$U$27,MATCH(E1317,'Cost_Components'!$A$2:$A$27,0)),"")</f>
      </c>
      <c r="AB1317" s="82" t="str">
        <f>IFERROR(INDEX('Cost_Components'!$V$2:$V$27,MATCH(E1317,'Cost_Components'!$A$2:$A$27,0)),"")</f>
      </c>
      <c r="AC1317" s="83" t="str">
        <f>IFERROR(INDEX('Cost_Components'!$M$2:$M$27,MATCH(E1317,'Cost_Components'!$A$2:$A$27,0)),"")</f>
      </c>
      <c r="AD1317" s="84" t="str">
        <f>IFERROR(INDEX('Cost_Components'!$N$2:$N$27,MATCH(E1317,'Cost_Components'!$A$2:$A$27,0)),"")</f>
      </c>
      <c r="AE1317" s="20" t="str">
        <f>IFERROR(INDEX('Cost_Components'!$O$2:$O$27,MATCH(E1317,'Cost_Components'!$A$2:$A$27,0)),"")</f>
      </c>
      <c r="AF1317" s="85" t="n">
        <v>3625498.85666568</v>
      </c>
      <c r="AG1317" s="86" t="n">
        <v>3883598.89791547</v>
      </c>
      <c r="AH1317" s="87" t="str">
        <f>IF(H1317="shared-count-once",COUNTIFS($A$2:$A$1353,A1317,$B$2:$B$1353,B1317,$E$2:$E$1353,E1317),1)</f>
      </c>
    </row>
    <row r="1318">
      <c r="A1318" t="s">
        <v>75</v>
      </c>
      <c r="B1318" s="59" t="n">
        <v>2041</v>
      </c>
      <c r="C1318" t="s">
        <v>220</v>
      </c>
      <c r="D1318" t="s">
        <v>184</v>
      </c>
      <c r="E1318" s="60" t="s">
        <v>320</v>
      </c>
      <c r="F1318" s="61" t="s">
        <v>321</v>
      </c>
      <c r="G1318" s="62" t="s">
        <v>224</v>
      </c>
      <c r="H1318" s="63" t="s">
        <v>195</v>
      </c>
      <c r="I1318" s="64" t="s">
        <v>267</v>
      </c>
      <c r="J1318" s="65" t="str">
        <f>IFERROR(INDEX('Cost_Components'!$K$2:$K$27,MATCH(E1318,'Cost_Components'!$A$2:$A$27,0)),"")</f>
      </c>
      <c r="K1318" s="66" t="str">
        <f>IF(OR(L1318="",Z1318="",AA1318="",AB1318=""),"",IF(B1318&lt;AA1318,L1318,IF(B1318&gt;AB1318,Z1318,L1318+(Z1318-L1318)*MIN(MAX((B1318-AA1318+1)/MAX(AB1318-AA1318+1,1),0),1))))</f>
      </c>
      <c r="L1318" s="67" t="str">
        <f>IFERROR(INDEX('Cost_Components'!$S$2:$S$27,MATCH(E1318,'Cost_Components'!$A$2:$A$27,0)),"")</f>
      </c>
      <c r="M1318" s="68" t="str">
        <f>IFERROR(INDEX('Cost_Components'!$L$2:$L$27,MATCH(E1318,'Cost_Components'!$A$2:$A$27,0)),"")</f>
      </c>
      <c r="N1318" s="69" t="str">
        <f>IFERROR(INDEX('Cost_Components'!$P$2:$P$27,MATCH(E1318,'Cost_Components'!$A$2:$A$27,0)),"")</f>
      </c>
      <c r="O1318" s="70" t="str">
        <f>AF1318*J1318</f>
      </c>
      <c r="P1318" s="71" t="str">
        <f>AG1318*J1318</f>
      </c>
      <c r="Q1318" s="72" t="str">
        <f>P1318*L1318*M1318*N1318</f>
      </c>
      <c r="R1318" s="73" t="str">
        <f>O1318*K1318*M1318*N1318</f>
      </c>
      <c r="S1318" s="74" t="str">
        <f>R1318-Q1318</f>
      </c>
      <c r="T1318" s="20" t="str">
        <f>IFERROR(INDEX('Cost_Components'!$R$2:$R$27,MATCH(E1318,'Cost_Components'!$A$2:$A$27,0)),"")</f>
      </c>
      <c r="U1318" s="75" t="str">
        <f>IFERROR(INDEX('Cost_Components'!$Q$2:$Q$27,MATCH(E1318,'Cost_Components'!$A$2:$A$27,0)),"")</f>
      </c>
      <c r="V1318" s="76" t="str">
        <f>1/(1+'Calculation_Assumptions'!$B$5)^(B1318-'Calculation_Assumptions'!$B$2)</f>
      </c>
      <c r="W1318" s="77" t="str">
        <f>Q1318*V1318</f>
      </c>
      <c r="X1318" s="78" t="str">
        <f>R1318*V1318</f>
      </c>
      <c r="Y1318" s="79" t="str">
        <f>S1318*V1318</f>
      </c>
      <c r="Z1318" s="80" t="str">
        <f>IFERROR(INDEX('Cost_Components'!$T$2:$T$27,MATCH(E1318,'Cost_Components'!$A$2:$A$27,0)),"")</f>
      </c>
      <c r="AA1318" s="81" t="str">
        <f>IFERROR(INDEX('Cost_Components'!$U$2:$U$27,MATCH(E1318,'Cost_Components'!$A$2:$A$27,0)),"")</f>
      </c>
      <c r="AB1318" s="82" t="str">
        <f>IFERROR(INDEX('Cost_Components'!$V$2:$V$27,MATCH(E1318,'Cost_Components'!$A$2:$A$27,0)),"")</f>
      </c>
      <c r="AC1318" s="83" t="str">
        <f>IFERROR(INDEX('Cost_Components'!$M$2:$M$27,MATCH(E1318,'Cost_Components'!$A$2:$A$27,0)),"")</f>
      </c>
      <c r="AD1318" s="84" t="str">
        <f>IFERROR(INDEX('Cost_Components'!$N$2:$N$27,MATCH(E1318,'Cost_Components'!$A$2:$A$27,0)),"")</f>
      </c>
      <c r="AE1318" s="20" t="str">
        <f>IFERROR(INDEX('Cost_Components'!$O$2:$O$27,MATCH(E1318,'Cost_Components'!$A$2:$A$27,0)),"")</f>
      </c>
      <c r="AF1318" s="85" t="n">
        <v>3651454.8547008</v>
      </c>
      <c r="AG1318" s="86" t="n">
        <v>3937634.1299724</v>
      </c>
      <c r="AH1318" s="87" t="str">
        <f>IF(H1318="shared-count-once",COUNTIFS($A$2:$A$1353,A1318,$B$2:$B$1353,B1318,$E$2:$E$1353,E1318),1)</f>
      </c>
    </row>
    <row r="1319">
      <c r="A1319" t="s">
        <v>75</v>
      </c>
      <c r="B1319" s="59" t="n">
        <v>2042</v>
      </c>
      <c r="C1319" t="s">
        <v>220</v>
      </c>
      <c r="D1319" t="s">
        <v>184</v>
      </c>
      <c r="E1319" s="60" t="s">
        <v>320</v>
      </c>
      <c r="F1319" s="61" t="s">
        <v>321</v>
      </c>
      <c r="G1319" s="62" t="s">
        <v>224</v>
      </c>
      <c r="H1319" s="63" t="s">
        <v>195</v>
      </c>
      <c r="I1319" s="64" t="s">
        <v>267</v>
      </c>
      <c r="J1319" s="65" t="str">
        <f>IFERROR(INDEX('Cost_Components'!$K$2:$K$27,MATCH(E1319,'Cost_Components'!$A$2:$A$27,0)),"")</f>
      </c>
      <c r="K1319" s="66" t="str">
        <f>IF(OR(L1319="",Z1319="",AA1319="",AB1319=""),"",IF(B1319&lt;AA1319,L1319,IF(B1319&gt;AB1319,Z1319,L1319+(Z1319-L1319)*MIN(MAX((B1319-AA1319+1)/MAX(AB1319-AA1319+1,1),0),1))))</f>
      </c>
      <c r="L1319" s="67" t="str">
        <f>IFERROR(INDEX('Cost_Components'!$S$2:$S$27,MATCH(E1319,'Cost_Components'!$A$2:$A$27,0)),"")</f>
      </c>
      <c r="M1319" s="68" t="str">
        <f>IFERROR(INDEX('Cost_Components'!$L$2:$L$27,MATCH(E1319,'Cost_Components'!$A$2:$A$27,0)),"")</f>
      </c>
      <c r="N1319" s="69" t="str">
        <f>IFERROR(INDEX('Cost_Components'!$P$2:$P$27,MATCH(E1319,'Cost_Components'!$A$2:$A$27,0)),"")</f>
      </c>
      <c r="O1319" s="70" t="str">
        <f>AF1319*J1319</f>
      </c>
      <c r="P1319" s="71" t="str">
        <f>AG1319*J1319</f>
      </c>
      <c r="Q1319" s="72" t="str">
        <f>P1319*L1319*M1319*N1319</f>
      </c>
      <c r="R1319" s="73" t="str">
        <f>O1319*K1319*M1319*N1319</f>
      </c>
      <c r="S1319" s="74" t="str">
        <f>R1319-Q1319</f>
      </c>
      <c r="T1319" s="20" t="str">
        <f>IFERROR(INDEX('Cost_Components'!$R$2:$R$27,MATCH(E1319,'Cost_Components'!$A$2:$A$27,0)),"")</f>
      </c>
      <c r="U1319" s="75" t="str">
        <f>IFERROR(INDEX('Cost_Components'!$Q$2:$Q$27,MATCH(E1319,'Cost_Components'!$A$2:$A$27,0)),"")</f>
      </c>
      <c r="V1319" s="76" t="str">
        <f>1/(1+'Calculation_Assumptions'!$B$5)^(B1319-'Calculation_Assumptions'!$B$2)</f>
      </c>
      <c r="W1319" s="77" t="str">
        <f>Q1319*V1319</f>
      </c>
      <c r="X1319" s="78" t="str">
        <f>R1319*V1319</f>
      </c>
      <c r="Y1319" s="79" t="str">
        <f>S1319*V1319</f>
      </c>
      <c r="Z1319" s="80" t="str">
        <f>IFERROR(INDEX('Cost_Components'!$T$2:$T$27,MATCH(E1319,'Cost_Components'!$A$2:$A$27,0)),"")</f>
      </c>
      <c r="AA1319" s="81" t="str">
        <f>IFERROR(INDEX('Cost_Components'!$U$2:$U$27,MATCH(E1319,'Cost_Components'!$A$2:$A$27,0)),"")</f>
      </c>
      <c r="AB1319" s="82" t="str">
        <f>IFERROR(INDEX('Cost_Components'!$V$2:$V$27,MATCH(E1319,'Cost_Components'!$A$2:$A$27,0)),"")</f>
      </c>
      <c r="AC1319" s="83" t="str">
        <f>IFERROR(INDEX('Cost_Components'!$M$2:$M$27,MATCH(E1319,'Cost_Components'!$A$2:$A$27,0)),"")</f>
      </c>
      <c r="AD1319" s="84" t="str">
        <f>IFERROR(INDEX('Cost_Components'!$N$2:$N$27,MATCH(E1319,'Cost_Components'!$A$2:$A$27,0)),"")</f>
      </c>
      <c r="AE1319" s="20" t="str">
        <f>IFERROR(INDEX('Cost_Components'!$O$2:$O$27,MATCH(E1319,'Cost_Components'!$A$2:$A$27,0)),"")</f>
      </c>
      <c r="AF1319" s="85" t="n">
        <v>3676353.59686615</v>
      </c>
      <c r="AG1319" s="86" t="n">
        <v>3991736.16905114</v>
      </c>
      <c r="AH1319" s="87" t="str">
        <f>IF(H1319="shared-count-once",COUNTIFS($A$2:$A$1353,A1319,$B$2:$B$1353,B1319,$E$2:$E$1353,E1319),1)</f>
      </c>
    </row>
    <row r="1320">
      <c r="A1320" t="s">
        <v>75</v>
      </c>
      <c r="B1320" s="59" t="n">
        <v>2043</v>
      </c>
      <c r="C1320" t="s">
        <v>220</v>
      </c>
      <c r="D1320" t="s">
        <v>184</v>
      </c>
      <c r="E1320" s="60" t="s">
        <v>320</v>
      </c>
      <c r="F1320" s="61" t="s">
        <v>321</v>
      </c>
      <c r="G1320" s="62" t="s">
        <v>224</v>
      </c>
      <c r="H1320" s="63" t="s">
        <v>195</v>
      </c>
      <c r="I1320" s="64" t="s">
        <v>267</v>
      </c>
      <c r="J1320" s="65" t="str">
        <f>IFERROR(INDEX('Cost_Components'!$K$2:$K$27,MATCH(E1320,'Cost_Components'!$A$2:$A$27,0)),"")</f>
      </c>
      <c r="K1320" s="66" t="str">
        <f>IF(OR(L1320="",Z1320="",AA1320="",AB1320=""),"",IF(B1320&lt;AA1320,L1320,IF(B1320&gt;AB1320,Z1320,L1320+(Z1320-L1320)*MIN(MAX((B1320-AA1320+1)/MAX(AB1320-AA1320+1,1),0),1))))</f>
      </c>
      <c r="L1320" s="67" t="str">
        <f>IFERROR(INDEX('Cost_Components'!$S$2:$S$27,MATCH(E1320,'Cost_Components'!$A$2:$A$27,0)),"")</f>
      </c>
      <c r="M1320" s="68" t="str">
        <f>IFERROR(INDEX('Cost_Components'!$L$2:$L$27,MATCH(E1320,'Cost_Components'!$A$2:$A$27,0)),"")</f>
      </c>
      <c r="N1320" s="69" t="str">
        <f>IFERROR(INDEX('Cost_Components'!$P$2:$P$27,MATCH(E1320,'Cost_Components'!$A$2:$A$27,0)),"")</f>
      </c>
      <c r="O1320" s="70" t="str">
        <f>AF1320*J1320</f>
      </c>
      <c r="P1320" s="71" t="str">
        <f>AG1320*J1320</f>
      </c>
      <c r="Q1320" s="72" t="str">
        <f>P1320*L1320*M1320*N1320</f>
      </c>
      <c r="R1320" s="73" t="str">
        <f>O1320*K1320*M1320*N1320</f>
      </c>
      <c r="S1320" s="74" t="str">
        <f>R1320-Q1320</f>
      </c>
      <c r="T1320" s="20" t="str">
        <f>IFERROR(INDEX('Cost_Components'!$R$2:$R$27,MATCH(E1320,'Cost_Components'!$A$2:$A$27,0)),"")</f>
      </c>
      <c r="U1320" s="75" t="str">
        <f>IFERROR(INDEX('Cost_Components'!$Q$2:$Q$27,MATCH(E1320,'Cost_Components'!$A$2:$A$27,0)),"")</f>
      </c>
      <c r="V1320" s="76" t="str">
        <f>1/(1+'Calculation_Assumptions'!$B$5)^(B1320-'Calculation_Assumptions'!$B$2)</f>
      </c>
      <c r="W1320" s="77" t="str">
        <f>Q1320*V1320</f>
      </c>
      <c r="X1320" s="78" t="str">
        <f>R1320*V1320</f>
      </c>
      <c r="Y1320" s="79" t="str">
        <f>S1320*V1320</f>
      </c>
      <c r="Z1320" s="80" t="str">
        <f>IFERROR(INDEX('Cost_Components'!$T$2:$T$27,MATCH(E1320,'Cost_Components'!$A$2:$A$27,0)),"")</f>
      </c>
      <c r="AA1320" s="81" t="str">
        <f>IFERROR(INDEX('Cost_Components'!$U$2:$U$27,MATCH(E1320,'Cost_Components'!$A$2:$A$27,0)),"")</f>
      </c>
      <c r="AB1320" s="82" t="str">
        <f>IFERROR(INDEX('Cost_Components'!$V$2:$V$27,MATCH(E1320,'Cost_Components'!$A$2:$A$27,0)),"")</f>
      </c>
      <c r="AC1320" s="83" t="str">
        <f>IFERROR(INDEX('Cost_Components'!$M$2:$M$27,MATCH(E1320,'Cost_Components'!$A$2:$A$27,0)),"")</f>
      </c>
      <c r="AD1320" s="84" t="str">
        <f>IFERROR(INDEX('Cost_Components'!$N$2:$N$27,MATCH(E1320,'Cost_Components'!$A$2:$A$27,0)),"")</f>
      </c>
      <c r="AE1320" s="20" t="str">
        <f>IFERROR(INDEX('Cost_Components'!$O$2:$O$27,MATCH(E1320,'Cost_Components'!$A$2:$A$27,0)),"")</f>
      </c>
      <c r="AF1320" s="85" t="n">
        <v>3699919.49499372</v>
      </c>
      <c r="AG1320" s="86" t="n">
        <v>4045667.2624209</v>
      </c>
      <c r="AH1320" s="87" t="str">
        <f>IF(H1320="shared-count-once",COUNTIFS($A$2:$A$1353,A1320,$B$2:$B$1353,B1320,$E$2:$E$1353,E1320),1)</f>
      </c>
    </row>
    <row r="1321">
      <c r="A1321" t="s">
        <v>75</v>
      </c>
      <c r="B1321" s="59" t="n">
        <v>2044</v>
      </c>
      <c r="C1321" t="s">
        <v>220</v>
      </c>
      <c r="D1321" t="s">
        <v>184</v>
      </c>
      <c r="E1321" s="60" t="s">
        <v>320</v>
      </c>
      <c r="F1321" s="61" t="s">
        <v>321</v>
      </c>
      <c r="G1321" s="62" t="s">
        <v>224</v>
      </c>
      <c r="H1321" s="63" t="s">
        <v>195</v>
      </c>
      <c r="I1321" s="64" t="s">
        <v>267</v>
      </c>
      <c r="J1321" s="65" t="str">
        <f>IFERROR(INDEX('Cost_Components'!$K$2:$K$27,MATCH(E1321,'Cost_Components'!$A$2:$A$27,0)),"")</f>
      </c>
      <c r="K1321" s="66" t="str">
        <f>IF(OR(L1321="",Z1321="",AA1321="",AB1321=""),"",IF(B1321&lt;AA1321,L1321,IF(B1321&gt;AB1321,Z1321,L1321+(Z1321-L1321)*MIN(MAX((B1321-AA1321+1)/MAX(AB1321-AA1321+1,1),0),1))))</f>
      </c>
      <c r="L1321" s="67" t="str">
        <f>IFERROR(INDEX('Cost_Components'!$S$2:$S$27,MATCH(E1321,'Cost_Components'!$A$2:$A$27,0)),"")</f>
      </c>
      <c r="M1321" s="68" t="str">
        <f>IFERROR(INDEX('Cost_Components'!$L$2:$L$27,MATCH(E1321,'Cost_Components'!$A$2:$A$27,0)),"")</f>
      </c>
      <c r="N1321" s="69" t="str">
        <f>IFERROR(INDEX('Cost_Components'!$P$2:$P$27,MATCH(E1321,'Cost_Components'!$A$2:$A$27,0)),"")</f>
      </c>
      <c r="O1321" s="70" t="str">
        <f>AF1321*J1321</f>
      </c>
      <c r="P1321" s="71" t="str">
        <f>AG1321*J1321</f>
      </c>
      <c r="Q1321" s="72" t="str">
        <f>P1321*L1321*M1321*N1321</f>
      </c>
      <c r="R1321" s="73" t="str">
        <f>O1321*K1321*M1321*N1321</f>
      </c>
      <c r="S1321" s="74" t="str">
        <f>R1321-Q1321</f>
      </c>
      <c r="T1321" s="20" t="str">
        <f>IFERROR(INDEX('Cost_Components'!$R$2:$R$27,MATCH(E1321,'Cost_Components'!$A$2:$A$27,0)),"")</f>
      </c>
      <c r="U1321" s="75" t="str">
        <f>IFERROR(INDEX('Cost_Components'!$Q$2:$Q$27,MATCH(E1321,'Cost_Components'!$A$2:$A$27,0)),"")</f>
      </c>
      <c r="V1321" s="76" t="str">
        <f>1/(1+'Calculation_Assumptions'!$B$5)^(B1321-'Calculation_Assumptions'!$B$2)</f>
      </c>
      <c r="W1321" s="77" t="str">
        <f>Q1321*V1321</f>
      </c>
      <c r="X1321" s="78" t="str">
        <f>R1321*V1321</f>
      </c>
      <c r="Y1321" s="79" t="str">
        <f>S1321*V1321</f>
      </c>
      <c r="Z1321" s="80" t="str">
        <f>IFERROR(INDEX('Cost_Components'!$T$2:$T$27,MATCH(E1321,'Cost_Components'!$A$2:$A$27,0)),"")</f>
      </c>
      <c r="AA1321" s="81" t="str">
        <f>IFERROR(INDEX('Cost_Components'!$U$2:$U$27,MATCH(E1321,'Cost_Components'!$A$2:$A$27,0)),"")</f>
      </c>
      <c r="AB1321" s="82" t="str">
        <f>IFERROR(INDEX('Cost_Components'!$V$2:$V$27,MATCH(E1321,'Cost_Components'!$A$2:$A$27,0)),"")</f>
      </c>
      <c r="AC1321" s="83" t="str">
        <f>IFERROR(INDEX('Cost_Components'!$M$2:$M$27,MATCH(E1321,'Cost_Components'!$A$2:$A$27,0)),"")</f>
      </c>
      <c r="AD1321" s="84" t="str">
        <f>IFERROR(INDEX('Cost_Components'!$N$2:$N$27,MATCH(E1321,'Cost_Components'!$A$2:$A$27,0)),"")</f>
      </c>
      <c r="AE1321" s="20" t="str">
        <f>IFERROR(INDEX('Cost_Components'!$O$2:$O$27,MATCH(E1321,'Cost_Components'!$A$2:$A$27,0)),"")</f>
      </c>
      <c r="AF1321" s="85" t="n">
        <v>3721434.20350833</v>
      </c>
      <c r="AG1321" s="86" t="n">
        <v>4098192.61525517</v>
      </c>
      <c r="AH1321" s="87" t="str">
        <f>IF(H1321="shared-count-once",COUNTIFS($A$2:$A$1353,A1321,$B$2:$B$1353,B1321,$E$2:$E$1353,E1321),1)</f>
      </c>
    </row>
    <row r="1322">
      <c r="A1322" t="s">
        <v>75</v>
      </c>
      <c r="B1322" s="59" t="n">
        <v>2045</v>
      </c>
      <c r="C1322" t="s">
        <v>220</v>
      </c>
      <c r="D1322" t="s">
        <v>184</v>
      </c>
      <c r="E1322" s="60" t="s">
        <v>320</v>
      </c>
      <c r="F1322" s="61" t="s">
        <v>321</v>
      </c>
      <c r="G1322" s="62" t="s">
        <v>224</v>
      </c>
      <c r="H1322" s="63" t="s">
        <v>195</v>
      </c>
      <c r="I1322" s="64" t="s">
        <v>267</v>
      </c>
      <c r="J1322" s="65" t="str">
        <f>IFERROR(INDEX('Cost_Components'!$K$2:$K$27,MATCH(E1322,'Cost_Components'!$A$2:$A$27,0)),"")</f>
      </c>
      <c r="K1322" s="66" t="str">
        <f>IF(OR(L1322="",Z1322="",AA1322="",AB1322=""),"",IF(B1322&lt;AA1322,L1322,IF(B1322&gt;AB1322,Z1322,L1322+(Z1322-L1322)*MIN(MAX((B1322-AA1322+1)/MAX(AB1322-AA1322+1,1),0),1))))</f>
      </c>
      <c r="L1322" s="67" t="str">
        <f>IFERROR(INDEX('Cost_Components'!$S$2:$S$27,MATCH(E1322,'Cost_Components'!$A$2:$A$27,0)),"")</f>
      </c>
      <c r="M1322" s="68" t="str">
        <f>IFERROR(INDEX('Cost_Components'!$L$2:$L$27,MATCH(E1322,'Cost_Components'!$A$2:$A$27,0)),"")</f>
      </c>
      <c r="N1322" s="69" t="str">
        <f>IFERROR(INDEX('Cost_Components'!$P$2:$P$27,MATCH(E1322,'Cost_Components'!$A$2:$A$27,0)),"")</f>
      </c>
      <c r="O1322" s="70" t="str">
        <f>AF1322*J1322</f>
      </c>
      <c r="P1322" s="71" t="str">
        <f>AG1322*J1322</f>
      </c>
      <c r="Q1322" s="72" t="str">
        <f>P1322*L1322*M1322*N1322</f>
      </c>
      <c r="R1322" s="73" t="str">
        <f>O1322*K1322*M1322*N1322</f>
      </c>
      <c r="S1322" s="74" t="str">
        <f>R1322-Q1322</f>
      </c>
      <c r="T1322" s="20" t="str">
        <f>IFERROR(INDEX('Cost_Components'!$R$2:$R$27,MATCH(E1322,'Cost_Components'!$A$2:$A$27,0)),"")</f>
      </c>
      <c r="U1322" s="75" t="str">
        <f>IFERROR(INDEX('Cost_Components'!$Q$2:$Q$27,MATCH(E1322,'Cost_Components'!$A$2:$A$27,0)),"")</f>
      </c>
      <c r="V1322" s="76" t="str">
        <f>1/(1+'Calculation_Assumptions'!$B$5)^(B1322-'Calculation_Assumptions'!$B$2)</f>
      </c>
      <c r="W1322" s="77" t="str">
        <f>Q1322*V1322</f>
      </c>
      <c r="X1322" s="78" t="str">
        <f>R1322*V1322</f>
      </c>
      <c r="Y1322" s="79" t="str">
        <f>S1322*V1322</f>
      </c>
      <c r="Z1322" s="80" t="str">
        <f>IFERROR(INDEX('Cost_Components'!$T$2:$T$27,MATCH(E1322,'Cost_Components'!$A$2:$A$27,0)),"")</f>
      </c>
      <c r="AA1322" s="81" t="str">
        <f>IFERROR(INDEX('Cost_Components'!$U$2:$U$27,MATCH(E1322,'Cost_Components'!$A$2:$A$27,0)),"")</f>
      </c>
      <c r="AB1322" s="82" t="str">
        <f>IFERROR(INDEX('Cost_Components'!$V$2:$V$27,MATCH(E1322,'Cost_Components'!$A$2:$A$27,0)),"")</f>
      </c>
      <c r="AC1322" s="83" t="str">
        <f>IFERROR(INDEX('Cost_Components'!$M$2:$M$27,MATCH(E1322,'Cost_Components'!$A$2:$A$27,0)),"")</f>
      </c>
      <c r="AD1322" s="84" t="str">
        <f>IFERROR(INDEX('Cost_Components'!$N$2:$N$27,MATCH(E1322,'Cost_Components'!$A$2:$A$27,0)),"")</f>
      </c>
      <c r="AE1322" s="20" t="str">
        <f>IFERROR(INDEX('Cost_Components'!$O$2:$O$27,MATCH(E1322,'Cost_Components'!$A$2:$A$27,0)),"")</f>
      </c>
      <c r="AF1322" s="85" t="n">
        <v>3740584.24617917</v>
      </c>
      <c r="AG1322" s="86" t="n">
        <v>4149200.71005982</v>
      </c>
      <c r="AH1322" s="87" t="str">
        <f>IF(H1322="shared-count-once",COUNTIFS($A$2:$A$1353,A1322,$B$2:$B$1353,B1322,$E$2:$E$1353,E1322),1)</f>
      </c>
    </row>
    <row r="1323">
      <c r="A1323" t="s">
        <v>75</v>
      </c>
      <c r="B1323" s="59" t="n">
        <v>2046</v>
      </c>
      <c r="C1323" t="s">
        <v>220</v>
      </c>
      <c r="D1323" t="s">
        <v>184</v>
      </c>
      <c r="E1323" s="60" t="s">
        <v>320</v>
      </c>
      <c r="F1323" s="61" t="s">
        <v>321</v>
      </c>
      <c r="G1323" s="62" t="s">
        <v>224</v>
      </c>
      <c r="H1323" s="63" t="s">
        <v>195</v>
      </c>
      <c r="I1323" s="64" t="s">
        <v>267</v>
      </c>
      <c r="J1323" s="65" t="str">
        <f>IFERROR(INDEX('Cost_Components'!$K$2:$K$27,MATCH(E1323,'Cost_Components'!$A$2:$A$27,0)),"")</f>
      </c>
      <c r="K1323" s="66" t="str">
        <f>IF(OR(L1323="",Z1323="",AA1323="",AB1323=""),"",IF(B1323&lt;AA1323,L1323,IF(B1323&gt;AB1323,Z1323,L1323+(Z1323-L1323)*MIN(MAX((B1323-AA1323+1)/MAX(AB1323-AA1323+1,1),0),1))))</f>
      </c>
      <c r="L1323" s="67" t="str">
        <f>IFERROR(INDEX('Cost_Components'!$S$2:$S$27,MATCH(E1323,'Cost_Components'!$A$2:$A$27,0)),"")</f>
      </c>
      <c r="M1323" s="68" t="str">
        <f>IFERROR(INDEX('Cost_Components'!$L$2:$L$27,MATCH(E1323,'Cost_Components'!$A$2:$A$27,0)),"")</f>
      </c>
      <c r="N1323" s="69" t="str">
        <f>IFERROR(INDEX('Cost_Components'!$P$2:$P$27,MATCH(E1323,'Cost_Components'!$A$2:$A$27,0)),"")</f>
      </c>
      <c r="O1323" s="70" t="str">
        <f>AF1323*J1323</f>
      </c>
      <c r="P1323" s="71" t="str">
        <f>AG1323*J1323</f>
      </c>
      <c r="Q1323" s="72" t="str">
        <f>P1323*L1323*M1323*N1323</f>
      </c>
      <c r="R1323" s="73" t="str">
        <f>O1323*K1323*M1323*N1323</f>
      </c>
      <c r="S1323" s="74" t="str">
        <f>R1323-Q1323</f>
      </c>
      <c r="T1323" s="20" t="str">
        <f>IFERROR(INDEX('Cost_Components'!$R$2:$R$27,MATCH(E1323,'Cost_Components'!$A$2:$A$27,0)),"")</f>
      </c>
      <c r="U1323" s="75" t="str">
        <f>IFERROR(INDEX('Cost_Components'!$Q$2:$Q$27,MATCH(E1323,'Cost_Components'!$A$2:$A$27,0)),"")</f>
      </c>
      <c r="V1323" s="76" t="str">
        <f>1/(1+'Calculation_Assumptions'!$B$5)^(B1323-'Calculation_Assumptions'!$B$2)</f>
      </c>
      <c r="W1323" s="77" t="str">
        <f>Q1323*V1323</f>
      </c>
      <c r="X1323" s="78" t="str">
        <f>R1323*V1323</f>
      </c>
      <c r="Y1323" s="79" t="str">
        <f>S1323*V1323</f>
      </c>
      <c r="Z1323" s="80" t="str">
        <f>IFERROR(INDEX('Cost_Components'!$T$2:$T$27,MATCH(E1323,'Cost_Components'!$A$2:$A$27,0)),"")</f>
      </c>
      <c r="AA1323" s="81" t="str">
        <f>IFERROR(INDEX('Cost_Components'!$U$2:$U$27,MATCH(E1323,'Cost_Components'!$A$2:$A$27,0)),"")</f>
      </c>
      <c r="AB1323" s="82" t="str">
        <f>IFERROR(INDEX('Cost_Components'!$V$2:$V$27,MATCH(E1323,'Cost_Components'!$A$2:$A$27,0)),"")</f>
      </c>
      <c r="AC1323" s="83" t="str">
        <f>IFERROR(INDEX('Cost_Components'!$M$2:$M$27,MATCH(E1323,'Cost_Components'!$A$2:$A$27,0)),"")</f>
      </c>
      <c r="AD1323" s="84" t="str">
        <f>IFERROR(INDEX('Cost_Components'!$N$2:$N$27,MATCH(E1323,'Cost_Components'!$A$2:$A$27,0)),"")</f>
      </c>
      <c r="AE1323" s="20" t="str">
        <f>IFERROR(INDEX('Cost_Components'!$O$2:$O$27,MATCH(E1323,'Cost_Components'!$A$2:$A$27,0)),"")</f>
      </c>
      <c r="AF1323" s="85" t="n">
        <v>3757221.0248127</v>
      </c>
      <c r="AG1323" s="86" t="n">
        <v>4198546.30462015</v>
      </c>
      <c r="AH1323" s="87" t="str">
        <f>IF(H1323="shared-count-once",COUNTIFS($A$2:$A$1353,A1323,$B$2:$B$1353,B1323,$E$2:$E$1353,E1323),1)</f>
      </c>
    </row>
    <row r="1324">
      <c r="A1324" t="s">
        <v>75</v>
      </c>
      <c r="B1324" s="59" t="n">
        <v>2047</v>
      </c>
      <c r="C1324" t="s">
        <v>220</v>
      </c>
      <c r="D1324" t="s">
        <v>184</v>
      </c>
      <c r="E1324" s="60" t="s">
        <v>320</v>
      </c>
      <c r="F1324" s="61" t="s">
        <v>321</v>
      </c>
      <c r="G1324" s="62" t="s">
        <v>224</v>
      </c>
      <c r="H1324" s="63" t="s">
        <v>195</v>
      </c>
      <c r="I1324" s="64" t="s">
        <v>267</v>
      </c>
      <c r="J1324" s="65" t="str">
        <f>IFERROR(INDEX('Cost_Components'!$K$2:$K$27,MATCH(E1324,'Cost_Components'!$A$2:$A$27,0)),"")</f>
      </c>
      <c r="K1324" s="66" t="str">
        <f>IF(OR(L1324="",Z1324="",AA1324="",AB1324=""),"",IF(B1324&lt;AA1324,L1324,IF(B1324&gt;AB1324,Z1324,L1324+(Z1324-L1324)*MIN(MAX((B1324-AA1324+1)/MAX(AB1324-AA1324+1,1),0),1))))</f>
      </c>
      <c r="L1324" s="67" t="str">
        <f>IFERROR(INDEX('Cost_Components'!$S$2:$S$27,MATCH(E1324,'Cost_Components'!$A$2:$A$27,0)),"")</f>
      </c>
      <c r="M1324" s="68" t="str">
        <f>IFERROR(INDEX('Cost_Components'!$L$2:$L$27,MATCH(E1324,'Cost_Components'!$A$2:$A$27,0)),"")</f>
      </c>
      <c r="N1324" s="69" t="str">
        <f>IFERROR(INDEX('Cost_Components'!$P$2:$P$27,MATCH(E1324,'Cost_Components'!$A$2:$A$27,0)),"")</f>
      </c>
      <c r="O1324" s="70" t="str">
        <f>AF1324*J1324</f>
      </c>
      <c r="P1324" s="71" t="str">
        <f>AG1324*J1324</f>
      </c>
      <c r="Q1324" s="72" t="str">
        <f>P1324*L1324*M1324*N1324</f>
      </c>
      <c r="R1324" s="73" t="str">
        <f>O1324*K1324*M1324*N1324</f>
      </c>
      <c r="S1324" s="74" t="str">
        <f>R1324-Q1324</f>
      </c>
      <c r="T1324" s="20" t="str">
        <f>IFERROR(INDEX('Cost_Components'!$R$2:$R$27,MATCH(E1324,'Cost_Components'!$A$2:$A$27,0)),"")</f>
      </c>
      <c r="U1324" s="75" t="str">
        <f>IFERROR(INDEX('Cost_Components'!$Q$2:$Q$27,MATCH(E1324,'Cost_Components'!$A$2:$A$27,0)),"")</f>
      </c>
      <c r="V1324" s="76" t="str">
        <f>1/(1+'Calculation_Assumptions'!$B$5)^(B1324-'Calculation_Assumptions'!$B$2)</f>
      </c>
      <c r="W1324" s="77" t="str">
        <f>Q1324*V1324</f>
      </c>
      <c r="X1324" s="78" t="str">
        <f>R1324*V1324</f>
      </c>
      <c r="Y1324" s="79" t="str">
        <f>S1324*V1324</f>
      </c>
      <c r="Z1324" s="80" t="str">
        <f>IFERROR(INDEX('Cost_Components'!$T$2:$T$27,MATCH(E1324,'Cost_Components'!$A$2:$A$27,0)),"")</f>
      </c>
      <c r="AA1324" s="81" t="str">
        <f>IFERROR(INDEX('Cost_Components'!$U$2:$U$27,MATCH(E1324,'Cost_Components'!$A$2:$A$27,0)),"")</f>
      </c>
      <c r="AB1324" s="82" t="str">
        <f>IFERROR(INDEX('Cost_Components'!$V$2:$V$27,MATCH(E1324,'Cost_Components'!$A$2:$A$27,0)),"")</f>
      </c>
      <c r="AC1324" s="83" t="str">
        <f>IFERROR(INDEX('Cost_Components'!$M$2:$M$27,MATCH(E1324,'Cost_Components'!$A$2:$A$27,0)),"")</f>
      </c>
      <c r="AD1324" s="84" t="str">
        <f>IFERROR(INDEX('Cost_Components'!$N$2:$N$27,MATCH(E1324,'Cost_Components'!$A$2:$A$27,0)),"")</f>
      </c>
      <c r="AE1324" s="20" t="str">
        <f>IFERROR(INDEX('Cost_Components'!$O$2:$O$27,MATCH(E1324,'Cost_Components'!$A$2:$A$27,0)),"")</f>
      </c>
      <c r="AF1324" s="85" t="n">
        <v>3771202.91153412</v>
      </c>
      <c r="AG1324" s="86" t="n">
        <v>4246148.41293331</v>
      </c>
      <c r="AH1324" s="87" t="str">
        <f>IF(H1324="shared-count-once",COUNTIFS($A$2:$A$1353,A1324,$B$2:$B$1353,B1324,$E$2:$E$1353,E1324),1)</f>
      </c>
    </row>
    <row r="1325">
      <c r="A1325" t="s">
        <v>75</v>
      </c>
      <c r="B1325" s="59" t="n">
        <v>2048</v>
      </c>
      <c r="C1325" t="s">
        <v>220</v>
      </c>
      <c r="D1325" t="s">
        <v>184</v>
      </c>
      <c r="E1325" s="60" t="s">
        <v>320</v>
      </c>
      <c r="F1325" s="61" t="s">
        <v>321</v>
      </c>
      <c r="G1325" s="62" t="s">
        <v>224</v>
      </c>
      <c r="H1325" s="63" t="s">
        <v>195</v>
      </c>
      <c r="I1325" s="64" t="s">
        <v>267</v>
      </c>
      <c r="J1325" s="65" t="str">
        <f>IFERROR(INDEX('Cost_Components'!$K$2:$K$27,MATCH(E1325,'Cost_Components'!$A$2:$A$27,0)),"")</f>
      </c>
      <c r="K1325" s="66" t="str">
        <f>IF(OR(L1325="",Z1325="",AA1325="",AB1325=""),"",IF(B1325&lt;AA1325,L1325,IF(B1325&gt;AB1325,Z1325,L1325+(Z1325-L1325)*MIN(MAX((B1325-AA1325+1)/MAX(AB1325-AA1325+1,1),0),1))))</f>
      </c>
      <c r="L1325" s="67" t="str">
        <f>IFERROR(INDEX('Cost_Components'!$S$2:$S$27,MATCH(E1325,'Cost_Components'!$A$2:$A$27,0)),"")</f>
      </c>
      <c r="M1325" s="68" t="str">
        <f>IFERROR(INDEX('Cost_Components'!$L$2:$L$27,MATCH(E1325,'Cost_Components'!$A$2:$A$27,0)),"")</f>
      </c>
      <c r="N1325" s="69" t="str">
        <f>IFERROR(INDEX('Cost_Components'!$P$2:$P$27,MATCH(E1325,'Cost_Components'!$A$2:$A$27,0)),"")</f>
      </c>
      <c r="O1325" s="70" t="str">
        <f>AF1325*J1325</f>
      </c>
      <c r="P1325" s="71" t="str">
        <f>AG1325*J1325</f>
      </c>
      <c r="Q1325" s="72" t="str">
        <f>P1325*L1325*M1325*N1325</f>
      </c>
      <c r="R1325" s="73" t="str">
        <f>O1325*K1325*M1325*N1325</f>
      </c>
      <c r="S1325" s="74" t="str">
        <f>R1325-Q1325</f>
      </c>
      <c r="T1325" s="20" t="str">
        <f>IFERROR(INDEX('Cost_Components'!$R$2:$R$27,MATCH(E1325,'Cost_Components'!$A$2:$A$27,0)),"")</f>
      </c>
      <c r="U1325" s="75" t="str">
        <f>IFERROR(INDEX('Cost_Components'!$Q$2:$Q$27,MATCH(E1325,'Cost_Components'!$A$2:$A$27,0)),"")</f>
      </c>
      <c r="V1325" s="76" t="str">
        <f>1/(1+'Calculation_Assumptions'!$B$5)^(B1325-'Calculation_Assumptions'!$B$2)</f>
      </c>
      <c r="W1325" s="77" t="str">
        <f>Q1325*V1325</f>
      </c>
      <c r="X1325" s="78" t="str">
        <f>R1325*V1325</f>
      </c>
      <c r="Y1325" s="79" t="str">
        <f>S1325*V1325</f>
      </c>
      <c r="Z1325" s="80" t="str">
        <f>IFERROR(INDEX('Cost_Components'!$T$2:$T$27,MATCH(E1325,'Cost_Components'!$A$2:$A$27,0)),"")</f>
      </c>
      <c r="AA1325" s="81" t="str">
        <f>IFERROR(INDEX('Cost_Components'!$U$2:$U$27,MATCH(E1325,'Cost_Components'!$A$2:$A$27,0)),"")</f>
      </c>
      <c r="AB1325" s="82" t="str">
        <f>IFERROR(INDEX('Cost_Components'!$V$2:$V$27,MATCH(E1325,'Cost_Components'!$A$2:$A$27,0)),"")</f>
      </c>
      <c r="AC1325" s="83" t="str">
        <f>IFERROR(INDEX('Cost_Components'!$M$2:$M$27,MATCH(E1325,'Cost_Components'!$A$2:$A$27,0)),"")</f>
      </c>
      <c r="AD1325" s="84" t="str">
        <f>IFERROR(INDEX('Cost_Components'!$N$2:$N$27,MATCH(E1325,'Cost_Components'!$A$2:$A$27,0)),"")</f>
      </c>
      <c r="AE1325" s="20" t="str">
        <f>IFERROR(INDEX('Cost_Components'!$O$2:$O$27,MATCH(E1325,'Cost_Components'!$A$2:$A$27,0)),"")</f>
      </c>
      <c r="AF1325" s="85" t="n">
        <v>3783721.96867022</v>
      </c>
      <c r="AG1325" s="86" t="n">
        <v>4293214.6864212</v>
      </c>
      <c r="AH1325" s="87" t="str">
        <f>IF(H1325="shared-count-once",COUNTIFS($A$2:$A$1353,A1325,$B$2:$B$1353,B1325,$E$2:$E$1353,E1325),1)</f>
      </c>
    </row>
    <row r="1326">
      <c r="A1326" t="s">
        <v>75</v>
      </c>
      <c r="B1326" s="59" t="n">
        <v>2049</v>
      </c>
      <c r="C1326" t="s">
        <v>220</v>
      </c>
      <c r="D1326" t="s">
        <v>184</v>
      </c>
      <c r="E1326" s="60" t="s">
        <v>320</v>
      </c>
      <c r="F1326" s="61" t="s">
        <v>321</v>
      </c>
      <c r="G1326" s="62" t="s">
        <v>224</v>
      </c>
      <c r="H1326" s="63" t="s">
        <v>195</v>
      </c>
      <c r="I1326" s="64" t="s">
        <v>267</v>
      </c>
      <c r="J1326" s="65" t="str">
        <f>IFERROR(INDEX('Cost_Components'!$K$2:$K$27,MATCH(E1326,'Cost_Components'!$A$2:$A$27,0)),"")</f>
      </c>
      <c r="K1326" s="66" t="str">
        <f>IF(OR(L1326="",Z1326="",AA1326="",AB1326=""),"",IF(B1326&lt;AA1326,L1326,IF(B1326&gt;AB1326,Z1326,L1326+(Z1326-L1326)*MIN(MAX((B1326-AA1326+1)/MAX(AB1326-AA1326+1,1),0),1))))</f>
      </c>
      <c r="L1326" s="67" t="str">
        <f>IFERROR(INDEX('Cost_Components'!$S$2:$S$27,MATCH(E1326,'Cost_Components'!$A$2:$A$27,0)),"")</f>
      </c>
      <c r="M1326" s="68" t="str">
        <f>IFERROR(INDEX('Cost_Components'!$L$2:$L$27,MATCH(E1326,'Cost_Components'!$A$2:$A$27,0)),"")</f>
      </c>
      <c r="N1326" s="69" t="str">
        <f>IFERROR(INDEX('Cost_Components'!$P$2:$P$27,MATCH(E1326,'Cost_Components'!$A$2:$A$27,0)),"")</f>
      </c>
      <c r="O1326" s="70" t="str">
        <f>AF1326*J1326</f>
      </c>
      <c r="P1326" s="71" t="str">
        <f>AG1326*J1326</f>
      </c>
      <c r="Q1326" s="72" t="str">
        <f>P1326*L1326*M1326*N1326</f>
      </c>
      <c r="R1326" s="73" t="str">
        <f>O1326*K1326*M1326*N1326</f>
      </c>
      <c r="S1326" s="74" t="str">
        <f>R1326-Q1326</f>
      </c>
      <c r="T1326" s="20" t="str">
        <f>IFERROR(INDEX('Cost_Components'!$R$2:$R$27,MATCH(E1326,'Cost_Components'!$A$2:$A$27,0)),"")</f>
      </c>
      <c r="U1326" s="75" t="str">
        <f>IFERROR(INDEX('Cost_Components'!$Q$2:$Q$27,MATCH(E1326,'Cost_Components'!$A$2:$A$27,0)),"")</f>
      </c>
      <c r="V1326" s="76" t="str">
        <f>1/(1+'Calculation_Assumptions'!$B$5)^(B1326-'Calculation_Assumptions'!$B$2)</f>
      </c>
      <c r="W1326" s="77" t="str">
        <f>Q1326*V1326</f>
      </c>
      <c r="X1326" s="78" t="str">
        <f>R1326*V1326</f>
      </c>
      <c r="Y1326" s="79" t="str">
        <f>S1326*V1326</f>
      </c>
      <c r="Z1326" s="80" t="str">
        <f>IFERROR(INDEX('Cost_Components'!$T$2:$T$27,MATCH(E1326,'Cost_Components'!$A$2:$A$27,0)),"")</f>
      </c>
      <c r="AA1326" s="81" t="str">
        <f>IFERROR(INDEX('Cost_Components'!$U$2:$U$27,MATCH(E1326,'Cost_Components'!$A$2:$A$27,0)),"")</f>
      </c>
      <c r="AB1326" s="82" t="str">
        <f>IFERROR(INDEX('Cost_Components'!$V$2:$V$27,MATCH(E1326,'Cost_Components'!$A$2:$A$27,0)),"")</f>
      </c>
      <c r="AC1326" s="83" t="str">
        <f>IFERROR(INDEX('Cost_Components'!$M$2:$M$27,MATCH(E1326,'Cost_Components'!$A$2:$A$27,0)),"")</f>
      </c>
      <c r="AD1326" s="84" t="str">
        <f>IFERROR(INDEX('Cost_Components'!$N$2:$N$27,MATCH(E1326,'Cost_Components'!$A$2:$A$27,0)),"")</f>
      </c>
      <c r="AE1326" s="20" t="str">
        <f>IFERROR(INDEX('Cost_Components'!$O$2:$O$27,MATCH(E1326,'Cost_Components'!$A$2:$A$27,0)),"")</f>
      </c>
      <c r="AF1326" s="85" t="n">
        <v>3794248.83486323</v>
      </c>
      <c r="AG1326" s="86" t="n">
        <v>4338658.76537223</v>
      </c>
      <c r="AH1326" s="87" t="str">
        <f>IF(H1326="shared-count-once",COUNTIFS($A$2:$A$1353,A1326,$B$2:$B$1353,B1326,$E$2:$E$1353,E1326),1)</f>
      </c>
    </row>
    <row r="1327">
      <c r="A1327" t="s">
        <v>75</v>
      </c>
      <c r="B1327" s="59" t="n">
        <v>2050</v>
      </c>
      <c r="C1327" t="s">
        <v>220</v>
      </c>
      <c r="D1327" t="s">
        <v>184</v>
      </c>
      <c r="E1327" s="60" t="s">
        <v>320</v>
      </c>
      <c r="F1327" s="61" t="s">
        <v>321</v>
      </c>
      <c r="G1327" s="62" t="s">
        <v>224</v>
      </c>
      <c r="H1327" s="63" t="s">
        <v>195</v>
      </c>
      <c r="I1327" s="64" t="s">
        <v>267</v>
      </c>
      <c r="J1327" s="65" t="str">
        <f>IFERROR(INDEX('Cost_Components'!$K$2:$K$27,MATCH(E1327,'Cost_Components'!$A$2:$A$27,0)),"")</f>
      </c>
      <c r="K1327" s="66" t="str">
        <f>IF(OR(L1327="",Z1327="",AA1327="",AB1327=""),"",IF(B1327&lt;AA1327,L1327,IF(B1327&gt;AB1327,Z1327,L1327+(Z1327-L1327)*MIN(MAX((B1327-AA1327+1)/MAX(AB1327-AA1327+1,1),0),1))))</f>
      </c>
      <c r="L1327" s="67" t="str">
        <f>IFERROR(INDEX('Cost_Components'!$S$2:$S$27,MATCH(E1327,'Cost_Components'!$A$2:$A$27,0)),"")</f>
      </c>
      <c r="M1327" s="68" t="str">
        <f>IFERROR(INDEX('Cost_Components'!$L$2:$L$27,MATCH(E1327,'Cost_Components'!$A$2:$A$27,0)),"")</f>
      </c>
      <c r="N1327" s="69" t="str">
        <f>IFERROR(INDEX('Cost_Components'!$P$2:$P$27,MATCH(E1327,'Cost_Components'!$A$2:$A$27,0)),"")</f>
      </c>
      <c r="O1327" s="70" t="str">
        <f>AF1327*J1327</f>
      </c>
      <c r="P1327" s="71" t="str">
        <f>AG1327*J1327</f>
      </c>
      <c r="Q1327" s="72" t="str">
        <f>P1327*L1327*M1327*N1327</f>
      </c>
      <c r="R1327" s="73" t="str">
        <f>O1327*K1327*M1327*N1327</f>
      </c>
      <c r="S1327" s="74" t="str">
        <f>R1327-Q1327</f>
      </c>
      <c r="T1327" s="20" t="str">
        <f>IFERROR(INDEX('Cost_Components'!$R$2:$R$27,MATCH(E1327,'Cost_Components'!$A$2:$A$27,0)),"")</f>
      </c>
      <c r="U1327" s="75" t="str">
        <f>IFERROR(INDEX('Cost_Components'!$Q$2:$Q$27,MATCH(E1327,'Cost_Components'!$A$2:$A$27,0)),"")</f>
      </c>
      <c r="V1327" s="76" t="str">
        <f>1/(1+'Calculation_Assumptions'!$B$5)^(B1327-'Calculation_Assumptions'!$B$2)</f>
      </c>
      <c r="W1327" s="77" t="str">
        <f>Q1327*V1327</f>
      </c>
      <c r="X1327" s="78" t="str">
        <f>R1327*V1327</f>
      </c>
      <c r="Y1327" s="79" t="str">
        <f>S1327*V1327</f>
      </c>
      <c r="Z1327" s="80" t="str">
        <f>IFERROR(INDEX('Cost_Components'!$T$2:$T$27,MATCH(E1327,'Cost_Components'!$A$2:$A$27,0)),"")</f>
      </c>
      <c r="AA1327" s="81" t="str">
        <f>IFERROR(INDEX('Cost_Components'!$U$2:$U$27,MATCH(E1327,'Cost_Components'!$A$2:$A$27,0)),"")</f>
      </c>
      <c r="AB1327" s="82" t="str">
        <f>IFERROR(INDEX('Cost_Components'!$V$2:$V$27,MATCH(E1327,'Cost_Components'!$A$2:$A$27,0)),"")</f>
      </c>
      <c r="AC1327" s="83" t="str">
        <f>IFERROR(INDEX('Cost_Components'!$M$2:$M$27,MATCH(E1327,'Cost_Components'!$A$2:$A$27,0)),"")</f>
      </c>
      <c r="AD1327" s="84" t="str">
        <f>IFERROR(INDEX('Cost_Components'!$N$2:$N$27,MATCH(E1327,'Cost_Components'!$A$2:$A$27,0)),"")</f>
      </c>
      <c r="AE1327" s="20" t="str">
        <f>IFERROR(INDEX('Cost_Components'!$O$2:$O$27,MATCH(E1327,'Cost_Components'!$A$2:$A$27,0)),"")</f>
      </c>
      <c r="AF1327" s="85" t="n">
        <v>3802715.1446055</v>
      </c>
      <c r="AG1327" s="86" t="n">
        <v>4382641.21298528</v>
      </c>
      <c r="AH1327" s="87" t="str">
        <f>IF(H1327="shared-count-once",COUNTIFS($A$2:$A$1353,A1327,$B$2:$B$1353,B1327,$E$2:$E$1353,E1327),1)</f>
      </c>
    </row>
    <row r="1328">
      <c r="A1328" t="s">
        <v>75</v>
      </c>
      <c r="B1328" s="59" t="n">
        <v>2025</v>
      </c>
      <c r="C1328" t="s">
        <v>226</v>
      </c>
      <c r="D1328" t="s">
        <v>230</v>
      </c>
      <c r="E1328" s="60" t="s">
        <v>322</v>
      </c>
      <c r="F1328" s="61" t="s">
        <v>323</v>
      </c>
      <c r="G1328" s="62" t="s">
        <v>227</v>
      </c>
      <c r="H1328" s="63" t="s">
        <v>195</v>
      </c>
      <c r="I1328" s="64" t="s">
        <v>267</v>
      </c>
      <c r="J1328" s="65" t="str">
        <f>IFERROR(INDEX('Cost_Components'!$K$2:$K$27,MATCH(E1328,'Cost_Components'!$A$2:$A$27,0)),"")</f>
      </c>
      <c r="K1328" s="66" t="str">
        <f>IF(OR(L1328="",Z1328="",AA1328="",AB1328=""),"",IF(B1328&lt;AA1328,L1328,IF(B1328&gt;AB1328,Z1328,L1328+(Z1328-L1328)*MIN(MAX((B1328-AA1328+1)/MAX(AB1328-AA1328+1,1),0),1))))</f>
      </c>
      <c r="L1328" s="67" t="str">
        <f>IFERROR(INDEX('Cost_Components'!$S$2:$S$27,MATCH(E1328,'Cost_Components'!$A$2:$A$27,0)),"")</f>
      </c>
      <c r="M1328" s="68" t="str">
        <f>IFERROR(INDEX('Cost_Components'!$L$2:$L$27,MATCH(E1328,'Cost_Components'!$A$2:$A$27,0)),"")</f>
      </c>
      <c r="N1328" s="69" t="str">
        <f>IFERROR(INDEX('Cost_Components'!$P$2:$P$27,MATCH(E1328,'Cost_Components'!$A$2:$A$27,0)),"")</f>
      </c>
      <c r="O1328" s="70" t="str">
        <f>AF1328*J1328</f>
      </c>
      <c r="P1328" s="71" t="str">
        <f>AG1328*J1328</f>
      </c>
      <c r="Q1328" s="72" t="str">
        <f>P1328*L1328*M1328*N1328</f>
      </c>
      <c r="R1328" s="73" t="str">
        <f>O1328*K1328*M1328*N1328</f>
      </c>
      <c r="S1328" s="74" t="str">
        <f>R1328-Q1328</f>
      </c>
      <c r="T1328" s="20" t="str">
        <f>IFERROR(INDEX('Cost_Components'!$R$2:$R$27,MATCH(E1328,'Cost_Components'!$A$2:$A$27,0)),"")</f>
      </c>
      <c r="U1328" s="75" t="str">
        <f>IFERROR(INDEX('Cost_Components'!$Q$2:$Q$27,MATCH(E1328,'Cost_Components'!$A$2:$A$27,0)),"")</f>
      </c>
      <c r="V1328" s="76" t="str">
        <f>1/(1+'Calculation_Assumptions'!$B$5)^(B1328-'Calculation_Assumptions'!$B$2)</f>
      </c>
      <c r="W1328" s="77" t="str">
        <f>Q1328*V1328</f>
      </c>
      <c r="X1328" s="78" t="str">
        <f>R1328*V1328</f>
      </c>
      <c r="Y1328" s="79" t="str">
        <f>S1328*V1328</f>
      </c>
      <c r="Z1328" s="80" t="str">
        <f>IFERROR(INDEX('Cost_Components'!$T$2:$T$27,MATCH(E1328,'Cost_Components'!$A$2:$A$27,0)),"")</f>
      </c>
      <c r="AA1328" s="81" t="str">
        <f>IFERROR(INDEX('Cost_Components'!$U$2:$U$27,MATCH(E1328,'Cost_Components'!$A$2:$A$27,0)),"")</f>
      </c>
      <c r="AB1328" s="82" t="str">
        <f>IFERROR(INDEX('Cost_Components'!$V$2:$V$27,MATCH(E1328,'Cost_Components'!$A$2:$A$27,0)),"")</f>
      </c>
      <c r="AC1328" s="83" t="str">
        <f>IFERROR(INDEX('Cost_Components'!$M$2:$M$27,MATCH(E1328,'Cost_Components'!$A$2:$A$27,0)),"")</f>
      </c>
      <c r="AD1328" s="84" t="str">
        <f>IFERROR(INDEX('Cost_Components'!$N$2:$N$27,MATCH(E1328,'Cost_Components'!$A$2:$A$27,0)),"")</f>
      </c>
      <c r="AE1328" s="20" t="str">
        <f>IFERROR(INDEX('Cost_Components'!$O$2:$O$27,MATCH(E1328,'Cost_Components'!$A$2:$A$27,0)),"")</f>
      </c>
      <c r="AF1328" s="85" t="n">
        <v>16583866.0506206</v>
      </c>
      <c r="AG1328" s="86" t="n">
        <v>16583118.4095299</v>
      </c>
      <c r="AH1328" s="87" t="str">
        <f>IF(H1328="shared-count-once",COUNTIFS($A$2:$A$1353,A1328,$B$2:$B$1353,B1328,$E$2:$E$1353,E1328),1)</f>
      </c>
    </row>
    <row r="1329">
      <c r="A1329" t="s">
        <v>75</v>
      </c>
      <c r="B1329" s="59" t="n">
        <v>2026</v>
      </c>
      <c r="C1329" t="s">
        <v>226</v>
      </c>
      <c r="D1329" t="s">
        <v>230</v>
      </c>
      <c r="E1329" s="60" t="s">
        <v>322</v>
      </c>
      <c r="F1329" s="61" t="s">
        <v>323</v>
      </c>
      <c r="G1329" s="62" t="s">
        <v>227</v>
      </c>
      <c r="H1329" s="63" t="s">
        <v>195</v>
      </c>
      <c r="I1329" s="64" t="s">
        <v>267</v>
      </c>
      <c r="J1329" s="65" t="str">
        <f>IFERROR(INDEX('Cost_Components'!$K$2:$K$27,MATCH(E1329,'Cost_Components'!$A$2:$A$27,0)),"")</f>
      </c>
      <c r="K1329" s="66" t="str">
        <f>IF(OR(L1329="",Z1329="",AA1329="",AB1329=""),"",IF(B1329&lt;AA1329,L1329,IF(B1329&gt;AB1329,Z1329,L1329+(Z1329-L1329)*MIN(MAX((B1329-AA1329+1)/MAX(AB1329-AA1329+1,1),0),1))))</f>
      </c>
      <c r="L1329" s="67" t="str">
        <f>IFERROR(INDEX('Cost_Components'!$S$2:$S$27,MATCH(E1329,'Cost_Components'!$A$2:$A$27,0)),"")</f>
      </c>
      <c r="M1329" s="68" t="str">
        <f>IFERROR(INDEX('Cost_Components'!$L$2:$L$27,MATCH(E1329,'Cost_Components'!$A$2:$A$27,0)),"")</f>
      </c>
      <c r="N1329" s="69" t="str">
        <f>IFERROR(INDEX('Cost_Components'!$P$2:$P$27,MATCH(E1329,'Cost_Components'!$A$2:$A$27,0)),"")</f>
      </c>
      <c r="O1329" s="70" t="str">
        <f>AF1329*J1329</f>
      </c>
      <c r="P1329" s="71" t="str">
        <f>AG1329*J1329</f>
      </c>
      <c r="Q1329" s="72" t="str">
        <f>P1329*L1329*M1329*N1329</f>
      </c>
      <c r="R1329" s="73" t="str">
        <f>O1329*K1329*M1329*N1329</f>
      </c>
      <c r="S1329" s="74" t="str">
        <f>R1329-Q1329</f>
      </c>
      <c r="T1329" s="20" t="str">
        <f>IFERROR(INDEX('Cost_Components'!$R$2:$R$27,MATCH(E1329,'Cost_Components'!$A$2:$A$27,0)),"")</f>
      </c>
      <c r="U1329" s="75" t="str">
        <f>IFERROR(INDEX('Cost_Components'!$Q$2:$Q$27,MATCH(E1329,'Cost_Components'!$A$2:$A$27,0)),"")</f>
      </c>
      <c r="V1329" s="76" t="str">
        <f>1/(1+'Calculation_Assumptions'!$B$5)^(B1329-'Calculation_Assumptions'!$B$2)</f>
      </c>
      <c r="W1329" s="77" t="str">
        <f>Q1329*V1329</f>
      </c>
      <c r="X1329" s="78" t="str">
        <f>R1329*V1329</f>
      </c>
      <c r="Y1329" s="79" t="str">
        <f>S1329*V1329</f>
      </c>
      <c r="Z1329" s="80" t="str">
        <f>IFERROR(INDEX('Cost_Components'!$T$2:$T$27,MATCH(E1329,'Cost_Components'!$A$2:$A$27,0)),"")</f>
      </c>
      <c r="AA1329" s="81" t="str">
        <f>IFERROR(INDEX('Cost_Components'!$U$2:$U$27,MATCH(E1329,'Cost_Components'!$A$2:$A$27,0)),"")</f>
      </c>
      <c r="AB1329" s="82" t="str">
        <f>IFERROR(INDEX('Cost_Components'!$V$2:$V$27,MATCH(E1329,'Cost_Components'!$A$2:$A$27,0)),"")</f>
      </c>
      <c r="AC1329" s="83" t="str">
        <f>IFERROR(INDEX('Cost_Components'!$M$2:$M$27,MATCH(E1329,'Cost_Components'!$A$2:$A$27,0)),"")</f>
      </c>
      <c r="AD1329" s="84" t="str">
        <f>IFERROR(INDEX('Cost_Components'!$N$2:$N$27,MATCH(E1329,'Cost_Components'!$A$2:$A$27,0)),"")</f>
      </c>
      <c r="AE1329" s="20" t="str">
        <f>IFERROR(INDEX('Cost_Components'!$O$2:$O$27,MATCH(E1329,'Cost_Components'!$A$2:$A$27,0)),"")</f>
      </c>
      <c r="AF1329" s="85" t="n">
        <v>17226121.3699716</v>
      </c>
      <c r="AG1329" s="86" t="n">
        <v>17223813.9034495</v>
      </c>
      <c r="AH1329" s="87" t="str">
        <f>IF(H1329="shared-count-once",COUNTIFS($A$2:$A$1353,A1329,$B$2:$B$1353,B1329,$E$2:$E$1353,E1329),1)</f>
      </c>
    </row>
    <row r="1330">
      <c r="A1330" t="s">
        <v>75</v>
      </c>
      <c r="B1330" s="59" t="n">
        <v>2027</v>
      </c>
      <c r="C1330" t="s">
        <v>226</v>
      </c>
      <c r="D1330" t="s">
        <v>230</v>
      </c>
      <c r="E1330" s="60" t="s">
        <v>322</v>
      </c>
      <c r="F1330" s="61" t="s">
        <v>323</v>
      </c>
      <c r="G1330" s="62" t="s">
        <v>227</v>
      </c>
      <c r="H1330" s="63" t="s">
        <v>195</v>
      </c>
      <c r="I1330" s="64" t="s">
        <v>267</v>
      </c>
      <c r="J1330" s="65" t="str">
        <f>IFERROR(INDEX('Cost_Components'!$K$2:$K$27,MATCH(E1330,'Cost_Components'!$A$2:$A$27,0)),"")</f>
      </c>
      <c r="K1330" s="66" t="str">
        <f>IF(OR(L1330="",Z1330="",AA1330="",AB1330=""),"",IF(B1330&lt;AA1330,L1330,IF(B1330&gt;AB1330,Z1330,L1330+(Z1330-L1330)*MIN(MAX((B1330-AA1330+1)/MAX(AB1330-AA1330+1,1),0),1))))</f>
      </c>
      <c r="L1330" s="67" t="str">
        <f>IFERROR(INDEX('Cost_Components'!$S$2:$S$27,MATCH(E1330,'Cost_Components'!$A$2:$A$27,0)),"")</f>
      </c>
      <c r="M1330" s="68" t="str">
        <f>IFERROR(INDEX('Cost_Components'!$L$2:$L$27,MATCH(E1330,'Cost_Components'!$A$2:$A$27,0)),"")</f>
      </c>
      <c r="N1330" s="69" t="str">
        <f>IFERROR(INDEX('Cost_Components'!$P$2:$P$27,MATCH(E1330,'Cost_Components'!$A$2:$A$27,0)),"")</f>
      </c>
      <c r="O1330" s="70" t="str">
        <f>AF1330*J1330</f>
      </c>
      <c r="P1330" s="71" t="str">
        <f>AG1330*J1330</f>
      </c>
      <c r="Q1330" s="72" t="str">
        <f>P1330*L1330*M1330*N1330</f>
      </c>
      <c r="R1330" s="73" t="str">
        <f>O1330*K1330*M1330*N1330</f>
      </c>
      <c r="S1330" s="74" t="str">
        <f>R1330-Q1330</f>
      </c>
      <c r="T1330" s="20" t="str">
        <f>IFERROR(INDEX('Cost_Components'!$R$2:$R$27,MATCH(E1330,'Cost_Components'!$A$2:$A$27,0)),"")</f>
      </c>
      <c r="U1330" s="75" t="str">
        <f>IFERROR(INDEX('Cost_Components'!$Q$2:$Q$27,MATCH(E1330,'Cost_Components'!$A$2:$A$27,0)),"")</f>
      </c>
      <c r="V1330" s="76" t="str">
        <f>1/(1+'Calculation_Assumptions'!$B$5)^(B1330-'Calculation_Assumptions'!$B$2)</f>
      </c>
      <c r="W1330" s="77" t="str">
        <f>Q1330*V1330</f>
      </c>
      <c r="X1330" s="78" t="str">
        <f>R1330*V1330</f>
      </c>
      <c r="Y1330" s="79" t="str">
        <f>S1330*V1330</f>
      </c>
      <c r="Z1330" s="80" t="str">
        <f>IFERROR(INDEX('Cost_Components'!$T$2:$T$27,MATCH(E1330,'Cost_Components'!$A$2:$A$27,0)),"")</f>
      </c>
      <c r="AA1330" s="81" t="str">
        <f>IFERROR(INDEX('Cost_Components'!$U$2:$U$27,MATCH(E1330,'Cost_Components'!$A$2:$A$27,0)),"")</f>
      </c>
      <c r="AB1330" s="82" t="str">
        <f>IFERROR(INDEX('Cost_Components'!$V$2:$V$27,MATCH(E1330,'Cost_Components'!$A$2:$A$27,0)),"")</f>
      </c>
      <c r="AC1330" s="83" t="str">
        <f>IFERROR(INDEX('Cost_Components'!$M$2:$M$27,MATCH(E1330,'Cost_Components'!$A$2:$A$27,0)),"")</f>
      </c>
      <c r="AD1330" s="84" t="str">
        <f>IFERROR(INDEX('Cost_Components'!$N$2:$N$27,MATCH(E1330,'Cost_Components'!$A$2:$A$27,0)),"")</f>
      </c>
      <c r="AE1330" s="20" t="str">
        <f>IFERROR(INDEX('Cost_Components'!$O$2:$O$27,MATCH(E1330,'Cost_Components'!$A$2:$A$27,0)),"")</f>
      </c>
      <c r="AF1330" s="85" t="n">
        <v>17860483.4199278</v>
      </c>
      <c r="AG1330" s="86" t="n">
        <v>17855733.6663566</v>
      </c>
      <c r="AH1330" s="87" t="str">
        <f>IF(H1330="shared-count-once",COUNTIFS($A$2:$A$1353,A1330,$B$2:$B$1353,B1330,$E$2:$E$1353,E1330),1)</f>
      </c>
    </row>
    <row r="1331">
      <c r="A1331" t="s">
        <v>75</v>
      </c>
      <c r="B1331" s="59" t="n">
        <v>2028</v>
      </c>
      <c r="C1331" t="s">
        <v>226</v>
      </c>
      <c r="D1331" t="s">
        <v>230</v>
      </c>
      <c r="E1331" s="60" t="s">
        <v>322</v>
      </c>
      <c r="F1331" s="61" t="s">
        <v>323</v>
      </c>
      <c r="G1331" s="62" t="s">
        <v>227</v>
      </c>
      <c r="H1331" s="63" t="s">
        <v>195</v>
      </c>
      <c r="I1331" s="64" t="s">
        <v>267</v>
      </c>
      <c r="J1331" s="65" t="str">
        <f>IFERROR(INDEX('Cost_Components'!$K$2:$K$27,MATCH(E1331,'Cost_Components'!$A$2:$A$27,0)),"")</f>
      </c>
      <c r="K1331" s="66" t="str">
        <f>IF(OR(L1331="",Z1331="",AA1331="",AB1331=""),"",IF(B1331&lt;AA1331,L1331,IF(B1331&gt;AB1331,Z1331,L1331+(Z1331-L1331)*MIN(MAX((B1331-AA1331+1)/MAX(AB1331-AA1331+1,1),0),1))))</f>
      </c>
      <c r="L1331" s="67" t="str">
        <f>IFERROR(INDEX('Cost_Components'!$S$2:$S$27,MATCH(E1331,'Cost_Components'!$A$2:$A$27,0)),"")</f>
      </c>
      <c r="M1331" s="68" t="str">
        <f>IFERROR(INDEX('Cost_Components'!$L$2:$L$27,MATCH(E1331,'Cost_Components'!$A$2:$A$27,0)),"")</f>
      </c>
      <c r="N1331" s="69" t="str">
        <f>IFERROR(INDEX('Cost_Components'!$P$2:$P$27,MATCH(E1331,'Cost_Components'!$A$2:$A$27,0)),"")</f>
      </c>
      <c r="O1331" s="70" t="str">
        <f>AF1331*J1331</f>
      </c>
      <c r="P1331" s="71" t="str">
        <f>AG1331*J1331</f>
      </c>
      <c r="Q1331" s="72" t="str">
        <f>P1331*L1331*M1331*N1331</f>
      </c>
      <c r="R1331" s="73" t="str">
        <f>O1331*K1331*M1331*N1331</f>
      </c>
      <c r="S1331" s="74" t="str">
        <f>R1331-Q1331</f>
      </c>
      <c r="T1331" s="20" t="str">
        <f>IFERROR(INDEX('Cost_Components'!$R$2:$R$27,MATCH(E1331,'Cost_Components'!$A$2:$A$27,0)),"")</f>
      </c>
      <c r="U1331" s="75" t="str">
        <f>IFERROR(INDEX('Cost_Components'!$Q$2:$Q$27,MATCH(E1331,'Cost_Components'!$A$2:$A$27,0)),"")</f>
      </c>
      <c r="V1331" s="76" t="str">
        <f>1/(1+'Calculation_Assumptions'!$B$5)^(B1331-'Calculation_Assumptions'!$B$2)</f>
      </c>
      <c r="W1331" s="77" t="str">
        <f>Q1331*V1331</f>
      </c>
      <c r="X1331" s="78" t="str">
        <f>R1331*V1331</f>
      </c>
      <c r="Y1331" s="79" t="str">
        <f>S1331*V1331</f>
      </c>
      <c r="Z1331" s="80" t="str">
        <f>IFERROR(INDEX('Cost_Components'!$T$2:$T$27,MATCH(E1331,'Cost_Components'!$A$2:$A$27,0)),"")</f>
      </c>
      <c r="AA1331" s="81" t="str">
        <f>IFERROR(INDEX('Cost_Components'!$U$2:$U$27,MATCH(E1331,'Cost_Components'!$A$2:$A$27,0)),"")</f>
      </c>
      <c r="AB1331" s="82" t="str">
        <f>IFERROR(INDEX('Cost_Components'!$V$2:$V$27,MATCH(E1331,'Cost_Components'!$A$2:$A$27,0)),"")</f>
      </c>
      <c r="AC1331" s="83" t="str">
        <f>IFERROR(INDEX('Cost_Components'!$M$2:$M$27,MATCH(E1331,'Cost_Components'!$A$2:$A$27,0)),"")</f>
      </c>
      <c r="AD1331" s="84" t="str">
        <f>IFERROR(INDEX('Cost_Components'!$N$2:$N$27,MATCH(E1331,'Cost_Components'!$A$2:$A$27,0)),"")</f>
      </c>
      <c r="AE1331" s="20" t="str">
        <f>IFERROR(INDEX('Cost_Components'!$O$2:$O$27,MATCH(E1331,'Cost_Components'!$A$2:$A$27,0)),"")</f>
      </c>
      <c r="AF1331" s="85" t="n">
        <v>18486349.6003252</v>
      </c>
      <c r="AG1331" s="86" t="n">
        <v>18478203.6520042</v>
      </c>
      <c r="AH1331" s="87" t="str">
        <f>IF(H1331="shared-count-once",COUNTIFS($A$2:$A$1353,A1331,$B$2:$B$1353,B1331,$E$2:$E$1353,E1331),1)</f>
      </c>
    </row>
    <row r="1332">
      <c r="A1332" t="s">
        <v>75</v>
      </c>
      <c r="B1332" s="59" t="n">
        <v>2029</v>
      </c>
      <c r="C1332" t="s">
        <v>226</v>
      </c>
      <c r="D1332" t="s">
        <v>230</v>
      </c>
      <c r="E1332" s="60" t="s">
        <v>322</v>
      </c>
      <c r="F1332" s="61" t="s">
        <v>323</v>
      </c>
      <c r="G1332" s="62" t="s">
        <v>227</v>
      </c>
      <c r="H1332" s="63" t="s">
        <v>195</v>
      </c>
      <c r="I1332" s="64" t="s">
        <v>267</v>
      </c>
      <c r="J1332" s="65" t="str">
        <f>IFERROR(INDEX('Cost_Components'!$K$2:$K$27,MATCH(E1332,'Cost_Components'!$A$2:$A$27,0)),"")</f>
      </c>
      <c r="K1332" s="66" t="str">
        <f>IF(OR(L1332="",Z1332="",AA1332="",AB1332=""),"",IF(B1332&lt;AA1332,L1332,IF(B1332&gt;AB1332,Z1332,L1332+(Z1332-L1332)*MIN(MAX((B1332-AA1332+1)/MAX(AB1332-AA1332+1,1),0),1))))</f>
      </c>
      <c r="L1332" s="67" t="str">
        <f>IFERROR(INDEX('Cost_Components'!$S$2:$S$27,MATCH(E1332,'Cost_Components'!$A$2:$A$27,0)),"")</f>
      </c>
      <c r="M1332" s="68" t="str">
        <f>IFERROR(INDEX('Cost_Components'!$L$2:$L$27,MATCH(E1332,'Cost_Components'!$A$2:$A$27,0)),"")</f>
      </c>
      <c r="N1332" s="69" t="str">
        <f>IFERROR(INDEX('Cost_Components'!$P$2:$P$27,MATCH(E1332,'Cost_Components'!$A$2:$A$27,0)),"")</f>
      </c>
      <c r="O1332" s="70" t="str">
        <f>AF1332*J1332</f>
      </c>
      <c r="P1332" s="71" t="str">
        <f>AG1332*J1332</f>
      </c>
      <c r="Q1332" s="72" t="str">
        <f>P1332*L1332*M1332*N1332</f>
      </c>
      <c r="R1332" s="73" t="str">
        <f>O1332*K1332*M1332*N1332</f>
      </c>
      <c r="S1332" s="74" t="str">
        <f>R1332-Q1332</f>
      </c>
      <c r="T1332" s="20" t="str">
        <f>IFERROR(INDEX('Cost_Components'!$R$2:$R$27,MATCH(E1332,'Cost_Components'!$A$2:$A$27,0)),"")</f>
      </c>
      <c r="U1332" s="75" t="str">
        <f>IFERROR(INDEX('Cost_Components'!$Q$2:$Q$27,MATCH(E1332,'Cost_Components'!$A$2:$A$27,0)),"")</f>
      </c>
      <c r="V1332" s="76" t="str">
        <f>1/(1+'Calculation_Assumptions'!$B$5)^(B1332-'Calculation_Assumptions'!$B$2)</f>
      </c>
      <c r="W1332" s="77" t="str">
        <f>Q1332*V1332</f>
      </c>
      <c r="X1332" s="78" t="str">
        <f>R1332*V1332</f>
      </c>
      <c r="Y1332" s="79" t="str">
        <f>S1332*V1332</f>
      </c>
      <c r="Z1332" s="80" t="str">
        <f>IFERROR(INDEX('Cost_Components'!$T$2:$T$27,MATCH(E1332,'Cost_Components'!$A$2:$A$27,0)),"")</f>
      </c>
      <c r="AA1332" s="81" t="str">
        <f>IFERROR(INDEX('Cost_Components'!$U$2:$U$27,MATCH(E1332,'Cost_Components'!$A$2:$A$27,0)),"")</f>
      </c>
      <c r="AB1332" s="82" t="str">
        <f>IFERROR(INDEX('Cost_Components'!$V$2:$V$27,MATCH(E1332,'Cost_Components'!$A$2:$A$27,0)),"")</f>
      </c>
      <c r="AC1332" s="83" t="str">
        <f>IFERROR(INDEX('Cost_Components'!$M$2:$M$27,MATCH(E1332,'Cost_Components'!$A$2:$A$27,0)),"")</f>
      </c>
      <c r="AD1332" s="84" t="str">
        <f>IFERROR(INDEX('Cost_Components'!$N$2:$N$27,MATCH(E1332,'Cost_Components'!$A$2:$A$27,0)),"")</f>
      </c>
      <c r="AE1332" s="20" t="str">
        <f>IFERROR(INDEX('Cost_Components'!$O$2:$O$27,MATCH(E1332,'Cost_Components'!$A$2:$A$27,0)),"")</f>
      </c>
      <c r="AF1332" s="85" t="n">
        <v>19103165.8139554</v>
      </c>
      <c r="AG1332" s="86" t="n">
        <v>19090598.4302994</v>
      </c>
      <c r="AH1332" s="87" t="str">
        <f>IF(H1332="shared-count-once",COUNTIFS($A$2:$A$1353,A1332,$B$2:$B$1353,B1332,$E$2:$E$1353,E1332),1)</f>
      </c>
    </row>
    <row r="1333">
      <c r="A1333" t="s">
        <v>75</v>
      </c>
      <c r="B1333" s="59" t="n">
        <v>2030</v>
      </c>
      <c r="C1333" t="s">
        <v>226</v>
      </c>
      <c r="D1333" t="s">
        <v>230</v>
      </c>
      <c r="E1333" s="60" t="s">
        <v>322</v>
      </c>
      <c r="F1333" s="61" t="s">
        <v>323</v>
      </c>
      <c r="G1333" s="62" t="s">
        <v>227</v>
      </c>
      <c r="H1333" s="63" t="s">
        <v>195</v>
      </c>
      <c r="I1333" s="64" t="s">
        <v>267</v>
      </c>
      <c r="J1333" s="65" t="str">
        <f>IFERROR(INDEX('Cost_Components'!$K$2:$K$27,MATCH(E1333,'Cost_Components'!$A$2:$A$27,0)),"")</f>
      </c>
      <c r="K1333" s="66" t="str">
        <f>IF(OR(L1333="",Z1333="",AA1333="",AB1333=""),"",IF(B1333&lt;AA1333,L1333,IF(B1333&gt;AB1333,Z1333,L1333+(Z1333-L1333)*MIN(MAX((B1333-AA1333+1)/MAX(AB1333-AA1333+1,1),0),1))))</f>
      </c>
      <c r="L1333" s="67" t="str">
        <f>IFERROR(INDEX('Cost_Components'!$S$2:$S$27,MATCH(E1333,'Cost_Components'!$A$2:$A$27,0)),"")</f>
      </c>
      <c r="M1333" s="68" t="str">
        <f>IFERROR(INDEX('Cost_Components'!$L$2:$L$27,MATCH(E1333,'Cost_Components'!$A$2:$A$27,0)),"")</f>
      </c>
      <c r="N1333" s="69" t="str">
        <f>IFERROR(INDEX('Cost_Components'!$P$2:$P$27,MATCH(E1333,'Cost_Components'!$A$2:$A$27,0)),"")</f>
      </c>
      <c r="O1333" s="70" t="str">
        <f>AF1333*J1333</f>
      </c>
      <c r="P1333" s="71" t="str">
        <f>AG1333*J1333</f>
      </c>
      <c r="Q1333" s="72" t="str">
        <f>P1333*L1333*M1333*N1333</f>
      </c>
      <c r="R1333" s="73" t="str">
        <f>O1333*K1333*M1333*N1333</f>
      </c>
      <c r="S1333" s="74" t="str">
        <f>R1333-Q1333</f>
      </c>
      <c r="T1333" s="20" t="str">
        <f>IFERROR(INDEX('Cost_Components'!$R$2:$R$27,MATCH(E1333,'Cost_Components'!$A$2:$A$27,0)),"")</f>
      </c>
      <c r="U1333" s="75" t="str">
        <f>IFERROR(INDEX('Cost_Components'!$Q$2:$Q$27,MATCH(E1333,'Cost_Components'!$A$2:$A$27,0)),"")</f>
      </c>
      <c r="V1333" s="76" t="str">
        <f>1/(1+'Calculation_Assumptions'!$B$5)^(B1333-'Calculation_Assumptions'!$B$2)</f>
      </c>
      <c r="W1333" s="77" t="str">
        <f>Q1333*V1333</f>
      </c>
      <c r="X1333" s="78" t="str">
        <f>R1333*V1333</f>
      </c>
      <c r="Y1333" s="79" t="str">
        <f>S1333*V1333</f>
      </c>
      <c r="Z1333" s="80" t="str">
        <f>IFERROR(INDEX('Cost_Components'!$T$2:$T$27,MATCH(E1333,'Cost_Components'!$A$2:$A$27,0)),"")</f>
      </c>
      <c r="AA1333" s="81" t="str">
        <f>IFERROR(INDEX('Cost_Components'!$U$2:$U$27,MATCH(E1333,'Cost_Components'!$A$2:$A$27,0)),"")</f>
      </c>
      <c r="AB1333" s="82" t="str">
        <f>IFERROR(INDEX('Cost_Components'!$V$2:$V$27,MATCH(E1333,'Cost_Components'!$A$2:$A$27,0)),"")</f>
      </c>
      <c r="AC1333" s="83" t="str">
        <f>IFERROR(INDEX('Cost_Components'!$M$2:$M$27,MATCH(E1333,'Cost_Components'!$A$2:$A$27,0)),"")</f>
      </c>
      <c r="AD1333" s="84" t="str">
        <f>IFERROR(INDEX('Cost_Components'!$N$2:$N$27,MATCH(E1333,'Cost_Components'!$A$2:$A$27,0)),"")</f>
      </c>
      <c r="AE1333" s="20" t="str">
        <f>IFERROR(INDEX('Cost_Components'!$O$2:$O$27,MATCH(E1333,'Cost_Components'!$A$2:$A$27,0)),"")</f>
      </c>
      <c r="AF1333" s="85" t="n">
        <v>19710321.3669973</v>
      </c>
      <c r="AG1333" s="86" t="n">
        <v>19692236.862453</v>
      </c>
      <c r="AH1333" s="87" t="str">
        <f>IF(H1333="shared-count-once",COUNTIFS($A$2:$A$1353,A1333,$B$2:$B$1353,B1333,$E$2:$E$1353,E1333),1)</f>
      </c>
    </row>
    <row r="1334">
      <c r="A1334" t="s">
        <v>75</v>
      </c>
      <c r="B1334" s="59" t="n">
        <v>2031</v>
      </c>
      <c r="C1334" t="s">
        <v>226</v>
      </c>
      <c r="D1334" t="s">
        <v>230</v>
      </c>
      <c r="E1334" s="60" t="s">
        <v>322</v>
      </c>
      <c r="F1334" s="61" t="s">
        <v>323</v>
      </c>
      <c r="G1334" s="62" t="s">
        <v>227</v>
      </c>
      <c r="H1334" s="63" t="s">
        <v>195</v>
      </c>
      <c r="I1334" s="64" t="s">
        <v>267</v>
      </c>
      <c r="J1334" s="65" t="str">
        <f>IFERROR(INDEX('Cost_Components'!$K$2:$K$27,MATCH(E1334,'Cost_Components'!$A$2:$A$27,0)),"")</f>
      </c>
      <c r="K1334" s="66" t="str">
        <f>IF(OR(L1334="",Z1334="",AA1334="",AB1334=""),"",IF(B1334&lt;AA1334,L1334,IF(B1334&gt;AB1334,Z1334,L1334+(Z1334-L1334)*MIN(MAX((B1334-AA1334+1)/MAX(AB1334-AA1334+1,1),0),1))))</f>
      </c>
      <c r="L1334" s="67" t="str">
        <f>IFERROR(INDEX('Cost_Components'!$S$2:$S$27,MATCH(E1334,'Cost_Components'!$A$2:$A$27,0)),"")</f>
      </c>
      <c r="M1334" s="68" t="str">
        <f>IFERROR(INDEX('Cost_Components'!$L$2:$L$27,MATCH(E1334,'Cost_Components'!$A$2:$A$27,0)),"")</f>
      </c>
      <c r="N1334" s="69" t="str">
        <f>IFERROR(INDEX('Cost_Components'!$P$2:$P$27,MATCH(E1334,'Cost_Components'!$A$2:$A$27,0)),"")</f>
      </c>
      <c r="O1334" s="70" t="str">
        <f>AF1334*J1334</f>
      </c>
      <c r="P1334" s="71" t="str">
        <f>AG1334*J1334</f>
      </c>
      <c r="Q1334" s="72" t="str">
        <f>P1334*L1334*M1334*N1334</f>
      </c>
      <c r="R1334" s="73" t="str">
        <f>O1334*K1334*M1334*N1334</f>
      </c>
      <c r="S1334" s="74" t="str">
        <f>R1334-Q1334</f>
      </c>
      <c r="T1334" s="20" t="str">
        <f>IFERROR(INDEX('Cost_Components'!$R$2:$R$27,MATCH(E1334,'Cost_Components'!$A$2:$A$27,0)),"")</f>
      </c>
      <c r="U1334" s="75" t="str">
        <f>IFERROR(INDEX('Cost_Components'!$Q$2:$Q$27,MATCH(E1334,'Cost_Components'!$A$2:$A$27,0)),"")</f>
      </c>
      <c r="V1334" s="76" t="str">
        <f>1/(1+'Calculation_Assumptions'!$B$5)^(B1334-'Calculation_Assumptions'!$B$2)</f>
      </c>
      <c r="W1334" s="77" t="str">
        <f>Q1334*V1334</f>
      </c>
      <c r="X1334" s="78" t="str">
        <f>R1334*V1334</f>
      </c>
      <c r="Y1334" s="79" t="str">
        <f>S1334*V1334</f>
      </c>
      <c r="Z1334" s="80" t="str">
        <f>IFERROR(INDEX('Cost_Components'!$T$2:$T$27,MATCH(E1334,'Cost_Components'!$A$2:$A$27,0)),"")</f>
      </c>
      <c r="AA1334" s="81" t="str">
        <f>IFERROR(INDEX('Cost_Components'!$U$2:$U$27,MATCH(E1334,'Cost_Components'!$A$2:$A$27,0)),"")</f>
      </c>
      <c r="AB1334" s="82" t="str">
        <f>IFERROR(INDEX('Cost_Components'!$V$2:$V$27,MATCH(E1334,'Cost_Components'!$A$2:$A$27,0)),"")</f>
      </c>
      <c r="AC1334" s="83" t="str">
        <f>IFERROR(INDEX('Cost_Components'!$M$2:$M$27,MATCH(E1334,'Cost_Components'!$A$2:$A$27,0)),"")</f>
      </c>
      <c r="AD1334" s="84" t="str">
        <f>IFERROR(INDEX('Cost_Components'!$N$2:$N$27,MATCH(E1334,'Cost_Components'!$A$2:$A$27,0)),"")</f>
      </c>
      <c r="AE1334" s="20" t="str">
        <f>IFERROR(INDEX('Cost_Components'!$O$2:$O$27,MATCH(E1334,'Cost_Components'!$A$2:$A$27,0)),"")</f>
      </c>
      <c r="AF1334" s="85" t="n">
        <v>20307164.8103563</v>
      </c>
      <c r="AG1334" s="86" t="n">
        <v>20282400.1912082</v>
      </c>
      <c r="AH1334" s="87" t="str">
        <f>IF(H1334="shared-count-once",COUNTIFS($A$2:$A$1353,A1334,$B$2:$B$1353,B1334,$E$2:$E$1353,E1334),1)</f>
      </c>
    </row>
    <row r="1335">
      <c r="A1335" t="s">
        <v>75</v>
      </c>
      <c r="B1335" s="59" t="n">
        <v>2032</v>
      </c>
      <c r="C1335" t="s">
        <v>226</v>
      </c>
      <c r="D1335" t="s">
        <v>230</v>
      </c>
      <c r="E1335" s="60" t="s">
        <v>322</v>
      </c>
      <c r="F1335" s="61" t="s">
        <v>323</v>
      </c>
      <c r="G1335" s="62" t="s">
        <v>227</v>
      </c>
      <c r="H1335" s="63" t="s">
        <v>195</v>
      </c>
      <c r="I1335" s="64" t="s">
        <v>267</v>
      </c>
      <c r="J1335" s="65" t="str">
        <f>IFERROR(INDEX('Cost_Components'!$K$2:$K$27,MATCH(E1335,'Cost_Components'!$A$2:$A$27,0)),"")</f>
      </c>
      <c r="K1335" s="66" t="str">
        <f>IF(OR(L1335="",Z1335="",AA1335="",AB1335=""),"",IF(B1335&lt;AA1335,L1335,IF(B1335&gt;AB1335,Z1335,L1335+(Z1335-L1335)*MIN(MAX((B1335-AA1335+1)/MAX(AB1335-AA1335+1,1),0),1))))</f>
      </c>
      <c r="L1335" s="67" t="str">
        <f>IFERROR(INDEX('Cost_Components'!$S$2:$S$27,MATCH(E1335,'Cost_Components'!$A$2:$A$27,0)),"")</f>
      </c>
      <c r="M1335" s="68" t="str">
        <f>IFERROR(INDEX('Cost_Components'!$L$2:$L$27,MATCH(E1335,'Cost_Components'!$A$2:$A$27,0)),"")</f>
      </c>
      <c r="N1335" s="69" t="str">
        <f>IFERROR(INDEX('Cost_Components'!$P$2:$P$27,MATCH(E1335,'Cost_Components'!$A$2:$A$27,0)),"")</f>
      </c>
      <c r="O1335" s="70" t="str">
        <f>AF1335*J1335</f>
      </c>
      <c r="P1335" s="71" t="str">
        <f>AG1335*J1335</f>
      </c>
      <c r="Q1335" s="72" t="str">
        <f>P1335*L1335*M1335*N1335</f>
      </c>
      <c r="R1335" s="73" t="str">
        <f>O1335*K1335*M1335*N1335</f>
      </c>
      <c r="S1335" s="74" t="str">
        <f>R1335-Q1335</f>
      </c>
      <c r="T1335" s="20" t="str">
        <f>IFERROR(INDEX('Cost_Components'!$R$2:$R$27,MATCH(E1335,'Cost_Components'!$A$2:$A$27,0)),"")</f>
      </c>
      <c r="U1335" s="75" t="str">
        <f>IFERROR(INDEX('Cost_Components'!$Q$2:$Q$27,MATCH(E1335,'Cost_Components'!$A$2:$A$27,0)),"")</f>
      </c>
      <c r="V1335" s="76" t="str">
        <f>1/(1+'Calculation_Assumptions'!$B$5)^(B1335-'Calculation_Assumptions'!$B$2)</f>
      </c>
      <c r="W1335" s="77" t="str">
        <f>Q1335*V1335</f>
      </c>
      <c r="X1335" s="78" t="str">
        <f>R1335*V1335</f>
      </c>
      <c r="Y1335" s="79" t="str">
        <f>S1335*V1335</f>
      </c>
      <c r="Z1335" s="80" t="str">
        <f>IFERROR(INDEX('Cost_Components'!$T$2:$T$27,MATCH(E1335,'Cost_Components'!$A$2:$A$27,0)),"")</f>
      </c>
      <c r="AA1335" s="81" t="str">
        <f>IFERROR(INDEX('Cost_Components'!$U$2:$U$27,MATCH(E1335,'Cost_Components'!$A$2:$A$27,0)),"")</f>
      </c>
      <c r="AB1335" s="82" t="str">
        <f>IFERROR(INDEX('Cost_Components'!$V$2:$V$27,MATCH(E1335,'Cost_Components'!$A$2:$A$27,0)),"")</f>
      </c>
      <c r="AC1335" s="83" t="str">
        <f>IFERROR(INDEX('Cost_Components'!$M$2:$M$27,MATCH(E1335,'Cost_Components'!$A$2:$A$27,0)),"")</f>
      </c>
      <c r="AD1335" s="84" t="str">
        <f>IFERROR(INDEX('Cost_Components'!$N$2:$N$27,MATCH(E1335,'Cost_Components'!$A$2:$A$27,0)),"")</f>
      </c>
      <c r="AE1335" s="20" t="str">
        <f>IFERROR(INDEX('Cost_Components'!$O$2:$O$27,MATCH(E1335,'Cost_Components'!$A$2:$A$27,0)),"")</f>
      </c>
      <c r="AF1335" s="85" t="n">
        <v>20893038.8929313</v>
      </c>
      <c r="AG1335" s="86" t="n">
        <v>20860367.423304</v>
      </c>
      <c r="AH1335" s="87" t="str">
        <f>IF(H1335="shared-count-once",COUNTIFS($A$2:$A$1353,A1335,$B$2:$B$1353,B1335,$E$2:$E$1353,E1335),1)</f>
      </c>
    </row>
    <row r="1336">
      <c r="A1336" t="s">
        <v>75</v>
      </c>
      <c r="B1336" s="59" t="n">
        <v>2033</v>
      </c>
      <c r="C1336" t="s">
        <v>226</v>
      </c>
      <c r="D1336" t="s">
        <v>230</v>
      </c>
      <c r="E1336" s="60" t="s">
        <v>322</v>
      </c>
      <c r="F1336" s="61" t="s">
        <v>323</v>
      </c>
      <c r="G1336" s="62" t="s">
        <v>227</v>
      </c>
      <c r="H1336" s="63" t="s">
        <v>195</v>
      </c>
      <c r="I1336" s="64" t="s">
        <v>267</v>
      </c>
      <c r="J1336" s="65" t="str">
        <f>IFERROR(INDEX('Cost_Components'!$K$2:$K$27,MATCH(E1336,'Cost_Components'!$A$2:$A$27,0)),"")</f>
      </c>
      <c r="K1336" s="66" t="str">
        <f>IF(OR(L1336="",Z1336="",AA1336="",AB1336=""),"",IF(B1336&lt;AA1336,L1336,IF(B1336&gt;AB1336,Z1336,L1336+(Z1336-L1336)*MIN(MAX((B1336-AA1336+1)/MAX(AB1336-AA1336+1,1),0),1))))</f>
      </c>
      <c r="L1336" s="67" t="str">
        <f>IFERROR(INDEX('Cost_Components'!$S$2:$S$27,MATCH(E1336,'Cost_Components'!$A$2:$A$27,0)),"")</f>
      </c>
      <c r="M1336" s="68" t="str">
        <f>IFERROR(INDEX('Cost_Components'!$L$2:$L$27,MATCH(E1336,'Cost_Components'!$A$2:$A$27,0)),"")</f>
      </c>
      <c r="N1336" s="69" t="str">
        <f>IFERROR(INDEX('Cost_Components'!$P$2:$P$27,MATCH(E1336,'Cost_Components'!$A$2:$A$27,0)),"")</f>
      </c>
      <c r="O1336" s="70" t="str">
        <f>AF1336*J1336</f>
      </c>
      <c r="P1336" s="71" t="str">
        <f>AG1336*J1336</f>
      </c>
      <c r="Q1336" s="72" t="str">
        <f>P1336*L1336*M1336*N1336</f>
      </c>
      <c r="R1336" s="73" t="str">
        <f>O1336*K1336*M1336*N1336</f>
      </c>
      <c r="S1336" s="74" t="str">
        <f>R1336-Q1336</f>
      </c>
      <c r="T1336" s="20" t="str">
        <f>IFERROR(INDEX('Cost_Components'!$R$2:$R$27,MATCH(E1336,'Cost_Components'!$A$2:$A$27,0)),"")</f>
      </c>
      <c r="U1336" s="75" t="str">
        <f>IFERROR(INDEX('Cost_Components'!$Q$2:$Q$27,MATCH(E1336,'Cost_Components'!$A$2:$A$27,0)),"")</f>
      </c>
      <c r="V1336" s="76" t="str">
        <f>1/(1+'Calculation_Assumptions'!$B$5)^(B1336-'Calculation_Assumptions'!$B$2)</f>
      </c>
      <c r="W1336" s="77" t="str">
        <f>Q1336*V1336</f>
      </c>
      <c r="X1336" s="78" t="str">
        <f>R1336*V1336</f>
      </c>
      <c r="Y1336" s="79" t="str">
        <f>S1336*V1336</f>
      </c>
      <c r="Z1336" s="80" t="str">
        <f>IFERROR(INDEX('Cost_Components'!$T$2:$T$27,MATCH(E1336,'Cost_Components'!$A$2:$A$27,0)),"")</f>
      </c>
      <c r="AA1336" s="81" t="str">
        <f>IFERROR(INDEX('Cost_Components'!$U$2:$U$27,MATCH(E1336,'Cost_Components'!$A$2:$A$27,0)),"")</f>
      </c>
      <c r="AB1336" s="82" t="str">
        <f>IFERROR(INDEX('Cost_Components'!$V$2:$V$27,MATCH(E1336,'Cost_Components'!$A$2:$A$27,0)),"")</f>
      </c>
      <c r="AC1336" s="83" t="str">
        <f>IFERROR(INDEX('Cost_Components'!$M$2:$M$27,MATCH(E1336,'Cost_Components'!$A$2:$A$27,0)),"")</f>
      </c>
      <c r="AD1336" s="84" t="str">
        <f>IFERROR(INDEX('Cost_Components'!$N$2:$N$27,MATCH(E1336,'Cost_Components'!$A$2:$A$27,0)),"")</f>
      </c>
      <c r="AE1336" s="20" t="str">
        <f>IFERROR(INDEX('Cost_Components'!$O$2:$O$27,MATCH(E1336,'Cost_Components'!$A$2:$A$27,0)),"")</f>
      </c>
      <c r="AF1336" s="85" t="n">
        <v>21467201.8602868</v>
      </c>
      <c r="AG1336" s="86" t="n">
        <v>21425336.2972299</v>
      </c>
      <c r="AH1336" s="87" t="str">
        <f>IF(H1336="shared-count-once",COUNTIFS($A$2:$A$1353,A1336,$B$2:$B$1353,B1336,$E$2:$E$1353,E1336),1)</f>
      </c>
    </row>
    <row r="1337">
      <c r="A1337" t="s">
        <v>75</v>
      </c>
      <c r="B1337" s="59" t="n">
        <v>2034</v>
      </c>
      <c r="C1337" t="s">
        <v>226</v>
      </c>
      <c r="D1337" t="s">
        <v>230</v>
      </c>
      <c r="E1337" s="60" t="s">
        <v>322</v>
      </c>
      <c r="F1337" s="61" t="s">
        <v>323</v>
      </c>
      <c r="G1337" s="62" t="s">
        <v>227</v>
      </c>
      <c r="H1337" s="63" t="s">
        <v>195</v>
      </c>
      <c r="I1337" s="64" t="s">
        <v>267</v>
      </c>
      <c r="J1337" s="65" t="str">
        <f>IFERROR(INDEX('Cost_Components'!$K$2:$K$27,MATCH(E1337,'Cost_Components'!$A$2:$A$27,0)),"")</f>
      </c>
      <c r="K1337" s="66" t="str">
        <f>IF(OR(L1337="",Z1337="",AA1337="",AB1337=""),"",IF(B1337&lt;AA1337,L1337,IF(B1337&gt;AB1337,Z1337,L1337+(Z1337-L1337)*MIN(MAX((B1337-AA1337+1)/MAX(AB1337-AA1337+1,1),0),1))))</f>
      </c>
      <c r="L1337" s="67" t="str">
        <f>IFERROR(INDEX('Cost_Components'!$S$2:$S$27,MATCH(E1337,'Cost_Components'!$A$2:$A$27,0)),"")</f>
      </c>
      <c r="M1337" s="68" t="str">
        <f>IFERROR(INDEX('Cost_Components'!$L$2:$L$27,MATCH(E1337,'Cost_Components'!$A$2:$A$27,0)),"")</f>
      </c>
      <c r="N1337" s="69" t="str">
        <f>IFERROR(INDEX('Cost_Components'!$P$2:$P$27,MATCH(E1337,'Cost_Components'!$A$2:$A$27,0)),"")</f>
      </c>
      <c r="O1337" s="70" t="str">
        <f>AF1337*J1337</f>
      </c>
      <c r="P1337" s="71" t="str">
        <f>AG1337*J1337</f>
      </c>
      <c r="Q1337" s="72" t="str">
        <f>P1337*L1337*M1337*N1337</f>
      </c>
      <c r="R1337" s="73" t="str">
        <f>O1337*K1337*M1337*N1337</f>
      </c>
      <c r="S1337" s="74" t="str">
        <f>R1337-Q1337</f>
      </c>
      <c r="T1337" s="20" t="str">
        <f>IFERROR(INDEX('Cost_Components'!$R$2:$R$27,MATCH(E1337,'Cost_Components'!$A$2:$A$27,0)),"")</f>
      </c>
      <c r="U1337" s="75" t="str">
        <f>IFERROR(INDEX('Cost_Components'!$Q$2:$Q$27,MATCH(E1337,'Cost_Components'!$A$2:$A$27,0)),"")</f>
      </c>
      <c r="V1337" s="76" t="str">
        <f>1/(1+'Calculation_Assumptions'!$B$5)^(B1337-'Calculation_Assumptions'!$B$2)</f>
      </c>
      <c r="W1337" s="77" t="str">
        <f>Q1337*V1337</f>
      </c>
      <c r="X1337" s="78" t="str">
        <f>R1337*V1337</f>
      </c>
      <c r="Y1337" s="79" t="str">
        <f>S1337*V1337</f>
      </c>
      <c r="Z1337" s="80" t="str">
        <f>IFERROR(INDEX('Cost_Components'!$T$2:$T$27,MATCH(E1337,'Cost_Components'!$A$2:$A$27,0)),"")</f>
      </c>
      <c r="AA1337" s="81" t="str">
        <f>IFERROR(INDEX('Cost_Components'!$U$2:$U$27,MATCH(E1337,'Cost_Components'!$A$2:$A$27,0)),"")</f>
      </c>
      <c r="AB1337" s="82" t="str">
        <f>IFERROR(INDEX('Cost_Components'!$V$2:$V$27,MATCH(E1337,'Cost_Components'!$A$2:$A$27,0)),"")</f>
      </c>
      <c r="AC1337" s="83" t="str">
        <f>IFERROR(INDEX('Cost_Components'!$M$2:$M$27,MATCH(E1337,'Cost_Components'!$A$2:$A$27,0)),"")</f>
      </c>
      <c r="AD1337" s="84" t="str">
        <f>IFERROR(INDEX('Cost_Components'!$N$2:$N$27,MATCH(E1337,'Cost_Components'!$A$2:$A$27,0)),"")</f>
      </c>
      <c r="AE1337" s="20" t="str">
        <f>IFERROR(INDEX('Cost_Components'!$O$2:$O$27,MATCH(E1337,'Cost_Components'!$A$2:$A$27,0)),"")</f>
      </c>
      <c r="AF1337" s="85" t="n">
        <v>22028999.699678</v>
      </c>
      <c r="AG1337" s="86" t="n">
        <v>21976598.1069411</v>
      </c>
      <c r="AH1337" s="87" t="str">
        <f>IF(H1337="shared-count-once",COUNTIFS($A$2:$A$1353,A1337,$B$2:$B$1353,B1337,$E$2:$E$1353,E1337),1)</f>
      </c>
    </row>
    <row r="1338">
      <c r="A1338" t="s">
        <v>75</v>
      </c>
      <c r="B1338" s="59" t="n">
        <v>2035</v>
      </c>
      <c r="C1338" t="s">
        <v>226</v>
      </c>
      <c r="D1338" t="s">
        <v>230</v>
      </c>
      <c r="E1338" s="60" t="s">
        <v>322</v>
      </c>
      <c r="F1338" s="61" t="s">
        <v>323</v>
      </c>
      <c r="G1338" s="62" t="s">
        <v>227</v>
      </c>
      <c r="H1338" s="63" t="s">
        <v>195</v>
      </c>
      <c r="I1338" s="64" t="s">
        <v>267</v>
      </c>
      <c r="J1338" s="65" t="str">
        <f>IFERROR(INDEX('Cost_Components'!$K$2:$K$27,MATCH(E1338,'Cost_Components'!$A$2:$A$27,0)),"")</f>
      </c>
      <c r="K1338" s="66" t="str">
        <f>IF(OR(L1338="",Z1338="",AA1338="",AB1338=""),"",IF(B1338&lt;AA1338,L1338,IF(B1338&gt;AB1338,Z1338,L1338+(Z1338-L1338)*MIN(MAX((B1338-AA1338+1)/MAX(AB1338-AA1338+1,1),0),1))))</f>
      </c>
      <c r="L1338" s="67" t="str">
        <f>IFERROR(INDEX('Cost_Components'!$S$2:$S$27,MATCH(E1338,'Cost_Components'!$A$2:$A$27,0)),"")</f>
      </c>
      <c r="M1338" s="68" t="str">
        <f>IFERROR(INDEX('Cost_Components'!$L$2:$L$27,MATCH(E1338,'Cost_Components'!$A$2:$A$27,0)),"")</f>
      </c>
      <c r="N1338" s="69" t="str">
        <f>IFERROR(INDEX('Cost_Components'!$P$2:$P$27,MATCH(E1338,'Cost_Components'!$A$2:$A$27,0)),"")</f>
      </c>
      <c r="O1338" s="70" t="str">
        <f>AF1338*J1338</f>
      </c>
      <c r="P1338" s="71" t="str">
        <f>AG1338*J1338</f>
      </c>
      <c r="Q1338" s="72" t="str">
        <f>P1338*L1338*M1338*N1338</f>
      </c>
      <c r="R1338" s="73" t="str">
        <f>O1338*K1338*M1338*N1338</f>
      </c>
      <c r="S1338" s="74" t="str">
        <f>R1338-Q1338</f>
      </c>
      <c r="T1338" s="20" t="str">
        <f>IFERROR(INDEX('Cost_Components'!$R$2:$R$27,MATCH(E1338,'Cost_Components'!$A$2:$A$27,0)),"")</f>
      </c>
      <c r="U1338" s="75" t="str">
        <f>IFERROR(INDEX('Cost_Components'!$Q$2:$Q$27,MATCH(E1338,'Cost_Components'!$A$2:$A$27,0)),"")</f>
      </c>
      <c r="V1338" s="76" t="str">
        <f>1/(1+'Calculation_Assumptions'!$B$5)^(B1338-'Calculation_Assumptions'!$B$2)</f>
      </c>
      <c r="W1338" s="77" t="str">
        <f>Q1338*V1338</f>
      </c>
      <c r="X1338" s="78" t="str">
        <f>R1338*V1338</f>
      </c>
      <c r="Y1338" s="79" t="str">
        <f>S1338*V1338</f>
      </c>
      <c r="Z1338" s="80" t="str">
        <f>IFERROR(INDEX('Cost_Components'!$T$2:$T$27,MATCH(E1338,'Cost_Components'!$A$2:$A$27,0)),"")</f>
      </c>
      <c r="AA1338" s="81" t="str">
        <f>IFERROR(INDEX('Cost_Components'!$U$2:$U$27,MATCH(E1338,'Cost_Components'!$A$2:$A$27,0)),"")</f>
      </c>
      <c r="AB1338" s="82" t="str">
        <f>IFERROR(INDEX('Cost_Components'!$V$2:$V$27,MATCH(E1338,'Cost_Components'!$A$2:$A$27,0)),"")</f>
      </c>
      <c r="AC1338" s="83" t="str">
        <f>IFERROR(INDEX('Cost_Components'!$M$2:$M$27,MATCH(E1338,'Cost_Components'!$A$2:$A$27,0)),"")</f>
      </c>
      <c r="AD1338" s="84" t="str">
        <f>IFERROR(INDEX('Cost_Components'!$N$2:$N$27,MATCH(E1338,'Cost_Components'!$A$2:$A$27,0)),"")</f>
      </c>
      <c r="AE1338" s="20" t="str">
        <f>IFERROR(INDEX('Cost_Components'!$O$2:$O$27,MATCH(E1338,'Cost_Components'!$A$2:$A$27,0)),"")</f>
      </c>
      <c r="AF1338" s="85" t="n">
        <v>22577915.1648195</v>
      </c>
      <c r="AG1338" s="86" t="n">
        <v>22513585.7513582</v>
      </c>
      <c r="AH1338" s="87" t="str">
        <f>IF(H1338="shared-count-once",COUNTIFS($A$2:$A$1353,A1338,$B$2:$B$1353,B1338,$E$2:$E$1353,E1338),1)</f>
      </c>
    </row>
    <row r="1339">
      <c r="A1339" t="s">
        <v>75</v>
      </c>
      <c r="B1339" s="59" t="n">
        <v>2036</v>
      </c>
      <c r="C1339" t="s">
        <v>226</v>
      </c>
      <c r="D1339" t="s">
        <v>230</v>
      </c>
      <c r="E1339" s="60" t="s">
        <v>322</v>
      </c>
      <c r="F1339" s="61" t="s">
        <v>323</v>
      </c>
      <c r="G1339" s="62" t="s">
        <v>227</v>
      </c>
      <c r="H1339" s="63" t="s">
        <v>195</v>
      </c>
      <c r="I1339" s="64" t="s">
        <v>267</v>
      </c>
      <c r="J1339" s="65" t="str">
        <f>IFERROR(INDEX('Cost_Components'!$K$2:$K$27,MATCH(E1339,'Cost_Components'!$A$2:$A$27,0)),"")</f>
      </c>
      <c r="K1339" s="66" t="str">
        <f>IF(OR(L1339="",Z1339="",AA1339="",AB1339=""),"",IF(B1339&lt;AA1339,L1339,IF(B1339&gt;AB1339,Z1339,L1339+(Z1339-L1339)*MIN(MAX((B1339-AA1339+1)/MAX(AB1339-AA1339+1,1),0),1))))</f>
      </c>
      <c r="L1339" s="67" t="str">
        <f>IFERROR(INDEX('Cost_Components'!$S$2:$S$27,MATCH(E1339,'Cost_Components'!$A$2:$A$27,0)),"")</f>
      </c>
      <c r="M1339" s="68" t="str">
        <f>IFERROR(INDEX('Cost_Components'!$L$2:$L$27,MATCH(E1339,'Cost_Components'!$A$2:$A$27,0)),"")</f>
      </c>
      <c r="N1339" s="69" t="str">
        <f>IFERROR(INDEX('Cost_Components'!$P$2:$P$27,MATCH(E1339,'Cost_Components'!$A$2:$A$27,0)),"")</f>
      </c>
      <c r="O1339" s="70" t="str">
        <f>AF1339*J1339</f>
      </c>
      <c r="P1339" s="71" t="str">
        <f>AG1339*J1339</f>
      </c>
      <c r="Q1339" s="72" t="str">
        <f>P1339*L1339*M1339*N1339</f>
      </c>
      <c r="R1339" s="73" t="str">
        <f>O1339*K1339*M1339*N1339</f>
      </c>
      <c r="S1339" s="74" t="str">
        <f>R1339-Q1339</f>
      </c>
      <c r="T1339" s="20" t="str">
        <f>IFERROR(INDEX('Cost_Components'!$R$2:$R$27,MATCH(E1339,'Cost_Components'!$A$2:$A$27,0)),"")</f>
      </c>
      <c r="U1339" s="75" t="str">
        <f>IFERROR(INDEX('Cost_Components'!$Q$2:$Q$27,MATCH(E1339,'Cost_Components'!$A$2:$A$27,0)),"")</f>
      </c>
      <c r="V1339" s="76" t="str">
        <f>1/(1+'Calculation_Assumptions'!$B$5)^(B1339-'Calculation_Assumptions'!$B$2)</f>
      </c>
      <c r="W1339" s="77" t="str">
        <f>Q1339*V1339</f>
      </c>
      <c r="X1339" s="78" t="str">
        <f>R1339*V1339</f>
      </c>
      <c r="Y1339" s="79" t="str">
        <f>S1339*V1339</f>
      </c>
      <c r="Z1339" s="80" t="str">
        <f>IFERROR(INDEX('Cost_Components'!$T$2:$T$27,MATCH(E1339,'Cost_Components'!$A$2:$A$27,0)),"")</f>
      </c>
      <c r="AA1339" s="81" t="str">
        <f>IFERROR(INDEX('Cost_Components'!$U$2:$U$27,MATCH(E1339,'Cost_Components'!$A$2:$A$27,0)),"")</f>
      </c>
      <c r="AB1339" s="82" t="str">
        <f>IFERROR(INDEX('Cost_Components'!$V$2:$V$27,MATCH(E1339,'Cost_Components'!$A$2:$A$27,0)),"")</f>
      </c>
      <c r="AC1339" s="83" t="str">
        <f>IFERROR(INDEX('Cost_Components'!$M$2:$M$27,MATCH(E1339,'Cost_Components'!$A$2:$A$27,0)),"")</f>
      </c>
      <c r="AD1339" s="84" t="str">
        <f>IFERROR(INDEX('Cost_Components'!$N$2:$N$27,MATCH(E1339,'Cost_Components'!$A$2:$A$27,0)),"")</f>
      </c>
      <c r="AE1339" s="20" t="str">
        <f>IFERROR(INDEX('Cost_Components'!$O$2:$O$27,MATCH(E1339,'Cost_Components'!$A$2:$A$27,0)),"")</f>
      </c>
      <c r="AF1339" s="85" t="n">
        <v>23113639.9558555</v>
      </c>
      <c r="AG1339" s="86" t="n">
        <v>23035947.1953715</v>
      </c>
      <c r="AH1339" s="87" t="str">
        <f>IF(H1339="shared-count-once",COUNTIFS($A$2:$A$1353,A1339,$B$2:$B$1353,B1339,$E$2:$E$1353,E1339),1)</f>
      </c>
    </row>
    <row r="1340">
      <c r="A1340" t="s">
        <v>75</v>
      </c>
      <c r="B1340" s="59" t="n">
        <v>2037</v>
      </c>
      <c r="C1340" t="s">
        <v>226</v>
      </c>
      <c r="D1340" t="s">
        <v>230</v>
      </c>
      <c r="E1340" s="60" t="s">
        <v>322</v>
      </c>
      <c r="F1340" s="61" t="s">
        <v>323</v>
      </c>
      <c r="G1340" s="62" t="s">
        <v>227</v>
      </c>
      <c r="H1340" s="63" t="s">
        <v>195</v>
      </c>
      <c r="I1340" s="64" t="s">
        <v>267</v>
      </c>
      <c r="J1340" s="65" t="str">
        <f>IFERROR(INDEX('Cost_Components'!$K$2:$K$27,MATCH(E1340,'Cost_Components'!$A$2:$A$27,0)),"")</f>
      </c>
      <c r="K1340" s="66" t="str">
        <f>IF(OR(L1340="",Z1340="",AA1340="",AB1340=""),"",IF(B1340&lt;AA1340,L1340,IF(B1340&gt;AB1340,Z1340,L1340+(Z1340-L1340)*MIN(MAX((B1340-AA1340+1)/MAX(AB1340-AA1340+1,1),0),1))))</f>
      </c>
      <c r="L1340" s="67" t="str">
        <f>IFERROR(INDEX('Cost_Components'!$S$2:$S$27,MATCH(E1340,'Cost_Components'!$A$2:$A$27,0)),"")</f>
      </c>
      <c r="M1340" s="68" t="str">
        <f>IFERROR(INDEX('Cost_Components'!$L$2:$L$27,MATCH(E1340,'Cost_Components'!$A$2:$A$27,0)),"")</f>
      </c>
      <c r="N1340" s="69" t="str">
        <f>IFERROR(INDEX('Cost_Components'!$P$2:$P$27,MATCH(E1340,'Cost_Components'!$A$2:$A$27,0)),"")</f>
      </c>
      <c r="O1340" s="70" t="str">
        <f>AF1340*J1340</f>
      </c>
      <c r="P1340" s="71" t="str">
        <f>AG1340*J1340</f>
      </c>
      <c r="Q1340" s="72" t="str">
        <f>P1340*L1340*M1340*N1340</f>
      </c>
      <c r="R1340" s="73" t="str">
        <f>O1340*K1340*M1340*N1340</f>
      </c>
      <c r="S1340" s="74" t="str">
        <f>R1340-Q1340</f>
      </c>
      <c r="T1340" s="20" t="str">
        <f>IFERROR(INDEX('Cost_Components'!$R$2:$R$27,MATCH(E1340,'Cost_Components'!$A$2:$A$27,0)),"")</f>
      </c>
      <c r="U1340" s="75" t="str">
        <f>IFERROR(INDEX('Cost_Components'!$Q$2:$Q$27,MATCH(E1340,'Cost_Components'!$A$2:$A$27,0)),"")</f>
      </c>
      <c r="V1340" s="76" t="str">
        <f>1/(1+'Calculation_Assumptions'!$B$5)^(B1340-'Calculation_Assumptions'!$B$2)</f>
      </c>
      <c r="W1340" s="77" t="str">
        <f>Q1340*V1340</f>
      </c>
      <c r="X1340" s="78" t="str">
        <f>R1340*V1340</f>
      </c>
      <c r="Y1340" s="79" t="str">
        <f>S1340*V1340</f>
      </c>
      <c r="Z1340" s="80" t="str">
        <f>IFERROR(INDEX('Cost_Components'!$T$2:$T$27,MATCH(E1340,'Cost_Components'!$A$2:$A$27,0)),"")</f>
      </c>
      <c r="AA1340" s="81" t="str">
        <f>IFERROR(INDEX('Cost_Components'!$U$2:$U$27,MATCH(E1340,'Cost_Components'!$A$2:$A$27,0)),"")</f>
      </c>
      <c r="AB1340" s="82" t="str">
        <f>IFERROR(INDEX('Cost_Components'!$V$2:$V$27,MATCH(E1340,'Cost_Components'!$A$2:$A$27,0)),"")</f>
      </c>
      <c r="AC1340" s="83" t="str">
        <f>IFERROR(INDEX('Cost_Components'!$M$2:$M$27,MATCH(E1340,'Cost_Components'!$A$2:$A$27,0)),"")</f>
      </c>
      <c r="AD1340" s="84" t="str">
        <f>IFERROR(INDEX('Cost_Components'!$N$2:$N$27,MATCH(E1340,'Cost_Components'!$A$2:$A$27,0)),"")</f>
      </c>
      <c r="AE1340" s="20" t="str">
        <f>IFERROR(INDEX('Cost_Components'!$O$2:$O$27,MATCH(E1340,'Cost_Components'!$A$2:$A$27,0)),"")</f>
      </c>
      <c r="AF1340" s="85" t="n">
        <v>23635996.5595378</v>
      </c>
      <c r="AG1340" s="86" t="n">
        <v>23543466.6191775</v>
      </c>
      <c r="AH1340" s="87" t="str">
        <f>IF(H1340="shared-count-once",COUNTIFS($A$2:$A$1353,A1340,$B$2:$B$1353,B1340,$E$2:$E$1353,E1340),1)</f>
      </c>
    </row>
    <row r="1341">
      <c r="A1341" t="s">
        <v>75</v>
      </c>
      <c r="B1341" s="59" t="n">
        <v>2038</v>
      </c>
      <c r="C1341" t="s">
        <v>226</v>
      </c>
      <c r="D1341" t="s">
        <v>230</v>
      </c>
      <c r="E1341" s="60" t="s">
        <v>322</v>
      </c>
      <c r="F1341" s="61" t="s">
        <v>323</v>
      </c>
      <c r="G1341" s="62" t="s">
        <v>227</v>
      </c>
      <c r="H1341" s="63" t="s">
        <v>195</v>
      </c>
      <c r="I1341" s="64" t="s">
        <v>267</v>
      </c>
      <c r="J1341" s="65" t="str">
        <f>IFERROR(INDEX('Cost_Components'!$K$2:$K$27,MATCH(E1341,'Cost_Components'!$A$2:$A$27,0)),"")</f>
      </c>
      <c r="K1341" s="66" t="str">
        <f>IF(OR(L1341="",Z1341="",AA1341="",AB1341=""),"",IF(B1341&lt;AA1341,L1341,IF(B1341&gt;AB1341,Z1341,L1341+(Z1341-L1341)*MIN(MAX((B1341-AA1341+1)/MAX(AB1341-AA1341+1,1),0),1))))</f>
      </c>
      <c r="L1341" s="67" t="str">
        <f>IFERROR(INDEX('Cost_Components'!$S$2:$S$27,MATCH(E1341,'Cost_Components'!$A$2:$A$27,0)),"")</f>
      </c>
      <c r="M1341" s="68" t="str">
        <f>IFERROR(INDEX('Cost_Components'!$L$2:$L$27,MATCH(E1341,'Cost_Components'!$A$2:$A$27,0)),"")</f>
      </c>
      <c r="N1341" s="69" t="str">
        <f>IFERROR(INDEX('Cost_Components'!$P$2:$P$27,MATCH(E1341,'Cost_Components'!$A$2:$A$27,0)),"")</f>
      </c>
      <c r="O1341" s="70" t="str">
        <f>AF1341*J1341</f>
      </c>
      <c r="P1341" s="71" t="str">
        <f>AG1341*J1341</f>
      </c>
      <c r="Q1341" s="72" t="str">
        <f>P1341*L1341*M1341*N1341</f>
      </c>
      <c r="R1341" s="73" t="str">
        <f>O1341*K1341*M1341*N1341</f>
      </c>
      <c r="S1341" s="74" t="str">
        <f>R1341-Q1341</f>
      </c>
      <c r="T1341" s="20" t="str">
        <f>IFERROR(INDEX('Cost_Components'!$R$2:$R$27,MATCH(E1341,'Cost_Components'!$A$2:$A$27,0)),"")</f>
      </c>
      <c r="U1341" s="75" t="str">
        <f>IFERROR(INDEX('Cost_Components'!$Q$2:$Q$27,MATCH(E1341,'Cost_Components'!$A$2:$A$27,0)),"")</f>
      </c>
      <c r="V1341" s="76" t="str">
        <f>1/(1+'Calculation_Assumptions'!$B$5)^(B1341-'Calculation_Assumptions'!$B$2)</f>
      </c>
      <c r="W1341" s="77" t="str">
        <f>Q1341*V1341</f>
      </c>
      <c r="X1341" s="78" t="str">
        <f>R1341*V1341</f>
      </c>
      <c r="Y1341" s="79" t="str">
        <f>S1341*V1341</f>
      </c>
      <c r="Z1341" s="80" t="str">
        <f>IFERROR(INDEX('Cost_Components'!$T$2:$T$27,MATCH(E1341,'Cost_Components'!$A$2:$A$27,0)),"")</f>
      </c>
      <c r="AA1341" s="81" t="str">
        <f>IFERROR(INDEX('Cost_Components'!$U$2:$U$27,MATCH(E1341,'Cost_Components'!$A$2:$A$27,0)),"")</f>
      </c>
      <c r="AB1341" s="82" t="str">
        <f>IFERROR(INDEX('Cost_Components'!$V$2:$V$27,MATCH(E1341,'Cost_Components'!$A$2:$A$27,0)),"")</f>
      </c>
      <c r="AC1341" s="83" t="str">
        <f>IFERROR(INDEX('Cost_Components'!$M$2:$M$27,MATCH(E1341,'Cost_Components'!$A$2:$A$27,0)),"")</f>
      </c>
      <c r="AD1341" s="84" t="str">
        <f>IFERROR(INDEX('Cost_Components'!$N$2:$N$27,MATCH(E1341,'Cost_Components'!$A$2:$A$27,0)),"")</f>
      </c>
      <c r="AE1341" s="20" t="str">
        <f>IFERROR(INDEX('Cost_Components'!$O$2:$O$27,MATCH(E1341,'Cost_Components'!$A$2:$A$27,0)),"")</f>
      </c>
      <c r="AF1341" s="85" t="n">
        <v>24144841.8309508</v>
      </c>
      <c r="AG1341" s="86" t="n">
        <v>24035969.3735295</v>
      </c>
      <c r="AH1341" s="87" t="str">
        <f>IF(H1341="shared-count-once",COUNTIFS($A$2:$A$1353,A1341,$B$2:$B$1353,B1341,$E$2:$E$1353,E1341),1)</f>
      </c>
    </row>
    <row r="1342">
      <c r="A1342" t="s">
        <v>75</v>
      </c>
      <c r="B1342" s="59" t="n">
        <v>2039</v>
      </c>
      <c r="C1342" t="s">
        <v>226</v>
      </c>
      <c r="D1342" t="s">
        <v>230</v>
      </c>
      <c r="E1342" s="60" t="s">
        <v>322</v>
      </c>
      <c r="F1342" s="61" t="s">
        <v>323</v>
      </c>
      <c r="G1342" s="62" t="s">
        <v>227</v>
      </c>
      <c r="H1342" s="63" t="s">
        <v>195</v>
      </c>
      <c r="I1342" s="64" t="s">
        <v>267</v>
      </c>
      <c r="J1342" s="65" t="str">
        <f>IFERROR(INDEX('Cost_Components'!$K$2:$K$27,MATCH(E1342,'Cost_Components'!$A$2:$A$27,0)),"")</f>
      </c>
      <c r="K1342" s="66" t="str">
        <f>IF(OR(L1342="",Z1342="",AA1342="",AB1342=""),"",IF(B1342&lt;AA1342,L1342,IF(B1342&gt;AB1342,Z1342,L1342+(Z1342-L1342)*MIN(MAX((B1342-AA1342+1)/MAX(AB1342-AA1342+1,1),0),1))))</f>
      </c>
      <c r="L1342" s="67" t="str">
        <f>IFERROR(INDEX('Cost_Components'!$S$2:$S$27,MATCH(E1342,'Cost_Components'!$A$2:$A$27,0)),"")</f>
      </c>
      <c r="M1342" s="68" t="str">
        <f>IFERROR(INDEX('Cost_Components'!$L$2:$L$27,MATCH(E1342,'Cost_Components'!$A$2:$A$27,0)),"")</f>
      </c>
      <c r="N1342" s="69" t="str">
        <f>IFERROR(INDEX('Cost_Components'!$P$2:$P$27,MATCH(E1342,'Cost_Components'!$A$2:$A$27,0)),"")</f>
      </c>
      <c r="O1342" s="70" t="str">
        <f>AF1342*J1342</f>
      </c>
      <c r="P1342" s="71" t="str">
        <f>AG1342*J1342</f>
      </c>
      <c r="Q1342" s="72" t="str">
        <f>P1342*L1342*M1342*N1342</f>
      </c>
      <c r="R1342" s="73" t="str">
        <f>O1342*K1342*M1342*N1342</f>
      </c>
      <c r="S1342" s="74" t="str">
        <f>R1342-Q1342</f>
      </c>
      <c r="T1342" s="20" t="str">
        <f>IFERROR(INDEX('Cost_Components'!$R$2:$R$27,MATCH(E1342,'Cost_Components'!$A$2:$A$27,0)),"")</f>
      </c>
      <c r="U1342" s="75" t="str">
        <f>IFERROR(INDEX('Cost_Components'!$Q$2:$Q$27,MATCH(E1342,'Cost_Components'!$A$2:$A$27,0)),"")</f>
      </c>
      <c r="V1342" s="76" t="str">
        <f>1/(1+'Calculation_Assumptions'!$B$5)^(B1342-'Calculation_Assumptions'!$B$2)</f>
      </c>
      <c r="W1342" s="77" t="str">
        <f>Q1342*V1342</f>
      </c>
      <c r="X1342" s="78" t="str">
        <f>R1342*V1342</f>
      </c>
      <c r="Y1342" s="79" t="str">
        <f>S1342*V1342</f>
      </c>
      <c r="Z1342" s="80" t="str">
        <f>IFERROR(INDEX('Cost_Components'!$T$2:$T$27,MATCH(E1342,'Cost_Components'!$A$2:$A$27,0)),"")</f>
      </c>
      <c r="AA1342" s="81" t="str">
        <f>IFERROR(INDEX('Cost_Components'!$U$2:$U$27,MATCH(E1342,'Cost_Components'!$A$2:$A$27,0)),"")</f>
      </c>
      <c r="AB1342" s="82" t="str">
        <f>IFERROR(INDEX('Cost_Components'!$V$2:$V$27,MATCH(E1342,'Cost_Components'!$A$2:$A$27,0)),"")</f>
      </c>
      <c r="AC1342" s="83" t="str">
        <f>IFERROR(INDEX('Cost_Components'!$M$2:$M$27,MATCH(E1342,'Cost_Components'!$A$2:$A$27,0)),"")</f>
      </c>
      <c r="AD1342" s="84" t="str">
        <f>IFERROR(INDEX('Cost_Components'!$N$2:$N$27,MATCH(E1342,'Cost_Components'!$A$2:$A$27,0)),"")</f>
      </c>
      <c r="AE1342" s="20" t="str">
        <f>IFERROR(INDEX('Cost_Components'!$O$2:$O$27,MATCH(E1342,'Cost_Components'!$A$2:$A$27,0)),"")</f>
      </c>
      <c r="AF1342" s="85" t="n">
        <v>24639702.6331162</v>
      </c>
      <c r="AG1342" s="86" t="n">
        <v>24512955.2728775</v>
      </c>
      <c r="AH1342" s="87" t="str">
        <f>IF(H1342="shared-count-once",COUNTIFS($A$2:$A$1353,A1342,$B$2:$B$1353,B1342,$E$2:$E$1353,E1342),1)</f>
      </c>
    </row>
    <row r="1343">
      <c r="A1343" t="s">
        <v>75</v>
      </c>
      <c r="B1343" s="59" t="n">
        <v>2040</v>
      </c>
      <c r="C1343" t="s">
        <v>226</v>
      </c>
      <c r="D1343" t="s">
        <v>230</v>
      </c>
      <c r="E1343" s="60" t="s">
        <v>322</v>
      </c>
      <c r="F1343" s="61" t="s">
        <v>323</v>
      </c>
      <c r="G1343" s="62" t="s">
        <v>227</v>
      </c>
      <c r="H1343" s="63" t="s">
        <v>195</v>
      </c>
      <c r="I1343" s="64" t="s">
        <v>267</v>
      </c>
      <c r="J1343" s="65" t="str">
        <f>IFERROR(INDEX('Cost_Components'!$K$2:$K$27,MATCH(E1343,'Cost_Components'!$A$2:$A$27,0)),"")</f>
      </c>
      <c r="K1343" s="66" t="str">
        <f>IF(OR(L1343="",Z1343="",AA1343="",AB1343=""),"",IF(B1343&lt;AA1343,L1343,IF(B1343&gt;AB1343,Z1343,L1343+(Z1343-L1343)*MIN(MAX((B1343-AA1343+1)/MAX(AB1343-AA1343+1,1),0),1))))</f>
      </c>
      <c r="L1343" s="67" t="str">
        <f>IFERROR(INDEX('Cost_Components'!$S$2:$S$27,MATCH(E1343,'Cost_Components'!$A$2:$A$27,0)),"")</f>
      </c>
      <c r="M1343" s="68" t="str">
        <f>IFERROR(INDEX('Cost_Components'!$L$2:$L$27,MATCH(E1343,'Cost_Components'!$A$2:$A$27,0)),"")</f>
      </c>
      <c r="N1343" s="69" t="str">
        <f>IFERROR(INDEX('Cost_Components'!$P$2:$P$27,MATCH(E1343,'Cost_Components'!$A$2:$A$27,0)),"")</f>
      </c>
      <c r="O1343" s="70" t="str">
        <f>AF1343*J1343</f>
      </c>
      <c r="P1343" s="71" t="str">
        <f>AG1343*J1343</f>
      </c>
      <c r="Q1343" s="72" t="str">
        <f>P1343*L1343*M1343*N1343</f>
      </c>
      <c r="R1343" s="73" t="str">
        <f>O1343*K1343*M1343*N1343</f>
      </c>
      <c r="S1343" s="74" t="str">
        <f>R1343-Q1343</f>
      </c>
      <c r="T1343" s="20" t="str">
        <f>IFERROR(INDEX('Cost_Components'!$R$2:$R$27,MATCH(E1343,'Cost_Components'!$A$2:$A$27,0)),"")</f>
      </c>
      <c r="U1343" s="75" t="str">
        <f>IFERROR(INDEX('Cost_Components'!$Q$2:$Q$27,MATCH(E1343,'Cost_Components'!$A$2:$A$27,0)),"")</f>
      </c>
      <c r="V1343" s="76" t="str">
        <f>1/(1+'Calculation_Assumptions'!$B$5)^(B1343-'Calculation_Assumptions'!$B$2)</f>
      </c>
      <c r="W1343" s="77" t="str">
        <f>Q1343*V1343</f>
      </c>
      <c r="X1343" s="78" t="str">
        <f>R1343*V1343</f>
      </c>
      <c r="Y1343" s="79" t="str">
        <f>S1343*V1343</f>
      </c>
      <c r="Z1343" s="80" t="str">
        <f>IFERROR(INDEX('Cost_Components'!$T$2:$T$27,MATCH(E1343,'Cost_Components'!$A$2:$A$27,0)),"")</f>
      </c>
      <c r="AA1343" s="81" t="str">
        <f>IFERROR(INDEX('Cost_Components'!$U$2:$U$27,MATCH(E1343,'Cost_Components'!$A$2:$A$27,0)),"")</f>
      </c>
      <c r="AB1343" s="82" t="str">
        <f>IFERROR(INDEX('Cost_Components'!$V$2:$V$27,MATCH(E1343,'Cost_Components'!$A$2:$A$27,0)),"")</f>
      </c>
      <c r="AC1343" s="83" t="str">
        <f>IFERROR(INDEX('Cost_Components'!$M$2:$M$27,MATCH(E1343,'Cost_Components'!$A$2:$A$27,0)),"")</f>
      </c>
      <c r="AD1343" s="84" t="str">
        <f>IFERROR(INDEX('Cost_Components'!$N$2:$N$27,MATCH(E1343,'Cost_Components'!$A$2:$A$27,0)),"")</f>
      </c>
      <c r="AE1343" s="20" t="str">
        <f>IFERROR(INDEX('Cost_Components'!$O$2:$O$27,MATCH(E1343,'Cost_Components'!$A$2:$A$27,0)),"")</f>
      </c>
      <c r="AF1343" s="85" t="n">
        <v>25120062.7192224</v>
      </c>
      <c r="AG1343" s="86" t="n">
        <v>24973888.0291673</v>
      </c>
      <c r="AH1343" s="87" t="str">
        <f>IF(H1343="shared-count-once",COUNTIFS($A$2:$A$1353,A1343,$B$2:$B$1353,B1343,$E$2:$E$1353,E1343),1)</f>
      </c>
    </row>
    <row r="1344">
      <c r="A1344" t="s">
        <v>75</v>
      </c>
      <c r="B1344" s="59" t="n">
        <v>2041</v>
      </c>
      <c r="C1344" t="s">
        <v>226</v>
      </c>
      <c r="D1344" t="s">
        <v>230</v>
      </c>
      <c r="E1344" s="60" t="s">
        <v>322</v>
      </c>
      <c r="F1344" s="61" t="s">
        <v>323</v>
      </c>
      <c r="G1344" s="62" t="s">
        <v>227</v>
      </c>
      <c r="H1344" s="63" t="s">
        <v>195</v>
      </c>
      <c r="I1344" s="64" t="s">
        <v>267</v>
      </c>
      <c r="J1344" s="65" t="str">
        <f>IFERROR(INDEX('Cost_Components'!$K$2:$K$27,MATCH(E1344,'Cost_Components'!$A$2:$A$27,0)),"")</f>
      </c>
      <c r="K1344" s="66" t="str">
        <f>IF(OR(L1344="",Z1344="",AA1344="",AB1344=""),"",IF(B1344&lt;AA1344,L1344,IF(B1344&gt;AB1344,Z1344,L1344+(Z1344-L1344)*MIN(MAX((B1344-AA1344+1)/MAX(AB1344-AA1344+1,1),0),1))))</f>
      </c>
      <c r="L1344" s="67" t="str">
        <f>IFERROR(INDEX('Cost_Components'!$S$2:$S$27,MATCH(E1344,'Cost_Components'!$A$2:$A$27,0)),"")</f>
      </c>
      <c r="M1344" s="68" t="str">
        <f>IFERROR(INDEX('Cost_Components'!$L$2:$L$27,MATCH(E1344,'Cost_Components'!$A$2:$A$27,0)),"")</f>
      </c>
      <c r="N1344" s="69" t="str">
        <f>IFERROR(INDEX('Cost_Components'!$P$2:$P$27,MATCH(E1344,'Cost_Components'!$A$2:$A$27,0)),"")</f>
      </c>
      <c r="O1344" s="70" t="str">
        <f>AF1344*J1344</f>
      </c>
      <c r="P1344" s="71" t="str">
        <f>AG1344*J1344</f>
      </c>
      <c r="Q1344" s="72" t="str">
        <f>P1344*L1344*M1344*N1344</f>
      </c>
      <c r="R1344" s="73" t="str">
        <f>O1344*K1344*M1344*N1344</f>
      </c>
      <c r="S1344" s="74" t="str">
        <f>R1344-Q1344</f>
      </c>
      <c r="T1344" s="20" t="str">
        <f>IFERROR(INDEX('Cost_Components'!$R$2:$R$27,MATCH(E1344,'Cost_Components'!$A$2:$A$27,0)),"")</f>
      </c>
      <c r="U1344" s="75" t="str">
        <f>IFERROR(INDEX('Cost_Components'!$Q$2:$Q$27,MATCH(E1344,'Cost_Components'!$A$2:$A$27,0)),"")</f>
      </c>
      <c r="V1344" s="76" t="str">
        <f>1/(1+'Calculation_Assumptions'!$B$5)^(B1344-'Calculation_Assumptions'!$B$2)</f>
      </c>
      <c r="W1344" s="77" t="str">
        <f>Q1344*V1344</f>
      </c>
      <c r="X1344" s="78" t="str">
        <f>R1344*V1344</f>
      </c>
      <c r="Y1344" s="79" t="str">
        <f>S1344*V1344</f>
      </c>
      <c r="Z1344" s="80" t="str">
        <f>IFERROR(INDEX('Cost_Components'!$T$2:$T$27,MATCH(E1344,'Cost_Components'!$A$2:$A$27,0)),"")</f>
      </c>
      <c r="AA1344" s="81" t="str">
        <f>IFERROR(INDEX('Cost_Components'!$U$2:$U$27,MATCH(E1344,'Cost_Components'!$A$2:$A$27,0)),"")</f>
      </c>
      <c r="AB1344" s="82" t="str">
        <f>IFERROR(INDEX('Cost_Components'!$V$2:$V$27,MATCH(E1344,'Cost_Components'!$A$2:$A$27,0)),"")</f>
      </c>
      <c r="AC1344" s="83" t="str">
        <f>IFERROR(INDEX('Cost_Components'!$M$2:$M$27,MATCH(E1344,'Cost_Components'!$A$2:$A$27,0)),"")</f>
      </c>
      <c r="AD1344" s="84" t="str">
        <f>IFERROR(INDEX('Cost_Components'!$N$2:$N$27,MATCH(E1344,'Cost_Components'!$A$2:$A$27,0)),"")</f>
      </c>
      <c r="AE1344" s="20" t="str">
        <f>IFERROR(INDEX('Cost_Components'!$O$2:$O$27,MATCH(E1344,'Cost_Components'!$A$2:$A$27,0)),"")</f>
      </c>
      <c r="AF1344" s="85" t="n">
        <v>25585391.8592613</v>
      </c>
      <c r="AG1344" s="86" t="n">
        <v>25418223.3437348</v>
      </c>
      <c r="AH1344" s="87" t="str">
        <f>IF(H1344="shared-count-once",COUNTIFS($A$2:$A$1353,A1344,$B$2:$B$1353,B1344,$E$2:$E$1353,E1344),1)</f>
      </c>
    </row>
    <row r="1345">
      <c r="A1345" t="s">
        <v>75</v>
      </c>
      <c r="B1345" s="59" t="n">
        <v>2042</v>
      </c>
      <c r="C1345" t="s">
        <v>226</v>
      </c>
      <c r="D1345" t="s">
        <v>230</v>
      </c>
      <c r="E1345" s="60" t="s">
        <v>322</v>
      </c>
      <c r="F1345" s="61" t="s">
        <v>323</v>
      </c>
      <c r="G1345" s="62" t="s">
        <v>227</v>
      </c>
      <c r="H1345" s="63" t="s">
        <v>195</v>
      </c>
      <c r="I1345" s="64" t="s">
        <v>267</v>
      </c>
      <c r="J1345" s="65" t="str">
        <f>IFERROR(INDEX('Cost_Components'!$K$2:$K$27,MATCH(E1345,'Cost_Components'!$A$2:$A$27,0)),"")</f>
      </c>
      <c r="K1345" s="66" t="str">
        <f>IF(OR(L1345="",Z1345="",AA1345="",AB1345=""),"",IF(B1345&lt;AA1345,L1345,IF(B1345&gt;AB1345,Z1345,L1345+(Z1345-L1345)*MIN(MAX((B1345-AA1345+1)/MAX(AB1345-AA1345+1,1),0),1))))</f>
      </c>
      <c r="L1345" s="67" t="str">
        <f>IFERROR(INDEX('Cost_Components'!$S$2:$S$27,MATCH(E1345,'Cost_Components'!$A$2:$A$27,0)),"")</f>
      </c>
      <c r="M1345" s="68" t="str">
        <f>IFERROR(INDEX('Cost_Components'!$L$2:$L$27,MATCH(E1345,'Cost_Components'!$A$2:$A$27,0)),"")</f>
      </c>
      <c r="N1345" s="69" t="str">
        <f>IFERROR(INDEX('Cost_Components'!$P$2:$P$27,MATCH(E1345,'Cost_Components'!$A$2:$A$27,0)),"")</f>
      </c>
      <c r="O1345" s="70" t="str">
        <f>AF1345*J1345</f>
      </c>
      <c r="P1345" s="71" t="str">
        <f>AG1345*J1345</f>
      </c>
      <c r="Q1345" s="72" t="str">
        <f>P1345*L1345*M1345*N1345</f>
      </c>
      <c r="R1345" s="73" t="str">
        <f>O1345*K1345*M1345*N1345</f>
      </c>
      <c r="S1345" s="74" t="str">
        <f>R1345-Q1345</f>
      </c>
      <c r="T1345" s="20" t="str">
        <f>IFERROR(INDEX('Cost_Components'!$R$2:$R$27,MATCH(E1345,'Cost_Components'!$A$2:$A$27,0)),"")</f>
      </c>
      <c r="U1345" s="75" t="str">
        <f>IFERROR(INDEX('Cost_Components'!$Q$2:$Q$27,MATCH(E1345,'Cost_Components'!$A$2:$A$27,0)),"")</f>
      </c>
      <c r="V1345" s="76" t="str">
        <f>1/(1+'Calculation_Assumptions'!$B$5)^(B1345-'Calculation_Assumptions'!$B$2)</f>
      </c>
      <c r="W1345" s="77" t="str">
        <f>Q1345*V1345</f>
      </c>
      <c r="X1345" s="78" t="str">
        <f>R1345*V1345</f>
      </c>
      <c r="Y1345" s="79" t="str">
        <f>S1345*V1345</f>
      </c>
      <c r="Z1345" s="80" t="str">
        <f>IFERROR(INDEX('Cost_Components'!$T$2:$T$27,MATCH(E1345,'Cost_Components'!$A$2:$A$27,0)),"")</f>
      </c>
      <c r="AA1345" s="81" t="str">
        <f>IFERROR(INDEX('Cost_Components'!$U$2:$U$27,MATCH(E1345,'Cost_Components'!$A$2:$A$27,0)),"")</f>
      </c>
      <c r="AB1345" s="82" t="str">
        <f>IFERROR(INDEX('Cost_Components'!$V$2:$V$27,MATCH(E1345,'Cost_Components'!$A$2:$A$27,0)),"")</f>
      </c>
      <c r="AC1345" s="83" t="str">
        <f>IFERROR(INDEX('Cost_Components'!$M$2:$M$27,MATCH(E1345,'Cost_Components'!$A$2:$A$27,0)),"")</f>
      </c>
      <c r="AD1345" s="84" t="str">
        <f>IFERROR(INDEX('Cost_Components'!$N$2:$N$27,MATCH(E1345,'Cost_Components'!$A$2:$A$27,0)),"")</f>
      </c>
      <c r="AE1345" s="20" t="str">
        <f>IFERROR(INDEX('Cost_Components'!$O$2:$O$27,MATCH(E1345,'Cost_Components'!$A$2:$A$27,0)),"")</f>
      </c>
      <c r="AF1345" s="85" t="n">
        <v>26035143.7622277</v>
      </c>
      <c r="AG1345" s="86" t="n">
        <v>25845404.6644472</v>
      </c>
      <c r="AH1345" s="87" t="str">
        <f>IF(H1345="shared-count-once",COUNTIFS($A$2:$A$1353,A1345,$B$2:$B$1353,B1345,$E$2:$E$1353,E1345),1)</f>
      </c>
    </row>
    <row r="1346">
      <c r="A1346" t="s">
        <v>75</v>
      </c>
      <c r="B1346" s="59" t="n">
        <v>2043</v>
      </c>
      <c r="C1346" t="s">
        <v>226</v>
      </c>
      <c r="D1346" t="s">
        <v>230</v>
      </c>
      <c r="E1346" s="60" t="s">
        <v>322</v>
      </c>
      <c r="F1346" s="61" t="s">
        <v>323</v>
      </c>
      <c r="G1346" s="62" t="s">
        <v>227</v>
      </c>
      <c r="H1346" s="63" t="s">
        <v>195</v>
      </c>
      <c r="I1346" s="64" t="s">
        <v>267</v>
      </c>
      <c r="J1346" s="65" t="str">
        <f>IFERROR(INDEX('Cost_Components'!$K$2:$K$27,MATCH(E1346,'Cost_Components'!$A$2:$A$27,0)),"")</f>
      </c>
      <c r="K1346" s="66" t="str">
        <f>IF(OR(L1346="",Z1346="",AA1346="",AB1346=""),"",IF(B1346&lt;AA1346,L1346,IF(B1346&gt;AB1346,Z1346,L1346+(Z1346-L1346)*MIN(MAX((B1346-AA1346+1)/MAX(AB1346-AA1346+1,1),0),1))))</f>
      </c>
      <c r="L1346" s="67" t="str">
        <f>IFERROR(INDEX('Cost_Components'!$S$2:$S$27,MATCH(E1346,'Cost_Components'!$A$2:$A$27,0)),"")</f>
      </c>
      <c r="M1346" s="68" t="str">
        <f>IFERROR(INDEX('Cost_Components'!$L$2:$L$27,MATCH(E1346,'Cost_Components'!$A$2:$A$27,0)),"")</f>
      </c>
      <c r="N1346" s="69" t="str">
        <f>IFERROR(INDEX('Cost_Components'!$P$2:$P$27,MATCH(E1346,'Cost_Components'!$A$2:$A$27,0)),"")</f>
      </c>
      <c r="O1346" s="70" t="str">
        <f>AF1346*J1346</f>
      </c>
      <c r="P1346" s="71" t="str">
        <f>AG1346*J1346</f>
      </c>
      <c r="Q1346" s="72" t="str">
        <f>P1346*L1346*M1346*N1346</f>
      </c>
      <c r="R1346" s="73" t="str">
        <f>O1346*K1346*M1346*N1346</f>
      </c>
      <c r="S1346" s="74" t="str">
        <f>R1346-Q1346</f>
      </c>
      <c r="T1346" s="20" t="str">
        <f>IFERROR(INDEX('Cost_Components'!$R$2:$R$27,MATCH(E1346,'Cost_Components'!$A$2:$A$27,0)),"")</f>
      </c>
      <c r="U1346" s="75" t="str">
        <f>IFERROR(INDEX('Cost_Components'!$Q$2:$Q$27,MATCH(E1346,'Cost_Components'!$A$2:$A$27,0)),"")</f>
      </c>
      <c r="V1346" s="76" t="str">
        <f>1/(1+'Calculation_Assumptions'!$B$5)^(B1346-'Calculation_Assumptions'!$B$2)</f>
      </c>
      <c r="W1346" s="77" t="str">
        <f>Q1346*V1346</f>
      </c>
      <c r="X1346" s="78" t="str">
        <f>R1346*V1346</f>
      </c>
      <c r="Y1346" s="79" t="str">
        <f>S1346*V1346</f>
      </c>
      <c r="Z1346" s="80" t="str">
        <f>IFERROR(INDEX('Cost_Components'!$T$2:$T$27,MATCH(E1346,'Cost_Components'!$A$2:$A$27,0)),"")</f>
      </c>
      <c r="AA1346" s="81" t="str">
        <f>IFERROR(INDEX('Cost_Components'!$U$2:$U$27,MATCH(E1346,'Cost_Components'!$A$2:$A$27,0)),"")</f>
      </c>
      <c r="AB1346" s="82" t="str">
        <f>IFERROR(INDEX('Cost_Components'!$V$2:$V$27,MATCH(E1346,'Cost_Components'!$A$2:$A$27,0)),"")</f>
      </c>
      <c r="AC1346" s="83" t="str">
        <f>IFERROR(INDEX('Cost_Components'!$M$2:$M$27,MATCH(E1346,'Cost_Components'!$A$2:$A$27,0)),"")</f>
      </c>
      <c r="AD1346" s="84" t="str">
        <f>IFERROR(INDEX('Cost_Components'!$N$2:$N$27,MATCH(E1346,'Cost_Components'!$A$2:$A$27,0)),"")</f>
      </c>
      <c r="AE1346" s="20" t="str">
        <f>IFERROR(INDEX('Cost_Components'!$O$2:$O$27,MATCH(E1346,'Cost_Components'!$A$2:$A$27,0)),"")</f>
      </c>
      <c r="AF1346" s="85" t="n">
        <v>26468843.4321972</v>
      </c>
      <c r="AG1346" s="86" t="n">
        <v>26254954.9347316</v>
      </c>
      <c r="AH1346" s="87" t="str">
        <f>IF(H1346="shared-count-once",COUNTIFS($A$2:$A$1353,A1346,$B$2:$B$1353,B1346,$E$2:$E$1353,E1346),1)</f>
      </c>
    </row>
    <row r="1347">
      <c r="A1347" t="s">
        <v>75</v>
      </c>
      <c r="B1347" s="59" t="n">
        <v>2044</v>
      </c>
      <c r="C1347" t="s">
        <v>226</v>
      </c>
      <c r="D1347" t="s">
        <v>230</v>
      </c>
      <c r="E1347" s="60" t="s">
        <v>322</v>
      </c>
      <c r="F1347" s="61" t="s">
        <v>323</v>
      </c>
      <c r="G1347" s="62" t="s">
        <v>227</v>
      </c>
      <c r="H1347" s="63" t="s">
        <v>195</v>
      </c>
      <c r="I1347" s="64" t="s">
        <v>267</v>
      </c>
      <c r="J1347" s="65" t="str">
        <f>IFERROR(INDEX('Cost_Components'!$K$2:$K$27,MATCH(E1347,'Cost_Components'!$A$2:$A$27,0)),"")</f>
      </c>
      <c r="K1347" s="66" t="str">
        <f>IF(OR(L1347="",Z1347="",AA1347="",AB1347=""),"",IF(B1347&lt;AA1347,L1347,IF(B1347&gt;AB1347,Z1347,L1347+(Z1347-L1347)*MIN(MAX((B1347-AA1347+1)/MAX(AB1347-AA1347+1,1),0),1))))</f>
      </c>
      <c r="L1347" s="67" t="str">
        <f>IFERROR(INDEX('Cost_Components'!$S$2:$S$27,MATCH(E1347,'Cost_Components'!$A$2:$A$27,0)),"")</f>
      </c>
      <c r="M1347" s="68" t="str">
        <f>IFERROR(INDEX('Cost_Components'!$L$2:$L$27,MATCH(E1347,'Cost_Components'!$A$2:$A$27,0)),"")</f>
      </c>
      <c r="N1347" s="69" t="str">
        <f>IFERROR(INDEX('Cost_Components'!$P$2:$P$27,MATCH(E1347,'Cost_Components'!$A$2:$A$27,0)),"")</f>
      </c>
      <c r="O1347" s="70" t="str">
        <f>AF1347*J1347</f>
      </c>
      <c r="P1347" s="71" t="str">
        <f>AG1347*J1347</f>
      </c>
      <c r="Q1347" s="72" t="str">
        <f>P1347*L1347*M1347*N1347</f>
      </c>
      <c r="R1347" s="73" t="str">
        <f>O1347*K1347*M1347*N1347</f>
      </c>
      <c r="S1347" s="74" t="str">
        <f>R1347-Q1347</f>
      </c>
      <c r="T1347" s="20" t="str">
        <f>IFERROR(INDEX('Cost_Components'!$R$2:$R$27,MATCH(E1347,'Cost_Components'!$A$2:$A$27,0)),"")</f>
      </c>
      <c r="U1347" s="75" t="str">
        <f>IFERROR(INDEX('Cost_Components'!$Q$2:$Q$27,MATCH(E1347,'Cost_Components'!$A$2:$A$27,0)),"")</f>
      </c>
      <c r="V1347" s="76" t="str">
        <f>1/(1+'Calculation_Assumptions'!$B$5)^(B1347-'Calculation_Assumptions'!$B$2)</f>
      </c>
      <c r="W1347" s="77" t="str">
        <f>Q1347*V1347</f>
      </c>
      <c r="X1347" s="78" t="str">
        <f>R1347*V1347</f>
      </c>
      <c r="Y1347" s="79" t="str">
        <f>S1347*V1347</f>
      </c>
      <c r="Z1347" s="80" t="str">
        <f>IFERROR(INDEX('Cost_Components'!$T$2:$T$27,MATCH(E1347,'Cost_Components'!$A$2:$A$27,0)),"")</f>
      </c>
      <c r="AA1347" s="81" t="str">
        <f>IFERROR(INDEX('Cost_Components'!$U$2:$U$27,MATCH(E1347,'Cost_Components'!$A$2:$A$27,0)),"")</f>
      </c>
      <c r="AB1347" s="82" t="str">
        <f>IFERROR(INDEX('Cost_Components'!$V$2:$V$27,MATCH(E1347,'Cost_Components'!$A$2:$A$27,0)),"")</f>
      </c>
      <c r="AC1347" s="83" t="str">
        <f>IFERROR(INDEX('Cost_Components'!$M$2:$M$27,MATCH(E1347,'Cost_Components'!$A$2:$A$27,0)),"")</f>
      </c>
      <c r="AD1347" s="84" t="str">
        <f>IFERROR(INDEX('Cost_Components'!$N$2:$N$27,MATCH(E1347,'Cost_Components'!$A$2:$A$27,0)),"")</f>
      </c>
      <c r="AE1347" s="20" t="str">
        <f>IFERROR(INDEX('Cost_Components'!$O$2:$O$27,MATCH(E1347,'Cost_Components'!$A$2:$A$27,0)),"")</f>
      </c>
      <c r="AF1347" s="85" t="n">
        <v>26886363.2197091</v>
      </c>
      <c r="AG1347" s="86" t="n">
        <v>26646759.4300919</v>
      </c>
      <c r="AH1347" s="87" t="str">
        <f>IF(H1347="shared-count-once",COUNTIFS($A$2:$A$1353,A1347,$B$2:$B$1353,B1347,$E$2:$E$1353,E1347),1)</f>
      </c>
    </row>
    <row r="1348">
      <c r="A1348" t="s">
        <v>75</v>
      </c>
      <c r="B1348" s="59" t="n">
        <v>2045</v>
      </c>
      <c r="C1348" t="s">
        <v>226</v>
      </c>
      <c r="D1348" t="s">
        <v>230</v>
      </c>
      <c r="E1348" s="60" t="s">
        <v>322</v>
      </c>
      <c r="F1348" s="61" t="s">
        <v>323</v>
      </c>
      <c r="G1348" s="62" t="s">
        <v>227</v>
      </c>
      <c r="H1348" s="63" t="s">
        <v>195</v>
      </c>
      <c r="I1348" s="64" t="s">
        <v>267</v>
      </c>
      <c r="J1348" s="65" t="str">
        <f>IFERROR(INDEX('Cost_Components'!$K$2:$K$27,MATCH(E1348,'Cost_Components'!$A$2:$A$27,0)),"")</f>
      </c>
      <c r="K1348" s="66" t="str">
        <f>IF(OR(L1348="",Z1348="",AA1348="",AB1348=""),"",IF(B1348&lt;AA1348,L1348,IF(B1348&gt;AB1348,Z1348,L1348+(Z1348-L1348)*MIN(MAX((B1348-AA1348+1)/MAX(AB1348-AA1348+1,1),0),1))))</f>
      </c>
      <c r="L1348" s="67" t="str">
        <f>IFERROR(INDEX('Cost_Components'!$S$2:$S$27,MATCH(E1348,'Cost_Components'!$A$2:$A$27,0)),"")</f>
      </c>
      <c r="M1348" s="68" t="str">
        <f>IFERROR(INDEX('Cost_Components'!$L$2:$L$27,MATCH(E1348,'Cost_Components'!$A$2:$A$27,0)),"")</f>
      </c>
      <c r="N1348" s="69" t="str">
        <f>IFERROR(INDEX('Cost_Components'!$P$2:$P$27,MATCH(E1348,'Cost_Components'!$A$2:$A$27,0)),"")</f>
      </c>
      <c r="O1348" s="70" t="str">
        <f>AF1348*J1348</f>
      </c>
      <c r="P1348" s="71" t="str">
        <f>AG1348*J1348</f>
      </c>
      <c r="Q1348" s="72" t="str">
        <f>P1348*L1348*M1348*N1348</f>
      </c>
      <c r="R1348" s="73" t="str">
        <f>O1348*K1348*M1348*N1348</f>
      </c>
      <c r="S1348" s="74" t="str">
        <f>R1348-Q1348</f>
      </c>
      <c r="T1348" s="20" t="str">
        <f>IFERROR(INDEX('Cost_Components'!$R$2:$R$27,MATCH(E1348,'Cost_Components'!$A$2:$A$27,0)),"")</f>
      </c>
      <c r="U1348" s="75" t="str">
        <f>IFERROR(INDEX('Cost_Components'!$Q$2:$Q$27,MATCH(E1348,'Cost_Components'!$A$2:$A$27,0)),"")</f>
      </c>
      <c r="V1348" s="76" t="str">
        <f>1/(1+'Calculation_Assumptions'!$B$5)^(B1348-'Calculation_Assumptions'!$B$2)</f>
      </c>
      <c r="W1348" s="77" t="str">
        <f>Q1348*V1348</f>
      </c>
      <c r="X1348" s="78" t="str">
        <f>R1348*V1348</f>
      </c>
      <c r="Y1348" s="79" t="str">
        <f>S1348*V1348</f>
      </c>
      <c r="Z1348" s="80" t="str">
        <f>IFERROR(INDEX('Cost_Components'!$T$2:$T$27,MATCH(E1348,'Cost_Components'!$A$2:$A$27,0)),"")</f>
      </c>
      <c r="AA1348" s="81" t="str">
        <f>IFERROR(INDEX('Cost_Components'!$U$2:$U$27,MATCH(E1348,'Cost_Components'!$A$2:$A$27,0)),"")</f>
      </c>
      <c r="AB1348" s="82" t="str">
        <f>IFERROR(INDEX('Cost_Components'!$V$2:$V$27,MATCH(E1348,'Cost_Components'!$A$2:$A$27,0)),"")</f>
      </c>
      <c r="AC1348" s="83" t="str">
        <f>IFERROR(INDEX('Cost_Components'!$M$2:$M$27,MATCH(E1348,'Cost_Components'!$A$2:$A$27,0)),"")</f>
      </c>
      <c r="AD1348" s="84" t="str">
        <f>IFERROR(INDEX('Cost_Components'!$N$2:$N$27,MATCH(E1348,'Cost_Components'!$A$2:$A$27,0)),"")</f>
      </c>
      <c r="AE1348" s="20" t="str">
        <f>IFERROR(INDEX('Cost_Components'!$O$2:$O$27,MATCH(E1348,'Cost_Components'!$A$2:$A$27,0)),"")</f>
      </c>
      <c r="AF1348" s="85" t="n">
        <v>27287664.3057817</v>
      </c>
      <c r="AG1348" s="86" t="n">
        <v>27020805.7712303</v>
      </c>
      <c r="AH1348" s="87" t="str">
        <f>IF(H1348="shared-count-once",COUNTIFS($A$2:$A$1353,A1348,$B$2:$B$1353,B1348,$E$2:$E$1353,E1348),1)</f>
      </c>
    </row>
    <row r="1349">
      <c r="A1349" t="s">
        <v>75</v>
      </c>
      <c r="B1349" s="59" t="n">
        <v>2046</v>
      </c>
      <c r="C1349" t="s">
        <v>226</v>
      </c>
      <c r="D1349" t="s">
        <v>230</v>
      </c>
      <c r="E1349" s="60" t="s">
        <v>322</v>
      </c>
      <c r="F1349" s="61" t="s">
        <v>323</v>
      </c>
      <c r="G1349" s="62" t="s">
        <v>227</v>
      </c>
      <c r="H1349" s="63" t="s">
        <v>195</v>
      </c>
      <c r="I1349" s="64" t="s">
        <v>267</v>
      </c>
      <c r="J1349" s="65" t="str">
        <f>IFERROR(INDEX('Cost_Components'!$K$2:$K$27,MATCH(E1349,'Cost_Components'!$A$2:$A$27,0)),"")</f>
      </c>
      <c r="K1349" s="66" t="str">
        <f>IF(OR(L1349="",Z1349="",AA1349="",AB1349=""),"",IF(B1349&lt;AA1349,L1349,IF(B1349&gt;AB1349,Z1349,L1349+(Z1349-L1349)*MIN(MAX((B1349-AA1349+1)/MAX(AB1349-AA1349+1,1),0),1))))</f>
      </c>
      <c r="L1349" s="67" t="str">
        <f>IFERROR(INDEX('Cost_Components'!$S$2:$S$27,MATCH(E1349,'Cost_Components'!$A$2:$A$27,0)),"")</f>
      </c>
      <c r="M1349" s="68" t="str">
        <f>IFERROR(INDEX('Cost_Components'!$L$2:$L$27,MATCH(E1349,'Cost_Components'!$A$2:$A$27,0)),"")</f>
      </c>
      <c r="N1349" s="69" t="str">
        <f>IFERROR(INDEX('Cost_Components'!$P$2:$P$27,MATCH(E1349,'Cost_Components'!$A$2:$A$27,0)),"")</f>
      </c>
      <c r="O1349" s="70" t="str">
        <f>AF1349*J1349</f>
      </c>
      <c r="P1349" s="71" t="str">
        <f>AG1349*J1349</f>
      </c>
      <c r="Q1349" s="72" t="str">
        <f>P1349*L1349*M1349*N1349</f>
      </c>
      <c r="R1349" s="73" t="str">
        <f>O1349*K1349*M1349*N1349</f>
      </c>
      <c r="S1349" s="74" t="str">
        <f>R1349-Q1349</f>
      </c>
      <c r="T1349" s="20" t="str">
        <f>IFERROR(INDEX('Cost_Components'!$R$2:$R$27,MATCH(E1349,'Cost_Components'!$A$2:$A$27,0)),"")</f>
      </c>
      <c r="U1349" s="75" t="str">
        <f>IFERROR(INDEX('Cost_Components'!$Q$2:$Q$27,MATCH(E1349,'Cost_Components'!$A$2:$A$27,0)),"")</f>
      </c>
      <c r="V1349" s="76" t="str">
        <f>1/(1+'Calculation_Assumptions'!$B$5)^(B1349-'Calculation_Assumptions'!$B$2)</f>
      </c>
      <c r="W1349" s="77" t="str">
        <f>Q1349*V1349</f>
      </c>
      <c r="X1349" s="78" t="str">
        <f>R1349*V1349</f>
      </c>
      <c r="Y1349" s="79" t="str">
        <f>S1349*V1349</f>
      </c>
      <c r="Z1349" s="80" t="str">
        <f>IFERROR(INDEX('Cost_Components'!$T$2:$T$27,MATCH(E1349,'Cost_Components'!$A$2:$A$27,0)),"")</f>
      </c>
      <c r="AA1349" s="81" t="str">
        <f>IFERROR(INDEX('Cost_Components'!$U$2:$U$27,MATCH(E1349,'Cost_Components'!$A$2:$A$27,0)),"")</f>
      </c>
      <c r="AB1349" s="82" t="str">
        <f>IFERROR(INDEX('Cost_Components'!$V$2:$V$27,MATCH(E1349,'Cost_Components'!$A$2:$A$27,0)),"")</f>
      </c>
      <c r="AC1349" s="83" t="str">
        <f>IFERROR(INDEX('Cost_Components'!$M$2:$M$27,MATCH(E1349,'Cost_Components'!$A$2:$A$27,0)),"")</f>
      </c>
      <c r="AD1349" s="84" t="str">
        <f>IFERROR(INDEX('Cost_Components'!$N$2:$N$27,MATCH(E1349,'Cost_Components'!$A$2:$A$27,0)),"")</f>
      </c>
      <c r="AE1349" s="20" t="str">
        <f>IFERROR(INDEX('Cost_Components'!$O$2:$O$27,MATCH(E1349,'Cost_Components'!$A$2:$A$27,0)),"")</f>
      </c>
      <c r="AF1349" s="85" t="n">
        <v>27672750.5403442</v>
      </c>
      <c r="AG1349" s="86" t="n">
        <v>27377139.1204612</v>
      </c>
      <c r="AH1349" s="87" t="str">
        <f>IF(H1349="shared-count-once",COUNTIFS($A$2:$A$1353,A1349,$B$2:$B$1353,B1349,$E$2:$E$1353,E1349),1)</f>
      </c>
    </row>
    <row r="1350">
      <c r="A1350" t="s">
        <v>75</v>
      </c>
      <c r="B1350" s="59" t="n">
        <v>2047</v>
      </c>
      <c r="C1350" t="s">
        <v>226</v>
      </c>
      <c r="D1350" t="s">
        <v>230</v>
      </c>
      <c r="E1350" s="60" t="s">
        <v>322</v>
      </c>
      <c r="F1350" s="61" t="s">
        <v>323</v>
      </c>
      <c r="G1350" s="62" t="s">
        <v>227</v>
      </c>
      <c r="H1350" s="63" t="s">
        <v>195</v>
      </c>
      <c r="I1350" s="64" t="s">
        <v>267</v>
      </c>
      <c r="J1350" s="65" t="str">
        <f>IFERROR(INDEX('Cost_Components'!$K$2:$K$27,MATCH(E1350,'Cost_Components'!$A$2:$A$27,0)),"")</f>
      </c>
      <c r="K1350" s="66" t="str">
        <f>IF(OR(L1350="",Z1350="",AA1350="",AB1350=""),"",IF(B1350&lt;AA1350,L1350,IF(B1350&gt;AB1350,Z1350,L1350+(Z1350-L1350)*MIN(MAX((B1350-AA1350+1)/MAX(AB1350-AA1350+1,1),0),1))))</f>
      </c>
      <c r="L1350" s="67" t="str">
        <f>IFERROR(INDEX('Cost_Components'!$S$2:$S$27,MATCH(E1350,'Cost_Components'!$A$2:$A$27,0)),"")</f>
      </c>
      <c r="M1350" s="68" t="str">
        <f>IFERROR(INDEX('Cost_Components'!$L$2:$L$27,MATCH(E1350,'Cost_Components'!$A$2:$A$27,0)),"")</f>
      </c>
      <c r="N1350" s="69" t="str">
        <f>IFERROR(INDEX('Cost_Components'!$P$2:$P$27,MATCH(E1350,'Cost_Components'!$A$2:$A$27,0)),"")</f>
      </c>
      <c r="O1350" s="70" t="str">
        <f>AF1350*J1350</f>
      </c>
      <c r="P1350" s="71" t="str">
        <f>AG1350*J1350</f>
      </c>
      <c r="Q1350" s="72" t="str">
        <f>P1350*L1350*M1350*N1350</f>
      </c>
      <c r="R1350" s="73" t="str">
        <f>O1350*K1350*M1350*N1350</f>
      </c>
      <c r="S1350" s="74" t="str">
        <f>R1350-Q1350</f>
      </c>
      <c r="T1350" s="20" t="str">
        <f>IFERROR(INDEX('Cost_Components'!$R$2:$R$27,MATCH(E1350,'Cost_Components'!$A$2:$A$27,0)),"")</f>
      </c>
      <c r="U1350" s="75" t="str">
        <f>IFERROR(INDEX('Cost_Components'!$Q$2:$Q$27,MATCH(E1350,'Cost_Components'!$A$2:$A$27,0)),"")</f>
      </c>
      <c r="V1350" s="76" t="str">
        <f>1/(1+'Calculation_Assumptions'!$B$5)^(B1350-'Calculation_Assumptions'!$B$2)</f>
      </c>
      <c r="W1350" s="77" t="str">
        <f>Q1350*V1350</f>
      </c>
      <c r="X1350" s="78" t="str">
        <f>R1350*V1350</f>
      </c>
      <c r="Y1350" s="79" t="str">
        <f>S1350*V1350</f>
      </c>
      <c r="Z1350" s="80" t="str">
        <f>IFERROR(INDEX('Cost_Components'!$T$2:$T$27,MATCH(E1350,'Cost_Components'!$A$2:$A$27,0)),"")</f>
      </c>
      <c r="AA1350" s="81" t="str">
        <f>IFERROR(INDEX('Cost_Components'!$U$2:$U$27,MATCH(E1350,'Cost_Components'!$A$2:$A$27,0)),"")</f>
      </c>
      <c r="AB1350" s="82" t="str">
        <f>IFERROR(INDEX('Cost_Components'!$V$2:$V$27,MATCH(E1350,'Cost_Components'!$A$2:$A$27,0)),"")</f>
      </c>
      <c r="AC1350" s="83" t="str">
        <f>IFERROR(INDEX('Cost_Components'!$M$2:$M$27,MATCH(E1350,'Cost_Components'!$A$2:$A$27,0)),"")</f>
      </c>
      <c r="AD1350" s="84" t="str">
        <f>IFERROR(INDEX('Cost_Components'!$N$2:$N$27,MATCH(E1350,'Cost_Components'!$A$2:$A$27,0)),"")</f>
      </c>
      <c r="AE1350" s="20" t="str">
        <f>IFERROR(INDEX('Cost_Components'!$O$2:$O$27,MATCH(E1350,'Cost_Components'!$A$2:$A$27,0)),"")</f>
      </c>
      <c r="AF1350" s="85" t="n">
        <v>28041625.2431304</v>
      </c>
      <c r="AG1350" s="86" t="n">
        <v>27715818.0088236</v>
      </c>
      <c r="AH1350" s="87" t="str">
        <f>IF(H1350="shared-count-once",COUNTIFS($A$2:$A$1353,A1350,$B$2:$B$1353,B1350,$E$2:$E$1353,E1350),1)</f>
      </c>
    </row>
    <row r="1351">
      <c r="A1351" t="s">
        <v>75</v>
      </c>
      <c r="B1351" s="59" t="n">
        <v>2048</v>
      </c>
      <c r="C1351" t="s">
        <v>226</v>
      </c>
      <c r="D1351" t="s">
        <v>230</v>
      </c>
      <c r="E1351" s="60" t="s">
        <v>322</v>
      </c>
      <c r="F1351" s="61" t="s">
        <v>323</v>
      </c>
      <c r="G1351" s="62" t="s">
        <v>227</v>
      </c>
      <c r="H1351" s="63" t="s">
        <v>195</v>
      </c>
      <c r="I1351" s="64" t="s">
        <v>267</v>
      </c>
      <c r="J1351" s="65" t="str">
        <f>IFERROR(INDEX('Cost_Components'!$K$2:$K$27,MATCH(E1351,'Cost_Components'!$A$2:$A$27,0)),"")</f>
      </c>
      <c r="K1351" s="66" t="str">
        <f>IF(OR(L1351="",Z1351="",AA1351="",AB1351=""),"",IF(B1351&lt;AA1351,L1351,IF(B1351&gt;AB1351,Z1351,L1351+(Z1351-L1351)*MIN(MAX((B1351-AA1351+1)/MAX(AB1351-AA1351+1,1),0),1))))</f>
      </c>
      <c r="L1351" s="67" t="str">
        <f>IFERROR(INDEX('Cost_Components'!$S$2:$S$27,MATCH(E1351,'Cost_Components'!$A$2:$A$27,0)),"")</f>
      </c>
      <c r="M1351" s="68" t="str">
        <f>IFERROR(INDEX('Cost_Components'!$L$2:$L$27,MATCH(E1351,'Cost_Components'!$A$2:$A$27,0)),"")</f>
      </c>
      <c r="N1351" s="69" t="str">
        <f>IFERROR(INDEX('Cost_Components'!$P$2:$P$27,MATCH(E1351,'Cost_Components'!$A$2:$A$27,0)),"")</f>
      </c>
      <c r="O1351" s="70" t="str">
        <f>AF1351*J1351</f>
      </c>
      <c r="P1351" s="71" t="str">
        <f>AG1351*J1351</f>
      </c>
      <c r="Q1351" s="72" t="str">
        <f>P1351*L1351*M1351*N1351</f>
      </c>
      <c r="R1351" s="73" t="str">
        <f>O1351*K1351*M1351*N1351</f>
      </c>
      <c r="S1351" s="74" t="str">
        <f>R1351-Q1351</f>
      </c>
      <c r="T1351" s="20" t="str">
        <f>IFERROR(INDEX('Cost_Components'!$R$2:$R$27,MATCH(E1351,'Cost_Components'!$A$2:$A$27,0)),"")</f>
      </c>
      <c r="U1351" s="75" t="str">
        <f>IFERROR(INDEX('Cost_Components'!$Q$2:$Q$27,MATCH(E1351,'Cost_Components'!$A$2:$A$27,0)),"")</f>
      </c>
      <c r="V1351" s="76" t="str">
        <f>1/(1+'Calculation_Assumptions'!$B$5)^(B1351-'Calculation_Assumptions'!$B$2)</f>
      </c>
      <c r="W1351" s="77" t="str">
        <f>Q1351*V1351</f>
      </c>
      <c r="X1351" s="78" t="str">
        <f>R1351*V1351</f>
      </c>
      <c r="Y1351" s="79" t="str">
        <f>S1351*V1351</f>
      </c>
      <c r="Z1351" s="80" t="str">
        <f>IFERROR(INDEX('Cost_Components'!$T$2:$T$27,MATCH(E1351,'Cost_Components'!$A$2:$A$27,0)),"")</f>
      </c>
      <c r="AA1351" s="81" t="str">
        <f>IFERROR(INDEX('Cost_Components'!$U$2:$U$27,MATCH(E1351,'Cost_Components'!$A$2:$A$27,0)),"")</f>
      </c>
      <c r="AB1351" s="82" t="str">
        <f>IFERROR(INDEX('Cost_Components'!$V$2:$V$27,MATCH(E1351,'Cost_Components'!$A$2:$A$27,0)),"")</f>
      </c>
      <c r="AC1351" s="83" t="str">
        <f>IFERROR(INDEX('Cost_Components'!$M$2:$M$27,MATCH(E1351,'Cost_Components'!$A$2:$A$27,0)),"")</f>
      </c>
      <c r="AD1351" s="84" t="str">
        <f>IFERROR(INDEX('Cost_Components'!$N$2:$N$27,MATCH(E1351,'Cost_Components'!$A$2:$A$27,0)),"")</f>
      </c>
      <c r="AE1351" s="20" t="str">
        <f>IFERROR(INDEX('Cost_Components'!$O$2:$O$27,MATCH(E1351,'Cost_Components'!$A$2:$A$27,0)),"")</f>
      </c>
      <c r="AF1351" s="85" t="n">
        <v>28394485.2957413</v>
      </c>
      <c r="AG1351" s="86" t="n">
        <v>28037100.5652422</v>
      </c>
      <c r="AH1351" s="87" t="str">
        <f>IF(H1351="shared-count-once",COUNTIFS($A$2:$A$1353,A1351,$B$2:$B$1353,B1351,$E$2:$E$1353,E1351),1)</f>
      </c>
    </row>
    <row r="1352">
      <c r="A1352" t="s">
        <v>75</v>
      </c>
      <c r="B1352" s="59" t="n">
        <v>2049</v>
      </c>
      <c r="C1352" t="s">
        <v>226</v>
      </c>
      <c r="D1352" t="s">
        <v>230</v>
      </c>
      <c r="E1352" s="60" t="s">
        <v>322</v>
      </c>
      <c r="F1352" s="61" t="s">
        <v>323</v>
      </c>
      <c r="G1352" s="62" t="s">
        <v>227</v>
      </c>
      <c r="H1352" s="63" t="s">
        <v>195</v>
      </c>
      <c r="I1352" s="64" t="s">
        <v>267</v>
      </c>
      <c r="J1352" s="65" t="str">
        <f>IFERROR(INDEX('Cost_Components'!$K$2:$K$27,MATCH(E1352,'Cost_Components'!$A$2:$A$27,0)),"")</f>
      </c>
      <c r="K1352" s="66" t="str">
        <f>IF(OR(L1352="",Z1352="",AA1352="",AB1352=""),"",IF(B1352&lt;AA1352,L1352,IF(B1352&gt;AB1352,Z1352,L1352+(Z1352-L1352)*MIN(MAX((B1352-AA1352+1)/MAX(AB1352-AA1352+1,1),0),1))))</f>
      </c>
      <c r="L1352" s="67" t="str">
        <f>IFERROR(INDEX('Cost_Components'!$S$2:$S$27,MATCH(E1352,'Cost_Components'!$A$2:$A$27,0)),"")</f>
      </c>
      <c r="M1352" s="68" t="str">
        <f>IFERROR(INDEX('Cost_Components'!$L$2:$L$27,MATCH(E1352,'Cost_Components'!$A$2:$A$27,0)),"")</f>
      </c>
      <c r="N1352" s="69" t="str">
        <f>IFERROR(INDEX('Cost_Components'!$P$2:$P$27,MATCH(E1352,'Cost_Components'!$A$2:$A$27,0)),"")</f>
      </c>
      <c r="O1352" s="70" t="str">
        <f>AF1352*J1352</f>
      </c>
      <c r="P1352" s="71" t="str">
        <f>AG1352*J1352</f>
      </c>
      <c r="Q1352" s="72" t="str">
        <f>P1352*L1352*M1352*N1352</f>
      </c>
      <c r="R1352" s="73" t="str">
        <f>O1352*K1352*M1352*N1352</f>
      </c>
      <c r="S1352" s="74" t="str">
        <f>R1352-Q1352</f>
      </c>
      <c r="T1352" s="20" t="str">
        <f>IFERROR(INDEX('Cost_Components'!$R$2:$R$27,MATCH(E1352,'Cost_Components'!$A$2:$A$27,0)),"")</f>
      </c>
      <c r="U1352" s="75" t="str">
        <f>IFERROR(INDEX('Cost_Components'!$Q$2:$Q$27,MATCH(E1352,'Cost_Components'!$A$2:$A$27,0)),"")</f>
      </c>
      <c r="V1352" s="76" t="str">
        <f>1/(1+'Calculation_Assumptions'!$B$5)^(B1352-'Calculation_Assumptions'!$B$2)</f>
      </c>
      <c r="W1352" s="77" t="str">
        <f>Q1352*V1352</f>
      </c>
      <c r="X1352" s="78" t="str">
        <f>R1352*V1352</f>
      </c>
      <c r="Y1352" s="79" t="str">
        <f>S1352*V1352</f>
      </c>
      <c r="Z1352" s="80" t="str">
        <f>IFERROR(INDEX('Cost_Components'!$T$2:$T$27,MATCH(E1352,'Cost_Components'!$A$2:$A$27,0)),"")</f>
      </c>
      <c r="AA1352" s="81" t="str">
        <f>IFERROR(INDEX('Cost_Components'!$U$2:$U$27,MATCH(E1352,'Cost_Components'!$A$2:$A$27,0)),"")</f>
      </c>
      <c r="AB1352" s="82" t="str">
        <f>IFERROR(INDEX('Cost_Components'!$V$2:$V$27,MATCH(E1352,'Cost_Components'!$A$2:$A$27,0)),"")</f>
      </c>
      <c r="AC1352" s="83" t="str">
        <f>IFERROR(INDEX('Cost_Components'!$M$2:$M$27,MATCH(E1352,'Cost_Components'!$A$2:$A$27,0)),"")</f>
      </c>
      <c r="AD1352" s="84" t="str">
        <f>IFERROR(INDEX('Cost_Components'!$N$2:$N$27,MATCH(E1352,'Cost_Components'!$A$2:$A$27,0)),"")</f>
      </c>
      <c r="AE1352" s="20" t="str">
        <f>IFERROR(INDEX('Cost_Components'!$O$2:$O$27,MATCH(E1352,'Cost_Components'!$A$2:$A$27,0)),"")</f>
      </c>
      <c r="AF1352" s="85" t="n">
        <v>28731584.7691106</v>
      </c>
      <c r="AG1352" s="86" t="n">
        <v>28341303.7307291</v>
      </c>
      <c r="AH1352" s="87" t="str">
        <f>IF(H1352="shared-count-once",COUNTIFS($A$2:$A$1353,A1352,$B$2:$B$1353,B1352,$E$2:$E$1353,E1352),1)</f>
      </c>
    </row>
    <row r="1353">
      <c r="A1353" t="s">
        <v>75</v>
      </c>
      <c r="B1353" s="59" t="n">
        <v>2050</v>
      </c>
      <c r="C1353" t="s">
        <v>226</v>
      </c>
      <c r="D1353" t="s">
        <v>230</v>
      </c>
      <c r="E1353" s="60" t="s">
        <v>322</v>
      </c>
      <c r="F1353" s="61" t="s">
        <v>323</v>
      </c>
      <c r="G1353" s="62" t="s">
        <v>227</v>
      </c>
      <c r="H1353" s="63" t="s">
        <v>195</v>
      </c>
      <c r="I1353" s="64" t="s">
        <v>267</v>
      </c>
      <c r="J1353" s="65" t="str">
        <f>IFERROR(INDEX('Cost_Components'!$K$2:$K$27,MATCH(E1353,'Cost_Components'!$A$2:$A$27,0)),"")</f>
      </c>
      <c r="K1353" s="66" t="str">
        <f>IF(OR(L1353="",Z1353="",AA1353="",AB1353=""),"",IF(B1353&lt;AA1353,L1353,IF(B1353&gt;AB1353,Z1353,L1353+(Z1353-L1353)*MIN(MAX((B1353-AA1353+1)/MAX(AB1353-AA1353+1,1),0),1))))</f>
      </c>
      <c r="L1353" s="67" t="str">
        <f>IFERROR(INDEX('Cost_Components'!$S$2:$S$27,MATCH(E1353,'Cost_Components'!$A$2:$A$27,0)),"")</f>
      </c>
      <c r="M1353" s="68" t="str">
        <f>IFERROR(INDEX('Cost_Components'!$L$2:$L$27,MATCH(E1353,'Cost_Components'!$A$2:$A$27,0)),"")</f>
      </c>
      <c r="N1353" s="69" t="str">
        <f>IFERROR(INDEX('Cost_Components'!$P$2:$P$27,MATCH(E1353,'Cost_Components'!$A$2:$A$27,0)),"")</f>
      </c>
      <c r="O1353" s="70" t="str">
        <f>AF1353*J1353</f>
      </c>
      <c r="P1353" s="71" t="str">
        <f>AG1353*J1353</f>
      </c>
      <c r="Q1353" s="72" t="str">
        <f>P1353*L1353*M1353*N1353</f>
      </c>
      <c r="R1353" s="73" t="str">
        <f>O1353*K1353*M1353*N1353</f>
      </c>
      <c r="S1353" s="74" t="str">
        <f>R1353-Q1353</f>
      </c>
      <c r="T1353" s="20" t="str">
        <f>IFERROR(INDEX('Cost_Components'!$R$2:$R$27,MATCH(E1353,'Cost_Components'!$A$2:$A$27,0)),"")</f>
      </c>
      <c r="U1353" s="75" t="str">
        <f>IFERROR(INDEX('Cost_Components'!$Q$2:$Q$27,MATCH(E1353,'Cost_Components'!$A$2:$A$27,0)),"")</f>
      </c>
      <c r="V1353" s="76" t="str">
        <f>1/(1+'Calculation_Assumptions'!$B$5)^(B1353-'Calculation_Assumptions'!$B$2)</f>
      </c>
      <c r="W1353" s="77" t="str">
        <f>Q1353*V1353</f>
      </c>
      <c r="X1353" s="78" t="str">
        <f>R1353*V1353</f>
      </c>
      <c r="Y1353" s="79" t="str">
        <f>S1353*V1353</f>
      </c>
      <c r="Z1353" s="80" t="str">
        <f>IFERROR(INDEX('Cost_Components'!$T$2:$T$27,MATCH(E1353,'Cost_Components'!$A$2:$A$27,0)),"")</f>
      </c>
      <c r="AA1353" s="81" t="str">
        <f>IFERROR(INDEX('Cost_Components'!$U$2:$U$27,MATCH(E1353,'Cost_Components'!$A$2:$A$27,0)),"")</f>
      </c>
      <c r="AB1353" s="82" t="str">
        <f>IFERROR(INDEX('Cost_Components'!$V$2:$V$27,MATCH(E1353,'Cost_Components'!$A$2:$A$27,0)),"")</f>
      </c>
      <c r="AC1353" s="83" t="str">
        <f>IFERROR(INDEX('Cost_Components'!$M$2:$M$27,MATCH(E1353,'Cost_Components'!$A$2:$A$27,0)),"")</f>
      </c>
      <c r="AD1353" s="84" t="str">
        <f>IFERROR(INDEX('Cost_Components'!$N$2:$N$27,MATCH(E1353,'Cost_Components'!$A$2:$A$27,0)),"")</f>
      </c>
      <c r="AE1353" s="20" t="str">
        <f>IFERROR(INDEX('Cost_Components'!$O$2:$O$27,MATCH(E1353,'Cost_Components'!$A$2:$A$27,0)),"")</f>
      </c>
      <c r="AF1353" s="85" t="n">
        <v>29053310.8321552</v>
      </c>
      <c r="AG1353" s="86" t="n">
        <v>28628880.356226</v>
      </c>
      <c r="AH1353" s="87" t="str">
        <f>IF(H1353="shared-count-once",COUNTIFS($A$2:$A$1353,A1353,$B$2:$B$1353,B1353,$E$2:$E$1353,E1353),1)</f>
      </c>
    </row>
  </sheetData>
  <autoFilter ref="A1:AH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5.71" hidden="0" customWidth="1"/>
    <col min="4" max="4" width="15.71" hidden="0" customWidth="1"/>
    <col min="5" max="5" width="18.71" hidden="0" customWidth="1"/>
    <col min="6" max="6" width="23.71" hidden="0" customWidth="1"/>
    <col min="7" max="7" width="29.71" hidden="0" customWidth="1"/>
    <col min="8" max="8" width="34.71" hidden="0" customWidth="1"/>
  </cols>
  <sheetData>
    <row r="1" ht="28" customHeight="1">
      <c r="A1" s="1" t="s">
        <v>325</v>
      </c>
      <c r="B1" s="1" t="s">
        <v>25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</row>
    <row r="2">
      <c r="A2" t="s">
        <v>162</v>
      </c>
      <c r="B2" s="88" t="n">
        <v>2025</v>
      </c>
      <c r="C2" s="89" t="str">
        <f>SUMIFS('Annual_Cost'!$Q$2:$Q$1353,'Annual_Cost'!$A$2:$A$1353,A2,'Annual_Cost'!$B$2:$B$1353,B2)</f>
      </c>
      <c r="D2" s="90" t="str">
        <f>SUMIFS('Annual_Cost'!$R$2:$R$1353,'Annual_Cost'!$A$2:$A$1353,A2,'Annual_Cost'!$B$2:$B$1353,B2)</f>
      </c>
      <c r="E2" s="91" t="str">
        <f>SUMIFS('Annual_Cost'!$S$2:$S$1353,'Annual_Cost'!$A$2:$A$1353,A2,'Annual_Cost'!$B$2:$B$1353,B2)</f>
      </c>
      <c r="F2" s="92" t="str">
        <f>SUMIFS('Annual_Cost'!$Y$2:$Y$1353,'Annual_Cost'!$A$2:$A$1353,A2,'Annual_Cost'!$B$2:$B$1353,B2)</f>
      </c>
      <c r="G2" s="93" t="str">
        <f>SUMIFS($E$2:E2,$A$2:A2,A2)</f>
      </c>
      <c r="H2" s="94" t="str">
        <f>SUMIFS($F$2:F2,$A$2:A2,A2)</f>
      </c>
    </row>
    <row r="3">
      <c r="A3" t="s">
        <v>162</v>
      </c>
      <c r="B3" s="88" t="n">
        <v>2026</v>
      </c>
      <c r="C3" s="89" t="str">
        <f>SUMIFS('Annual_Cost'!$Q$2:$Q$1353,'Annual_Cost'!$A$2:$A$1353,A3,'Annual_Cost'!$B$2:$B$1353,B3)</f>
      </c>
      <c r="D3" s="90" t="str">
        <f>SUMIFS('Annual_Cost'!$R$2:$R$1353,'Annual_Cost'!$A$2:$A$1353,A3,'Annual_Cost'!$B$2:$B$1353,B3)</f>
      </c>
      <c r="E3" s="91" t="str">
        <f>SUMIFS('Annual_Cost'!$S$2:$S$1353,'Annual_Cost'!$A$2:$A$1353,A3,'Annual_Cost'!$B$2:$B$1353,B3)</f>
      </c>
      <c r="F3" s="92" t="str">
        <f>SUMIFS('Annual_Cost'!$Y$2:$Y$1353,'Annual_Cost'!$A$2:$A$1353,A3,'Annual_Cost'!$B$2:$B$1353,B3)</f>
      </c>
      <c r="G3" s="93" t="str">
        <f>SUMIFS($E$2:E3,$A$2:A3,A3)</f>
      </c>
      <c r="H3" s="94" t="str">
        <f>SUMIFS($F$2:F3,$A$2:A3,A3)</f>
      </c>
    </row>
    <row r="4">
      <c r="A4" t="s">
        <v>162</v>
      </c>
      <c r="B4" s="88" t="n">
        <v>2027</v>
      </c>
      <c r="C4" s="89" t="str">
        <f>SUMIFS('Annual_Cost'!$Q$2:$Q$1353,'Annual_Cost'!$A$2:$A$1353,A4,'Annual_Cost'!$B$2:$B$1353,B4)</f>
      </c>
      <c r="D4" s="90" t="str">
        <f>SUMIFS('Annual_Cost'!$R$2:$R$1353,'Annual_Cost'!$A$2:$A$1353,A4,'Annual_Cost'!$B$2:$B$1353,B4)</f>
      </c>
      <c r="E4" s="91" t="str">
        <f>SUMIFS('Annual_Cost'!$S$2:$S$1353,'Annual_Cost'!$A$2:$A$1353,A4,'Annual_Cost'!$B$2:$B$1353,B4)</f>
      </c>
      <c r="F4" s="92" t="str">
        <f>SUMIFS('Annual_Cost'!$Y$2:$Y$1353,'Annual_Cost'!$A$2:$A$1353,A4,'Annual_Cost'!$B$2:$B$1353,B4)</f>
      </c>
      <c r="G4" s="93" t="str">
        <f>SUMIFS($E$2:E4,$A$2:A4,A4)</f>
      </c>
      <c r="H4" s="94" t="str">
        <f>SUMIFS($F$2:F4,$A$2:A4,A4)</f>
      </c>
    </row>
    <row r="5">
      <c r="A5" t="s">
        <v>162</v>
      </c>
      <c r="B5" s="88" t="n">
        <v>2028</v>
      </c>
      <c r="C5" s="89" t="str">
        <f>SUMIFS('Annual_Cost'!$Q$2:$Q$1353,'Annual_Cost'!$A$2:$A$1353,A5,'Annual_Cost'!$B$2:$B$1353,B5)</f>
      </c>
      <c r="D5" s="90" t="str">
        <f>SUMIFS('Annual_Cost'!$R$2:$R$1353,'Annual_Cost'!$A$2:$A$1353,A5,'Annual_Cost'!$B$2:$B$1353,B5)</f>
      </c>
      <c r="E5" s="91" t="str">
        <f>SUMIFS('Annual_Cost'!$S$2:$S$1353,'Annual_Cost'!$A$2:$A$1353,A5,'Annual_Cost'!$B$2:$B$1353,B5)</f>
      </c>
      <c r="F5" s="92" t="str">
        <f>SUMIFS('Annual_Cost'!$Y$2:$Y$1353,'Annual_Cost'!$A$2:$A$1353,A5,'Annual_Cost'!$B$2:$B$1353,B5)</f>
      </c>
      <c r="G5" s="93" t="str">
        <f>SUMIFS($E$2:E5,$A$2:A5,A5)</f>
      </c>
      <c r="H5" s="94" t="str">
        <f>SUMIFS($F$2:F5,$A$2:A5,A5)</f>
      </c>
    </row>
    <row r="6">
      <c r="A6" t="s">
        <v>162</v>
      </c>
      <c r="B6" s="88" t="n">
        <v>2029</v>
      </c>
      <c r="C6" s="89" t="str">
        <f>SUMIFS('Annual_Cost'!$Q$2:$Q$1353,'Annual_Cost'!$A$2:$A$1353,A6,'Annual_Cost'!$B$2:$B$1353,B6)</f>
      </c>
      <c r="D6" s="90" t="str">
        <f>SUMIFS('Annual_Cost'!$R$2:$R$1353,'Annual_Cost'!$A$2:$A$1353,A6,'Annual_Cost'!$B$2:$B$1353,B6)</f>
      </c>
      <c r="E6" s="91" t="str">
        <f>SUMIFS('Annual_Cost'!$S$2:$S$1353,'Annual_Cost'!$A$2:$A$1353,A6,'Annual_Cost'!$B$2:$B$1353,B6)</f>
      </c>
      <c r="F6" s="92" t="str">
        <f>SUMIFS('Annual_Cost'!$Y$2:$Y$1353,'Annual_Cost'!$A$2:$A$1353,A6,'Annual_Cost'!$B$2:$B$1353,B6)</f>
      </c>
      <c r="G6" s="93" t="str">
        <f>SUMIFS($E$2:E6,$A$2:A6,A6)</f>
      </c>
      <c r="H6" s="94" t="str">
        <f>SUMIFS($F$2:F6,$A$2:A6,A6)</f>
      </c>
    </row>
    <row r="7">
      <c r="A7" t="s">
        <v>162</v>
      </c>
      <c r="B7" s="88" t="n">
        <v>2030</v>
      </c>
      <c r="C7" s="89" t="str">
        <f>SUMIFS('Annual_Cost'!$Q$2:$Q$1353,'Annual_Cost'!$A$2:$A$1353,A7,'Annual_Cost'!$B$2:$B$1353,B7)</f>
      </c>
      <c r="D7" s="90" t="str">
        <f>SUMIFS('Annual_Cost'!$R$2:$R$1353,'Annual_Cost'!$A$2:$A$1353,A7,'Annual_Cost'!$B$2:$B$1353,B7)</f>
      </c>
      <c r="E7" s="91" t="str">
        <f>SUMIFS('Annual_Cost'!$S$2:$S$1353,'Annual_Cost'!$A$2:$A$1353,A7,'Annual_Cost'!$B$2:$B$1353,B7)</f>
      </c>
      <c r="F7" s="92" t="str">
        <f>SUMIFS('Annual_Cost'!$Y$2:$Y$1353,'Annual_Cost'!$A$2:$A$1353,A7,'Annual_Cost'!$B$2:$B$1353,B7)</f>
      </c>
      <c r="G7" s="93" t="str">
        <f>SUMIFS($E$2:E7,$A$2:A7,A7)</f>
      </c>
      <c r="H7" s="94" t="str">
        <f>SUMIFS($F$2:F7,$A$2:A7,A7)</f>
      </c>
    </row>
    <row r="8">
      <c r="A8" t="s">
        <v>162</v>
      </c>
      <c r="B8" s="88" t="n">
        <v>2031</v>
      </c>
      <c r="C8" s="89" t="str">
        <f>SUMIFS('Annual_Cost'!$Q$2:$Q$1353,'Annual_Cost'!$A$2:$A$1353,A8,'Annual_Cost'!$B$2:$B$1353,B8)</f>
      </c>
      <c r="D8" s="90" t="str">
        <f>SUMIFS('Annual_Cost'!$R$2:$R$1353,'Annual_Cost'!$A$2:$A$1353,A8,'Annual_Cost'!$B$2:$B$1353,B8)</f>
      </c>
      <c r="E8" s="91" t="str">
        <f>SUMIFS('Annual_Cost'!$S$2:$S$1353,'Annual_Cost'!$A$2:$A$1353,A8,'Annual_Cost'!$B$2:$B$1353,B8)</f>
      </c>
      <c r="F8" s="92" t="str">
        <f>SUMIFS('Annual_Cost'!$Y$2:$Y$1353,'Annual_Cost'!$A$2:$A$1353,A8,'Annual_Cost'!$B$2:$B$1353,B8)</f>
      </c>
      <c r="G8" s="93" t="str">
        <f>SUMIFS($E$2:E8,$A$2:A8,A8)</f>
      </c>
      <c r="H8" s="94" t="str">
        <f>SUMIFS($F$2:F8,$A$2:A8,A8)</f>
      </c>
    </row>
    <row r="9">
      <c r="A9" t="s">
        <v>162</v>
      </c>
      <c r="B9" s="88" t="n">
        <v>2032</v>
      </c>
      <c r="C9" s="89" t="str">
        <f>SUMIFS('Annual_Cost'!$Q$2:$Q$1353,'Annual_Cost'!$A$2:$A$1353,A9,'Annual_Cost'!$B$2:$B$1353,B9)</f>
      </c>
      <c r="D9" s="90" t="str">
        <f>SUMIFS('Annual_Cost'!$R$2:$R$1353,'Annual_Cost'!$A$2:$A$1353,A9,'Annual_Cost'!$B$2:$B$1353,B9)</f>
      </c>
      <c r="E9" s="91" t="str">
        <f>SUMIFS('Annual_Cost'!$S$2:$S$1353,'Annual_Cost'!$A$2:$A$1353,A9,'Annual_Cost'!$B$2:$B$1353,B9)</f>
      </c>
      <c r="F9" s="92" t="str">
        <f>SUMIFS('Annual_Cost'!$Y$2:$Y$1353,'Annual_Cost'!$A$2:$A$1353,A9,'Annual_Cost'!$B$2:$B$1353,B9)</f>
      </c>
      <c r="G9" s="93" t="str">
        <f>SUMIFS($E$2:E9,$A$2:A9,A9)</f>
      </c>
      <c r="H9" s="94" t="str">
        <f>SUMIFS($F$2:F9,$A$2:A9,A9)</f>
      </c>
    </row>
    <row r="10">
      <c r="A10" t="s">
        <v>162</v>
      </c>
      <c r="B10" s="88" t="n">
        <v>2033</v>
      </c>
      <c r="C10" s="89" t="str">
        <f>SUMIFS('Annual_Cost'!$Q$2:$Q$1353,'Annual_Cost'!$A$2:$A$1353,A10,'Annual_Cost'!$B$2:$B$1353,B10)</f>
      </c>
      <c r="D10" s="90" t="str">
        <f>SUMIFS('Annual_Cost'!$R$2:$R$1353,'Annual_Cost'!$A$2:$A$1353,A10,'Annual_Cost'!$B$2:$B$1353,B10)</f>
      </c>
      <c r="E10" s="91" t="str">
        <f>SUMIFS('Annual_Cost'!$S$2:$S$1353,'Annual_Cost'!$A$2:$A$1353,A10,'Annual_Cost'!$B$2:$B$1353,B10)</f>
      </c>
      <c r="F10" s="92" t="str">
        <f>SUMIFS('Annual_Cost'!$Y$2:$Y$1353,'Annual_Cost'!$A$2:$A$1353,A10,'Annual_Cost'!$B$2:$B$1353,B10)</f>
      </c>
      <c r="G10" s="93" t="str">
        <f>SUMIFS($E$2:E10,$A$2:A10,A10)</f>
      </c>
      <c r="H10" s="94" t="str">
        <f>SUMIFS($F$2:F10,$A$2:A10,A10)</f>
      </c>
    </row>
    <row r="11">
      <c r="A11" t="s">
        <v>162</v>
      </c>
      <c r="B11" s="88" t="n">
        <v>2034</v>
      </c>
      <c r="C11" s="89" t="str">
        <f>SUMIFS('Annual_Cost'!$Q$2:$Q$1353,'Annual_Cost'!$A$2:$A$1353,A11,'Annual_Cost'!$B$2:$B$1353,B11)</f>
      </c>
      <c r="D11" s="90" t="str">
        <f>SUMIFS('Annual_Cost'!$R$2:$R$1353,'Annual_Cost'!$A$2:$A$1353,A11,'Annual_Cost'!$B$2:$B$1353,B11)</f>
      </c>
      <c r="E11" s="91" t="str">
        <f>SUMIFS('Annual_Cost'!$S$2:$S$1353,'Annual_Cost'!$A$2:$A$1353,A11,'Annual_Cost'!$B$2:$B$1353,B11)</f>
      </c>
      <c r="F11" s="92" t="str">
        <f>SUMIFS('Annual_Cost'!$Y$2:$Y$1353,'Annual_Cost'!$A$2:$A$1353,A11,'Annual_Cost'!$B$2:$B$1353,B11)</f>
      </c>
      <c r="G11" s="93" t="str">
        <f>SUMIFS($E$2:E11,$A$2:A11,A11)</f>
      </c>
      <c r="H11" s="94" t="str">
        <f>SUMIFS($F$2:F11,$A$2:A11,A11)</f>
      </c>
    </row>
    <row r="12">
      <c r="A12" t="s">
        <v>162</v>
      </c>
      <c r="B12" s="88" t="n">
        <v>2035</v>
      </c>
      <c r="C12" s="89" t="str">
        <f>SUMIFS('Annual_Cost'!$Q$2:$Q$1353,'Annual_Cost'!$A$2:$A$1353,A12,'Annual_Cost'!$B$2:$B$1353,B12)</f>
      </c>
      <c r="D12" s="90" t="str">
        <f>SUMIFS('Annual_Cost'!$R$2:$R$1353,'Annual_Cost'!$A$2:$A$1353,A12,'Annual_Cost'!$B$2:$B$1353,B12)</f>
      </c>
      <c r="E12" s="91" t="str">
        <f>SUMIFS('Annual_Cost'!$S$2:$S$1353,'Annual_Cost'!$A$2:$A$1353,A12,'Annual_Cost'!$B$2:$B$1353,B12)</f>
      </c>
      <c r="F12" s="92" t="str">
        <f>SUMIFS('Annual_Cost'!$Y$2:$Y$1353,'Annual_Cost'!$A$2:$A$1353,A12,'Annual_Cost'!$B$2:$B$1353,B12)</f>
      </c>
      <c r="G12" s="93" t="str">
        <f>SUMIFS($E$2:E12,$A$2:A12,A12)</f>
      </c>
      <c r="H12" s="94" t="str">
        <f>SUMIFS($F$2:F12,$A$2:A12,A12)</f>
      </c>
    </row>
    <row r="13">
      <c r="A13" t="s">
        <v>162</v>
      </c>
      <c r="B13" s="88" t="n">
        <v>2036</v>
      </c>
      <c r="C13" s="89" t="str">
        <f>SUMIFS('Annual_Cost'!$Q$2:$Q$1353,'Annual_Cost'!$A$2:$A$1353,A13,'Annual_Cost'!$B$2:$B$1353,B13)</f>
      </c>
      <c r="D13" s="90" t="str">
        <f>SUMIFS('Annual_Cost'!$R$2:$R$1353,'Annual_Cost'!$A$2:$A$1353,A13,'Annual_Cost'!$B$2:$B$1353,B13)</f>
      </c>
      <c r="E13" s="91" t="str">
        <f>SUMIFS('Annual_Cost'!$S$2:$S$1353,'Annual_Cost'!$A$2:$A$1353,A13,'Annual_Cost'!$B$2:$B$1353,B13)</f>
      </c>
      <c r="F13" s="92" t="str">
        <f>SUMIFS('Annual_Cost'!$Y$2:$Y$1353,'Annual_Cost'!$A$2:$A$1353,A13,'Annual_Cost'!$B$2:$B$1353,B13)</f>
      </c>
      <c r="G13" s="93" t="str">
        <f>SUMIFS($E$2:E13,$A$2:A13,A13)</f>
      </c>
      <c r="H13" s="94" t="str">
        <f>SUMIFS($F$2:F13,$A$2:A13,A13)</f>
      </c>
    </row>
    <row r="14">
      <c r="A14" t="s">
        <v>162</v>
      </c>
      <c r="B14" s="88" t="n">
        <v>2037</v>
      </c>
      <c r="C14" s="89" t="str">
        <f>SUMIFS('Annual_Cost'!$Q$2:$Q$1353,'Annual_Cost'!$A$2:$A$1353,A14,'Annual_Cost'!$B$2:$B$1353,B14)</f>
      </c>
      <c r="D14" s="90" t="str">
        <f>SUMIFS('Annual_Cost'!$R$2:$R$1353,'Annual_Cost'!$A$2:$A$1353,A14,'Annual_Cost'!$B$2:$B$1353,B14)</f>
      </c>
      <c r="E14" s="91" t="str">
        <f>SUMIFS('Annual_Cost'!$S$2:$S$1353,'Annual_Cost'!$A$2:$A$1353,A14,'Annual_Cost'!$B$2:$B$1353,B14)</f>
      </c>
      <c r="F14" s="92" t="str">
        <f>SUMIFS('Annual_Cost'!$Y$2:$Y$1353,'Annual_Cost'!$A$2:$A$1353,A14,'Annual_Cost'!$B$2:$B$1353,B14)</f>
      </c>
      <c r="G14" s="93" t="str">
        <f>SUMIFS($E$2:E14,$A$2:A14,A14)</f>
      </c>
      <c r="H14" s="94" t="str">
        <f>SUMIFS($F$2:F14,$A$2:A14,A14)</f>
      </c>
    </row>
    <row r="15">
      <c r="A15" t="s">
        <v>162</v>
      </c>
      <c r="B15" s="88" t="n">
        <v>2038</v>
      </c>
      <c r="C15" s="89" t="str">
        <f>SUMIFS('Annual_Cost'!$Q$2:$Q$1353,'Annual_Cost'!$A$2:$A$1353,A15,'Annual_Cost'!$B$2:$B$1353,B15)</f>
      </c>
      <c r="D15" s="90" t="str">
        <f>SUMIFS('Annual_Cost'!$R$2:$R$1353,'Annual_Cost'!$A$2:$A$1353,A15,'Annual_Cost'!$B$2:$B$1353,B15)</f>
      </c>
      <c r="E15" s="91" t="str">
        <f>SUMIFS('Annual_Cost'!$S$2:$S$1353,'Annual_Cost'!$A$2:$A$1353,A15,'Annual_Cost'!$B$2:$B$1353,B15)</f>
      </c>
      <c r="F15" s="92" t="str">
        <f>SUMIFS('Annual_Cost'!$Y$2:$Y$1353,'Annual_Cost'!$A$2:$A$1353,A15,'Annual_Cost'!$B$2:$B$1353,B15)</f>
      </c>
      <c r="G15" s="93" t="str">
        <f>SUMIFS($E$2:E15,$A$2:A15,A15)</f>
      </c>
      <c r="H15" s="94" t="str">
        <f>SUMIFS($F$2:F15,$A$2:A15,A15)</f>
      </c>
    </row>
    <row r="16">
      <c r="A16" t="s">
        <v>162</v>
      </c>
      <c r="B16" s="88" t="n">
        <v>2039</v>
      </c>
      <c r="C16" s="89" t="str">
        <f>SUMIFS('Annual_Cost'!$Q$2:$Q$1353,'Annual_Cost'!$A$2:$A$1353,A16,'Annual_Cost'!$B$2:$B$1353,B16)</f>
      </c>
      <c r="D16" s="90" t="str">
        <f>SUMIFS('Annual_Cost'!$R$2:$R$1353,'Annual_Cost'!$A$2:$A$1353,A16,'Annual_Cost'!$B$2:$B$1353,B16)</f>
      </c>
      <c r="E16" s="91" t="str">
        <f>SUMIFS('Annual_Cost'!$S$2:$S$1353,'Annual_Cost'!$A$2:$A$1353,A16,'Annual_Cost'!$B$2:$B$1353,B16)</f>
      </c>
      <c r="F16" s="92" t="str">
        <f>SUMIFS('Annual_Cost'!$Y$2:$Y$1353,'Annual_Cost'!$A$2:$A$1353,A16,'Annual_Cost'!$B$2:$B$1353,B16)</f>
      </c>
      <c r="G16" s="93" t="str">
        <f>SUMIFS($E$2:E16,$A$2:A16,A16)</f>
      </c>
      <c r="H16" s="94" t="str">
        <f>SUMIFS($F$2:F16,$A$2:A16,A16)</f>
      </c>
    </row>
    <row r="17">
      <c r="A17" t="s">
        <v>162</v>
      </c>
      <c r="B17" s="88" t="n">
        <v>2040</v>
      </c>
      <c r="C17" s="89" t="str">
        <f>SUMIFS('Annual_Cost'!$Q$2:$Q$1353,'Annual_Cost'!$A$2:$A$1353,A17,'Annual_Cost'!$B$2:$B$1353,B17)</f>
      </c>
      <c r="D17" s="90" t="str">
        <f>SUMIFS('Annual_Cost'!$R$2:$R$1353,'Annual_Cost'!$A$2:$A$1353,A17,'Annual_Cost'!$B$2:$B$1353,B17)</f>
      </c>
      <c r="E17" s="91" t="str">
        <f>SUMIFS('Annual_Cost'!$S$2:$S$1353,'Annual_Cost'!$A$2:$A$1353,A17,'Annual_Cost'!$B$2:$B$1353,B17)</f>
      </c>
      <c r="F17" s="92" t="str">
        <f>SUMIFS('Annual_Cost'!$Y$2:$Y$1353,'Annual_Cost'!$A$2:$A$1353,A17,'Annual_Cost'!$B$2:$B$1353,B17)</f>
      </c>
      <c r="G17" s="93" t="str">
        <f>SUMIFS($E$2:E17,$A$2:A17,A17)</f>
      </c>
      <c r="H17" s="94" t="str">
        <f>SUMIFS($F$2:F17,$A$2:A17,A17)</f>
      </c>
    </row>
    <row r="18">
      <c r="A18" t="s">
        <v>162</v>
      </c>
      <c r="B18" s="88" t="n">
        <v>2041</v>
      </c>
      <c r="C18" s="89" t="str">
        <f>SUMIFS('Annual_Cost'!$Q$2:$Q$1353,'Annual_Cost'!$A$2:$A$1353,A18,'Annual_Cost'!$B$2:$B$1353,B18)</f>
      </c>
      <c r="D18" s="90" t="str">
        <f>SUMIFS('Annual_Cost'!$R$2:$R$1353,'Annual_Cost'!$A$2:$A$1353,A18,'Annual_Cost'!$B$2:$B$1353,B18)</f>
      </c>
      <c r="E18" s="91" t="str">
        <f>SUMIFS('Annual_Cost'!$S$2:$S$1353,'Annual_Cost'!$A$2:$A$1353,A18,'Annual_Cost'!$B$2:$B$1353,B18)</f>
      </c>
      <c r="F18" s="92" t="str">
        <f>SUMIFS('Annual_Cost'!$Y$2:$Y$1353,'Annual_Cost'!$A$2:$A$1353,A18,'Annual_Cost'!$B$2:$B$1353,B18)</f>
      </c>
      <c r="G18" s="93" t="str">
        <f>SUMIFS($E$2:E18,$A$2:A18,A18)</f>
      </c>
      <c r="H18" s="94" t="str">
        <f>SUMIFS($F$2:F18,$A$2:A18,A18)</f>
      </c>
    </row>
    <row r="19">
      <c r="A19" t="s">
        <v>162</v>
      </c>
      <c r="B19" s="88" t="n">
        <v>2042</v>
      </c>
      <c r="C19" s="89" t="str">
        <f>SUMIFS('Annual_Cost'!$Q$2:$Q$1353,'Annual_Cost'!$A$2:$A$1353,A19,'Annual_Cost'!$B$2:$B$1353,B19)</f>
      </c>
      <c r="D19" s="90" t="str">
        <f>SUMIFS('Annual_Cost'!$R$2:$R$1353,'Annual_Cost'!$A$2:$A$1353,A19,'Annual_Cost'!$B$2:$B$1353,B19)</f>
      </c>
      <c r="E19" s="91" t="str">
        <f>SUMIFS('Annual_Cost'!$S$2:$S$1353,'Annual_Cost'!$A$2:$A$1353,A19,'Annual_Cost'!$B$2:$B$1353,B19)</f>
      </c>
      <c r="F19" s="92" t="str">
        <f>SUMIFS('Annual_Cost'!$Y$2:$Y$1353,'Annual_Cost'!$A$2:$A$1353,A19,'Annual_Cost'!$B$2:$B$1353,B19)</f>
      </c>
      <c r="G19" s="93" t="str">
        <f>SUMIFS($E$2:E19,$A$2:A19,A19)</f>
      </c>
      <c r="H19" s="94" t="str">
        <f>SUMIFS($F$2:F19,$A$2:A19,A19)</f>
      </c>
    </row>
    <row r="20">
      <c r="A20" t="s">
        <v>162</v>
      </c>
      <c r="B20" s="88" t="n">
        <v>2043</v>
      </c>
      <c r="C20" s="89" t="str">
        <f>SUMIFS('Annual_Cost'!$Q$2:$Q$1353,'Annual_Cost'!$A$2:$A$1353,A20,'Annual_Cost'!$B$2:$B$1353,B20)</f>
      </c>
      <c r="D20" s="90" t="str">
        <f>SUMIFS('Annual_Cost'!$R$2:$R$1353,'Annual_Cost'!$A$2:$A$1353,A20,'Annual_Cost'!$B$2:$B$1353,B20)</f>
      </c>
      <c r="E20" s="91" t="str">
        <f>SUMIFS('Annual_Cost'!$S$2:$S$1353,'Annual_Cost'!$A$2:$A$1353,A20,'Annual_Cost'!$B$2:$B$1353,B20)</f>
      </c>
      <c r="F20" s="92" t="str">
        <f>SUMIFS('Annual_Cost'!$Y$2:$Y$1353,'Annual_Cost'!$A$2:$A$1353,A20,'Annual_Cost'!$B$2:$B$1353,B20)</f>
      </c>
      <c r="G20" s="93" t="str">
        <f>SUMIFS($E$2:E20,$A$2:A20,A20)</f>
      </c>
      <c r="H20" s="94" t="str">
        <f>SUMIFS($F$2:F20,$A$2:A20,A20)</f>
      </c>
    </row>
    <row r="21">
      <c r="A21" t="s">
        <v>162</v>
      </c>
      <c r="B21" s="88" t="n">
        <v>2044</v>
      </c>
      <c r="C21" s="89" t="str">
        <f>SUMIFS('Annual_Cost'!$Q$2:$Q$1353,'Annual_Cost'!$A$2:$A$1353,A21,'Annual_Cost'!$B$2:$B$1353,B21)</f>
      </c>
      <c r="D21" s="90" t="str">
        <f>SUMIFS('Annual_Cost'!$R$2:$R$1353,'Annual_Cost'!$A$2:$A$1353,A21,'Annual_Cost'!$B$2:$B$1353,B21)</f>
      </c>
      <c r="E21" s="91" t="str">
        <f>SUMIFS('Annual_Cost'!$S$2:$S$1353,'Annual_Cost'!$A$2:$A$1353,A21,'Annual_Cost'!$B$2:$B$1353,B21)</f>
      </c>
      <c r="F21" s="92" t="str">
        <f>SUMIFS('Annual_Cost'!$Y$2:$Y$1353,'Annual_Cost'!$A$2:$A$1353,A21,'Annual_Cost'!$B$2:$B$1353,B21)</f>
      </c>
      <c r="G21" s="93" t="str">
        <f>SUMIFS($E$2:E21,$A$2:A21,A21)</f>
      </c>
      <c r="H21" s="94" t="str">
        <f>SUMIFS($F$2:F21,$A$2:A21,A21)</f>
      </c>
    </row>
    <row r="22">
      <c r="A22" t="s">
        <v>162</v>
      </c>
      <c r="B22" s="88" t="n">
        <v>2045</v>
      </c>
      <c r="C22" s="89" t="str">
        <f>SUMIFS('Annual_Cost'!$Q$2:$Q$1353,'Annual_Cost'!$A$2:$A$1353,A22,'Annual_Cost'!$B$2:$B$1353,B22)</f>
      </c>
      <c r="D22" s="90" t="str">
        <f>SUMIFS('Annual_Cost'!$R$2:$R$1353,'Annual_Cost'!$A$2:$A$1353,A22,'Annual_Cost'!$B$2:$B$1353,B22)</f>
      </c>
      <c r="E22" s="91" t="str">
        <f>SUMIFS('Annual_Cost'!$S$2:$S$1353,'Annual_Cost'!$A$2:$A$1353,A22,'Annual_Cost'!$B$2:$B$1353,B22)</f>
      </c>
      <c r="F22" s="92" t="str">
        <f>SUMIFS('Annual_Cost'!$Y$2:$Y$1353,'Annual_Cost'!$A$2:$A$1353,A22,'Annual_Cost'!$B$2:$B$1353,B22)</f>
      </c>
      <c r="G22" s="93" t="str">
        <f>SUMIFS($E$2:E22,$A$2:A22,A22)</f>
      </c>
      <c r="H22" s="94" t="str">
        <f>SUMIFS($F$2:F22,$A$2:A22,A22)</f>
      </c>
    </row>
    <row r="23">
      <c r="A23" t="s">
        <v>162</v>
      </c>
      <c r="B23" s="88" t="n">
        <v>2046</v>
      </c>
      <c r="C23" s="89" t="str">
        <f>SUMIFS('Annual_Cost'!$Q$2:$Q$1353,'Annual_Cost'!$A$2:$A$1353,A23,'Annual_Cost'!$B$2:$B$1353,B23)</f>
      </c>
      <c r="D23" s="90" t="str">
        <f>SUMIFS('Annual_Cost'!$R$2:$R$1353,'Annual_Cost'!$A$2:$A$1353,A23,'Annual_Cost'!$B$2:$B$1353,B23)</f>
      </c>
      <c r="E23" s="91" t="str">
        <f>SUMIFS('Annual_Cost'!$S$2:$S$1353,'Annual_Cost'!$A$2:$A$1353,A23,'Annual_Cost'!$B$2:$B$1353,B23)</f>
      </c>
      <c r="F23" s="92" t="str">
        <f>SUMIFS('Annual_Cost'!$Y$2:$Y$1353,'Annual_Cost'!$A$2:$A$1353,A23,'Annual_Cost'!$B$2:$B$1353,B23)</f>
      </c>
      <c r="G23" s="93" t="str">
        <f>SUMIFS($E$2:E23,$A$2:A23,A23)</f>
      </c>
      <c r="H23" s="94" t="str">
        <f>SUMIFS($F$2:F23,$A$2:A23,A23)</f>
      </c>
    </row>
    <row r="24">
      <c r="A24" t="s">
        <v>162</v>
      </c>
      <c r="B24" s="88" t="n">
        <v>2047</v>
      </c>
      <c r="C24" s="89" t="str">
        <f>SUMIFS('Annual_Cost'!$Q$2:$Q$1353,'Annual_Cost'!$A$2:$A$1353,A24,'Annual_Cost'!$B$2:$B$1353,B24)</f>
      </c>
      <c r="D24" s="90" t="str">
        <f>SUMIFS('Annual_Cost'!$R$2:$R$1353,'Annual_Cost'!$A$2:$A$1353,A24,'Annual_Cost'!$B$2:$B$1353,B24)</f>
      </c>
      <c r="E24" s="91" t="str">
        <f>SUMIFS('Annual_Cost'!$S$2:$S$1353,'Annual_Cost'!$A$2:$A$1353,A24,'Annual_Cost'!$B$2:$B$1353,B24)</f>
      </c>
      <c r="F24" s="92" t="str">
        <f>SUMIFS('Annual_Cost'!$Y$2:$Y$1353,'Annual_Cost'!$A$2:$A$1353,A24,'Annual_Cost'!$B$2:$B$1353,B24)</f>
      </c>
      <c r="G24" s="93" t="str">
        <f>SUMIFS($E$2:E24,$A$2:A24,A24)</f>
      </c>
      <c r="H24" s="94" t="str">
        <f>SUMIFS($F$2:F24,$A$2:A24,A24)</f>
      </c>
    </row>
    <row r="25">
      <c r="A25" t="s">
        <v>162</v>
      </c>
      <c r="B25" s="88" t="n">
        <v>2048</v>
      </c>
      <c r="C25" s="89" t="str">
        <f>SUMIFS('Annual_Cost'!$Q$2:$Q$1353,'Annual_Cost'!$A$2:$A$1353,A25,'Annual_Cost'!$B$2:$B$1353,B25)</f>
      </c>
      <c r="D25" s="90" t="str">
        <f>SUMIFS('Annual_Cost'!$R$2:$R$1353,'Annual_Cost'!$A$2:$A$1353,A25,'Annual_Cost'!$B$2:$B$1353,B25)</f>
      </c>
      <c r="E25" s="91" t="str">
        <f>SUMIFS('Annual_Cost'!$S$2:$S$1353,'Annual_Cost'!$A$2:$A$1353,A25,'Annual_Cost'!$B$2:$B$1353,B25)</f>
      </c>
      <c r="F25" s="92" t="str">
        <f>SUMIFS('Annual_Cost'!$Y$2:$Y$1353,'Annual_Cost'!$A$2:$A$1353,A25,'Annual_Cost'!$B$2:$B$1353,B25)</f>
      </c>
      <c r="G25" s="93" t="str">
        <f>SUMIFS($E$2:E25,$A$2:A25,A25)</f>
      </c>
      <c r="H25" s="94" t="str">
        <f>SUMIFS($F$2:F25,$A$2:A25,A25)</f>
      </c>
    </row>
    <row r="26">
      <c r="A26" t="s">
        <v>162</v>
      </c>
      <c r="B26" s="88" t="n">
        <v>2049</v>
      </c>
      <c r="C26" s="89" t="str">
        <f>SUMIFS('Annual_Cost'!$Q$2:$Q$1353,'Annual_Cost'!$A$2:$A$1353,A26,'Annual_Cost'!$B$2:$B$1353,B26)</f>
      </c>
      <c r="D26" s="90" t="str">
        <f>SUMIFS('Annual_Cost'!$R$2:$R$1353,'Annual_Cost'!$A$2:$A$1353,A26,'Annual_Cost'!$B$2:$B$1353,B26)</f>
      </c>
      <c r="E26" s="91" t="str">
        <f>SUMIFS('Annual_Cost'!$S$2:$S$1353,'Annual_Cost'!$A$2:$A$1353,A26,'Annual_Cost'!$B$2:$B$1353,B26)</f>
      </c>
      <c r="F26" s="92" t="str">
        <f>SUMIFS('Annual_Cost'!$Y$2:$Y$1353,'Annual_Cost'!$A$2:$A$1353,A26,'Annual_Cost'!$B$2:$B$1353,B26)</f>
      </c>
      <c r="G26" s="93" t="str">
        <f>SUMIFS($E$2:E26,$A$2:A26,A26)</f>
      </c>
      <c r="H26" s="94" t="str">
        <f>SUMIFS($F$2:F26,$A$2:A26,A26)</f>
      </c>
    </row>
    <row r="27">
      <c r="A27" t="s">
        <v>162</v>
      </c>
      <c r="B27" s="88" t="n">
        <v>2050</v>
      </c>
      <c r="C27" s="89" t="str">
        <f>SUMIFS('Annual_Cost'!$Q$2:$Q$1353,'Annual_Cost'!$A$2:$A$1353,A27,'Annual_Cost'!$B$2:$B$1353,B27)</f>
      </c>
      <c r="D27" s="90" t="str">
        <f>SUMIFS('Annual_Cost'!$R$2:$R$1353,'Annual_Cost'!$A$2:$A$1353,A27,'Annual_Cost'!$B$2:$B$1353,B27)</f>
      </c>
      <c r="E27" s="91" t="str">
        <f>SUMIFS('Annual_Cost'!$S$2:$S$1353,'Annual_Cost'!$A$2:$A$1353,A27,'Annual_Cost'!$B$2:$B$1353,B27)</f>
      </c>
      <c r="F27" s="92" t="str">
        <f>SUMIFS('Annual_Cost'!$Y$2:$Y$1353,'Annual_Cost'!$A$2:$A$1353,A27,'Annual_Cost'!$B$2:$B$1353,B27)</f>
      </c>
      <c r="G27" s="93" t="str">
        <f>SUMIFS($E$2:E27,$A$2:A27,A27)</f>
      </c>
      <c r="H27" s="94" t="str">
        <f>SUMIFS($F$2:F27,$A$2:A27,A27)</f>
      </c>
    </row>
    <row r="28">
      <c r="A28" t="s">
        <v>186</v>
      </c>
      <c r="B28" s="88" t="n">
        <v>2025</v>
      </c>
      <c r="C28" s="89" t="str">
        <f>SUMIFS('Annual_Cost'!$Q$2:$Q$1353,'Annual_Cost'!$A$2:$A$1353,A28,'Annual_Cost'!$B$2:$B$1353,B28)</f>
      </c>
      <c r="D28" s="90" t="str">
        <f>SUMIFS('Annual_Cost'!$R$2:$R$1353,'Annual_Cost'!$A$2:$A$1353,A28,'Annual_Cost'!$B$2:$B$1353,B28)</f>
      </c>
      <c r="E28" s="91" t="str">
        <f>SUMIFS('Annual_Cost'!$S$2:$S$1353,'Annual_Cost'!$A$2:$A$1353,A28,'Annual_Cost'!$B$2:$B$1353,B28)</f>
      </c>
      <c r="F28" s="92" t="str">
        <f>SUMIFS('Annual_Cost'!$Y$2:$Y$1353,'Annual_Cost'!$A$2:$A$1353,A28,'Annual_Cost'!$B$2:$B$1353,B28)</f>
      </c>
      <c r="G28" s="93" t="str">
        <f>SUMIFS($E$2:E28,$A$2:A28,A28)</f>
      </c>
      <c r="H28" s="94" t="str">
        <f>SUMIFS($F$2:F28,$A$2:A28,A28)</f>
      </c>
    </row>
    <row r="29">
      <c r="A29" t="s">
        <v>186</v>
      </c>
      <c r="B29" s="88" t="n">
        <v>2026</v>
      </c>
      <c r="C29" s="89" t="str">
        <f>SUMIFS('Annual_Cost'!$Q$2:$Q$1353,'Annual_Cost'!$A$2:$A$1353,A29,'Annual_Cost'!$B$2:$B$1353,B29)</f>
      </c>
      <c r="D29" s="90" t="str">
        <f>SUMIFS('Annual_Cost'!$R$2:$R$1353,'Annual_Cost'!$A$2:$A$1353,A29,'Annual_Cost'!$B$2:$B$1353,B29)</f>
      </c>
      <c r="E29" s="91" t="str">
        <f>SUMIFS('Annual_Cost'!$S$2:$S$1353,'Annual_Cost'!$A$2:$A$1353,A29,'Annual_Cost'!$B$2:$B$1353,B29)</f>
      </c>
      <c r="F29" s="92" t="str">
        <f>SUMIFS('Annual_Cost'!$Y$2:$Y$1353,'Annual_Cost'!$A$2:$A$1353,A29,'Annual_Cost'!$B$2:$B$1353,B29)</f>
      </c>
      <c r="G29" s="93" t="str">
        <f>SUMIFS($E$2:E29,$A$2:A29,A29)</f>
      </c>
      <c r="H29" s="94" t="str">
        <f>SUMIFS($F$2:F29,$A$2:A29,A29)</f>
      </c>
    </row>
    <row r="30">
      <c r="A30" t="s">
        <v>186</v>
      </c>
      <c r="B30" s="88" t="n">
        <v>2027</v>
      </c>
      <c r="C30" s="89" t="str">
        <f>SUMIFS('Annual_Cost'!$Q$2:$Q$1353,'Annual_Cost'!$A$2:$A$1353,A30,'Annual_Cost'!$B$2:$B$1353,B30)</f>
      </c>
      <c r="D30" s="90" t="str">
        <f>SUMIFS('Annual_Cost'!$R$2:$R$1353,'Annual_Cost'!$A$2:$A$1353,A30,'Annual_Cost'!$B$2:$B$1353,B30)</f>
      </c>
      <c r="E30" s="91" t="str">
        <f>SUMIFS('Annual_Cost'!$S$2:$S$1353,'Annual_Cost'!$A$2:$A$1353,A30,'Annual_Cost'!$B$2:$B$1353,B30)</f>
      </c>
      <c r="F30" s="92" t="str">
        <f>SUMIFS('Annual_Cost'!$Y$2:$Y$1353,'Annual_Cost'!$A$2:$A$1353,A30,'Annual_Cost'!$B$2:$B$1353,B30)</f>
      </c>
      <c r="G30" s="93" t="str">
        <f>SUMIFS($E$2:E30,$A$2:A30,A30)</f>
      </c>
      <c r="H30" s="94" t="str">
        <f>SUMIFS($F$2:F30,$A$2:A30,A30)</f>
      </c>
    </row>
    <row r="31">
      <c r="A31" t="s">
        <v>186</v>
      </c>
      <c r="B31" s="88" t="n">
        <v>2028</v>
      </c>
      <c r="C31" s="89" t="str">
        <f>SUMIFS('Annual_Cost'!$Q$2:$Q$1353,'Annual_Cost'!$A$2:$A$1353,A31,'Annual_Cost'!$B$2:$B$1353,B31)</f>
      </c>
      <c r="D31" s="90" t="str">
        <f>SUMIFS('Annual_Cost'!$R$2:$R$1353,'Annual_Cost'!$A$2:$A$1353,A31,'Annual_Cost'!$B$2:$B$1353,B31)</f>
      </c>
      <c r="E31" s="91" t="str">
        <f>SUMIFS('Annual_Cost'!$S$2:$S$1353,'Annual_Cost'!$A$2:$A$1353,A31,'Annual_Cost'!$B$2:$B$1353,B31)</f>
      </c>
      <c r="F31" s="92" t="str">
        <f>SUMIFS('Annual_Cost'!$Y$2:$Y$1353,'Annual_Cost'!$A$2:$A$1353,A31,'Annual_Cost'!$B$2:$B$1353,B31)</f>
      </c>
      <c r="G31" s="93" t="str">
        <f>SUMIFS($E$2:E31,$A$2:A31,A31)</f>
      </c>
      <c r="H31" s="94" t="str">
        <f>SUMIFS($F$2:F31,$A$2:A31,A31)</f>
      </c>
    </row>
    <row r="32">
      <c r="A32" t="s">
        <v>186</v>
      </c>
      <c r="B32" s="88" t="n">
        <v>2029</v>
      </c>
      <c r="C32" s="89" t="str">
        <f>SUMIFS('Annual_Cost'!$Q$2:$Q$1353,'Annual_Cost'!$A$2:$A$1353,A32,'Annual_Cost'!$B$2:$B$1353,B32)</f>
      </c>
      <c r="D32" s="90" t="str">
        <f>SUMIFS('Annual_Cost'!$R$2:$R$1353,'Annual_Cost'!$A$2:$A$1353,A32,'Annual_Cost'!$B$2:$B$1353,B32)</f>
      </c>
      <c r="E32" s="91" t="str">
        <f>SUMIFS('Annual_Cost'!$S$2:$S$1353,'Annual_Cost'!$A$2:$A$1353,A32,'Annual_Cost'!$B$2:$B$1353,B32)</f>
      </c>
      <c r="F32" s="92" t="str">
        <f>SUMIFS('Annual_Cost'!$Y$2:$Y$1353,'Annual_Cost'!$A$2:$A$1353,A32,'Annual_Cost'!$B$2:$B$1353,B32)</f>
      </c>
      <c r="G32" s="93" t="str">
        <f>SUMIFS($E$2:E32,$A$2:A32,A32)</f>
      </c>
      <c r="H32" s="94" t="str">
        <f>SUMIFS($F$2:F32,$A$2:A32,A32)</f>
      </c>
    </row>
    <row r="33">
      <c r="A33" t="s">
        <v>186</v>
      </c>
      <c r="B33" s="88" t="n">
        <v>2030</v>
      </c>
      <c r="C33" s="89" t="str">
        <f>SUMIFS('Annual_Cost'!$Q$2:$Q$1353,'Annual_Cost'!$A$2:$A$1353,A33,'Annual_Cost'!$B$2:$B$1353,B33)</f>
      </c>
      <c r="D33" s="90" t="str">
        <f>SUMIFS('Annual_Cost'!$R$2:$R$1353,'Annual_Cost'!$A$2:$A$1353,A33,'Annual_Cost'!$B$2:$B$1353,B33)</f>
      </c>
      <c r="E33" s="91" t="str">
        <f>SUMIFS('Annual_Cost'!$S$2:$S$1353,'Annual_Cost'!$A$2:$A$1353,A33,'Annual_Cost'!$B$2:$B$1353,B33)</f>
      </c>
      <c r="F33" s="92" t="str">
        <f>SUMIFS('Annual_Cost'!$Y$2:$Y$1353,'Annual_Cost'!$A$2:$A$1353,A33,'Annual_Cost'!$B$2:$B$1353,B33)</f>
      </c>
      <c r="G33" s="93" t="str">
        <f>SUMIFS($E$2:E33,$A$2:A33,A33)</f>
      </c>
      <c r="H33" s="94" t="str">
        <f>SUMIFS($F$2:F33,$A$2:A33,A33)</f>
      </c>
    </row>
    <row r="34">
      <c r="A34" t="s">
        <v>186</v>
      </c>
      <c r="B34" s="88" t="n">
        <v>2031</v>
      </c>
      <c r="C34" s="89" t="str">
        <f>SUMIFS('Annual_Cost'!$Q$2:$Q$1353,'Annual_Cost'!$A$2:$A$1353,A34,'Annual_Cost'!$B$2:$B$1353,B34)</f>
      </c>
      <c r="D34" s="90" t="str">
        <f>SUMIFS('Annual_Cost'!$R$2:$R$1353,'Annual_Cost'!$A$2:$A$1353,A34,'Annual_Cost'!$B$2:$B$1353,B34)</f>
      </c>
      <c r="E34" s="91" t="str">
        <f>SUMIFS('Annual_Cost'!$S$2:$S$1353,'Annual_Cost'!$A$2:$A$1353,A34,'Annual_Cost'!$B$2:$B$1353,B34)</f>
      </c>
      <c r="F34" s="92" t="str">
        <f>SUMIFS('Annual_Cost'!$Y$2:$Y$1353,'Annual_Cost'!$A$2:$A$1353,A34,'Annual_Cost'!$B$2:$B$1353,B34)</f>
      </c>
      <c r="G34" s="93" t="str">
        <f>SUMIFS($E$2:E34,$A$2:A34,A34)</f>
      </c>
      <c r="H34" s="94" t="str">
        <f>SUMIFS($F$2:F34,$A$2:A34,A34)</f>
      </c>
    </row>
    <row r="35">
      <c r="A35" t="s">
        <v>186</v>
      </c>
      <c r="B35" s="88" t="n">
        <v>2032</v>
      </c>
      <c r="C35" s="89" t="str">
        <f>SUMIFS('Annual_Cost'!$Q$2:$Q$1353,'Annual_Cost'!$A$2:$A$1353,A35,'Annual_Cost'!$B$2:$B$1353,B35)</f>
      </c>
      <c r="D35" s="90" t="str">
        <f>SUMIFS('Annual_Cost'!$R$2:$R$1353,'Annual_Cost'!$A$2:$A$1353,A35,'Annual_Cost'!$B$2:$B$1353,B35)</f>
      </c>
      <c r="E35" s="91" t="str">
        <f>SUMIFS('Annual_Cost'!$S$2:$S$1353,'Annual_Cost'!$A$2:$A$1353,A35,'Annual_Cost'!$B$2:$B$1353,B35)</f>
      </c>
      <c r="F35" s="92" t="str">
        <f>SUMIFS('Annual_Cost'!$Y$2:$Y$1353,'Annual_Cost'!$A$2:$A$1353,A35,'Annual_Cost'!$B$2:$B$1353,B35)</f>
      </c>
      <c r="G35" s="93" t="str">
        <f>SUMIFS($E$2:E35,$A$2:A35,A35)</f>
      </c>
      <c r="H35" s="94" t="str">
        <f>SUMIFS($F$2:F35,$A$2:A35,A35)</f>
      </c>
    </row>
    <row r="36">
      <c r="A36" t="s">
        <v>186</v>
      </c>
      <c r="B36" s="88" t="n">
        <v>2033</v>
      </c>
      <c r="C36" s="89" t="str">
        <f>SUMIFS('Annual_Cost'!$Q$2:$Q$1353,'Annual_Cost'!$A$2:$A$1353,A36,'Annual_Cost'!$B$2:$B$1353,B36)</f>
      </c>
      <c r="D36" s="90" t="str">
        <f>SUMIFS('Annual_Cost'!$R$2:$R$1353,'Annual_Cost'!$A$2:$A$1353,A36,'Annual_Cost'!$B$2:$B$1353,B36)</f>
      </c>
      <c r="E36" s="91" t="str">
        <f>SUMIFS('Annual_Cost'!$S$2:$S$1353,'Annual_Cost'!$A$2:$A$1353,A36,'Annual_Cost'!$B$2:$B$1353,B36)</f>
      </c>
      <c r="F36" s="92" t="str">
        <f>SUMIFS('Annual_Cost'!$Y$2:$Y$1353,'Annual_Cost'!$A$2:$A$1353,A36,'Annual_Cost'!$B$2:$B$1353,B36)</f>
      </c>
      <c r="G36" s="93" t="str">
        <f>SUMIFS($E$2:E36,$A$2:A36,A36)</f>
      </c>
      <c r="H36" s="94" t="str">
        <f>SUMIFS($F$2:F36,$A$2:A36,A36)</f>
      </c>
    </row>
    <row r="37">
      <c r="A37" t="s">
        <v>186</v>
      </c>
      <c r="B37" s="88" t="n">
        <v>2034</v>
      </c>
      <c r="C37" s="89" t="str">
        <f>SUMIFS('Annual_Cost'!$Q$2:$Q$1353,'Annual_Cost'!$A$2:$A$1353,A37,'Annual_Cost'!$B$2:$B$1353,B37)</f>
      </c>
      <c r="D37" s="90" t="str">
        <f>SUMIFS('Annual_Cost'!$R$2:$R$1353,'Annual_Cost'!$A$2:$A$1353,A37,'Annual_Cost'!$B$2:$B$1353,B37)</f>
      </c>
      <c r="E37" s="91" t="str">
        <f>SUMIFS('Annual_Cost'!$S$2:$S$1353,'Annual_Cost'!$A$2:$A$1353,A37,'Annual_Cost'!$B$2:$B$1353,B37)</f>
      </c>
      <c r="F37" s="92" t="str">
        <f>SUMIFS('Annual_Cost'!$Y$2:$Y$1353,'Annual_Cost'!$A$2:$A$1353,A37,'Annual_Cost'!$B$2:$B$1353,B37)</f>
      </c>
      <c r="G37" s="93" t="str">
        <f>SUMIFS($E$2:E37,$A$2:A37,A37)</f>
      </c>
      <c r="H37" s="94" t="str">
        <f>SUMIFS($F$2:F37,$A$2:A37,A37)</f>
      </c>
    </row>
    <row r="38">
      <c r="A38" t="s">
        <v>186</v>
      </c>
      <c r="B38" s="88" t="n">
        <v>2035</v>
      </c>
      <c r="C38" s="89" t="str">
        <f>SUMIFS('Annual_Cost'!$Q$2:$Q$1353,'Annual_Cost'!$A$2:$A$1353,A38,'Annual_Cost'!$B$2:$B$1353,B38)</f>
      </c>
      <c r="D38" s="90" t="str">
        <f>SUMIFS('Annual_Cost'!$R$2:$R$1353,'Annual_Cost'!$A$2:$A$1353,A38,'Annual_Cost'!$B$2:$B$1353,B38)</f>
      </c>
      <c r="E38" s="91" t="str">
        <f>SUMIFS('Annual_Cost'!$S$2:$S$1353,'Annual_Cost'!$A$2:$A$1353,A38,'Annual_Cost'!$B$2:$B$1353,B38)</f>
      </c>
      <c r="F38" s="92" t="str">
        <f>SUMIFS('Annual_Cost'!$Y$2:$Y$1353,'Annual_Cost'!$A$2:$A$1353,A38,'Annual_Cost'!$B$2:$B$1353,B38)</f>
      </c>
      <c r="G38" s="93" t="str">
        <f>SUMIFS($E$2:E38,$A$2:A38,A38)</f>
      </c>
      <c r="H38" s="94" t="str">
        <f>SUMIFS($F$2:F38,$A$2:A38,A38)</f>
      </c>
    </row>
    <row r="39">
      <c r="A39" t="s">
        <v>186</v>
      </c>
      <c r="B39" s="88" t="n">
        <v>2036</v>
      </c>
      <c r="C39" s="89" t="str">
        <f>SUMIFS('Annual_Cost'!$Q$2:$Q$1353,'Annual_Cost'!$A$2:$A$1353,A39,'Annual_Cost'!$B$2:$B$1353,B39)</f>
      </c>
      <c r="D39" s="90" t="str">
        <f>SUMIFS('Annual_Cost'!$R$2:$R$1353,'Annual_Cost'!$A$2:$A$1353,A39,'Annual_Cost'!$B$2:$B$1353,B39)</f>
      </c>
      <c r="E39" s="91" t="str">
        <f>SUMIFS('Annual_Cost'!$S$2:$S$1353,'Annual_Cost'!$A$2:$A$1353,A39,'Annual_Cost'!$B$2:$B$1353,B39)</f>
      </c>
      <c r="F39" s="92" t="str">
        <f>SUMIFS('Annual_Cost'!$Y$2:$Y$1353,'Annual_Cost'!$A$2:$A$1353,A39,'Annual_Cost'!$B$2:$B$1353,B39)</f>
      </c>
      <c r="G39" s="93" t="str">
        <f>SUMIFS($E$2:E39,$A$2:A39,A39)</f>
      </c>
      <c r="H39" s="94" t="str">
        <f>SUMIFS($F$2:F39,$A$2:A39,A39)</f>
      </c>
    </row>
    <row r="40">
      <c r="A40" t="s">
        <v>186</v>
      </c>
      <c r="B40" s="88" t="n">
        <v>2037</v>
      </c>
      <c r="C40" s="89" t="str">
        <f>SUMIFS('Annual_Cost'!$Q$2:$Q$1353,'Annual_Cost'!$A$2:$A$1353,A40,'Annual_Cost'!$B$2:$B$1353,B40)</f>
      </c>
      <c r="D40" s="90" t="str">
        <f>SUMIFS('Annual_Cost'!$R$2:$R$1353,'Annual_Cost'!$A$2:$A$1353,A40,'Annual_Cost'!$B$2:$B$1353,B40)</f>
      </c>
      <c r="E40" s="91" t="str">
        <f>SUMIFS('Annual_Cost'!$S$2:$S$1353,'Annual_Cost'!$A$2:$A$1353,A40,'Annual_Cost'!$B$2:$B$1353,B40)</f>
      </c>
      <c r="F40" s="92" t="str">
        <f>SUMIFS('Annual_Cost'!$Y$2:$Y$1353,'Annual_Cost'!$A$2:$A$1353,A40,'Annual_Cost'!$B$2:$B$1353,B40)</f>
      </c>
      <c r="G40" s="93" t="str">
        <f>SUMIFS($E$2:E40,$A$2:A40,A40)</f>
      </c>
      <c r="H40" s="94" t="str">
        <f>SUMIFS($F$2:F40,$A$2:A40,A40)</f>
      </c>
    </row>
    <row r="41">
      <c r="A41" t="s">
        <v>186</v>
      </c>
      <c r="B41" s="88" t="n">
        <v>2038</v>
      </c>
      <c r="C41" s="89" t="str">
        <f>SUMIFS('Annual_Cost'!$Q$2:$Q$1353,'Annual_Cost'!$A$2:$A$1353,A41,'Annual_Cost'!$B$2:$B$1353,B41)</f>
      </c>
      <c r="D41" s="90" t="str">
        <f>SUMIFS('Annual_Cost'!$R$2:$R$1353,'Annual_Cost'!$A$2:$A$1353,A41,'Annual_Cost'!$B$2:$B$1353,B41)</f>
      </c>
      <c r="E41" s="91" t="str">
        <f>SUMIFS('Annual_Cost'!$S$2:$S$1353,'Annual_Cost'!$A$2:$A$1353,A41,'Annual_Cost'!$B$2:$B$1353,B41)</f>
      </c>
      <c r="F41" s="92" t="str">
        <f>SUMIFS('Annual_Cost'!$Y$2:$Y$1353,'Annual_Cost'!$A$2:$A$1353,A41,'Annual_Cost'!$B$2:$B$1353,B41)</f>
      </c>
      <c r="G41" s="93" t="str">
        <f>SUMIFS($E$2:E41,$A$2:A41,A41)</f>
      </c>
      <c r="H41" s="94" t="str">
        <f>SUMIFS($F$2:F41,$A$2:A41,A41)</f>
      </c>
    </row>
    <row r="42">
      <c r="A42" t="s">
        <v>186</v>
      </c>
      <c r="B42" s="88" t="n">
        <v>2039</v>
      </c>
      <c r="C42" s="89" t="str">
        <f>SUMIFS('Annual_Cost'!$Q$2:$Q$1353,'Annual_Cost'!$A$2:$A$1353,A42,'Annual_Cost'!$B$2:$B$1353,B42)</f>
      </c>
      <c r="D42" s="90" t="str">
        <f>SUMIFS('Annual_Cost'!$R$2:$R$1353,'Annual_Cost'!$A$2:$A$1353,A42,'Annual_Cost'!$B$2:$B$1353,B42)</f>
      </c>
      <c r="E42" s="91" t="str">
        <f>SUMIFS('Annual_Cost'!$S$2:$S$1353,'Annual_Cost'!$A$2:$A$1353,A42,'Annual_Cost'!$B$2:$B$1353,B42)</f>
      </c>
      <c r="F42" s="92" t="str">
        <f>SUMIFS('Annual_Cost'!$Y$2:$Y$1353,'Annual_Cost'!$A$2:$A$1353,A42,'Annual_Cost'!$B$2:$B$1353,B42)</f>
      </c>
      <c r="G42" s="93" t="str">
        <f>SUMIFS($E$2:E42,$A$2:A42,A42)</f>
      </c>
      <c r="H42" s="94" t="str">
        <f>SUMIFS($F$2:F42,$A$2:A42,A42)</f>
      </c>
    </row>
    <row r="43">
      <c r="A43" t="s">
        <v>186</v>
      </c>
      <c r="B43" s="88" t="n">
        <v>2040</v>
      </c>
      <c r="C43" s="89" t="str">
        <f>SUMIFS('Annual_Cost'!$Q$2:$Q$1353,'Annual_Cost'!$A$2:$A$1353,A43,'Annual_Cost'!$B$2:$B$1353,B43)</f>
      </c>
      <c r="D43" s="90" t="str">
        <f>SUMIFS('Annual_Cost'!$R$2:$R$1353,'Annual_Cost'!$A$2:$A$1353,A43,'Annual_Cost'!$B$2:$B$1353,B43)</f>
      </c>
      <c r="E43" s="91" t="str">
        <f>SUMIFS('Annual_Cost'!$S$2:$S$1353,'Annual_Cost'!$A$2:$A$1353,A43,'Annual_Cost'!$B$2:$B$1353,B43)</f>
      </c>
      <c r="F43" s="92" t="str">
        <f>SUMIFS('Annual_Cost'!$Y$2:$Y$1353,'Annual_Cost'!$A$2:$A$1353,A43,'Annual_Cost'!$B$2:$B$1353,B43)</f>
      </c>
      <c r="G43" s="93" t="str">
        <f>SUMIFS($E$2:E43,$A$2:A43,A43)</f>
      </c>
      <c r="H43" s="94" t="str">
        <f>SUMIFS($F$2:F43,$A$2:A43,A43)</f>
      </c>
    </row>
    <row r="44">
      <c r="A44" t="s">
        <v>186</v>
      </c>
      <c r="B44" s="88" t="n">
        <v>2041</v>
      </c>
      <c r="C44" s="89" t="str">
        <f>SUMIFS('Annual_Cost'!$Q$2:$Q$1353,'Annual_Cost'!$A$2:$A$1353,A44,'Annual_Cost'!$B$2:$B$1353,B44)</f>
      </c>
      <c r="D44" s="90" t="str">
        <f>SUMIFS('Annual_Cost'!$R$2:$R$1353,'Annual_Cost'!$A$2:$A$1353,A44,'Annual_Cost'!$B$2:$B$1353,B44)</f>
      </c>
      <c r="E44" s="91" t="str">
        <f>SUMIFS('Annual_Cost'!$S$2:$S$1353,'Annual_Cost'!$A$2:$A$1353,A44,'Annual_Cost'!$B$2:$B$1353,B44)</f>
      </c>
      <c r="F44" s="92" t="str">
        <f>SUMIFS('Annual_Cost'!$Y$2:$Y$1353,'Annual_Cost'!$A$2:$A$1353,A44,'Annual_Cost'!$B$2:$B$1353,B44)</f>
      </c>
      <c r="G44" s="93" t="str">
        <f>SUMIFS($E$2:E44,$A$2:A44,A44)</f>
      </c>
      <c r="H44" s="94" t="str">
        <f>SUMIFS($F$2:F44,$A$2:A44,A44)</f>
      </c>
    </row>
    <row r="45">
      <c r="A45" t="s">
        <v>186</v>
      </c>
      <c r="B45" s="88" t="n">
        <v>2042</v>
      </c>
      <c r="C45" s="89" t="str">
        <f>SUMIFS('Annual_Cost'!$Q$2:$Q$1353,'Annual_Cost'!$A$2:$A$1353,A45,'Annual_Cost'!$B$2:$B$1353,B45)</f>
      </c>
      <c r="D45" s="90" t="str">
        <f>SUMIFS('Annual_Cost'!$R$2:$R$1353,'Annual_Cost'!$A$2:$A$1353,A45,'Annual_Cost'!$B$2:$B$1353,B45)</f>
      </c>
      <c r="E45" s="91" t="str">
        <f>SUMIFS('Annual_Cost'!$S$2:$S$1353,'Annual_Cost'!$A$2:$A$1353,A45,'Annual_Cost'!$B$2:$B$1353,B45)</f>
      </c>
      <c r="F45" s="92" t="str">
        <f>SUMIFS('Annual_Cost'!$Y$2:$Y$1353,'Annual_Cost'!$A$2:$A$1353,A45,'Annual_Cost'!$B$2:$B$1353,B45)</f>
      </c>
      <c r="G45" s="93" t="str">
        <f>SUMIFS($E$2:E45,$A$2:A45,A45)</f>
      </c>
      <c r="H45" s="94" t="str">
        <f>SUMIFS($F$2:F45,$A$2:A45,A45)</f>
      </c>
    </row>
    <row r="46">
      <c r="A46" t="s">
        <v>186</v>
      </c>
      <c r="B46" s="88" t="n">
        <v>2043</v>
      </c>
      <c r="C46" s="89" t="str">
        <f>SUMIFS('Annual_Cost'!$Q$2:$Q$1353,'Annual_Cost'!$A$2:$A$1353,A46,'Annual_Cost'!$B$2:$B$1353,B46)</f>
      </c>
      <c r="D46" s="90" t="str">
        <f>SUMIFS('Annual_Cost'!$R$2:$R$1353,'Annual_Cost'!$A$2:$A$1353,A46,'Annual_Cost'!$B$2:$B$1353,B46)</f>
      </c>
      <c r="E46" s="91" t="str">
        <f>SUMIFS('Annual_Cost'!$S$2:$S$1353,'Annual_Cost'!$A$2:$A$1353,A46,'Annual_Cost'!$B$2:$B$1353,B46)</f>
      </c>
      <c r="F46" s="92" t="str">
        <f>SUMIFS('Annual_Cost'!$Y$2:$Y$1353,'Annual_Cost'!$A$2:$A$1353,A46,'Annual_Cost'!$B$2:$B$1353,B46)</f>
      </c>
      <c r="G46" s="93" t="str">
        <f>SUMIFS($E$2:E46,$A$2:A46,A46)</f>
      </c>
      <c r="H46" s="94" t="str">
        <f>SUMIFS($F$2:F46,$A$2:A46,A46)</f>
      </c>
    </row>
    <row r="47">
      <c r="A47" t="s">
        <v>186</v>
      </c>
      <c r="B47" s="88" t="n">
        <v>2044</v>
      </c>
      <c r="C47" s="89" t="str">
        <f>SUMIFS('Annual_Cost'!$Q$2:$Q$1353,'Annual_Cost'!$A$2:$A$1353,A47,'Annual_Cost'!$B$2:$B$1353,B47)</f>
      </c>
      <c r="D47" s="90" t="str">
        <f>SUMIFS('Annual_Cost'!$R$2:$R$1353,'Annual_Cost'!$A$2:$A$1353,A47,'Annual_Cost'!$B$2:$B$1353,B47)</f>
      </c>
      <c r="E47" s="91" t="str">
        <f>SUMIFS('Annual_Cost'!$S$2:$S$1353,'Annual_Cost'!$A$2:$A$1353,A47,'Annual_Cost'!$B$2:$B$1353,B47)</f>
      </c>
      <c r="F47" s="92" t="str">
        <f>SUMIFS('Annual_Cost'!$Y$2:$Y$1353,'Annual_Cost'!$A$2:$A$1353,A47,'Annual_Cost'!$B$2:$B$1353,B47)</f>
      </c>
      <c r="G47" s="93" t="str">
        <f>SUMIFS($E$2:E47,$A$2:A47,A47)</f>
      </c>
      <c r="H47" s="94" t="str">
        <f>SUMIFS($F$2:F47,$A$2:A47,A47)</f>
      </c>
    </row>
    <row r="48">
      <c r="A48" t="s">
        <v>186</v>
      </c>
      <c r="B48" s="88" t="n">
        <v>2045</v>
      </c>
      <c r="C48" s="89" t="str">
        <f>SUMIFS('Annual_Cost'!$Q$2:$Q$1353,'Annual_Cost'!$A$2:$A$1353,A48,'Annual_Cost'!$B$2:$B$1353,B48)</f>
      </c>
      <c r="D48" s="90" t="str">
        <f>SUMIFS('Annual_Cost'!$R$2:$R$1353,'Annual_Cost'!$A$2:$A$1353,A48,'Annual_Cost'!$B$2:$B$1353,B48)</f>
      </c>
      <c r="E48" s="91" t="str">
        <f>SUMIFS('Annual_Cost'!$S$2:$S$1353,'Annual_Cost'!$A$2:$A$1353,A48,'Annual_Cost'!$B$2:$B$1353,B48)</f>
      </c>
      <c r="F48" s="92" t="str">
        <f>SUMIFS('Annual_Cost'!$Y$2:$Y$1353,'Annual_Cost'!$A$2:$A$1353,A48,'Annual_Cost'!$B$2:$B$1353,B48)</f>
      </c>
      <c r="G48" s="93" t="str">
        <f>SUMIFS($E$2:E48,$A$2:A48,A48)</f>
      </c>
      <c r="H48" s="94" t="str">
        <f>SUMIFS($F$2:F48,$A$2:A48,A48)</f>
      </c>
    </row>
    <row r="49">
      <c r="A49" t="s">
        <v>186</v>
      </c>
      <c r="B49" s="88" t="n">
        <v>2046</v>
      </c>
      <c r="C49" s="89" t="str">
        <f>SUMIFS('Annual_Cost'!$Q$2:$Q$1353,'Annual_Cost'!$A$2:$A$1353,A49,'Annual_Cost'!$B$2:$B$1353,B49)</f>
      </c>
      <c r="D49" s="90" t="str">
        <f>SUMIFS('Annual_Cost'!$R$2:$R$1353,'Annual_Cost'!$A$2:$A$1353,A49,'Annual_Cost'!$B$2:$B$1353,B49)</f>
      </c>
      <c r="E49" s="91" t="str">
        <f>SUMIFS('Annual_Cost'!$S$2:$S$1353,'Annual_Cost'!$A$2:$A$1353,A49,'Annual_Cost'!$B$2:$B$1353,B49)</f>
      </c>
      <c r="F49" s="92" t="str">
        <f>SUMIFS('Annual_Cost'!$Y$2:$Y$1353,'Annual_Cost'!$A$2:$A$1353,A49,'Annual_Cost'!$B$2:$B$1353,B49)</f>
      </c>
      <c r="G49" s="93" t="str">
        <f>SUMIFS($E$2:E49,$A$2:A49,A49)</f>
      </c>
      <c r="H49" s="94" t="str">
        <f>SUMIFS($F$2:F49,$A$2:A49,A49)</f>
      </c>
    </row>
    <row r="50">
      <c r="A50" t="s">
        <v>186</v>
      </c>
      <c r="B50" s="88" t="n">
        <v>2047</v>
      </c>
      <c r="C50" s="89" t="str">
        <f>SUMIFS('Annual_Cost'!$Q$2:$Q$1353,'Annual_Cost'!$A$2:$A$1353,A50,'Annual_Cost'!$B$2:$B$1353,B50)</f>
      </c>
      <c r="D50" s="90" t="str">
        <f>SUMIFS('Annual_Cost'!$R$2:$R$1353,'Annual_Cost'!$A$2:$A$1353,A50,'Annual_Cost'!$B$2:$B$1353,B50)</f>
      </c>
      <c r="E50" s="91" t="str">
        <f>SUMIFS('Annual_Cost'!$S$2:$S$1353,'Annual_Cost'!$A$2:$A$1353,A50,'Annual_Cost'!$B$2:$B$1353,B50)</f>
      </c>
      <c r="F50" s="92" t="str">
        <f>SUMIFS('Annual_Cost'!$Y$2:$Y$1353,'Annual_Cost'!$A$2:$A$1353,A50,'Annual_Cost'!$B$2:$B$1353,B50)</f>
      </c>
      <c r="G50" s="93" t="str">
        <f>SUMIFS($E$2:E50,$A$2:A50,A50)</f>
      </c>
      <c r="H50" s="94" t="str">
        <f>SUMIFS($F$2:F50,$A$2:A50,A50)</f>
      </c>
    </row>
    <row r="51">
      <c r="A51" t="s">
        <v>186</v>
      </c>
      <c r="B51" s="88" t="n">
        <v>2048</v>
      </c>
      <c r="C51" s="89" t="str">
        <f>SUMIFS('Annual_Cost'!$Q$2:$Q$1353,'Annual_Cost'!$A$2:$A$1353,A51,'Annual_Cost'!$B$2:$B$1353,B51)</f>
      </c>
      <c r="D51" s="90" t="str">
        <f>SUMIFS('Annual_Cost'!$R$2:$R$1353,'Annual_Cost'!$A$2:$A$1353,A51,'Annual_Cost'!$B$2:$B$1353,B51)</f>
      </c>
      <c r="E51" s="91" t="str">
        <f>SUMIFS('Annual_Cost'!$S$2:$S$1353,'Annual_Cost'!$A$2:$A$1353,A51,'Annual_Cost'!$B$2:$B$1353,B51)</f>
      </c>
      <c r="F51" s="92" t="str">
        <f>SUMIFS('Annual_Cost'!$Y$2:$Y$1353,'Annual_Cost'!$A$2:$A$1353,A51,'Annual_Cost'!$B$2:$B$1353,B51)</f>
      </c>
      <c r="G51" s="93" t="str">
        <f>SUMIFS($E$2:E51,$A$2:A51,A51)</f>
      </c>
      <c r="H51" s="94" t="str">
        <f>SUMIFS($F$2:F51,$A$2:A51,A51)</f>
      </c>
    </row>
    <row r="52">
      <c r="A52" t="s">
        <v>186</v>
      </c>
      <c r="B52" s="88" t="n">
        <v>2049</v>
      </c>
      <c r="C52" s="89" t="str">
        <f>SUMIFS('Annual_Cost'!$Q$2:$Q$1353,'Annual_Cost'!$A$2:$A$1353,A52,'Annual_Cost'!$B$2:$B$1353,B52)</f>
      </c>
      <c r="D52" s="90" t="str">
        <f>SUMIFS('Annual_Cost'!$R$2:$R$1353,'Annual_Cost'!$A$2:$A$1353,A52,'Annual_Cost'!$B$2:$B$1353,B52)</f>
      </c>
      <c r="E52" s="91" t="str">
        <f>SUMIFS('Annual_Cost'!$S$2:$S$1353,'Annual_Cost'!$A$2:$A$1353,A52,'Annual_Cost'!$B$2:$B$1353,B52)</f>
      </c>
      <c r="F52" s="92" t="str">
        <f>SUMIFS('Annual_Cost'!$Y$2:$Y$1353,'Annual_Cost'!$A$2:$A$1353,A52,'Annual_Cost'!$B$2:$B$1353,B52)</f>
      </c>
      <c r="G52" s="93" t="str">
        <f>SUMIFS($E$2:E52,$A$2:A52,A52)</f>
      </c>
      <c r="H52" s="94" t="str">
        <f>SUMIFS($F$2:F52,$A$2:A52,A52)</f>
      </c>
    </row>
    <row r="53">
      <c r="A53" t="s">
        <v>186</v>
      </c>
      <c r="B53" s="88" t="n">
        <v>2050</v>
      </c>
      <c r="C53" s="89" t="str">
        <f>SUMIFS('Annual_Cost'!$Q$2:$Q$1353,'Annual_Cost'!$A$2:$A$1353,A53,'Annual_Cost'!$B$2:$B$1353,B53)</f>
      </c>
      <c r="D53" s="90" t="str">
        <f>SUMIFS('Annual_Cost'!$R$2:$R$1353,'Annual_Cost'!$A$2:$A$1353,A53,'Annual_Cost'!$B$2:$B$1353,B53)</f>
      </c>
      <c r="E53" s="91" t="str">
        <f>SUMIFS('Annual_Cost'!$S$2:$S$1353,'Annual_Cost'!$A$2:$A$1353,A53,'Annual_Cost'!$B$2:$B$1353,B53)</f>
      </c>
      <c r="F53" s="92" t="str">
        <f>SUMIFS('Annual_Cost'!$Y$2:$Y$1353,'Annual_Cost'!$A$2:$A$1353,A53,'Annual_Cost'!$B$2:$B$1353,B53)</f>
      </c>
      <c r="G53" s="93" t="str">
        <f>SUMIFS($E$2:E53,$A$2:A53,A53)</f>
      </c>
      <c r="H53" s="94" t="str">
        <f>SUMIFS($F$2:F53,$A$2:A53,A53)</f>
      </c>
    </row>
    <row r="54">
      <c r="A54" t="s">
        <v>200</v>
      </c>
      <c r="B54" s="88" t="n">
        <v>2025</v>
      </c>
      <c r="C54" s="89" t="str">
        <f>SUMIFS('Annual_Cost'!$Q$2:$Q$1353,'Annual_Cost'!$A$2:$A$1353,A54,'Annual_Cost'!$B$2:$B$1353,B54)</f>
      </c>
      <c r="D54" s="90" t="str">
        <f>SUMIFS('Annual_Cost'!$R$2:$R$1353,'Annual_Cost'!$A$2:$A$1353,A54,'Annual_Cost'!$B$2:$B$1353,B54)</f>
      </c>
      <c r="E54" s="91" t="str">
        <f>SUMIFS('Annual_Cost'!$S$2:$S$1353,'Annual_Cost'!$A$2:$A$1353,A54,'Annual_Cost'!$B$2:$B$1353,B54)</f>
      </c>
      <c r="F54" s="92" t="str">
        <f>SUMIFS('Annual_Cost'!$Y$2:$Y$1353,'Annual_Cost'!$A$2:$A$1353,A54,'Annual_Cost'!$B$2:$B$1353,B54)</f>
      </c>
      <c r="G54" s="93" t="str">
        <f>SUMIFS($E$2:E54,$A$2:A54,A54)</f>
      </c>
      <c r="H54" s="94" t="str">
        <f>SUMIFS($F$2:F54,$A$2:A54,A54)</f>
      </c>
    </row>
    <row r="55">
      <c r="A55" t="s">
        <v>200</v>
      </c>
      <c r="B55" s="88" t="n">
        <v>2026</v>
      </c>
      <c r="C55" s="89" t="str">
        <f>SUMIFS('Annual_Cost'!$Q$2:$Q$1353,'Annual_Cost'!$A$2:$A$1353,A55,'Annual_Cost'!$B$2:$B$1353,B55)</f>
      </c>
      <c r="D55" s="90" t="str">
        <f>SUMIFS('Annual_Cost'!$R$2:$R$1353,'Annual_Cost'!$A$2:$A$1353,A55,'Annual_Cost'!$B$2:$B$1353,B55)</f>
      </c>
      <c r="E55" s="91" t="str">
        <f>SUMIFS('Annual_Cost'!$S$2:$S$1353,'Annual_Cost'!$A$2:$A$1353,A55,'Annual_Cost'!$B$2:$B$1353,B55)</f>
      </c>
      <c r="F55" s="92" t="str">
        <f>SUMIFS('Annual_Cost'!$Y$2:$Y$1353,'Annual_Cost'!$A$2:$A$1353,A55,'Annual_Cost'!$B$2:$B$1353,B55)</f>
      </c>
      <c r="G55" s="93" t="str">
        <f>SUMIFS($E$2:E55,$A$2:A55,A55)</f>
      </c>
      <c r="H55" s="94" t="str">
        <f>SUMIFS($F$2:F55,$A$2:A55,A55)</f>
      </c>
    </row>
    <row r="56">
      <c r="A56" t="s">
        <v>200</v>
      </c>
      <c r="B56" s="88" t="n">
        <v>2027</v>
      </c>
      <c r="C56" s="89" t="str">
        <f>SUMIFS('Annual_Cost'!$Q$2:$Q$1353,'Annual_Cost'!$A$2:$A$1353,A56,'Annual_Cost'!$B$2:$B$1353,B56)</f>
      </c>
      <c r="D56" s="90" t="str">
        <f>SUMIFS('Annual_Cost'!$R$2:$R$1353,'Annual_Cost'!$A$2:$A$1353,A56,'Annual_Cost'!$B$2:$B$1353,B56)</f>
      </c>
      <c r="E56" s="91" t="str">
        <f>SUMIFS('Annual_Cost'!$S$2:$S$1353,'Annual_Cost'!$A$2:$A$1353,A56,'Annual_Cost'!$B$2:$B$1353,B56)</f>
      </c>
      <c r="F56" s="92" t="str">
        <f>SUMIFS('Annual_Cost'!$Y$2:$Y$1353,'Annual_Cost'!$A$2:$A$1353,A56,'Annual_Cost'!$B$2:$B$1353,B56)</f>
      </c>
      <c r="G56" s="93" t="str">
        <f>SUMIFS($E$2:E56,$A$2:A56,A56)</f>
      </c>
      <c r="H56" s="94" t="str">
        <f>SUMIFS($F$2:F56,$A$2:A56,A56)</f>
      </c>
    </row>
    <row r="57">
      <c r="A57" t="s">
        <v>200</v>
      </c>
      <c r="B57" s="88" t="n">
        <v>2028</v>
      </c>
      <c r="C57" s="89" t="str">
        <f>SUMIFS('Annual_Cost'!$Q$2:$Q$1353,'Annual_Cost'!$A$2:$A$1353,A57,'Annual_Cost'!$B$2:$B$1353,B57)</f>
      </c>
      <c r="D57" s="90" t="str">
        <f>SUMIFS('Annual_Cost'!$R$2:$R$1353,'Annual_Cost'!$A$2:$A$1353,A57,'Annual_Cost'!$B$2:$B$1353,B57)</f>
      </c>
      <c r="E57" s="91" t="str">
        <f>SUMIFS('Annual_Cost'!$S$2:$S$1353,'Annual_Cost'!$A$2:$A$1353,A57,'Annual_Cost'!$B$2:$B$1353,B57)</f>
      </c>
      <c r="F57" s="92" t="str">
        <f>SUMIFS('Annual_Cost'!$Y$2:$Y$1353,'Annual_Cost'!$A$2:$A$1353,A57,'Annual_Cost'!$B$2:$B$1353,B57)</f>
      </c>
      <c r="G57" s="93" t="str">
        <f>SUMIFS($E$2:E57,$A$2:A57,A57)</f>
      </c>
      <c r="H57" s="94" t="str">
        <f>SUMIFS($F$2:F57,$A$2:A57,A57)</f>
      </c>
    </row>
    <row r="58">
      <c r="A58" t="s">
        <v>200</v>
      </c>
      <c r="B58" s="88" t="n">
        <v>2029</v>
      </c>
      <c r="C58" s="89" t="str">
        <f>SUMIFS('Annual_Cost'!$Q$2:$Q$1353,'Annual_Cost'!$A$2:$A$1353,A58,'Annual_Cost'!$B$2:$B$1353,B58)</f>
      </c>
      <c r="D58" s="90" t="str">
        <f>SUMIFS('Annual_Cost'!$R$2:$R$1353,'Annual_Cost'!$A$2:$A$1353,A58,'Annual_Cost'!$B$2:$B$1353,B58)</f>
      </c>
      <c r="E58" s="91" t="str">
        <f>SUMIFS('Annual_Cost'!$S$2:$S$1353,'Annual_Cost'!$A$2:$A$1353,A58,'Annual_Cost'!$B$2:$B$1353,B58)</f>
      </c>
      <c r="F58" s="92" t="str">
        <f>SUMIFS('Annual_Cost'!$Y$2:$Y$1353,'Annual_Cost'!$A$2:$A$1353,A58,'Annual_Cost'!$B$2:$B$1353,B58)</f>
      </c>
      <c r="G58" s="93" t="str">
        <f>SUMIFS($E$2:E58,$A$2:A58,A58)</f>
      </c>
      <c r="H58" s="94" t="str">
        <f>SUMIFS($F$2:F58,$A$2:A58,A58)</f>
      </c>
    </row>
    <row r="59">
      <c r="A59" t="s">
        <v>200</v>
      </c>
      <c r="B59" s="88" t="n">
        <v>2030</v>
      </c>
      <c r="C59" s="89" t="str">
        <f>SUMIFS('Annual_Cost'!$Q$2:$Q$1353,'Annual_Cost'!$A$2:$A$1353,A59,'Annual_Cost'!$B$2:$B$1353,B59)</f>
      </c>
      <c r="D59" s="90" t="str">
        <f>SUMIFS('Annual_Cost'!$R$2:$R$1353,'Annual_Cost'!$A$2:$A$1353,A59,'Annual_Cost'!$B$2:$B$1353,B59)</f>
      </c>
      <c r="E59" s="91" t="str">
        <f>SUMIFS('Annual_Cost'!$S$2:$S$1353,'Annual_Cost'!$A$2:$A$1353,A59,'Annual_Cost'!$B$2:$B$1353,B59)</f>
      </c>
      <c r="F59" s="92" t="str">
        <f>SUMIFS('Annual_Cost'!$Y$2:$Y$1353,'Annual_Cost'!$A$2:$A$1353,A59,'Annual_Cost'!$B$2:$B$1353,B59)</f>
      </c>
      <c r="G59" s="93" t="str">
        <f>SUMIFS($E$2:E59,$A$2:A59,A59)</f>
      </c>
      <c r="H59" s="94" t="str">
        <f>SUMIFS($F$2:F59,$A$2:A59,A59)</f>
      </c>
    </row>
    <row r="60">
      <c r="A60" t="s">
        <v>200</v>
      </c>
      <c r="B60" s="88" t="n">
        <v>2031</v>
      </c>
      <c r="C60" s="89" t="str">
        <f>SUMIFS('Annual_Cost'!$Q$2:$Q$1353,'Annual_Cost'!$A$2:$A$1353,A60,'Annual_Cost'!$B$2:$B$1353,B60)</f>
      </c>
      <c r="D60" s="90" t="str">
        <f>SUMIFS('Annual_Cost'!$R$2:$R$1353,'Annual_Cost'!$A$2:$A$1353,A60,'Annual_Cost'!$B$2:$B$1353,B60)</f>
      </c>
      <c r="E60" s="91" t="str">
        <f>SUMIFS('Annual_Cost'!$S$2:$S$1353,'Annual_Cost'!$A$2:$A$1353,A60,'Annual_Cost'!$B$2:$B$1353,B60)</f>
      </c>
      <c r="F60" s="92" t="str">
        <f>SUMIFS('Annual_Cost'!$Y$2:$Y$1353,'Annual_Cost'!$A$2:$A$1353,A60,'Annual_Cost'!$B$2:$B$1353,B60)</f>
      </c>
      <c r="G60" s="93" t="str">
        <f>SUMIFS($E$2:E60,$A$2:A60,A60)</f>
      </c>
      <c r="H60" s="94" t="str">
        <f>SUMIFS($F$2:F60,$A$2:A60,A60)</f>
      </c>
    </row>
    <row r="61">
      <c r="A61" t="s">
        <v>200</v>
      </c>
      <c r="B61" s="88" t="n">
        <v>2032</v>
      </c>
      <c r="C61" s="89" t="str">
        <f>SUMIFS('Annual_Cost'!$Q$2:$Q$1353,'Annual_Cost'!$A$2:$A$1353,A61,'Annual_Cost'!$B$2:$B$1353,B61)</f>
      </c>
      <c r="D61" s="90" t="str">
        <f>SUMIFS('Annual_Cost'!$R$2:$R$1353,'Annual_Cost'!$A$2:$A$1353,A61,'Annual_Cost'!$B$2:$B$1353,B61)</f>
      </c>
      <c r="E61" s="91" t="str">
        <f>SUMIFS('Annual_Cost'!$S$2:$S$1353,'Annual_Cost'!$A$2:$A$1353,A61,'Annual_Cost'!$B$2:$B$1353,B61)</f>
      </c>
      <c r="F61" s="92" t="str">
        <f>SUMIFS('Annual_Cost'!$Y$2:$Y$1353,'Annual_Cost'!$A$2:$A$1353,A61,'Annual_Cost'!$B$2:$B$1353,B61)</f>
      </c>
      <c r="G61" s="93" t="str">
        <f>SUMIFS($E$2:E61,$A$2:A61,A61)</f>
      </c>
      <c r="H61" s="94" t="str">
        <f>SUMIFS($F$2:F61,$A$2:A61,A61)</f>
      </c>
    </row>
    <row r="62">
      <c r="A62" t="s">
        <v>200</v>
      </c>
      <c r="B62" s="88" t="n">
        <v>2033</v>
      </c>
      <c r="C62" s="89" t="str">
        <f>SUMIFS('Annual_Cost'!$Q$2:$Q$1353,'Annual_Cost'!$A$2:$A$1353,A62,'Annual_Cost'!$B$2:$B$1353,B62)</f>
      </c>
      <c r="D62" s="90" t="str">
        <f>SUMIFS('Annual_Cost'!$R$2:$R$1353,'Annual_Cost'!$A$2:$A$1353,A62,'Annual_Cost'!$B$2:$B$1353,B62)</f>
      </c>
      <c r="E62" s="91" t="str">
        <f>SUMIFS('Annual_Cost'!$S$2:$S$1353,'Annual_Cost'!$A$2:$A$1353,A62,'Annual_Cost'!$B$2:$B$1353,B62)</f>
      </c>
      <c r="F62" s="92" t="str">
        <f>SUMIFS('Annual_Cost'!$Y$2:$Y$1353,'Annual_Cost'!$A$2:$A$1353,A62,'Annual_Cost'!$B$2:$B$1353,B62)</f>
      </c>
      <c r="G62" s="93" t="str">
        <f>SUMIFS($E$2:E62,$A$2:A62,A62)</f>
      </c>
      <c r="H62" s="94" t="str">
        <f>SUMIFS($F$2:F62,$A$2:A62,A62)</f>
      </c>
    </row>
    <row r="63">
      <c r="A63" t="s">
        <v>200</v>
      </c>
      <c r="B63" s="88" t="n">
        <v>2034</v>
      </c>
      <c r="C63" s="89" t="str">
        <f>SUMIFS('Annual_Cost'!$Q$2:$Q$1353,'Annual_Cost'!$A$2:$A$1353,A63,'Annual_Cost'!$B$2:$B$1353,B63)</f>
      </c>
      <c r="D63" s="90" t="str">
        <f>SUMIFS('Annual_Cost'!$R$2:$R$1353,'Annual_Cost'!$A$2:$A$1353,A63,'Annual_Cost'!$B$2:$B$1353,B63)</f>
      </c>
      <c r="E63" s="91" t="str">
        <f>SUMIFS('Annual_Cost'!$S$2:$S$1353,'Annual_Cost'!$A$2:$A$1353,A63,'Annual_Cost'!$B$2:$B$1353,B63)</f>
      </c>
      <c r="F63" s="92" t="str">
        <f>SUMIFS('Annual_Cost'!$Y$2:$Y$1353,'Annual_Cost'!$A$2:$A$1353,A63,'Annual_Cost'!$B$2:$B$1353,B63)</f>
      </c>
      <c r="G63" s="93" t="str">
        <f>SUMIFS($E$2:E63,$A$2:A63,A63)</f>
      </c>
      <c r="H63" s="94" t="str">
        <f>SUMIFS($F$2:F63,$A$2:A63,A63)</f>
      </c>
    </row>
    <row r="64">
      <c r="A64" t="s">
        <v>200</v>
      </c>
      <c r="B64" s="88" t="n">
        <v>2035</v>
      </c>
      <c r="C64" s="89" t="str">
        <f>SUMIFS('Annual_Cost'!$Q$2:$Q$1353,'Annual_Cost'!$A$2:$A$1353,A64,'Annual_Cost'!$B$2:$B$1353,B64)</f>
      </c>
      <c r="D64" s="90" t="str">
        <f>SUMIFS('Annual_Cost'!$R$2:$R$1353,'Annual_Cost'!$A$2:$A$1353,A64,'Annual_Cost'!$B$2:$B$1353,B64)</f>
      </c>
      <c r="E64" s="91" t="str">
        <f>SUMIFS('Annual_Cost'!$S$2:$S$1353,'Annual_Cost'!$A$2:$A$1353,A64,'Annual_Cost'!$B$2:$B$1353,B64)</f>
      </c>
      <c r="F64" s="92" t="str">
        <f>SUMIFS('Annual_Cost'!$Y$2:$Y$1353,'Annual_Cost'!$A$2:$A$1353,A64,'Annual_Cost'!$B$2:$B$1353,B64)</f>
      </c>
      <c r="G64" s="93" t="str">
        <f>SUMIFS($E$2:E64,$A$2:A64,A64)</f>
      </c>
      <c r="H64" s="94" t="str">
        <f>SUMIFS($F$2:F64,$A$2:A64,A64)</f>
      </c>
    </row>
    <row r="65">
      <c r="A65" t="s">
        <v>200</v>
      </c>
      <c r="B65" s="88" t="n">
        <v>2036</v>
      </c>
      <c r="C65" s="89" t="str">
        <f>SUMIFS('Annual_Cost'!$Q$2:$Q$1353,'Annual_Cost'!$A$2:$A$1353,A65,'Annual_Cost'!$B$2:$B$1353,B65)</f>
      </c>
      <c r="D65" s="90" t="str">
        <f>SUMIFS('Annual_Cost'!$R$2:$R$1353,'Annual_Cost'!$A$2:$A$1353,A65,'Annual_Cost'!$B$2:$B$1353,B65)</f>
      </c>
      <c r="E65" s="91" t="str">
        <f>SUMIFS('Annual_Cost'!$S$2:$S$1353,'Annual_Cost'!$A$2:$A$1353,A65,'Annual_Cost'!$B$2:$B$1353,B65)</f>
      </c>
      <c r="F65" s="92" t="str">
        <f>SUMIFS('Annual_Cost'!$Y$2:$Y$1353,'Annual_Cost'!$A$2:$A$1353,A65,'Annual_Cost'!$B$2:$B$1353,B65)</f>
      </c>
      <c r="G65" s="93" t="str">
        <f>SUMIFS($E$2:E65,$A$2:A65,A65)</f>
      </c>
      <c r="H65" s="94" t="str">
        <f>SUMIFS($F$2:F65,$A$2:A65,A65)</f>
      </c>
    </row>
    <row r="66">
      <c r="A66" t="s">
        <v>200</v>
      </c>
      <c r="B66" s="88" t="n">
        <v>2037</v>
      </c>
      <c r="C66" s="89" t="str">
        <f>SUMIFS('Annual_Cost'!$Q$2:$Q$1353,'Annual_Cost'!$A$2:$A$1353,A66,'Annual_Cost'!$B$2:$B$1353,B66)</f>
      </c>
      <c r="D66" s="90" t="str">
        <f>SUMIFS('Annual_Cost'!$R$2:$R$1353,'Annual_Cost'!$A$2:$A$1353,A66,'Annual_Cost'!$B$2:$B$1353,B66)</f>
      </c>
      <c r="E66" s="91" t="str">
        <f>SUMIFS('Annual_Cost'!$S$2:$S$1353,'Annual_Cost'!$A$2:$A$1353,A66,'Annual_Cost'!$B$2:$B$1353,B66)</f>
      </c>
      <c r="F66" s="92" t="str">
        <f>SUMIFS('Annual_Cost'!$Y$2:$Y$1353,'Annual_Cost'!$A$2:$A$1353,A66,'Annual_Cost'!$B$2:$B$1353,B66)</f>
      </c>
      <c r="G66" s="93" t="str">
        <f>SUMIFS($E$2:E66,$A$2:A66,A66)</f>
      </c>
      <c r="H66" s="94" t="str">
        <f>SUMIFS($F$2:F66,$A$2:A66,A66)</f>
      </c>
    </row>
    <row r="67">
      <c r="A67" t="s">
        <v>200</v>
      </c>
      <c r="B67" s="88" t="n">
        <v>2038</v>
      </c>
      <c r="C67" s="89" t="str">
        <f>SUMIFS('Annual_Cost'!$Q$2:$Q$1353,'Annual_Cost'!$A$2:$A$1353,A67,'Annual_Cost'!$B$2:$B$1353,B67)</f>
      </c>
      <c r="D67" s="90" t="str">
        <f>SUMIFS('Annual_Cost'!$R$2:$R$1353,'Annual_Cost'!$A$2:$A$1353,A67,'Annual_Cost'!$B$2:$B$1353,B67)</f>
      </c>
      <c r="E67" s="91" t="str">
        <f>SUMIFS('Annual_Cost'!$S$2:$S$1353,'Annual_Cost'!$A$2:$A$1353,A67,'Annual_Cost'!$B$2:$B$1353,B67)</f>
      </c>
      <c r="F67" s="92" t="str">
        <f>SUMIFS('Annual_Cost'!$Y$2:$Y$1353,'Annual_Cost'!$A$2:$A$1353,A67,'Annual_Cost'!$B$2:$B$1353,B67)</f>
      </c>
      <c r="G67" s="93" t="str">
        <f>SUMIFS($E$2:E67,$A$2:A67,A67)</f>
      </c>
      <c r="H67" s="94" t="str">
        <f>SUMIFS($F$2:F67,$A$2:A67,A67)</f>
      </c>
    </row>
    <row r="68">
      <c r="A68" t="s">
        <v>200</v>
      </c>
      <c r="B68" s="88" t="n">
        <v>2039</v>
      </c>
      <c r="C68" s="89" t="str">
        <f>SUMIFS('Annual_Cost'!$Q$2:$Q$1353,'Annual_Cost'!$A$2:$A$1353,A68,'Annual_Cost'!$B$2:$B$1353,B68)</f>
      </c>
      <c r="D68" s="90" t="str">
        <f>SUMIFS('Annual_Cost'!$R$2:$R$1353,'Annual_Cost'!$A$2:$A$1353,A68,'Annual_Cost'!$B$2:$B$1353,B68)</f>
      </c>
      <c r="E68" s="91" t="str">
        <f>SUMIFS('Annual_Cost'!$S$2:$S$1353,'Annual_Cost'!$A$2:$A$1353,A68,'Annual_Cost'!$B$2:$B$1353,B68)</f>
      </c>
      <c r="F68" s="92" t="str">
        <f>SUMIFS('Annual_Cost'!$Y$2:$Y$1353,'Annual_Cost'!$A$2:$A$1353,A68,'Annual_Cost'!$B$2:$B$1353,B68)</f>
      </c>
      <c r="G68" s="93" t="str">
        <f>SUMIFS($E$2:E68,$A$2:A68,A68)</f>
      </c>
      <c r="H68" s="94" t="str">
        <f>SUMIFS($F$2:F68,$A$2:A68,A68)</f>
      </c>
    </row>
    <row r="69">
      <c r="A69" t="s">
        <v>200</v>
      </c>
      <c r="B69" s="88" t="n">
        <v>2040</v>
      </c>
      <c r="C69" s="89" t="str">
        <f>SUMIFS('Annual_Cost'!$Q$2:$Q$1353,'Annual_Cost'!$A$2:$A$1353,A69,'Annual_Cost'!$B$2:$B$1353,B69)</f>
      </c>
      <c r="D69" s="90" t="str">
        <f>SUMIFS('Annual_Cost'!$R$2:$R$1353,'Annual_Cost'!$A$2:$A$1353,A69,'Annual_Cost'!$B$2:$B$1353,B69)</f>
      </c>
      <c r="E69" s="91" t="str">
        <f>SUMIFS('Annual_Cost'!$S$2:$S$1353,'Annual_Cost'!$A$2:$A$1353,A69,'Annual_Cost'!$B$2:$B$1353,B69)</f>
      </c>
      <c r="F69" s="92" t="str">
        <f>SUMIFS('Annual_Cost'!$Y$2:$Y$1353,'Annual_Cost'!$A$2:$A$1353,A69,'Annual_Cost'!$B$2:$B$1353,B69)</f>
      </c>
      <c r="G69" s="93" t="str">
        <f>SUMIFS($E$2:E69,$A$2:A69,A69)</f>
      </c>
      <c r="H69" s="94" t="str">
        <f>SUMIFS($F$2:F69,$A$2:A69,A69)</f>
      </c>
    </row>
    <row r="70">
      <c r="A70" t="s">
        <v>200</v>
      </c>
      <c r="B70" s="88" t="n">
        <v>2041</v>
      </c>
      <c r="C70" s="89" t="str">
        <f>SUMIFS('Annual_Cost'!$Q$2:$Q$1353,'Annual_Cost'!$A$2:$A$1353,A70,'Annual_Cost'!$B$2:$B$1353,B70)</f>
      </c>
      <c r="D70" s="90" t="str">
        <f>SUMIFS('Annual_Cost'!$R$2:$R$1353,'Annual_Cost'!$A$2:$A$1353,A70,'Annual_Cost'!$B$2:$B$1353,B70)</f>
      </c>
      <c r="E70" s="91" t="str">
        <f>SUMIFS('Annual_Cost'!$S$2:$S$1353,'Annual_Cost'!$A$2:$A$1353,A70,'Annual_Cost'!$B$2:$B$1353,B70)</f>
      </c>
      <c r="F70" s="92" t="str">
        <f>SUMIFS('Annual_Cost'!$Y$2:$Y$1353,'Annual_Cost'!$A$2:$A$1353,A70,'Annual_Cost'!$B$2:$B$1353,B70)</f>
      </c>
      <c r="G70" s="93" t="str">
        <f>SUMIFS($E$2:E70,$A$2:A70,A70)</f>
      </c>
      <c r="H70" s="94" t="str">
        <f>SUMIFS($F$2:F70,$A$2:A70,A70)</f>
      </c>
    </row>
    <row r="71">
      <c r="A71" t="s">
        <v>200</v>
      </c>
      <c r="B71" s="88" t="n">
        <v>2042</v>
      </c>
      <c r="C71" s="89" t="str">
        <f>SUMIFS('Annual_Cost'!$Q$2:$Q$1353,'Annual_Cost'!$A$2:$A$1353,A71,'Annual_Cost'!$B$2:$B$1353,B71)</f>
      </c>
      <c r="D71" s="90" t="str">
        <f>SUMIFS('Annual_Cost'!$R$2:$R$1353,'Annual_Cost'!$A$2:$A$1353,A71,'Annual_Cost'!$B$2:$B$1353,B71)</f>
      </c>
      <c r="E71" s="91" t="str">
        <f>SUMIFS('Annual_Cost'!$S$2:$S$1353,'Annual_Cost'!$A$2:$A$1353,A71,'Annual_Cost'!$B$2:$B$1353,B71)</f>
      </c>
      <c r="F71" s="92" t="str">
        <f>SUMIFS('Annual_Cost'!$Y$2:$Y$1353,'Annual_Cost'!$A$2:$A$1353,A71,'Annual_Cost'!$B$2:$B$1353,B71)</f>
      </c>
      <c r="G71" s="93" t="str">
        <f>SUMIFS($E$2:E71,$A$2:A71,A71)</f>
      </c>
      <c r="H71" s="94" t="str">
        <f>SUMIFS($F$2:F71,$A$2:A71,A71)</f>
      </c>
    </row>
    <row r="72">
      <c r="A72" t="s">
        <v>200</v>
      </c>
      <c r="B72" s="88" t="n">
        <v>2043</v>
      </c>
      <c r="C72" s="89" t="str">
        <f>SUMIFS('Annual_Cost'!$Q$2:$Q$1353,'Annual_Cost'!$A$2:$A$1353,A72,'Annual_Cost'!$B$2:$B$1353,B72)</f>
      </c>
      <c r="D72" s="90" t="str">
        <f>SUMIFS('Annual_Cost'!$R$2:$R$1353,'Annual_Cost'!$A$2:$A$1353,A72,'Annual_Cost'!$B$2:$B$1353,B72)</f>
      </c>
      <c r="E72" s="91" t="str">
        <f>SUMIFS('Annual_Cost'!$S$2:$S$1353,'Annual_Cost'!$A$2:$A$1353,A72,'Annual_Cost'!$B$2:$B$1353,B72)</f>
      </c>
      <c r="F72" s="92" t="str">
        <f>SUMIFS('Annual_Cost'!$Y$2:$Y$1353,'Annual_Cost'!$A$2:$A$1353,A72,'Annual_Cost'!$B$2:$B$1353,B72)</f>
      </c>
      <c r="G72" s="93" t="str">
        <f>SUMIFS($E$2:E72,$A$2:A72,A72)</f>
      </c>
      <c r="H72" s="94" t="str">
        <f>SUMIFS($F$2:F72,$A$2:A72,A72)</f>
      </c>
    </row>
    <row r="73">
      <c r="A73" t="s">
        <v>200</v>
      </c>
      <c r="B73" s="88" t="n">
        <v>2044</v>
      </c>
      <c r="C73" s="89" t="str">
        <f>SUMIFS('Annual_Cost'!$Q$2:$Q$1353,'Annual_Cost'!$A$2:$A$1353,A73,'Annual_Cost'!$B$2:$B$1353,B73)</f>
      </c>
      <c r="D73" s="90" t="str">
        <f>SUMIFS('Annual_Cost'!$R$2:$R$1353,'Annual_Cost'!$A$2:$A$1353,A73,'Annual_Cost'!$B$2:$B$1353,B73)</f>
      </c>
      <c r="E73" s="91" t="str">
        <f>SUMIFS('Annual_Cost'!$S$2:$S$1353,'Annual_Cost'!$A$2:$A$1353,A73,'Annual_Cost'!$B$2:$B$1353,B73)</f>
      </c>
      <c r="F73" s="92" t="str">
        <f>SUMIFS('Annual_Cost'!$Y$2:$Y$1353,'Annual_Cost'!$A$2:$A$1353,A73,'Annual_Cost'!$B$2:$B$1353,B73)</f>
      </c>
      <c r="G73" s="93" t="str">
        <f>SUMIFS($E$2:E73,$A$2:A73,A73)</f>
      </c>
      <c r="H73" s="94" t="str">
        <f>SUMIFS($F$2:F73,$A$2:A73,A73)</f>
      </c>
    </row>
    <row r="74">
      <c r="A74" t="s">
        <v>200</v>
      </c>
      <c r="B74" s="88" t="n">
        <v>2045</v>
      </c>
      <c r="C74" s="89" t="str">
        <f>SUMIFS('Annual_Cost'!$Q$2:$Q$1353,'Annual_Cost'!$A$2:$A$1353,A74,'Annual_Cost'!$B$2:$B$1353,B74)</f>
      </c>
      <c r="D74" s="90" t="str">
        <f>SUMIFS('Annual_Cost'!$R$2:$R$1353,'Annual_Cost'!$A$2:$A$1353,A74,'Annual_Cost'!$B$2:$B$1353,B74)</f>
      </c>
      <c r="E74" s="91" t="str">
        <f>SUMIFS('Annual_Cost'!$S$2:$S$1353,'Annual_Cost'!$A$2:$A$1353,A74,'Annual_Cost'!$B$2:$B$1353,B74)</f>
      </c>
      <c r="F74" s="92" t="str">
        <f>SUMIFS('Annual_Cost'!$Y$2:$Y$1353,'Annual_Cost'!$A$2:$A$1353,A74,'Annual_Cost'!$B$2:$B$1353,B74)</f>
      </c>
      <c r="G74" s="93" t="str">
        <f>SUMIFS($E$2:E74,$A$2:A74,A74)</f>
      </c>
      <c r="H74" s="94" t="str">
        <f>SUMIFS($F$2:F74,$A$2:A74,A74)</f>
      </c>
    </row>
    <row r="75">
      <c r="A75" t="s">
        <v>200</v>
      </c>
      <c r="B75" s="88" t="n">
        <v>2046</v>
      </c>
      <c r="C75" s="89" t="str">
        <f>SUMIFS('Annual_Cost'!$Q$2:$Q$1353,'Annual_Cost'!$A$2:$A$1353,A75,'Annual_Cost'!$B$2:$B$1353,B75)</f>
      </c>
      <c r="D75" s="90" t="str">
        <f>SUMIFS('Annual_Cost'!$R$2:$R$1353,'Annual_Cost'!$A$2:$A$1353,A75,'Annual_Cost'!$B$2:$B$1353,B75)</f>
      </c>
      <c r="E75" s="91" t="str">
        <f>SUMIFS('Annual_Cost'!$S$2:$S$1353,'Annual_Cost'!$A$2:$A$1353,A75,'Annual_Cost'!$B$2:$B$1353,B75)</f>
      </c>
      <c r="F75" s="92" t="str">
        <f>SUMIFS('Annual_Cost'!$Y$2:$Y$1353,'Annual_Cost'!$A$2:$A$1353,A75,'Annual_Cost'!$B$2:$B$1353,B75)</f>
      </c>
      <c r="G75" s="93" t="str">
        <f>SUMIFS($E$2:E75,$A$2:A75,A75)</f>
      </c>
      <c r="H75" s="94" t="str">
        <f>SUMIFS($F$2:F75,$A$2:A75,A75)</f>
      </c>
    </row>
    <row r="76">
      <c r="A76" t="s">
        <v>200</v>
      </c>
      <c r="B76" s="88" t="n">
        <v>2047</v>
      </c>
      <c r="C76" s="89" t="str">
        <f>SUMIFS('Annual_Cost'!$Q$2:$Q$1353,'Annual_Cost'!$A$2:$A$1353,A76,'Annual_Cost'!$B$2:$B$1353,B76)</f>
      </c>
      <c r="D76" s="90" t="str">
        <f>SUMIFS('Annual_Cost'!$R$2:$R$1353,'Annual_Cost'!$A$2:$A$1353,A76,'Annual_Cost'!$B$2:$B$1353,B76)</f>
      </c>
      <c r="E76" s="91" t="str">
        <f>SUMIFS('Annual_Cost'!$S$2:$S$1353,'Annual_Cost'!$A$2:$A$1353,A76,'Annual_Cost'!$B$2:$B$1353,B76)</f>
      </c>
      <c r="F76" s="92" t="str">
        <f>SUMIFS('Annual_Cost'!$Y$2:$Y$1353,'Annual_Cost'!$A$2:$A$1353,A76,'Annual_Cost'!$B$2:$B$1353,B76)</f>
      </c>
      <c r="G76" s="93" t="str">
        <f>SUMIFS($E$2:E76,$A$2:A76,A76)</f>
      </c>
      <c r="H76" s="94" t="str">
        <f>SUMIFS($F$2:F76,$A$2:A76,A76)</f>
      </c>
    </row>
    <row r="77">
      <c r="A77" t="s">
        <v>200</v>
      </c>
      <c r="B77" s="88" t="n">
        <v>2048</v>
      </c>
      <c r="C77" s="89" t="str">
        <f>SUMIFS('Annual_Cost'!$Q$2:$Q$1353,'Annual_Cost'!$A$2:$A$1353,A77,'Annual_Cost'!$B$2:$B$1353,B77)</f>
      </c>
      <c r="D77" s="90" t="str">
        <f>SUMIFS('Annual_Cost'!$R$2:$R$1353,'Annual_Cost'!$A$2:$A$1353,A77,'Annual_Cost'!$B$2:$B$1353,B77)</f>
      </c>
      <c r="E77" s="91" t="str">
        <f>SUMIFS('Annual_Cost'!$S$2:$S$1353,'Annual_Cost'!$A$2:$A$1353,A77,'Annual_Cost'!$B$2:$B$1353,B77)</f>
      </c>
      <c r="F77" s="92" t="str">
        <f>SUMIFS('Annual_Cost'!$Y$2:$Y$1353,'Annual_Cost'!$A$2:$A$1353,A77,'Annual_Cost'!$B$2:$B$1353,B77)</f>
      </c>
      <c r="G77" s="93" t="str">
        <f>SUMIFS($E$2:E77,$A$2:A77,A77)</f>
      </c>
      <c r="H77" s="94" t="str">
        <f>SUMIFS($F$2:F77,$A$2:A77,A77)</f>
      </c>
    </row>
    <row r="78">
      <c r="A78" t="s">
        <v>200</v>
      </c>
      <c r="B78" s="88" t="n">
        <v>2049</v>
      </c>
      <c r="C78" s="89" t="str">
        <f>SUMIFS('Annual_Cost'!$Q$2:$Q$1353,'Annual_Cost'!$A$2:$A$1353,A78,'Annual_Cost'!$B$2:$B$1353,B78)</f>
      </c>
      <c r="D78" s="90" t="str">
        <f>SUMIFS('Annual_Cost'!$R$2:$R$1353,'Annual_Cost'!$A$2:$A$1353,A78,'Annual_Cost'!$B$2:$B$1353,B78)</f>
      </c>
      <c r="E78" s="91" t="str">
        <f>SUMIFS('Annual_Cost'!$S$2:$S$1353,'Annual_Cost'!$A$2:$A$1353,A78,'Annual_Cost'!$B$2:$B$1353,B78)</f>
      </c>
      <c r="F78" s="92" t="str">
        <f>SUMIFS('Annual_Cost'!$Y$2:$Y$1353,'Annual_Cost'!$A$2:$A$1353,A78,'Annual_Cost'!$B$2:$B$1353,B78)</f>
      </c>
      <c r="G78" s="93" t="str">
        <f>SUMIFS($E$2:E78,$A$2:A78,A78)</f>
      </c>
      <c r="H78" s="94" t="str">
        <f>SUMIFS($F$2:F78,$A$2:A78,A78)</f>
      </c>
    </row>
    <row r="79">
      <c r="A79" t="s">
        <v>200</v>
      </c>
      <c r="B79" s="88" t="n">
        <v>2050</v>
      </c>
      <c r="C79" s="89" t="str">
        <f>SUMIFS('Annual_Cost'!$Q$2:$Q$1353,'Annual_Cost'!$A$2:$A$1353,A79,'Annual_Cost'!$B$2:$B$1353,B79)</f>
      </c>
      <c r="D79" s="90" t="str">
        <f>SUMIFS('Annual_Cost'!$R$2:$R$1353,'Annual_Cost'!$A$2:$A$1353,A79,'Annual_Cost'!$B$2:$B$1353,B79)</f>
      </c>
      <c r="E79" s="91" t="str">
        <f>SUMIFS('Annual_Cost'!$S$2:$S$1353,'Annual_Cost'!$A$2:$A$1353,A79,'Annual_Cost'!$B$2:$B$1353,B79)</f>
      </c>
      <c r="F79" s="92" t="str">
        <f>SUMIFS('Annual_Cost'!$Y$2:$Y$1353,'Annual_Cost'!$A$2:$A$1353,A79,'Annual_Cost'!$B$2:$B$1353,B79)</f>
      </c>
      <c r="G79" s="93" t="str">
        <f>SUMIFS($E$2:E79,$A$2:A79,A79)</f>
      </c>
      <c r="H79" s="94" t="str">
        <f>SUMIFS($F$2:F79,$A$2:A79,A79)</f>
      </c>
    </row>
    <row r="80">
      <c r="A80" t="s">
        <v>205</v>
      </c>
      <c r="B80" s="88" t="n">
        <v>2025</v>
      </c>
      <c r="C80" s="89" t="str">
        <f>SUMIFS('Annual_Cost'!$Q$2:$Q$1353,'Annual_Cost'!$A$2:$A$1353,A80,'Annual_Cost'!$B$2:$B$1353,B80)</f>
      </c>
      <c r="D80" s="90" t="str">
        <f>SUMIFS('Annual_Cost'!$R$2:$R$1353,'Annual_Cost'!$A$2:$A$1353,A80,'Annual_Cost'!$B$2:$B$1353,B80)</f>
      </c>
      <c r="E80" s="91" t="str">
        <f>SUMIFS('Annual_Cost'!$S$2:$S$1353,'Annual_Cost'!$A$2:$A$1353,A80,'Annual_Cost'!$B$2:$B$1353,B80)</f>
      </c>
      <c r="F80" s="92" t="str">
        <f>SUMIFS('Annual_Cost'!$Y$2:$Y$1353,'Annual_Cost'!$A$2:$A$1353,A80,'Annual_Cost'!$B$2:$B$1353,B80)</f>
      </c>
      <c r="G80" s="93" t="str">
        <f>SUMIFS($E$2:E80,$A$2:A80,A80)</f>
      </c>
      <c r="H80" s="94" t="str">
        <f>SUMIFS($F$2:F80,$A$2:A80,A80)</f>
      </c>
    </row>
    <row r="81">
      <c r="A81" t="s">
        <v>205</v>
      </c>
      <c r="B81" s="88" t="n">
        <v>2026</v>
      </c>
      <c r="C81" s="89" t="str">
        <f>SUMIFS('Annual_Cost'!$Q$2:$Q$1353,'Annual_Cost'!$A$2:$A$1353,A81,'Annual_Cost'!$B$2:$B$1353,B81)</f>
      </c>
      <c r="D81" s="90" t="str">
        <f>SUMIFS('Annual_Cost'!$R$2:$R$1353,'Annual_Cost'!$A$2:$A$1353,A81,'Annual_Cost'!$B$2:$B$1353,B81)</f>
      </c>
      <c r="E81" s="91" t="str">
        <f>SUMIFS('Annual_Cost'!$S$2:$S$1353,'Annual_Cost'!$A$2:$A$1353,A81,'Annual_Cost'!$B$2:$B$1353,B81)</f>
      </c>
      <c r="F81" s="92" t="str">
        <f>SUMIFS('Annual_Cost'!$Y$2:$Y$1353,'Annual_Cost'!$A$2:$A$1353,A81,'Annual_Cost'!$B$2:$B$1353,B81)</f>
      </c>
      <c r="G81" s="93" t="str">
        <f>SUMIFS($E$2:E81,$A$2:A81,A81)</f>
      </c>
      <c r="H81" s="94" t="str">
        <f>SUMIFS($F$2:F81,$A$2:A81,A81)</f>
      </c>
    </row>
    <row r="82">
      <c r="A82" t="s">
        <v>205</v>
      </c>
      <c r="B82" s="88" t="n">
        <v>2027</v>
      </c>
      <c r="C82" s="89" t="str">
        <f>SUMIFS('Annual_Cost'!$Q$2:$Q$1353,'Annual_Cost'!$A$2:$A$1353,A82,'Annual_Cost'!$B$2:$B$1353,B82)</f>
      </c>
      <c r="D82" s="90" t="str">
        <f>SUMIFS('Annual_Cost'!$R$2:$R$1353,'Annual_Cost'!$A$2:$A$1353,A82,'Annual_Cost'!$B$2:$B$1353,B82)</f>
      </c>
      <c r="E82" s="91" t="str">
        <f>SUMIFS('Annual_Cost'!$S$2:$S$1353,'Annual_Cost'!$A$2:$A$1353,A82,'Annual_Cost'!$B$2:$B$1353,B82)</f>
      </c>
      <c r="F82" s="92" t="str">
        <f>SUMIFS('Annual_Cost'!$Y$2:$Y$1353,'Annual_Cost'!$A$2:$A$1353,A82,'Annual_Cost'!$B$2:$B$1353,B82)</f>
      </c>
      <c r="G82" s="93" t="str">
        <f>SUMIFS($E$2:E82,$A$2:A82,A82)</f>
      </c>
      <c r="H82" s="94" t="str">
        <f>SUMIFS($F$2:F82,$A$2:A82,A82)</f>
      </c>
    </row>
    <row r="83">
      <c r="A83" t="s">
        <v>205</v>
      </c>
      <c r="B83" s="88" t="n">
        <v>2028</v>
      </c>
      <c r="C83" s="89" t="str">
        <f>SUMIFS('Annual_Cost'!$Q$2:$Q$1353,'Annual_Cost'!$A$2:$A$1353,A83,'Annual_Cost'!$B$2:$B$1353,B83)</f>
      </c>
      <c r="D83" s="90" t="str">
        <f>SUMIFS('Annual_Cost'!$R$2:$R$1353,'Annual_Cost'!$A$2:$A$1353,A83,'Annual_Cost'!$B$2:$B$1353,B83)</f>
      </c>
      <c r="E83" s="91" t="str">
        <f>SUMIFS('Annual_Cost'!$S$2:$S$1353,'Annual_Cost'!$A$2:$A$1353,A83,'Annual_Cost'!$B$2:$B$1353,B83)</f>
      </c>
      <c r="F83" s="92" t="str">
        <f>SUMIFS('Annual_Cost'!$Y$2:$Y$1353,'Annual_Cost'!$A$2:$A$1353,A83,'Annual_Cost'!$B$2:$B$1353,B83)</f>
      </c>
      <c r="G83" s="93" t="str">
        <f>SUMIFS($E$2:E83,$A$2:A83,A83)</f>
      </c>
      <c r="H83" s="94" t="str">
        <f>SUMIFS($F$2:F83,$A$2:A83,A83)</f>
      </c>
    </row>
    <row r="84">
      <c r="A84" t="s">
        <v>205</v>
      </c>
      <c r="B84" s="88" t="n">
        <v>2029</v>
      </c>
      <c r="C84" s="89" t="str">
        <f>SUMIFS('Annual_Cost'!$Q$2:$Q$1353,'Annual_Cost'!$A$2:$A$1353,A84,'Annual_Cost'!$B$2:$B$1353,B84)</f>
      </c>
      <c r="D84" s="90" t="str">
        <f>SUMIFS('Annual_Cost'!$R$2:$R$1353,'Annual_Cost'!$A$2:$A$1353,A84,'Annual_Cost'!$B$2:$B$1353,B84)</f>
      </c>
      <c r="E84" s="91" t="str">
        <f>SUMIFS('Annual_Cost'!$S$2:$S$1353,'Annual_Cost'!$A$2:$A$1353,A84,'Annual_Cost'!$B$2:$B$1353,B84)</f>
      </c>
      <c r="F84" s="92" t="str">
        <f>SUMIFS('Annual_Cost'!$Y$2:$Y$1353,'Annual_Cost'!$A$2:$A$1353,A84,'Annual_Cost'!$B$2:$B$1353,B84)</f>
      </c>
      <c r="G84" s="93" t="str">
        <f>SUMIFS($E$2:E84,$A$2:A84,A84)</f>
      </c>
      <c r="H84" s="94" t="str">
        <f>SUMIFS($F$2:F84,$A$2:A84,A84)</f>
      </c>
    </row>
    <row r="85">
      <c r="A85" t="s">
        <v>205</v>
      </c>
      <c r="B85" s="88" t="n">
        <v>2030</v>
      </c>
      <c r="C85" s="89" t="str">
        <f>SUMIFS('Annual_Cost'!$Q$2:$Q$1353,'Annual_Cost'!$A$2:$A$1353,A85,'Annual_Cost'!$B$2:$B$1353,B85)</f>
      </c>
      <c r="D85" s="90" t="str">
        <f>SUMIFS('Annual_Cost'!$R$2:$R$1353,'Annual_Cost'!$A$2:$A$1353,A85,'Annual_Cost'!$B$2:$B$1353,B85)</f>
      </c>
      <c r="E85" s="91" t="str">
        <f>SUMIFS('Annual_Cost'!$S$2:$S$1353,'Annual_Cost'!$A$2:$A$1353,A85,'Annual_Cost'!$B$2:$B$1353,B85)</f>
      </c>
      <c r="F85" s="92" t="str">
        <f>SUMIFS('Annual_Cost'!$Y$2:$Y$1353,'Annual_Cost'!$A$2:$A$1353,A85,'Annual_Cost'!$B$2:$B$1353,B85)</f>
      </c>
      <c r="G85" s="93" t="str">
        <f>SUMIFS($E$2:E85,$A$2:A85,A85)</f>
      </c>
      <c r="H85" s="94" t="str">
        <f>SUMIFS($F$2:F85,$A$2:A85,A85)</f>
      </c>
    </row>
    <row r="86">
      <c r="A86" t="s">
        <v>205</v>
      </c>
      <c r="B86" s="88" t="n">
        <v>2031</v>
      </c>
      <c r="C86" s="89" t="str">
        <f>SUMIFS('Annual_Cost'!$Q$2:$Q$1353,'Annual_Cost'!$A$2:$A$1353,A86,'Annual_Cost'!$B$2:$B$1353,B86)</f>
      </c>
      <c r="D86" s="90" t="str">
        <f>SUMIFS('Annual_Cost'!$R$2:$R$1353,'Annual_Cost'!$A$2:$A$1353,A86,'Annual_Cost'!$B$2:$B$1353,B86)</f>
      </c>
      <c r="E86" s="91" t="str">
        <f>SUMIFS('Annual_Cost'!$S$2:$S$1353,'Annual_Cost'!$A$2:$A$1353,A86,'Annual_Cost'!$B$2:$B$1353,B86)</f>
      </c>
      <c r="F86" s="92" t="str">
        <f>SUMIFS('Annual_Cost'!$Y$2:$Y$1353,'Annual_Cost'!$A$2:$A$1353,A86,'Annual_Cost'!$B$2:$B$1353,B86)</f>
      </c>
      <c r="G86" s="93" t="str">
        <f>SUMIFS($E$2:E86,$A$2:A86,A86)</f>
      </c>
      <c r="H86" s="94" t="str">
        <f>SUMIFS($F$2:F86,$A$2:A86,A86)</f>
      </c>
    </row>
    <row r="87">
      <c r="A87" t="s">
        <v>205</v>
      </c>
      <c r="B87" s="88" t="n">
        <v>2032</v>
      </c>
      <c r="C87" s="89" t="str">
        <f>SUMIFS('Annual_Cost'!$Q$2:$Q$1353,'Annual_Cost'!$A$2:$A$1353,A87,'Annual_Cost'!$B$2:$B$1353,B87)</f>
      </c>
      <c r="D87" s="90" t="str">
        <f>SUMIFS('Annual_Cost'!$R$2:$R$1353,'Annual_Cost'!$A$2:$A$1353,A87,'Annual_Cost'!$B$2:$B$1353,B87)</f>
      </c>
      <c r="E87" s="91" t="str">
        <f>SUMIFS('Annual_Cost'!$S$2:$S$1353,'Annual_Cost'!$A$2:$A$1353,A87,'Annual_Cost'!$B$2:$B$1353,B87)</f>
      </c>
      <c r="F87" s="92" t="str">
        <f>SUMIFS('Annual_Cost'!$Y$2:$Y$1353,'Annual_Cost'!$A$2:$A$1353,A87,'Annual_Cost'!$B$2:$B$1353,B87)</f>
      </c>
      <c r="G87" s="93" t="str">
        <f>SUMIFS($E$2:E87,$A$2:A87,A87)</f>
      </c>
      <c r="H87" s="94" t="str">
        <f>SUMIFS($F$2:F87,$A$2:A87,A87)</f>
      </c>
    </row>
    <row r="88">
      <c r="A88" t="s">
        <v>205</v>
      </c>
      <c r="B88" s="88" t="n">
        <v>2033</v>
      </c>
      <c r="C88" s="89" t="str">
        <f>SUMIFS('Annual_Cost'!$Q$2:$Q$1353,'Annual_Cost'!$A$2:$A$1353,A88,'Annual_Cost'!$B$2:$B$1353,B88)</f>
      </c>
      <c r="D88" s="90" t="str">
        <f>SUMIFS('Annual_Cost'!$R$2:$R$1353,'Annual_Cost'!$A$2:$A$1353,A88,'Annual_Cost'!$B$2:$B$1353,B88)</f>
      </c>
      <c r="E88" s="91" t="str">
        <f>SUMIFS('Annual_Cost'!$S$2:$S$1353,'Annual_Cost'!$A$2:$A$1353,A88,'Annual_Cost'!$B$2:$B$1353,B88)</f>
      </c>
      <c r="F88" s="92" t="str">
        <f>SUMIFS('Annual_Cost'!$Y$2:$Y$1353,'Annual_Cost'!$A$2:$A$1353,A88,'Annual_Cost'!$B$2:$B$1353,B88)</f>
      </c>
      <c r="G88" s="93" t="str">
        <f>SUMIFS($E$2:E88,$A$2:A88,A88)</f>
      </c>
      <c r="H88" s="94" t="str">
        <f>SUMIFS($F$2:F88,$A$2:A88,A88)</f>
      </c>
    </row>
    <row r="89">
      <c r="A89" t="s">
        <v>205</v>
      </c>
      <c r="B89" s="88" t="n">
        <v>2034</v>
      </c>
      <c r="C89" s="89" t="str">
        <f>SUMIFS('Annual_Cost'!$Q$2:$Q$1353,'Annual_Cost'!$A$2:$A$1353,A89,'Annual_Cost'!$B$2:$B$1353,B89)</f>
      </c>
      <c r="D89" s="90" t="str">
        <f>SUMIFS('Annual_Cost'!$R$2:$R$1353,'Annual_Cost'!$A$2:$A$1353,A89,'Annual_Cost'!$B$2:$B$1353,B89)</f>
      </c>
      <c r="E89" s="91" t="str">
        <f>SUMIFS('Annual_Cost'!$S$2:$S$1353,'Annual_Cost'!$A$2:$A$1353,A89,'Annual_Cost'!$B$2:$B$1353,B89)</f>
      </c>
      <c r="F89" s="92" t="str">
        <f>SUMIFS('Annual_Cost'!$Y$2:$Y$1353,'Annual_Cost'!$A$2:$A$1353,A89,'Annual_Cost'!$B$2:$B$1353,B89)</f>
      </c>
      <c r="G89" s="93" t="str">
        <f>SUMIFS($E$2:E89,$A$2:A89,A89)</f>
      </c>
      <c r="H89" s="94" t="str">
        <f>SUMIFS($F$2:F89,$A$2:A89,A89)</f>
      </c>
    </row>
    <row r="90">
      <c r="A90" t="s">
        <v>205</v>
      </c>
      <c r="B90" s="88" t="n">
        <v>2035</v>
      </c>
      <c r="C90" s="89" t="str">
        <f>SUMIFS('Annual_Cost'!$Q$2:$Q$1353,'Annual_Cost'!$A$2:$A$1353,A90,'Annual_Cost'!$B$2:$B$1353,B90)</f>
      </c>
      <c r="D90" s="90" t="str">
        <f>SUMIFS('Annual_Cost'!$R$2:$R$1353,'Annual_Cost'!$A$2:$A$1353,A90,'Annual_Cost'!$B$2:$B$1353,B90)</f>
      </c>
      <c r="E90" s="91" t="str">
        <f>SUMIFS('Annual_Cost'!$S$2:$S$1353,'Annual_Cost'!$A$2:$A$1353,A90,'Annual_Cost'!$B$2:$B$1353,B90)</f>
      </c>
      <c r="F90" s="92" t="str">
        <f>SUMIFS('Annual_Cost'!$Y$2:$Y$1353,'Annual_Cost'!$A$2:$A$1353,A90,'Annual_Cost'!$B$2:$B$1353,B90)</f>
      </c>
      <c r="G90" s="93" t="str">
        <f>SUMIFS($E$2:E90,$A$2:A90,A90)</f>
      </c>
      <c r="H90" s="94" t="str">
        <f>SUMIFS($F$2:F90,$A$2:A90,A90)</f>
      </c>
    </row>
    <row r="91">
      <c r="A91" t="s">
        <v>205</v>
      </c>
      <c r="B91" s="88" t="n">
        <v>2036</v>
      </c>
      <c r="C91" s="89" t="str">
        <f>SUMIFS('Annual_Cost'!$Q$2:$Q$1353,'Annual_Cost'!$A$2:$A$1353,A91,'Annual_Cost'!$B$2:$B$1353,B91)</f>
      </c>
      <c r="D91" s="90" t="str">
        <f>SUMIFS('Annual_Cost'!$R$2:$R$1353,'Annual_Cost'!$A$2:$A$1353,A91,'Annual_Cost'!$B$2:$B$1353,B91)</f>
      </c>
      <c r="E91" s="91" t="str">
        <f>SUMIFS('Annual_Cost'!$S$2:$S$1353,'Annual_Cost'!$A$2:$A$1353,A91,'Annual_Cost'!$B$2:$B$1353,B91)</f>
      </c>
      <c r="F91" s="92" t="str">
        <f>SUMIFS('Annual_Cost'!$Y$2:$Y$1353,'Annual_Cost'!$A$2:$A$1353,A91,'Annual_Cost'!$B$2:$B$1353,B91)</f>
      </c>
      <c r="G91" s="93" t="str">
        <f>SUMIFS($E$2:E91,$A$2:A91,A91)</f>
      </c>
      <c r="H91" s="94" t="str">
        <f>SUMIFS($F$2:F91,$A$2:A91,A91)</f>
      </c>
    </row>
    <row r="92">
      <c r="A92" t="s">
        <v>205</v>
      </c>
      <c r="B92" s="88" t="n">
        <v>2037</v>
      </c>
      <c r="C92" s="89" t="str">
        <f>SUMIFS('Annual_Cost'!$Q$2:$Q$1353,'Annual_Cost'!$A$2:$A$1353,A92,'Annual_Cost'!$B$2:$B$1353,B92)</f>
      </c>
      <c r="D92" s="90" t="str">
        <f>SUMIFS('Annual_Cost'!$R$2:$R$1353,'Annual_Cost'!$A$2:$A$1353,A92,'Annual_Cost'!$B$2:$B$1353,B92)</f>
      </c>
      <c r="E92" s="91" t="str">
        <f>SUMIFS('Annual_Cost'!$S$2:$S$1353,'Annual_Cost'!$A$2:$A$1353,A92,'Annual_Cost'!$B$2:$B$1353,B92)</f>
      </c>
      <c r="F92" s="92" t="str">
        <f>SUMIFS('Annual_Cost'!$Y$2:$Y$1353,'Annual_Cost'!$A$2:$A$1353,A92,'Annual_Cost'!$B$2:$B$1353,B92)</f>
      </c>
      <c r="G92" s="93" t="str">
        <f>SUMIFS($E$2:E92,$A$2:A92,A92)</f>
      </c>
      <c r="H92" s="94" t="str">
        <f>SUMIFS($F$2:F92,$A$2:A92,A92)</f>
      </c>
    </row>
    <row r="93">
      <c r="A93" t="s">
        <v>205</v>
      </c>
      <c r="B93" s="88" t="n">
        <v>2038</v>
      </c>
      <c r="C93" s="89" t="str">
        <f>SUMIFS('Annual_Cost'!$Q$2:$Q$1353,'Annual_Cost'!$A$2:$A$1353,A93,'Annual_Cost'!$B$2:$B$1353,B93)</f>
      </c>
      <c r="D93" s="90" t="str">
        <f>SUMIFS('Annual_Cost'!$R$2:$R$1353,'Annual_Cost'!$A$2:$A$1353,A93,'Annual_Cost'!$B$2:$B$1353,B93)</f>
      </c>
      <c r="E93" s="91" t="str">
        <f>SUMIFS('Annual_Cost'!$S$2:$S$1353,'Annual_Cost'!$A$2:$A$1353,A93,'Annual_Cost'!$B$2:$B$1353,B93)</f>
      </c>
      <c r="F93" s="92" t="str">
        <f>SUMIFS('Annual_Cost'!$Y$2:$Y$1353,'Annual_Cost'!$A$2:$A$1353,A93,'Annual_Cost'!$B$2:$B$1353,B93)</f>
      </c>
      <c r="G93" s="93" t="str">
        <f>SUMIFS($E$2:E93,$A$2:A93,A93)</f>
      </c>
      <c r="H93" s="94" t="str">
        <f>SUMIFS($F$2:F93,$A$2:A93,A93)</f>
      </c>
    </row>
    <row r="94">
      <c r="A94" t="s">
        <v>205</v>
      </c>
      <c r="B94" s="88" t="n">
        <v>2039</v>
      </c>
      <c r="C94" s="89" t="str">
        <f>SUMIFS('Annual_Cost'!$Q$2:$Q$1353,'Annual_Cost'!$A$2:$A$1353,A94,'Annual_Cost'!$B$2:$B$1353,B94)</f>
      </c>
      <c r="D94" s="90" t="str">
        <f>SUMIFS('Annual_Cost'!$R$2:$R$1353,'Annual_Cost'!$A$2:$A$1353,A94,'Annual_Cost'!$B$2:$B$1353,B94)</f>
      </c>
      <c r="E94" s="91" t="str">
        <f>SUMIFS('Annual_Cost'!$S$2:$S$1353,'Annual_Cost'!$A$2:$A$1353,A94,'Annual_Cost'!$B$2:$B$1353,B94)</f>
      </c>
      <c r="F94" s="92" t="str">
        <f>SUMIFS('Annual_Cost'!$Y$2:$Y$1353,'Annual_Cost'!$A$2:$A$1353,A94,'Annual_Cost'!$B$2:$B$1353,B94)</f>
      </c>
      <c r="G94" s="93" t="str">
        <f>SUMIFS($E$2:E94,$A$2:A94,A94)</f>
      </c>
      <c r="H94" s="94" t="str">
        <f>SUMIFS($F$2:F94,$A$2:A94,A94)</f>
      </c>
    </row>
    <row r="95">
      <c r="A95" t="s">
        <v>205</v>
      </c>
      <c r="B95" s="88" t="n">
        <v>2040</v>
      </c>
      <c r="C95" s="89" t="str">
        <f>SUMIFS('Annual_Cost'!$Q$2:$Q$1353,'Annual_Cost'!$A$2:$A$1353,A95,'Annual_Cost'!$B$2:$B$1353,B95)</f>
      </c>
      <c r="D95" s="90" t="str">
        <f>SUMIFS('Annual_Cost'!$R$2:$R$1353,'Annual_Cost'!$A$2:$A$1353,A95,'Annual_Cost'!$B$2:$B$1353,B95)</f>
      </c>
      <c r="E95" s="91" t="str">
        <f>SUMIFS('Annual_Cost'!$S$2:$S$1353,'Annual_Cost'!$A$2:$A$1353,A95,'Annual_Cost'!$B$2:$B$1353,B95)</f>
      </c>
      <c r="F95" s="92" t="str">
        <f>SUMIFS('Annual_Cost'!$Y$2:$Y$1353,'Annual_Cost'!$A$2:$A$1353,A95,'Annual_Cost'!$B$2:$B$1353,B95)</f>
      </c>
      <c r="G95" s="93" t="str">
        <f>SUMIFS($E$2:E95,$A$2:A95,A95)</f>
      </c>
      <c r="H95" s="94" t="str">
        <f>SUMIFS($F$2:F95,$A$2:A95,A95)</f>
      </c>
    </row>
    <row r="96">
      <c r="A96" t="s">
        <v>205</v>
      </c>
      <c r="B96" s="88" t="n">
        <v>2041</v>
      </c>
      <c r="C96" s="89" t="str">
        <f>SUMIFS('Annual_Cost'!$Q$2:$Q$1353,'Annual_Cost'!$A$2:$A$1353,A96,'Annual_Cost'!$B$2:$B$1353,B96)</f>
      </c>
      <c r="D96" s="90" t="str">
        <f>SUMIFS('Annual_Cost'!$R$2:$R$1353,'Annual_Cost'!$A$2:$A$1353,A96,'Annual_Cost'!$B$2:$B$1353,B96)</f>
      </c>
      <c r="E96" s="91" t="str">
        <f>SUMIFS('Annual_Cost'!$S$2:$S$1353,'Annual_Cost'!$A$2:$A$1353,A96,'Annual_Cost'!$B$2:$B$1353,B96)</f>
      </c>
      <c r="F96" s="92" t="str">
        <f>SUMIFS('Annual_Cost'!$Y$2:$Y$1353,'Annual_Cost'!$A$2:$A$1353,A96,'Annual_Cost'!$B$2:$B$1353,B96)</f>
      </c>
      <c r="G96" s="93" t="str">
        <f>SUMIFS($E$2:E96,$A$2:A96,A96)</f>
      </c>
      <c r="H96" s="94" t="str">
        <f>SUMIFS($F$2:F96,$A$2:A96,A96)</f>
      </c>
    </row>
    <row r="97">
      <c r="A97" t="s">
        <v>205</v>
      </c>
      <c r="B97" s="88" t="n">
        <v>2042</v>
      </c>
      <c r="C97" s="89" t="str">
        <f>SUMIFS('Annual_Cost'!$Q$2:$Q$1353,'Annual_Cost'!$A$2:$A$1353,A97,'Annual_Cost'!$B$2:$B$1353,B97)</f>
      </c>
      <c r="D97" s="90" t="str">
        <f>SUMIFS('Annual_Cost'!$R$2:$R$1353,'Annual_Cost'!$A$2:$A$1353,A97,'Annual_Cost'!$B$2:$B$1353,B97)</f>
      </c>
      <c r="E97" s="91" t="str">
        <f>SUMIFS('Annual_Cost'!$S$2:$S$1353,'Annual_Cost'!$A$2:$A$1353,A97,'Annual_Cost'!$B$2:$B$1353,B97)</f>
      </c>
      <c r="F97" s="92" t="str">
        <f>SUMIFS('Annual_Cost'!$Y$2:$Y$1353,'Annual_Cost'!$A$2:$A$1353,A97,'Annual_Cost'!$B$2:$B$1353,B97)</f>
      </c>
      <c r="G97" s="93" t="str">
        <f>SUMIFS($E$2:E97,$A$2:A97,A97)</f>
      </c>
      <c r="H97" s="94" t="str">
        <f>SUMIFS($F$2:F97,$A$2:A97,A97)</f>
      </c>
    </row>
    <row r="98">
      <c r="A98" t="s">
        <v>205</v>
      </c>
      <c r="B98" s="88" t="n">
        <v>2043</v>
      </c>
      <c r="C98" s="89" t="str">
        <f>SUMIFS('Annual_Cost'!$Q$2:$Q$1353,'Annual_Cost'!$A$2:$A$1353,A98,'Annual_Cost'!$B$2:$B$1353,B98)</f>
      </c>
      <c r="D98" s="90" t="str">
        <f>SUMIFS('Annual_Cost'!$R$2:$R$1353,'Annual_Cost'!$A$2:$A$1353,A98,'Annual_Cost'!$B$2:$B$1353,B98)</f>
      </c>
      <c r="E98" s="91" t="str">
        <f>SUMIFS('Annual_Cost'!$S$2:$S$1353,'Annual_Cost'!$A$2:$A$1353,A98,'Annual_Cost'!$B$2:$B$1353,B98)</f>
      </c>
      <c r="F98" s="92" t="str">
        <f>SUMIFS('Annual_Cost'!$Y$2:$Y$1353,'Annual_Cost'!$A$2:$A$1353,A98,'Annual_Cost'!$B$2:$B$1353,B98)</f>
      </c>
      <c r="G98" s="93" t="str">
        <f>SUMIFS($E$2:E98,$A$2:A98,A98)</f>
      </c>
      <c r="H98" s="94" t="str">
        <f>SUMIFS($F$2:F98,$A$2:A98,A98)</f>
      </c>
    </row>
    <row r="99">
      <c r="A99" t="s">
        <v>205</v>
      </c>
      <c r="B99" s="88" t="n">
        <v>2044</v>
      </c>
      <c r="C99" s="89" t="str">
        <f>SUMIFS('Annual_Cost'!$Q$2:$Q$1353,'Annual_Cost'!$A$2:$A$1353,A99,'Annual_Cost'!$B$2:$B$1353,B99)</f>
      </c>
      <c r="D99" s="90" t="str">
        <f>SUMIFS('Annual_Cost'!$R$2:$R$1353,'Annual_Cost'!$A$2:$A$1353,A99,'Annual_Cost'!$B$2:$B$1353,B99)</f>
      </c>
      <c r="E99" s="91" t="str">
        <f>SUMIFS('Annual_Cost'!$S$2:$S$1353,'Annual_Cost'!$A$2:$A$1353,A99,'Annual_Cost'!$B$2:$B$1353,B99)</f>
      </c>
      <c r="F99" s="92" t="str">
        <f>SUMIFS('Annual_Cost'!$Y$2:$Y$1353,'Annual_Cost'!$A$2:$A$1353,A99,'Annual_Cost'!$B$2:$B$1353,B99)</f>
      </c>
      <c r="G99" s="93" t="str">
        <f>SUMIFS($E$2:E99,$A$2:A99,A99)</f>
      </c>
      <c r="H99" s="94" t="str">
        <f>SUMIFS($F$2:F99,$A$2:A99,A99)</f>
      </c>
    </row>
    <row r="100">
      <c r="A100" t="s">
        <v>205</v>
      </c>
      <c r="B100" s="88" t="n">
        <v>2045</v>
      </c>
      <c r="C100" s="89" t="str">
        <f>SUMIFS('Annual_Cost'!$Q$2:$Q$1353,'Annual_Cost'!$A$2:$A$1353,A100,'Annual_Cost'!$B$2:$B$1353,B100)</f>
      </c>
      <c r="D100" s="90" t="str">
        <f>SUMIFS('Annual_Cost'!$R$2:$R$1353,'Annual_Cost'!$A$2:$A$1353,A100,'Annual_Cost'!$B$2:$B$1353,B100)</f>
      </c>
      <c r="E100" s="91" t="str">
        <f>SUMIFS('Annual_Cost'!$S$2:$S$1353,'Annual_Cost'!$A$2:$A$1353,A100,'Annual_Cost'!$B$2:$B$1353,B100)</f>
      </c>
      <c r="F100" s="92" t="str">
        <f>SUMIFS('Annual_Cost'!$Y$2:$Y$1353,'Annual_Cost'!$A$2:$A$1353,A100,'Annual_Cost'!$B$2:$B$1353,B100)</f>
      </c>
      <c r="G100" s="93" t="str">
        <f>SUMIFS($E$2:E100,$A$2:A100,A100)</f>
      </c>
      <c r="H100" s="94" t="str">
        <f>SUMIFS($F$2:F100,$A$2:A100,A100)</f>
      </c>
    </row>
    <row r="101">
      <c r="A101" t="s">
        <v>205</v>
      </c>
      <c r="B101" s="88" t="n">
        <v>2046</v>
      </c>
      <c r="C101" s="89" t="str">
        <f>SUMIFS('Annual_Cost'!$Q$2:$Q$1353,'Annual_Cost'!$A$2:$A$1353,A101,'Annual_Cost'!$B$2:$B$1353,B101)</f>
      </c>
      <c r="D101" s="90" t="str">
        <f>SUMIFS('Annual_Cost'!$R$2:$R$1353,'Annual_Cost'!$A$2:$A$1353,A101,'Annual_Cost'!$B$2:$B$1353,B101)</f>
      </c>
      <c r="E101" s="91" t="str">
        <f>SUMIFS('Annual_Cost'!$S$2:$S$1353,'Annual_Cost'!$A$2:$A$1353,A101,'Annual_Cost'!$B$2:$B$1353,B101)</f>
      </c>
      <c r="F101" s="92" t="str">
        <f>SUMIFS('Annual_Cost'!$Y$2:$Y$1353,'Annual_Cost'!$A$2:$A$1353,A101,'Annual_Cost'!$B$2:$B$1353,B101)</f>
      </c>
      <c r="G101" s="93" t="str">
        <f>SUMIFS($E$2:E101,$A$2:A101,A101)</f>
      </c>
      <c r="H101" s="94" t="str">
        <f>SUMIFS($F$2:F101,$A$2:A101,A101)</f>
      </c>
    </row>
    <row r="102">
      <c r="A102" t="s">
        <v>205</v>
      </c>
      <c r="B102" s="88" t="n">
        <v>2047</v>
      </c>
      <c r="C102" s="89" t="str">
        <f>SUMIFS('Annual_Cost'!$Q$2:$Q$1353,'Annual_Cost'!$A$2:$A$1353,A102,'Annual_Cost'!$B$2:$B$1353,B102)</f>
      </c>
      <c r="D102" s="90" t="str">
        <f>SUMIFS('Annual_Cost'!$R$2:$R$1353,'Annual_Cost'!$A$2:$A$1353,A102,'Annual_Cost'!$B$2:$B$1353,B102)</f>
      </c>
      <c r="E102" s="91" t="str">
        <f>SUMIFS('Annual_Cost'!$S$2:$S$1353,'Annual_Cost'!$A$2:$A$1353,A102,'Annual_Cost'!$B$2:$B$1353,B102)</f>
      </c>
      <c r="F102" s="92" t="str">
        <f>SUMIFS('Annual_Cost'!$Y$2:$Y$1353,'Annual_Cost'!$A$2:$A$1353,A102,'Annual_Cost'!$B$2:$B$1353,B102)</f>
      </c>
      <c r="G102" s="93" t="str">
        <f>SUMIFS($E$2:E102,$A$2:A102,A102)</f>
      </c>
      <c r="H102" s="94" t="str">
        <f>SUMIFS($F$2:F102,$A$2:A102,A102)</f>
      </c>
    </row>
    <row r="103">
      <c r="A103" t="s">
        <v>205</v>
      </c>
      <c r="B103" s="88" t="n">
        <v>2048</v>
      </c>
      <c r="C103" s="89" t="str">
        <f>SUMIFS('Annual_Cost'!$Q$2:$Q$1353,'Annual_Cost'!$A$2:$A$1353,A103,'Annual_Cost'!$B$2:$B$1353,B103)</f>
      </c>
      <c r="D103" s="90" t="str">
        <f>SUMIFS('Annual_Cost'!$R$2:$R$1353,'Annual_Cost'!$A$2:$A$1353,A103,'Annual_Cost'!$B$2:$B$1353,B103)</f>
      </c>
      <c r="E103" s="91" t="str">
        <f>SUMIFS('Annual_Cost'!$S$2:$S$1353,'Annual_Cost'!$A$2:$A$1353,A103,'Annual_Cost'!$B$2:$B$1353,B103)</f>
      </c>
      <c r="F103" s="92" t="str">
        <f>SUMIFS('Annual_Cost'!$Y$2:$Y$1353,'Annual_Cost'!$A$2:$A$1353,A103,'Annual_Cost'!$B$2:$B$1353,B103)</f>
      </c>
      <c r="G103" s="93" t="str">
        <f>SUMIFS($E$2:E103,$A$2:A103,A103)</f>
      </c>
      <c r="H103" s="94" t="str">
        <f>SUMIFS($F$2:F103,$A$2:A103,A103)</f>
      </c>
    </row>
    <row r="104">
      <c r="A104" t="s">
        <v>205</v>
      </c>
      <c r="B104" s="88" t="n">
        <v>2049</v>
      </c>
      <c r="C104" s="89" t="str">
        <f>SUMIFS('Annual_Cost'!$Q$2:$Q$1353,'Annual_Cost'!$A$2:$A$1353,A104,'Annual_Cost'!$B$2:$B$1353,B104)</f>
      </c>
      <c r="D104" s="90" t="str">
        <f>SUMIFS('Annual_Cost'!$R$2:$R$1353,'Annual_Cost'!$A$2:$A$1353,A104,'Annual_Cost'!$B$2:$B$1353,B104)</f>
      </c>
      <c r="E104" s="91" t="str">
        <f>SUMIFS('Annual_Cost'!$S$2:$S$1353,'Annual_Cost'!$A$2:$A$1353,A104,'Annual_Cost'!$B$2:$B$1353,B104)</f>
      </c>
      <c r="F104" s="92" t="str">
        <f>SUMIFS('Annual_Cost'!$Y$2:$Y$1353,'Annual_Cost'!$A$2:$A$1353,A104,'Annual_Cost'!$B$2:$B$1353,B104)</f>
      </c>
      <c r="G104" s="93" t="str">
        <f>SUMIFS($E$2:E104,$A$2:A104,A104)</f>
      </c>
      <c r="H104" s="94" t="str">
        <f>SUMIFS($F$2:F104,$A$2:A104,A104)</f>
      </c>
    </row>
    <row r="105">
      <c r="A105" t="s">
        <v>205</v>
      </c>
      <c r="B105" s="88" t="n">
        <v>2050</v>
      </c>
      <c r="C105" s="89" t="str">
        <f>SUMIFS('Annual_Cost'!$Q$2:$Q$1353,'Annual_Cost'!$A$2:$A$1353,A105,'Annual_Cost'!$B$2:$B$1353,B105)</f>
      </c>
      <c r="D105" s="90" t="str">
        <f>SUMIFS('Annual_Cost'!$R$2:$R$1353,'Annual_Cost'!$A$2:$A$1353,A105,'Annual_Cost'!$B$2:$B$1353,B105)</f>
      </c>
      <c r="E105" s="91" t="str">
        <f>SUMIFS('Annual_Cost'!$S$2:$S$1353,'Annual_Cost'!$A$2:$A$1353,A105,'Annual_Cost'!$B$2:$B$1353,B105)</f>
      </c>
      <c r="F105" s="92" t="str">
        <f>SUMIFS('Annual_Cost'!$Y$2:$Y$1353,'Annual_Cost'!$A$2:$A$1353,A105,'Annual_Cost'!$B$2:$B$1353,B105)</f>
      </c>
      <c r="G105" s="93" t="str">
        <f>SUMIFS($E$2:E105,$A$2:A105,A105)</f>
      </c>
      <c r="H105" s="94" t="str">
        <f>SUMIFS($F$2:F105,$A$2:A105,A105)</f>
      </c>
    </row>
    <row r="106">
      <c r="A106" t="s">
        <v>208</v>
      </c>
      <c r="B106" s="88" t="n">
        <v>2025</v>
      </c>
      <c r="C106" s="89" t="str">
        <f>SUMIFS('Annual_Cost'!$Q$2:$Q$1353,'Annual_Cost'!$A$2:$A$1353,A106,'Annual_Cost'!$B$2:$B$1353,B106)</f>
      </c>
      <c r="D106" s="90" t="str">
        <f>SUMIFS('Annual_Cost'!$R$2:$R$1353,'Annual_Cost'!$A$2:$A$1353,A106,'Annual_Cost'!$B$2:$B$1353,B106)</f>
      </c>
      <c r="E106" s="91" t="str">
        <f>SUMIFS('Annual_Cost'!$S$2:$S$1353,'Annual_Cost'!$A$2:$A$1353,A106,'Annual_Cost'!$B$2:$B$1353,B106)</f>
      </c>
      <c r="F106" s="92" t="str">
        <f>SUMIFS('Annual_Cost'!$Y$2:$Y$1353,'Annual_Cost'!$A$2:$A$1353,A106,'Annual_Cost'!$B$2:$B$1353,B106)</f>
      </c>
      <c r="G106" s="93" t="str">
        <f>SUMIFS($E$2:E106,$A$2:A106,A106)</f>
      </c>
      <c r="H106" s="94" t="str">
        <f>SUMIFS($F$2:F106,$A$2:A106,A106)</f>
      </c>
    </row>
    <row r="107">
      <c r="A107" t="s">
        <v>208</v>
      </c>
      <c r="B107" s="88" t="n">
        <v>2026</v>
      </c>
      <c r="C107" s="89" t="str">
        <f>SUMIFS('Annual_Cost'!$Q$2:$Q$1353,'Annual_Cost'!$A$2:$A$1353,A107,'Annual_Cost'!$B$2:$B$1353,B107)</f>
      </c>
      <c r="D107" s="90" t="str">
        <f>SUMIFS('Annual_Cost'!$R$2:$R$1353,'Annual_Cost'!$A$2:$A$1353,A107,'Annual_Cost'!$B$2:$B$1353,B107)</f>
      </c>
      <c r="E107" s="91" t="str">
        <f>SUMIFS('Annual_Cost'!$S$2:$S$1353,'Annual_Cost'!$A$2:$A$1353,A107,'Annual_Cost'!$B$2:$B$1353,B107)</f>
      </c>
      <c r="F107" s="92" t="str">
        <f>SUMIFS('Annual_Cost'!$Y$2:$Y$1353,'Annual_Cost'!$A$2:$A$1353,A107,'Annual_Cost'!$B$2:$B$1353,B107)</f>
      </c>
      <c r="G107" s="93" t="str">
        <f>SUMIFS($E$2:E107,$A$2:A107,A107)</f>
      </c>
      <c r="H107" s="94" t="str">
        <f>SUMIFS($F$2:F107,$A$2:A107,A107)</f>
      </c>
    </row>
    <row r="108">
      <c r="A108" t="s">
        <v>208</v>
      </c>
      <c r="B108" s="88" t="n">
        <v>2027</v>
      </c>
      <c r="C108" s="89" t="str">
        <f>SUMIFS('Annual_Cost'!$Q$2:$Q$1353,'Annual_Cost'!$A$2:$A$1353,A108,'Annual_Cost'!$B$2:$B$1353,B108)</f>
      </c>
      <c r="D108" s="90" t="str">
        <f>SUMIFS('Annual_Cost'!$R$2:$R$1353,'Annual_Cost'!$A$2:$A$1353,A108,'Annual_Cost'!$B$2:$B$1353,B108)</f>
      </c>
      <c r="E108" s="91" t="str">
        <f>SUMIFS('Annual_Cost'!$S$2:$S$1353,'Annual_Cost'!$A$2:$A$1353,A108,'Annual_Cost'!$B$2:$B$1353,B108)</f>
      </c>
      <c r="F108" s="92" t="str">
        <f>SUMIFS('Annual_Cost'!$Y$2:$Y$1353,'Annual_Cost'!$A$2:$A$1353,A108,'Annual_Cost'!$B$2:$B$1353,B108)</f>
      </c>
      <c r="G108" s="93" t="str">
        <f>SUMIFS($E$2:E108,$A$2:A108,A108)</f>
      </c>
      <c r="H108" s="94" t="str">
        <f>SUMIFS($F$2:F108,$A$2:A108,A108)</f>
      </c>
    </row>
    <row r="109">
      <c r="A109" t="s">
        <v>208</v>
      </c>
      <c r="B109" s="88" t="n">
        <v>2028</v>
      </c>
      <c r="C109" s="89" t="str">
        <f>SUMIFS('Annual_Cost'!$Q$2:$Q$1353,'Annual_Cost'!$A$2:$A$1353,A109,'Annual_Cost'!$B$2:$B$1353,B109)</f>
      </c>
      <c r="D109" s="90" t="str">
        <f>SUMIFS('Annual_Cost'!$R$2:$R$1353,'Annual_Cost'!$A$2:$A$1353,A109,'Annual_Cost'!$B$2:$B$1353,B109)</f>
      </c>
      <c r="E109" s="91" t="str">
        <f>SUMIFS('Annual_Cost'!$S$2:$S$1353,'Annual_Cost'!$A$2:$A$1353,A109,'Annual_Cost'!$B$2:$B$1353,B109)</f>
      </c>
      <c r="F109" s="92" t="str">
        <f>SUMIFS('Annual_Cost'!$Y$2:$Y$1353,'Annual_Cost'!$A$2:$A$1353,A109,'Annual_Cost'!$B$2:$B$1353,B109)</f>
      </c>
      <c r="G109" s="93" t="str">
        <f>SUMIFS($E$2:E109,$A$2:A109,A109)</f>
      </c>
      <c r="H109" s="94" t="str">
        <f>SUMIFS($F$2:F109,$A$2:A109,A109)</f>
      </c>
    </row>
    <row r="110">
      <c r="A110" t="s">
        <v>208</v>
      </c>
      <c r="B110" s="88" t="n">
        <v>2029</v>
      </c>
      <c r="C110" s="89" t="str">
        <f>SUMIFS('Annual_Cost'!$Q$2:$Q$1353,'Annual_Cost'!$A$2:$A$1353,A110,'Annual_Cost'!$B$2:$B$1353,B110)</f>
      </c>
      <c r="D110" s="90" t="str">
        <f>SUMIFS('Annual_Cost'!$R$2:$R$1353,'Annual_Cost'!$A$2:$A$1353,A110,'Annual_Cost'!$B$2:$B$1353,B110)</f>
      </c>
      <c r="E110" s="91" t="str">
        <f>SUMIFS('Annual_Cost'!$S$2:$S$1353,'Annual_Cost'!$A$2:$A$1353,A110,'Annual_Cost'!$B$2:$B$1353,B110)</f>
      </c>
      <c r="F110" s="92" t="str">
        <f>SUMIFS('Annual_Cost'!$Y$2:$Y$1353,'Annual_Cost'!$A$2:$A$1353,A110,'Annual_Cost'!$B$2:$B$1353,B110)</f>
      </c>
      <c r="G110" s="93" t="str">
        <f>SUMIFS($E$2:E110,$A$2:A110,A110)</f>
      </c>
      <c r="H110" s="94" t="str">
        <f>SUMIFS($F$2:F110,$A$2:A110,A110)</f>
      </c>
    </row>
    <row r="111">
      <c r="A111" t="s">
        <v>208</v>
      </c>
      <c r="B111" s="88" t="n">
        <v>2030</v>
      </c>
      <c r="C111" s="89" t="str">
        <f>SUMIFS('Annual_Cost'!$Q$2:$Q$1353,'Annual_Cost'!$A$2:$A$1353,A111,'Annual_Cost'!$B$2:$B$1353,B111)</f>
      </c>
      <c r="D111" s="90" t="str">
        <f>SUMIFS('Annual_Cost'!$R$2:$R$1353,'Annual_Cost'!$A$2:$A$1353,A111,'Annual_Cost'!$B$2:$B$1353,B111)</f>
      </c>
      <c r="E111" s="91" t="str">
        <f>SUMIFS('Annual_Cost'!$S$2:$S$1353,'Annual_Cost'!$A$2:$A$1353,A111,'Annual_Cost'!$B$2:$B$1353,B111)</f>
      </c>
      <c r="F111" s="92" t="str">
        <f>SUMIFS('Annual_Cost'!$Y$2:$Y$1353,'Annual_Cost'!$A$2:$A$1353,A111,'Annual_Cost'!$B$2:$B$1353,B111)</f>
      </c>
      <c r="G111" s="93" t="str">
        <f>SUMIFS($E$2:E111,$A$2:A111,A111)</f>
      </c>
      <c r="H111" s="94" t="str">
        <f>SUMIFS($F$2:F111,$A$2:A111,A111)</f>
      </c>
    </row>
    <row r="112">
      <c r="A112" t="s">
        <v>208</v>
      </c>
      <c r="B112" s="88" t="n">
        <v>2031</v>
      </c>
      <c r="C112" s="89" t="str">
        <f>SUMIFS('Annual_Cost'!$Q$2:$Q$1353,'Annual_Cost'!$A$2:$A$1353,A112,'Annual_Cost'!$B$2:$B$1353,B112)</f>
      </c>
      <c r="D112" s="90" t="str">
        <f>SUMIFS('Annual_Cost'!$R$2:$R$1353,'Annual_Cost'!$A$2:$A$1353,A112,'Annual_Cost'!$B$2:$B$1353,B112)</f>
      </c>
      <c r="E112" s="91" t="str">
        <f>SUMIFS('Annual_Cost'!$S$2:$S$1353,'Annual_Cost'!$A$2:$A$1353,A112,'Annual_Cost'!$B$2:$B$1353,B112)</f>
      </c>
      <c r="F112" s="92" t="str">
        <f>SUMIFS('Annual_Cost'!$Y$2:$Y$1353,'Annual_Cost'!$A$2:$A$1353,A112,'Annual_Cost'!$B$2:$B$1353,B112)</f>
      </c>
      <c r="G112" s="93" t="str">
        <f>SUMIFS($E$2:E112,$A$2:A112,A112)</f>
      </c>
      <c r="H112" s="94" t="str">
        <f>SUMIFS($F$2:F112,$A$2:A112,A112)</f>
      </c>
    </row>
    <row r="113">
      <c r="A113" t="s">
        <v>208</v>
      </c>
      <c r="B113" s="88" t="n">
        <v>2032</v>
      </c>
      <c r="C113" s="89" t="str">
        <f>SUMIFS('Annual_Cost'!$Q$2:$Q$1353,'Annual_Cost'!$A$2:$A$1353,A113,'Annual_Cost'!$B$2:$B$1353,B113)</f>
      </c>
      <c r="D113" s="90" t="str">
        <f>SUMIFS('Annual_Cost'!$R$2:$R$1353,'Annual_Cost'!$A$2:$A$1353,A113,'Annual_Cost'!$B$2:$B$1353,B113)</f>
      </c>
      <c r="E113" s="91" t="str">
        <f>SUMIFS('Annual_Cost'!$S$2:$S$1353,'Annual_Cost'!$A$2:$A$1353,A113,'Annual_Cost'!$B$2:$B$1353,B113)</f>
      </c>
      <c r="F113" s="92" t="str">
        <f>SUMIFS('Annual_Cost'!$Y$2:$Y$1353,'Annual_Cost'!$A$2:$A$1353,A113,'Annual_Cost'!$B$2:$B$1353,B113)</f>
      </c>
      <c r="G113" s="93" t="str">
        <f>SUMIFS($E$2:E113,$A$2:A113,A113)</f>
      </c>
      <c r="H113" s="94" t="str">
        <f>SUMIFS($F$2:F113,$A$2:A113,A113)</f>
      </c>
    </row>
    <row r="114">
      <c r="A114" t="s">
        <v>208</v>
      </c>
      <c r="B114" s="88" t="n">
        <v>2033</v>
      </c>
      <c r="C114" s="89" t="str">
        <f>SUMIFS('Annual_Cost'!$Q$2:$Q$1353,'Annual_Cost'!$A$2:$A$1353,A114,'Annual_Cost'!$B$2:$B$1353,B114)</f>
      </c>
      <c r="D114" s="90" t="str">
        <f>SUMIFS('Annual_Cost'!$R$2:$R$1353,'Annual_Cost'!$A$2:$A$1353,A114,'Annual_Cost'!$B$2:$B$1353,B114)</f>
      </c>
      <c r="E114" s="91" t="str">
        <f>SUMIFS('Annual_Cost'!$S$2:$S$1353,'Annual_Cost'!$A$2:$A$1353,A114,'Annual_Cost'!$B$2:$B$1353,B114)</f>
      </c>
      <c r="F114" s="92" t="str">
        <f>SUMIFS('Annual_Cost'!$Y$2:$Y$1353,'Annual_Cost'!$A$2:$A$1353,A114,'Annual_Cost'!$B$2:$B$1353,B114)</f>
      </c>
      <c r="G114" s="93" t="str">
        <f>SUMIFS($E$2:E114,$A$2:A114,A114)</f>
      </c>
      <c r="H114" s="94" t="str">
        <f>SUMIFS($F$2:F114,$A$2:A114,A114)</f>
      </c>
    </row>
    <row r="115">
      <c r="A115" t="s">
        <v>208</v>
      </c>
      <c r="B115" s="88" t="n">
        <v>2034</v>
      </c>
      <c r="C115" s="89" t="str">
        <f>SUMIFS('Annual_Cost'!$Q$2:$Q$1353,'Annual_Cost'!$A$2:$A$1353,A115,'Annual_Cost'!$B$2:$B$1353,B115)</f>
      </c>
      <c r="D115" s="90" t="str">
        <f>SUMIFS('Annual_Cost'!$R$2:$R$1353,'Annual_Cost'!$A$2:$A$1353,A115,'Annual_Cost'!$B$2:$B$1353,B115)</f>
      </c>
      <c r="E115" s="91" t="str">
        <f>SUMIFS('Annual_Cost'!$S$2:$S$1353,'Annual_Cost'!$A$2:$A$1353,A115,'Annual_Cost'!$B$2:$B$1353,B115)</f>
      </c>
      <c r="F115" s="92" t="str">
        <f>SUMIFS('Annual_Cost'!$Y$2:$Y$1353,'Annual_Cost'!$A$2:$A$1353,A115,'Annual_Cost'!$B$2:$B$1353,B115)</f>
      </c>
      <c r="G115" s="93" t="str">
        <f>SUMIFS($E$2:E115,$A$2:A115,A115)</f>
      </c>
      <c r="H115" s="94" t="str">
        <f>SUMIFS($F$2:F115,$A$2:A115,A115)</f>
      </c>
    </row>
    <row r="116">
      <c r="A116" t="s">
        <v>208</v>
      </c>
      <c r="B116" s="88" t="n">
        <v>2035</v>
      </c>
      <c r="C116" s="89" t="str">
        <f>SUMIFS('Annual_Cost'!$Q$2:$Q$1353,'Annual_Cost'!$A$2:$A$1353,A116,'Annual_Cost'!$B$2:$B$1353,B116)</f>
      </c>
      <c r="D116" s="90" t="str">
        <f>SUMIFS('Annual_Cost'!$R$2:$R$1353,'Annual_Cost'!$A$2:$A$1353,A116,'Annual_Cost'!$B$2:$B$1353,B116)</f>
      </c>
      <c r="E116" s="91" t="str">
        <f>SUMIFS('Annual_Cost'!$S$2:$S$1353,'Annual_Cost'!$A$2:$A$1353,A116,'Annual_Cost'!$B$2:$B$1353,B116)</f>
      </c>
      <c r="F116" s="92" t="str">
        <f>SUMIFS('Annual_Cost'!$Y$2:$Y$1353,'Annual_Cost'!$A$2:$A$1353,A116,'Annual_Cost'!$B$2:$B$1353,B116)</f>
      </c>
      <c r="G116" s="93" t="str">
        <f>SUMIFS($E$2:E116,$A$2:A116,A116)</f>
      </c>
      <c r="H116" s="94" t="str">
        <f>SUMIFS($F$2:F116,$A$2:A116,A116)</f>
      </c>
    </row>
    <row r="117">
      <c r="A117" t="s">
        <v>208</v>
      </c>
      <c r="B117" s="88" t="n">
        <v>2036</v>
      </c>
      <c r="C117" s="89" t="str">
        <f>SUMIFS('Annual_Cost'!$Q$2:$Q$1353,'Annual_Cost'!$A$2:$A$1353,A117,'Annual_Cost'!$B$2:$B$1353,B117)</f>
      </c>
      <c r="D117" s="90" t="str">
        <f>SUMIFS('Annual_Cost'!$R$2:$R$1353,'Annual_Cost'!$A$2:$A$1353,A117,'Annual_Cost'!$B$2:$B$1353,B117)</f>
      </c>
      <c r="E117" s="91" t="str">
        <f>SUMIFS('Annual_Cost'!$S$2:$S$1353,'Annual_Cost'!$A$2:$A$1353,A117,'Annual_Cost'!$B$2:$B$1353,B117)</f>
      </c>
      <c r="F117" s="92" t="str">
        <f>SUMIFS('Annual_Cost'!$Y$2:$Y$1353,'Annual_Cost'!$A$2:$A$1353,A117,'Annual_Cost'!$B$2:$B$1353,B117)</f>
      </c>
      <c r="G117" s="93" t="str">
        <f>SUMIFS($E$2:E117,$A$2:A117,A117)</f>
      </c>
      <c r="H117" s="94" t="str">
        <f>SUMIFS($F$2:F117,$A$2:A117,A117)</f>
      </c>
    </row>
    <row r="118">
      <c r="A118" t="s">
        <v>208</v>
      </c>
      <c r="B118" s="88" t="n">
        <v>2037</v>
      </c>
      <c r="C118" s="89" t="str">
        <f>SUMIFS('Annual_Cost'!$Q$2:$Q$1353,'Annual_Cost'!$A$2:$A$1353,A118,'Annual_Cost'!$B$2:$B$1353,B118)</f>
      </c>
      <c r="D118" s="90" t="str">
        <f>SUMIFS('Annual_Cost'!$R$2:$R$1353,'Annual_Cost'!$A$2:$A$1353,A118,'Annual_Cost'!$B$2:$B$1353,B118)</f>
      </c>
      <c r="E118" s="91" t="str">
        <f>SUMIFS('Annual_Cost'!$S$2:$S$1353,'Annual_Cost'!$A$2:$A$1353,A118,'Annual_Cost'!$B$2:$B$1353,B118)</f>
      </c>
      <c r="F118" s="92" t="str">
        <f>SUMIFS('Annual_Cost'!$Y$2:$Y$1353,'Annual_Cost'!$A$2:$A$1353,A118,'Annual_Cost'!$B$2:$B$1353,B118)</f>
      </c>
      <c r="G118" s="93" t="str">
        <f>SUMIFS($E$2:E118,$A$2:A118,A118)</f>
      </c>
      <c r="H118" s="94" t="str">
        <f>SUMIFS($F$2:F118,$A$2:A118,A118)</f>
      </c>
    </row>
    <row r="119">
      <c r="A119" t="s">
        <v>208</v>
      </c>
      <c r="B119" s="88" t="n">
        <v>2038</v>
      </c>
      <c r="C119" s="89" t="str">
        <f>SUMIFS('Annual_Cost'!$Q$2:$Q$1353,'Annual_Cost'!$A$2:$A$1353,A119,'Annual_Cost'!$B$2:$B$1353,B119)</f>
      </c>
      <c r="D119" s="90" t="str">
        <f>SUMIFS('Annual_Cost'!$R$2:$R$1353,'Annual_Cost'!$A$2:$A$1353,A119,'Annual_Cost'!$B$2:$B$1353,B119)</f>
      </c>
      <c r="E119" s="91" t="str">
        <f>SUMIFS('Annual_Cost'!$S$2:$S$1353,'Annual_Cost'!$A$2:$A$1353,A119,'Annual_Cost'!$B$2:$B$1353,B119)</f>
      </c>
      <c r="F119" s="92" t="str">
        <f>SUMIFS('Annual_Cost'!$Y$2:$Y$1353,'Annual_Cost'!$A$2:$A$1353,A119,'Annual_Cost'!$B$2:$B$1353,B119)</f>
      </c>
      <c r="G119" s="93" t="str">
        <f>SUMIFS($E$2:E119,$A$2:A119,A119)</f>
      </c>
      <c r="H119" s="94" t="str">
        <f>SUMIFS($F$2:F119,$A$2:A119,A119)</f>
      </c>
    </row>
    <row r="120">
      <c r="A120" t="s">
        <v>208</v>
      </c>
      <c r="B120" s="88" t="n">
        <v>2039</v>
      </c>
      <c r="C120" s="89" t="str">
        <f>SUMIFS('Annual_Cost'!$Q$2:$Q$1353,'Annual_Cost'!$A$2:$A$1353,A120,'Annual_Cost'!$B$2:$B$1353,B120)</f>
      </c>
      <c r="D120" s="90" t="str">
        <f>SUMIFS('Annual_Cost'!$R$2:$R$1353,'Annual_Cost'!$A$2:$A$1353,A120,'Annual_Cost'!$B$2:$B$1353,B120)</f>
      </c>
      <c r="E120" s="91" t="str">
        <f>SUMIFS('Annual_Cost'!$S$2:$S$1353,'Annual_Cost'!$A$2:$A$1353,A120,'Annual_Cost'!$B$2:$B$1353,B120)</f>
      </c>
      <c r="F120" s="92" t="str">
        <f>SUMIFS('Annual_Cost'!$Y$2:$Y$1353,'Annual_Cost'!$A$2:$A$1353,A120,'Annual_Cost'!$B$2:$B$1353,B120)</f>
      </c>
      <c r="G120" s="93" t="str">
        <f>SUMIFS($E$2:E120,$A$2:A120,A120)</f>
      </c>
      <c r="H120" s="94" t="str">
        <f>SUMIFS($F$2:F120,$A$2:A120,A120)</f>
      </c>
    </row>
    <row r="121">
      <c r="A121" t="s">
        <v>208</v>
      </c>
      <c r="B121" s="88" t="n">
        <v>2040</v>
      </c>
      <c r="C121" s="89" t="str">
        <f>SUMIFS('Annual_Cost'!$Q$2:$Q$1353,'Annual_Cost'!$A$2:$A$1353,A121,'Annual_Cost'!$B$2:$B$1353,B121)</f>
      </c>
      <c r="D121" s="90" t="str">
        <f>SUMIFS('Annual_Cost'!$R$2:$R$1353,'Annual_Cost'!$A$2:$A$1353,A121,'Annual_Cost'!$B$2:$B$1353,B121)</f>
      </c>
      <c r="E121" s="91" t="str">
        <f>SUMIFS('Annual_Cost'!$S$2:$S$1353,'Annual_Cost'!$A$2:$A$1353,A121,'Annual_Cost'!$B$2:$B$1353,B121)</f>
      </c>
      <c r="F121" s="92" t="str">
        <f>SUMIFS('Annual_Cost'!$Y$2:$Y$1353,'Annual_Cost'!$A$2:$A$1353,A121,'Annual_Cost'!$B$2:$B$1353,B121)</f>
      </c>
      <c r="G121" s="93" t="str">
        <f>SUMIFS($E$2:E121,$A$2:A121,A121)</f>
      </c>
      <c r="H121" s="94" t="str">
        <f>SUMIFS($F$2:F121,$A$2:A121,A121)</f>
      </c>
    </row>
    <row r="122">
      <c r="A122" t="s">
        <v>208</v>
      </c>
      <c r="B122" s="88" t="n">
        <v>2041</v>
      </c>
      <c r="C122" s="89" t="str">
        <f>SUMIFS('Annual_Cost'!$Q$2:$Q$1353,'Annual_Cost'!$A$2:$A$1353,A122,'Annual_Cost'!$B$2:$B$1353,B122)</f>
      </c>
      <c r="D122" s="90" t="str">
        <f>SUMIFS('Annual_Cost'!$R$2:$R$1353,'Annual_Cost'!$A$2:$A$1353,A122,'Annual_Cost'!$B$2:$B$1353,B122)</f>
      </c>
      <c r="E122" s="91" t="str">
        <f>SUMIFS('Annual_Cost'!$S$2:$S$1353,'Annual_Cost'!$A$2:$A$1353,A122,'Annual_Cost'!$B$2:$B$1353,B122)</f>
      </c>
      <c r="F122" s="92" t="str">
        <f>SUMIFS('Annual_Cost'!$Y$2:$Y$1353,'Annual_Cost'!$A$2:$A$1353,A122,'Annual_Cost'!$B$2:$B$1353,B122)</f>
      </c>
      <c r="G122" s="93" t="str">
        <f>SUMIFS($E$2:E122,$A$2:A122,A122)</f>
      </c>
      <c r="H122" s="94" t="str">
        <f>SUMIFS($F$2:F122,$A$2:A122,A122)</f>
      </c>
    </row>
    <row r="123">
      <c r="A123" t="s">
        <v>208</v>
      </c>
      <c r="B123" s="88" t="n">
        <v>2042</v>
      </c>
      <c r="C123" s="89" t="str">
        <f>SUMIFS('Annual_Cost'!$Q$2:$Q$1353,'Annual_Cost'!$A$2:$A$1353,A123,'Annual_Cost'!$B$2:$B$1353,B123)</f>
      </c>
      <c r="D123" s="90" t="str">
        <f>SUMIFS('Annual_Cost'!$R$2:$R$1353,'Annual_Cost'!$A$2:$A$1353,A123,'Annual_Cost'!$B$2:$B$1353,B123)</f>
      </c>
      <c r="E123" s="91" t="str">
        <f>SUMIFS('Annual_Cost'!$S$2:$S$1353,'Annual_Cost'!$A$2:$A$1353,A123,'Annual_Cost'!$B$2:$B$1353,B123)</f>
      </c>
      <c r="F123" s="92" t="str">
        <f>SUMIFS('Annual_Cost'!$Y$2:$Y$1353,'Annual_Cost'!$A$2:$A$1353,A123,'Annual_Cost'!$B$2:$B$1353,B123)</f>
      </c>
      <c r="G123" s="93" t="str">
        <f>SUMIFS($E$2:E123,$A$2:A123,A123)</f>
      </c>
      <c r="H123" s="94" t="str">
        <f>SUMIFS($F$2:F123,$A$2:A123,A123)</f>
      </c>
    </row>
    <row r="124">
      <c r="A124" t="s">
        <v>208</v>
      </c>
      <c r="B124" s="88" t="n">
        <v>2043</v>
      </c>
      <c r="C124" s="89" t="str">
        <f>SUMIFS('Annual_Cost'!$Q$2:$Q$1353,'Annual_Cost'!$A$2:$A$1353,A124,'Annual_Cost'!$B$2:$B$1353,B124)</f>
      </c>
      <c r="D124" s="90" t="str">
        <f>SUMIFS('Annual_Cost'!$R$2:$R$1353,'Annual_Cost'!$A$2:$A$1353,A124,'Annual_Cost'!$B$2:$B$1353,B124)</f>
      </c>
      <c r="E124" s="91" t="str">
        <f>SUMIFS('Annual_Cost'!$S$2:$S$1353,'Annual_Cost'!$A$2:$A$1353,A124,'Annual_Cost'!$B$2:$B$1353,B124)</f>
      </c>
      <c r="F124" s="92" t="str">
        <f>SUMIFS('Annual_Cost'!$Y$2:$Y$1353,'Annual_Cost'!$A$2:$A$1353,A124,'Annual_Cost'!$B$2:$B$1353,B124)</f>
      </c>
      <c r="G124" s="93" t="str">
        <f>SUMIFS($E$2:E124,$A$2:A124,A124)</f>
      </c>
      <c r="H124" s="94" t="str">
        <f>SUMIFS($F$2:F124,$A$2:A124,A124)</f>
      </c>
    </row>
    <row r="125">
      <c r="A125" t="s">
        <v>208</v>
      </c>
      <c r="B125" s="88" t="n">
        <v>2044</v>
      </c>
      <c r="C125" s="89" t="str">
        <f>SUMIFS('Annual_Cost'!$Q$2:$Q$1353,'Annual_Cost'!$A$2:$A$1353,A125,'Annual_Cost'!$B$2:$B$1353,B125)</f>
      </c>
      <c r="D125" s="90" t="str">
        <f>SUMIFS('Annual_Cost'!$R$2:$R$1353,'Annual_Cost'!$A$2:$A$1353,A125,'Annual_Cost'!$B$2:$B$1353,B125)</f>
      </c>
      <c r="E125" s="91" t="str">
        <f>SUMIFS('Annual_Cost'!$S$2:$S$1353,'Annual_Cost'!$A$2:$A$1353,A125,'Annual_Cost'!$B$2:$B$1353,B125)</f>
      </c>
      <c r="F125" s="92" t="str">
        <f>SUMIFS('Annual_Cost'!$Y$2:$Y$1353,'Annual_Cost'!$A$2:$A$1353,A125,'Annual_Cost'!$B$2:$B$1353,B125)</f>
      </c>
      <c r="G125" s="93" t="str">
        <f>SUMIFS($E$2:E125,$A$2:A125,A125)</f>
      </c>
      <c r="H125" s="94" t="str">
        <f>SUMIFS($F$2:F125,$A$2:A125,A125)</f>
      </c>
    </row>
    <row r="126">
      <c r="A126" t="s">
        <v>208</v>
      </c>
      <c r="B126" s="88" t="n">
        <v>2045</v>
      </c>
      <c r="C126" s="89" t="str">
        <f>SUMIFS('Annual_Cost'!$Q$2:$Q$1353,'Annual_Cost'!$A$2:$A$1353,A126,'Annual_Cost'!$B$2:$B$1353,B126)</f>
      </c>
      <c r="D126" s="90" t="str">
        <f>SUMIFS('Annual_Cost'!$R$2:$R$1353,'Annual_Cost'!$A$2:$A$1353,A126,'Annual_Cost'!$B$2:$B$1353,B126)</f>
      </c>
      <c r="E126" s="91" t="str">
        <f>SUMIFS('Annual_Cost'!$S$2:$S$1353,'Annual_Cost'!$A$2:$A$1353,A126,'Annual_Cost'!$B$2:$B$1353,B126)</f>
      </c>
      <c r="F126" s="92" t="str">
        <f>SUMIFS('Annual_Cost'!$Y$2:$Y$1353,'Annual_Cost'!$A$2:$A$1353,A126,'Annual_Cost'!$B$2:$B$1353,B126)</f>
      </c>
      <c r="G126" s="93" t="str">
        <f>SUMIFS($E$2:E126,$A$2:A126,A126)</f>
      </c>
      <c r="H126" s="94" t="str">
        <f>SUMIFS($F$2:F126,$A$2:A126,A126)</f>
      </c>
    </row>
    <row r="127">
      <c r="A127" t="s">
        <v>208</v>
      </c>
      <c r="B127" s="88" t="n">
        <v>2046</v>
      </c>
      <c r="C127" s="89" t="str">
        <f>SUMIFS('Annual_Cost'!$Q$2:$Q$1353,'Annual_Cost'!$A$2:$A$1353,A127,'Annual_Cost'!$B$2:$B$1353,B127)</f>
      </c>
      <c r="D127" s="90" t="str">
        <f>SUMIFS('Annual_Cost'!$R$2:$R$1353,'Annual_Cost'!$A$2:$A$1353,A127,'Annual_Cost'!$B$2:$B$1353,B127)</f>
      </c>
      <c r="E127" s="91" t="str">
        <f>SUMIFS('Annual_Cost'!$S$2:$S$1353,'Annual_Cost'!$A$2:$A$1353,A127,'Annual_Cost'!$B$2:$B$1353,B127)</f>
      </c>
      <c r="F127" s="92" t="str">
        <f>SUMIFS('Annual_Cost'!$Y$2:$Y$1353,'Annual_Cost'!$A$2:$A$1353,A127,'Annual_Cost'!$B$2:$B$1353,B127)</f>
      </c>
      <c r="G127" s="93" t="str">
        <f>SUMIFS($E$2:E127,$A$2:A127,A127)</f>
      </c>
      <c r="H127" s="94" t="str">
        <f>SUMIFS($F$2:F127,$A$2:A127,A127)</f>
      </c>
    </row>
    <row r="128">
      <c r="A128" t="s">
        <v>208</v>
      </c>
      <c r="B128" s="88" t="n">
        <v>2047</v>
      </c>
      <c r="C128" s="89" t="str">
        <f>SUMIFS('Annual_Cost'!$Q$2:$Q$1353,'Annual_Cost'!$A$2:$A$1353,A128,'Annual_Cost'!$B$2:$B$1353,B128)</f>
      </c>
      <c r="D128" s="90" t="str">
        <f>SUMIFS('Annual_Cost'!$R$2:$R$1353,'Annual_Cost'!$A$2:$A$1353,A128,'Annual_Cost'!$B$2:$B$1353,B128)</f>
      </c>
      <c r="E128" s="91" t="str">
        <f>SUMIFS('Annual_Cost'!$S$2:$S$1353,'Annual_Cost'!$A$2:$A$1353,A128,'Annual_Cost'!$B$2:$B$1353,B128)</f>
      </c>
      <c r="F128" s="92" t="str">
        <f>SUMIFS('Annual_Cost'!$Y$2:$Y$1353,'Annual_Cost'!$A$2:$A$1353,A128,'Annual_Cost'!$B$2:$B$1353,B128)</f>
      </c>
      <c r="G128" s="93" t="str">
        <f>SUMIFS($E$2:E128,$A$2:A128,A128)</f>
      </c>
      <c r="H128" s="94" t="str">
        <f>SUMIFS($F$2:F128,$A$2:A128,A128)</f>
      </c>
    </row>
    <row r="129">
      <c r="A129" t="s">
        <v>208</v>
      </c>
      <c r="B129" s="88" t="n">
        <v>2048</v>
      </c>
      <c r="C129" s="89" t="str">
        <f>SUMIFS('Annual_Cost'!$Q$2:$Q$1353,'Annual_Cost'!$A$2:$A$1353,A129,'Annual_Cost'!$B$2:$B$1353,B129)</f>
      </c>
      <c r="D129" s="90" t="str">
        <f>SUMIFS('Annual_Cost'!$R$2:$R$1353,'Annual_Cost'!$A$2:$A$1353,A129,'Annual_Cost'!$B$2:$B$1353,B129)</f>
      </c>
      <c r="E129" s="91" t="str">
        <f>SUMIFS('Annual_Cost'!$S$2:$S$1353,'Annual_Cost'!$A$2:$A$1353,A129,'Annual_Cost'!$B$2:$B$1353,B129)</f>
      </c>
      <c r="F129" s="92" t="str">
        <f>SUMIFS('Annual_Cost'!$Y$2:$Y$1353,'Annual_Cost'!$A$2:$A$1353,A129,'Annual_Cost'!$B$2:$B$1353,B129)</f>
      </c>
      <c r="G129" s="93" t="str">
        <f>SUMIFS($E$2:E129,$A$2:A129,A129)</f>
      </c>
      <c r="H129" s="94" t="str">
        <f>SUMIFS($F$2:F129,$A$2:A129,A129)</f>
      </c>
    </row>
    <row r="130">
      <c r="A130" t="s">
        <v>208</v>
      </c>
      <c r="B130" s="88" t="n">
        <v>2049</v>
      </c>
      <c r="C130" s="89" t="str">
        <f>SUMIFS('Annual_Cost'!$Q$2:$Q$1353,'Annual_Cost'!$A$2:$A$1353,A130,'Annual_Cost'!$B$2:$B$1353,B130)</f>
      </c>
      <c r="D130" s="90" t="str">
        <f>SUMIFS('Annual_Cost'!$R$2:$R$1353,'Annual_Cost'!$A$2:$A$1353,A130,'Annual_Cost'!$B$2:$B$1353,B130)</f>
      </c>
      <c r="E130" s="91" t="str">
        <f>SUMIFS('Annual_Cost'!$S$2:$S$1353,'Annual_Cost'!$A$2:$A$1353,A130,'Annual_Cost'!$B$2:$B$1353,B130)</f>
      </c>
      <c r="F130" s="92" t="str">
        <f>SUMIFS('Annual_Cost'!$Y$2:$Y$1353,'Annual_Cost'!$A$2:$A$1353,A130,'Annual_Cost'!$B$2:$B$1353,B130)</f>
      </c>
      <c r="G130" s="93" t="str">
        <f>SUMIFS($E$2:E130,$A$2:A130,A130)</f>
      </c>
      <c r="H130" s="94" t="str">
        <f>SUMIFS($F$2:F130,$A$2:A130,A130)</f>
      </c>
    </row>
    <row r="131">
      <c r="A131" t="s">
        <v>208</v>
      </c>
      <c r="B131" s="88" t="n">
        <v>2050</v>
      </c>
      <c r="C131" s="89" t="str">
        <f>SUMIFS('Annual_Cost'!$Q$2:$Q$1353,'Annual_Cost'!$A$2:$A$1353,A131,'Annual_Cost'!$B$2:$B$1353,B131)</f>
      </c>
      <c r="D131" s="90" t="str">
        <f>SUMIFS('Annual_Cost'!$R$2:$R$1353,'Annual_Cost'!$A$2:$A$1353,A131,'Annual_Cost'!$B$2:$B$1353,B131)</f>
      </c>
      <c r="E131" s="91" t="str">
        <f>SUMIFS('Annual_Cost'!$S$2:$S$1353,'Annual_Cost'!$A$2:$A$1353,A131,'Annual_Cost'!$B$2:$B$1353,B131)</f>
      </c>
      <c r="F131" s="92" t="str">
        <f>SUMIFS('Annual_Cost'!$Y$2:$Y$1353,'Annual_Cost'!$A$2:$A$1353,A131,'Annual_Cost'!$B$2:$B$1353,B131)</f>
      </c>
      <c r="G131" s="93" t="str">
        <f>SUMIFS($E$2:E131,$A$2:A131,A131)</f>
      </c>
      <c r="H131" s="94" t="str">
        <f>SUMIFS($F$2:F131,$A$2:A131,A131)</f>
      </c>
    </row>
    <row r="132">
      <c r="A132" t="s">
        <v>215</v>
      </c>
      <c r="B132" s="88" t="n">
        <v>2025</v>
      </c>
      <c r="C132" s="89" t="str">
        <f>SUMIFS('Annual_Cost'!$Q$2:$Q$1353,'Annual_Cost'!$A$2:$A$1353,A132,'Annual_Cost'!$B$2:$B$1353,B132)</f>
      </c>
      <c r="D132" s="90" t="str">
        <f>SUMIFS('Annual_Cost'!$R$2:$R$1353,'Annual_Cost'!$A$2:$A$1353,A132,'Annual_Cost'!$B$2:$B$1353,B132)</f>
      </c>
      <c r="E132" s="91" t="str">
        <f>SUMIFS('Annual_Cost'!$S$2:$S$1353,'Annual_Cost'!$A$2:$A$1353,A132,'Annual_Cost'!$B$2:$B$1353,B132)</f>
      </c>
      <c r="F132" s="92" t="str">
        <f>SUMIFS('Annual_Cost'!$Y$2:$Y$1353,'Annual_Cost'!$A$2:$A$1353,A132,'Annual_Cost'!$B$2:$B$1353,B132)</f>
      </c>
      <c r="G132" s="93" t="str">
        <f>SUMIFS($E$2:E132,$A$2:A132,A132)</f>
      </c>
      <c r="H132" s="94" t="str">
        <f>SUMIFS($F$2:F132,$A$2:A132,A132)</f>
      </c>
    </row>
    <row r="133">
      <c r="A133" t="s">
        <v>215</v>
      </c>
      <c r="B133" s="88" t="n">
        <v>2026</v>
      </c>
      <c r="C133" s="89" t="str">
        <f>SUMIFS('Annual_Cost'!$Q$2:$Q$1353,'Annual_Cost'!$A$2:$A$1353,A133,'Annual_Cost'!$B$2:$B$1353,B133)</f>
      </c>
      <c r="D133" s="90" t="str">
        <f>SUMIFS('Annual_Cost'!$R$2:$R$1353,'Annual_Cost'!$A$2:$A$1353,A133,'Annual_Cost'!$B$2:$B$1353,B133)</f>
      </c>
      <c r="E133" s="91" t="str">
        <f>SUMIFS('Annual_Cost'!$S$2:$S$1353,'Annual_Cost'!$A$2:$A$1353,A133,'Annual_Cost'!$B$2:$B$1353,B133)</f>
      </c>
      <c r="F133" s="92" t="str">
        <f>SUMIFS('Annual_Cost'!$Y$2:$Y$1353,'Annual_Cost'!$A$2:$A$1353,A133,'Annual_Cost'!$B$2:$B$1353,B133)</f>
      </c>
      <c r="G133" s="93" t="str">
        <f>SUMIFS($E$2:E133,$A$2:A133,A133)</f>
      </c>
      <c r="H133" s="94" t="str">
        <f>SUMIFS($F$2:F133,$A$2:A133,A133)</f>
      </c>
    </row>
    <row r="134">
      <c r="A134" t="s">
        <v>215</v>
      </c>
      <c r="B134" s="88" t="n">
        <v>2027</v>
      </c>
      <c r="C134" s="89" t="str">
        <f>SUMIFS('Annual_Cost'!$Q$2:$Q$1353,'Annual_Cost'!$A$2:$A$1353,A134,'Annual_Cost'!$B$2:$B$1353,B134)</f>
      </c>
      <c r="D134" s="90" t="str">
        <f>SUMIFS('Annual_Cost'!$R$2:$R$1353,'Annual_Cost'!$A$2:$A$1353,A134,'Annual_Cost'!$B$2:$B$1353,B134)</f>
      </c>
      <c r="E134" s="91" t="str">
        <f>SUMIFS('Annual_Cost'!$S$2:$S$1353,'Annual_Cost'!$A$2:$A$1353,A134,'Annual_Cost'!$B$2:$B$1353,B134)</f>
      </c>
      <c r="F134" s="92" t="str">
        <f>SUMIFS('Annual_Cost'!$Y$2:$Y$1353,'Annual_Cost'!$A$2:$A$1353,A134,'Annual_Cost'!$B$2:$B$1353,B134)</f>
      </c>
      <c r="G134" s="93" t="str">
        <f>SUMIFS($E$2:E134,$A$2:A134,A134)</f>
      </c>
      <c r="H134" s="94" t="str">
        <f>SUMIFS($F$2:F134,$A$2:A134,A134)</f>
      </c>
    </row>
    <row r="135">
      <c r="A135" t="s">
        <v>215</v>
      </c>
      <c r="B135" s="88" t="n">
        <v>2028</v>
      </c>
      <c r="C135" s="89" t="str">
        <f>SUMIFS('Annual_Cost'!$Q$2:$Q$1353,'Annual_Cost'!$A$2:$A$1353,A135,'Annual_Cost'!$B$2:$B$1353,B135)</f>
      </c>
      <c r="D135" s="90" t="str">
        <f>SUMIFS('Annual_Cost'!$R$2:$R$1353,'Annual_Cost'!$A$2:$A$1353,A135,'Annual_Cost'!$B$2:$B$1353,B135)</f>
      </c>
      <c r="E135" s="91" t="str">
        <f>SUMIFS('Annual_Cost'!$S$2:$S$1353,'Annual_Cost'!$A$2:$A$1353,A135,'Annual_Cost'!$B$2:$B$1353,B135)</f>
      </c>
      <c r="F135" s="92" t="str">
        <f>SUMIFS('Annual_Cost'!$Y$2:$Y$1353,'Annual_Cost'!$A$2:$A$1353,A135,'Annual_Cost'!$B$2:$B$1353,B135)</f>
      </c>
      <c r="G135" s="93" t="str">
        <f>SUMIFS($E$2:E135,$A$2:A135,A135)</f>
      </c>
      <c r="H135" s="94" t="str">
        <f>SUMIFS($F$2:F135,$A$2:A135,A135)</f>
      </c>
    </row>
    <row r="136">
      <c r="A136" t="s">
        <v>215</v>
      </c>
      <c r="B136" s="88" t="n">
        <v>2029</v>
      </c>
      <c r="C136" s="89" t="str">
        <f>SUMIFS('Annual_Cost'!$Q$2:$Q$1353,'Annual_Cost'!$A$2:$A$1353,A136,'Annual_Cost'!$B$2:$B$1353,B136)</f>
      </c>
      <c r="D136" s="90" t="str">
        <f>SUMIFS('Annual_Cost'!$R$2:$R$1353,'Annual_Cost'!$A$2:$A$1353,A136,'Annual_Cost'!$B$2:$B$1353,B136)</f>
      </c>
      <c r="E136" s="91" t="str">
        <f>SUMIFS('Annual_Cost'!$S$2:$S$1353,'Annual_Cost'!$A$2:$A$1353,A136,'Annual_Cost'!$B$2:$B$1353,B136)</f>
      </c>
      <c r="F136" s="92" t="str">
        <f>SUMIFS('Annual_Cost'!$Y$2:$Y$1353,'Annual_Cost'!$A$2:$A$1353,A136,'Annual_Cost'!$B$2:$B$1353,B136)</f>
      </c>
      <c r="G136" s="93" t="str">
        <f>SUMIFS($E$2:E136,$A$2:A136,A136)</f>
      </c>
      <c r="H136" s="94" t="str">
        <f>SUMIFS($F$2:F136,$A$2:A136,A136)</f>
      </c>
    </row>
    <row r="137">
      <c r="A137" t="s">
        <v>215</v>
      </c>
      <c r="B137" s="88" t="n">
        <v>2030</v>
      </c>
      <c r="C137" s="89" t="str">
        <f>SUMIFS('Annual_Cost'!$Q$2:$Q$1353,'Annual_Cost'!$A$2:$A$1353,A137,'Annual_Cost'!$B$2:$B$1353,B137)</f>
      </c>
      <c r="D137" s="90" t="str">
        <f>SUMIFS('Annual_Cost'!$R$2:$R$1353,'Annual_Cost'!$A$2:$A$1353,A137,'Annual_Cost'!$B$2:$B$1353,B137)</f>
      </c>
      <c r="E137" s="91" t="str">
        <f>SUMIFS('Annual_Cost'!$S$2:$S$1353,'Annual_Cost'!$A$2:$A$1353,A137,'Annual_Cost'!$B$2:$B$1353,B137)</f>
      </c>
      <c r="F137" s="92" t="str">
        <f>SUMIFS('Annual_Cost'!$Y$2:$Y$1353,'Annual_Cost'!$A$2:$A$1353,A137,'Annual_Cost'!$B$2:$B$1353,B137)</f>
      </c>
      <c r="G137" s="93" t="str">
        <f>SUMIFS($E$2:E137,$A$2:A137,A137)</f>
      </c>
      <c r="H137" s="94" t="str">
        <f>SUMIFS($F$2:F137,$A$2:A137,A137)</f>
      </c>
    </row>
    <row r="138">
      <c r="A138" t="s">
        <v>215</v>
      </c>
      <c r="B138" s="88" t="n">
        <v>2031</v>
      </c>
      <c r="C138" s="89" t="str">
        <f>SUMIFS('Annual_Cost'!$Q$2:$Q$1353,'Annual_Cost'!$A$2:$A$1353,A138,'Annual_Cost'!$B$2:$B$1353,B138)</f>
      </c>
      <c r="D138" s="90" t="str">
        <f>SUMIFS('Annual_Cost'!$R$2:$R$1353,'Annual_Cost'!$A$2:$A$1353,A138,'Annual_Cost'!$B$2:$B$1353,B138)</f>
      </c>
      <c r="E138" s="91" t="str">
        <f>SUMIFS('Annual_Cost'!$S$2:$S$1353,'Annual_Cost'!$A$2:$A$1353,A138,'Annual_Cost'!$B$2:$B$1353,B138)</f>
      </c>
      <c r="F138" s="92" t="str">
        <f>SUMIFS('Annual_Cost'!$Y$2:$Y$1353,'Annual_Cost'!$A$2:$A$1353,A138,'Annual_Cost'!$B$2:$B$1353,B138)</f>
      </c>
      <c r="G138" s="93" t="str">
        <f>SUMIFS($E$2:E138,$A$2:A138,A138)</f>
      </c>
      <c r="H138" s="94" t="str">
        <f>SUMIFS($F$2:F138,$A$2:A138,A138)</f>
      </c>
    </row>
    <row r="139">
      <c r="A139" t="s">
        <v>215</v>
      </c>
      <c r="B139" s="88" t="n">
        <v>2032</v>
      </c>
      <c r="C139" s="89" t="str">
        <f>SUMIFS('Annual_Cost'!$Q$2:$Q$1353,'Annual_Cost'!$A$2:$A$1353,A139,'Annual_Cost'!$B$2:$B$1353,B139)</f>
      </c>
      <c r="D139" s="90" t="str">
        <f>SUMIFS('Annual_Cost'!$R$2:$R$1353,'Annual_Cost'!$A$2:$A$1353,A139,'Annual_Cost'!$B$2:$B$1353,B139)</f>
      </c>
      <c r="E139" s="91" t="str">
        <f>SUMIFS('Annual_Cost'!$S$2:$S$1353,'Annual_Cost'!$A$2:$A$1353,A139,'Annual_Cost'!$B$2:$B$1353,B139)</f>
      </c>
      <c r="F139" s="92" t="str">
        <f>SUMIFS('Annual_Cost'!$Y$2:$Y$1353,'Annual_Cost'!$A$2:$A$1353,A139,'Annual_Cost'!$B$2:$B$1353,B139)</f>
      </c>
      <c r="G139" s="93" t="str">
        <f>SUMIFS($E$2:E139,$A$2:A139,A139)</f>
      </c>
      <c r="H139" s="94" t="str">
        <f>SUMIFS($F$2:F139,$A$2:A139,A139)</f>
      </c>
    </row>
    <row r="140">
      <c r="A140" t="s">
        <v>215</v>
      </c>
      <c r="B140" s="88" t="n">
        <v>2033</v>
      </c>
      <c r="C140" s="89" t="str">
        <f>SUMIFS('Annual_Cost'!$Q$2:$Q$1353,'Annual_Cost'!$A$2:$A$1353,A140,'Annual_Cost'!$B$2:$B$1353,B140)</f>
      </c>
      <c r="D140" s="90" t="str">
        <f>SUMIFS('Annual_Cost'!$R$2:$R$1353,'Annual_Cost'!$A$2:$A$1353,A140,'Annual_Cost'!$B$2:$B$1353,B140)</f>
      </c>
      <c r="E140" s="91" t="str">
        <f>SUMIFS('Annual_Cost'!$S$2:$S$1353,'Annual_Cost'!$A$2:$A$1353,A140,'Annual_Cost'!$B$2:$B$1353,B140)</f>
      </c>
      <c r="F140" s="92" t="str">
        <f>SUMIFS('Annual_Cost'!$Y$2:$Y$1353,'Annual_Cost'!$A$2:$A$1353,A140,'Annual_Cost'!$B$2:$B$1353,B140)</f>
      </c>
      <c r="G140" s="93" t="str">
        <f>SUMIFS($E$2:E140,$A$2:A140,A140)</f>
      </c>
      <c r="H140" s="94" t="str">
        <f>SUMIFS($F$2:F140,$A$2:A140,A140)</f>
      </c>
    </row>
    <row r="141">
      <c r="A141" t="s">
        <v>215</v>
      </c>
      <c r="B141" s="88" t="n">
        <v>2034</v>
      </c>
      <c r="C141" s="89" t="str">
        <f>SUMIFS('Annual_Cost'!$Q$2:$Q$1353,'Annual_Cost'!$A$2:$A$1353,A141,'Annual_Cost'!$B$2:$B$1353,B141)</f>
      </c>
      <c r="D141" s="90" t="str">
        <f>SUMIFS('Annual_Cost'!$R$2:$R$1353,'Annual_Cost'!$A$2:$A$1353,A141,'Annual_Cost'!$B$2:$B$1353,B141)</f>
      </c>
      <c r="E141" s="91" t="str">
        <f>SUMIFS('Annual_Cost'!$S$2:$S$1353,'Annual_Cost'!$A$2:$A$1353,A141,'Annual_Cost'!$B$2:$B$1353,B141)</f>
      </c>
      <c r="F141" s="92" t="str">
        <f>SUMIFS('Annual_Cost'!$Y$2:$Y$1353,'Annual_Cost'!$A$2:$A$1353,A141,'Annual_Cost'!$B$2:$B$1353,B141)</f>
      </c>
      <c r="G141" s="93" t="str">
        <f>SUMIFS($E$2:E141,$A$2:A141,A141)</f>
      </c>
      <c r="H141" s="94" t="str">
        <f>SUMIFS($F$2:F141,$A$2:A141,A141)</f>
      </c>
    </row>
    <row r="142">
      <c r="A142" t="s">
        <v>215</v>
      </c>
      <c r="B142" s="88" t="n">
        <v>2035</v>
      </c>
      <c r="C142" s="89" t="str">
        <f>SUMIFS('Annual_Cost'!$Q$2:$Q$1353,'Annual_Cost'!$A$2:$A$1353,A142,'Annual_Cost'!$B$2:$B$1353,B142)</f>
      </c>
      <c r="D142" s="90" t="str">
        <f>SUMIFS('Annual_Cost'!$R$2:$R$1353,'Annual_Cost'!$A$2:$A$1353,A142,'Annual_Cost'!$B$2:$B$1353,B142)</f>
      </c>
      <c r="E142" s="91" t="str">
        <f>SUMIFS('Annual_Cost'!$S$2:$S$1353,'Annual_Cost'!$A$2:$A$1353,A142,'Annual_Cost'!$B$2:$B$1353,B142)</f>
      </c>
      <c r="F142" s="92" t="str">
        <f>SUMIFS('Annual_Cost'!$Y$2:$Y$1353,'Annual_Cost'!$A$2:$A$1353,A142,'Annual_Cost'!$B$2:$B$1353,B142)</f>
      </c>
      <c r="G142" s="93" t="str">
        <f>SUMIFS($E$2:E142,$A$2:A142,A142)</f>
      </c>
      <c r="H142" s="94" t="str">
        <f>SUMIFS($F$2:F142,$A$2:A142,A142)</f>
      </c>
    </row>
    <row r="143">
      <c r="A143" t="s">
        <v>215</v>
      </c>
      <c r="B143" s="88" t="n">
        <v>2036</v>
      </c>
      <c r="C143" s="89" t="str">
        <f>SUMIFS('Annual_Cost'!$Q$2:$Q$1353,'Annual_Cost'!$A$2:$A$1353,A143,'Annual_Cost'!$B$2:$B$1353,B143)</f>
      </c>
      <c r="D143" s="90" t="str">
        <f>SUMIFS('Annual_Cost'!$R$2:$R$1353,'Annual_Cost'!$A$2:$A$1353,A143,'Annual_Cost'!$B$2:$B$1353,B143)</f>
      </c>
      <c r="E143" s="91" t="str">
        <f>SUMIFS('Annual_Cost'!$S$2:$S$1353,'Annual_Cost'!$A$2:$A$1353,A143,'Annual_Cost'!$B$2:$B$1353,B143)</f>
      </c>
      <c r="F143" s="92" t="str">
        <f>SUMIFS('Annual_Cost'!$Y$2:$Y$1353,'Annual_Cost'!$A$2:$A$1353,A143,'Annual_Cost'!$B$2:$B$1353,B143)</f>
      </c>
      <c r="G143" s="93" t="str">
        <f>SUMIFS($E$2:E143,$A$2:A143,A143)</f>
      </c>
      <c r="H143" s="94" t="str">
        <f>SUMIFS($F$2:F143,$A$2:A143,A143)</f>
      </c>
    </row>
    <row r="144">
      <c r="A144" t="s">
        <v>215</v>
      </c>
      <c r="B144" s="88" t="n">
        <v>2037</v>
      </c>
      <c r="C144" s="89" t="str">
        <f>SUMIFS('Annual_Cost'!$Q$2:$Q$1353,'Annual_Cost'!$A$2:$A$1353,A144,'Annual_Cost'!$B$2:$B$1353,B144)</f>
      </c>
      <c r="D144" s="90" t="str">
        <f>SUMIFS('Annual_Cost'!$R$2:$R$1353,'Annual_Cost'!$A$2:$A$1353,A144,'Annual_Cost'!$B$2:$B$1353,B144)</f>
      </c>
      <c r="E144" s="91" t="str">
        <f>SUMIFS('Annual_Cost'!$S$2:$S$1353,'Annual_Cost'!$A$2:$A$1353,A144,'Annual_Cost'!$B$2:$B$1353,B144)</f>
      </c>
      <c r="F144" s="92" t="str">
        <f>SUMIFS('Annual_Cost'!$Y$2:$Y$1353,'Annual_Cost'!$A$2:$A$1353,A144,'Annual_Cost'!$B$2:$B$1353,B144)</f>
      </c>
      <c r="G144" s="93" t="str">
        <f>SUMIFS($E$2:E144,$A$2:A144,A144)</f>
      </c>
      <c r="H144" s="94" t="str">
        <f>SUMIFS($F$2:F144,$A$2:A144,A144)</f>
      </c>
    </row>
    <row r="145">
      <c r="A145" t="s">
        <v>215</v>
      </c>
      <c r="B145" s="88" t="n">
        <v>2038</v>
      </c>
      <c r="C145" s="89" t="str">
        <f>SUMIFS('Annual_Cost'!$Q$2:$Q$1353,'Annual_Cost'!$A$2:$A$1353,A145,'Annual_Cost'!$B$2:$B$1353,B145)</f>
      </c>
      <c r="D145" s="90" t="str">
        <f>SUMIFS('Annual_Cost'!$R$2:$R$1353,'Annual_Cost'!$A$2:$A$1353,A145,'Annual_Cost'!$B$2:$B$1353,B145)</f>
      </c>
      <c r="E145" s="91" t="str">
        <f>SUMIFS('Annual_Cost'!$S$2:$S$1353,'Annual_Cost'!$A$2:$A$1353,A145,'Annual_Cost'!$B$2:$B$1353,B145)</f>
      </c>
      <c r="F145" s="92" t="str">
        <f>SUMIFS('Annual_Cost'!$Y$2:$Y$1353,'Annual_Cost'!$A$2:$A$1353,A145,'Annual_Cost'!$B$2:$B$1353,B145)</f>
      </c>
      <c r="G145" s="93" t="str">
        <f>SUMIFS($E$2:E145,$A$2:A145,A145)</f>
      </c>
      <c r="H145" s="94" t="str">
        <f>SUMIFS($F$2:F145,$A$2:A145,A145)</f>
      </c>
    </row>
    <row r="146">
      <c r="A146" t="s">
        <v>215</v>
      </c>
      <c r="B146" s="88" t="n">
        <v>2039</v>
      </c>
      <c r="C146" s="89" t="str">
        <f>SUMIFS('Annual_Cost'!$Q$2:$Q$1353,'Annual_Cost'!$A$2:$A$1353,A146,'Annual_Cost'!$B$2:$B$1353,B146)</f>
      </c>
      <c r="D146" s="90" t="str">
        <f>SUMIFS('Annual_Cost'!$R$2:$R$1353,'Annual_Cost'!$A$2:$A$1353,A146,'Annual_Cost'!$B$2:$B$1353,B146)</f>
      </c>
      <c r="E146" s="91" t="str">
        <f>SUMIFS('Annual_Cost'!$S$2:$S$1353,'Annual_Cost'!$A$2:$A$1353,A146,'Annual_Cost'!$B$2:$B$1353,B146)</f>
      </c>
      <c r="F146" s="92" t="str">
        <f>SUMIFS('Annual_Cost'!$Y$2:$Y$1353,'Annual_Cost'!$A$2:$A$1353,A146,'Annual_Cost'!$B$2:$B$1353,B146)</f>
      </c>
      <c r="G146" s="93" t="str">
        <f>SUMIFS($E$2:E146,$A$2:A146,A146)</f>
      </c>
      <c r="H146" s="94" t="str">
        <f>SUMIFS($F$2:F146,$A$2:A146,A146)</f>
      </c>
    </row>
    <row r="147">
      <c r="A147" t="s">
        <v>215</v>
      </c>
      <c r="B147" s="88" t="n">
        <v>2040</v>
      </c>
      <c r="C147" s="89" t="str">
        <f>SUMIFS('Annual_Cost'!$Q$2:$Q$1353,'Annual_Cost'!$A$2:$A$1353,A147,'Annual_Cost'!$B$2:$B$1353,B147)</f>
      </c>
      <c r="D147" s="90" t="str">
        <f>SUMIFS('Annual_Cost'!$R$2:$R$1353,'Annual_Cost'!$A$2:$A$1353,A147,'Annual_Cost'!$B$2:$B$1353,B147)</f>
      </c>
      <c r="E147" s="91" t="str">
        <f>SUMIFS('Annual_Cost'!$S$2:$S$1353,'Annual_Cost'!$A$2:$A$1353,A147,'Annual_Cost'!$B$2:$B$1353,B147)</f>
      </c>
      <c r="F147" s="92" t="str">
        <f>SUMIFS('Annual_Cost'!$Y$2:$Y$1353,'Annual_Cost'!$A$2:$A$1353,A147,'Annual_Cost'!$B$2:$B$1353,B147)</f>
      </c>
      <c r="G147" s="93" t="str">
        <f>SUMIFS($E$2:E147,$A$2:A147,A147)</f>
      </c>
      <c r="H147" s="94" t="str">
        <f>SUMIFS($F$2:F147,$A$2:A147,A147)</f>
      </c>
    </row>
    <row r="148">
      <c r="A148" t="s">
        <v>215</v>
      </c>
      <c r="B148" s="88" t="n">
        <v>2041</v>
      </c>
      <c r="C148" s="89" t="str">
        <f>SUMIFS('Annual_Cost'!$Q$2:$Q$1353,'Annual_Cost'!$A$2:$A$1353,A148,'Annual_Cost'!$B$2:$B$1353,B148)</f>
      </c>
      <c r="D148" s="90" t="str">
        <f>SUMIFS('Annual_Cost'!$R$2:$R$1353,'Annual_Cost'!$A$2:$A$1353,A148,'Annual_Cost'!$B$2:$B$1353,B148)</f>
      </c>
      <c r="E148" s="91" t="str">
        <f>SUMIFS('Annual_Cost'!$S$2:$S$1353,'Annual_Cost'!$A$2:$A$1353,A148,'Annual_Cost'!$B$2:$B$1353,B148)</f>
      </c>
      <c r="F148" s="92" t="str">
        <f>SUMIFS('Annual_Cost'!$Y$2:$Y$1353,'Annual_Cost'!$A$2:$A$1353,A148,'Annual_Cost'!$B$2:$B$1353,B148)</f>
      </c>
      <c r="G148" s="93" t="str">
        <f>SUMIFS($E$2:E148,$A$2:A148,A148)</f>
      </c>
      <c r="H148" s="94" t="str">
        <f>SUMIFS($F$2:F148,$A$2:A148,A148)</f>
      </c>
    </row>
    <row r="149">
      <c r="A149" t="s">
        <v>215</v>
      </c>
      <c r="B149" s="88" t="n">
        <v>2042</v>
      </c>
      <c r="C149" s="89" t="str">
        <f>SUMIFS('Annual_Cost'!$Q$2:$Q$1353,'Annual_Cost'!$A$2:$A$1353,A149,'Annual_Cost'!$B$2:$B$1353,B149)</f>
      </c>
      <c r="D149" s="90" t="str">
        <f>SUMIFS('Annual_Cost'!$R$2:$R$1353,'Annual_Cost'!$A$2:$A$1353,A149,'Annual_Cost'!$B$2:$B$1353,B149)</f>
      </c>
      <c r="E149" s="91" t="str">
        <f>SUMIFS('Annual_Cost'!$S$2:$S$1353,'Annual_Cost'!$A$2:$A$1353,A149,'Annual_Cost'!$B$2:$B$1353,B149)</f>
      </c>
      <c r="F149" s="92" t="str">
        <f>SUMIFS('Annual_Cost'!$Y$2:$Y$1353,'Annual_Cost'!$A$2:$A$1353,A149,'Annual_Cost'!$B$2:$B$1353,B149)</f>
      </c>
      <c r="G149" s="93" t="str">
        <f>SUMIFS($E$2:E149,$A$2:A149,A149)</f>
      </c>
      <c r="H149" s="94" t="str">
        <f>SUMIFS($F$2:F149,$A$2:A149,A149)</f>
      </c>
    </row>
    <row r="150">
      <c r="A150" t="s">
        <v>215</v>
      </c>
      <c r="B150" s="88" t="n">
        <v>2043</v>
      </c>
      <c r="C150" s="89" t="str">
        <f>SUMIFS('Annual_Cost'!$Q$2:$Q$1353,'Annual_Cost'!$A$2:$A$1353,A150,'Annual_Cost'!$B$2:$B$1353,B150)</f>
      </c>
      <c r="D150" s="90" t="str">
        <f>SUMIFS('Annual_Cost'!$R$2:$R$1353,'Annual_Cost'!$A$2:$A$1353,A150,'Annual_Cost'!$B$2:$B$1353,B150)</f>
      </c>
      <c r="E150" s="91" t="str">
        <f>SUMIFS('Annual_Cost'!$S$2:$S$1353,'Annual_Cost'!$A$2:$A$1353,A150,'Annual_Cost'!$B$2:$B$1353,B150)</f>
      </c>
      <c r="F150" s="92" t="str">
        <f>SUMIFS('Annual_Cost'!$Y$2:$Y$1353,'Annual_Cost'!$A$2:$A$1353,A150,'Annual_Cost'!$B$2:$B$1353,B150)</f>
      </c>
      <c r="G150" s="93" t="str">
        <f>SUMIFS($E$2:E150,$A$2:A150,A150)</f>
      </c>
      <c r="H150" s="94" t="str">
        <f>SUMIFS($F$2:F150,$A$2:A150,A150)</f>
      </c>
    </row>
    <row r="151">
      <c r="A151" t="s">
        <v>215</v>
      </c>
      <c r="B151" s="88" t="n">
        <v>2044</v>
      </c>
      <c r="C151" s="89" t="str">
        <f>SUMIFS('Annual_Cost'!$Q$2:$Q$1353,'Annual_Cost'!$A$2:$A$1353,A151,'Annual_Cost'!$B$2:$B$1353,B151)</f>
      </c>
      <c r="D151" s="90" t="str">
        <f>SUMIFS('Annual_Cost'!$R$2:$R$1353,'Annual_Cost'!$A$2:$A$1353,A151,'Annual_Cost'!$B$2:$B$1353,B151)</f>
      </c>
      <c r="E151" s="91" t="str">
        <f>SUMIFS('Annual_Cost'!$S$2:$S$1353,'Annual_Cost'!$A$2:$A$1353,A151,'Annual_Cost'!$B$2:$B$1353,B151)</f>
      </c>
      <c r="F151" s="92" t="str">
        <f>SUMIFS('Annual_Cost'!$Y$2:$Y$1353,'Annual_Cost'!$A$2:$A$1353,A151,'Annual_Cost'!$B$2:$B$1353,B151)</f>
      </c>
      <c r="G151" s="93" t="str">
        <f>SUMIFS($E$2:E151,$A$2:A151,A151)</f>
      </c>
      <c r="H151" s="94" t="str">
        <f>SUMIFS($F$2:F151,$A$2:A151,A151)</f>
      </c>
    </row>
    <row r="152">
      <c r="A152" t="s">
        <v>215</v>
      </c>
      <c r="B152" s="88" t="n">
        <v>2045</v>
      </c>
      <c r="C152" s="89" t="str">
        <f>SUMIFS('Annual_Cost'!$Q$2:$Q$1353,'Annual_Cost'!$A$2:$A$1353,A152,'Annual_Cost'!$B$2:$B$1353,B152)</f>
      </c>
      <c r="D152" s="90" t="str">
        <f>SUMIFS('Annual_Cost'!$R$2:$R$1353,'Annual_Cost'!$A$2:$A$1353,A152,'Annual_Cost'!$B$2:$B$1353,B152)</f>
      </c>
      <c r="E152" s="91" t="str">
        <f>SUMIFS('Annual_Cost'!$S$2:$S$1353,'Annual_Cost'!$A$2:$A$1353,A152,'Annual_Cost'!$B$2:$B$1353,B152)</f>
      </c>
      <c r="F152" s="92" t="str">
        <f>SUMIFS('Annual_Cost'!$Y$2:$Y$1353,'Annual_Cost'!$A$2:$A$1353,A152,'Annual_Cost'!$B$2:$B$1353,B152)</f>
      </c>
      <c r="G152" s="93" t="str">
        <f>SUMIFS($E$2:E152,$A$2:A152,A152)</f>
      </c>
      <c r="H152" s="94" t="str">
        <f>SUMIFS($F$2:F152,$A$2:A152,A152)</f>
      </c>
    </row>
    <row r="153">
      <c r="A153" t="s">
        <v>215</v>
      </c>
      <c r="B153" s="88" t="n">
        <v>2046</v>
      </c>
      <c r="C153" s="89" t="str">
        <f>SUMIFS('Annual_Cost'!$Q$2:$Q$1353,'Annual_Cost'!$A$2:$A$1353,A153,'Annual_Cost'!$B$2:$B$1353,B153)</f>
      </c>
      <c r="D153" s="90" t="str">
        <f>SUMIFS('Annual_Cost'!$R$2:$R$1353,'Annual_Cost'!$A$2:$A$1353,A153,'Annual_Cost'!$B$2:$B$1353,B153)</f>
      </c>
      <c r="E153" s="91" t="str">
        <f>SUMIFS('Annual_Cost'!$S$2:$S$1353,'Annual_Cost'!$A$2:$A$1353,A153,'Annual_Cost'!$B$2:$B$1353,B153)</f>
      </c>
      <c r="F153" s="92" t="str">
        <f>SUMIFS('Annual_Cost'!$Y$2:$Y$1353,'Annual_Cost'!$A$2:$A$1353,A153,'Annual_Cost'!$B$2:$B$1353,B153)</f>
      </c>
      <c r="G153" s="93" t="str">
        <f>SUMIFS($E$2:E153,$A$2:A153,A153)</f>
      </c>
      <c r="H153" s="94" t="str">
        <f>SUMIFS($F$2:F153,$A$2:A153,A153)</f>
      </c>
    </row>
    <row r="154">
      <c r="A154" t="s">
        <v>215</v>
      </c>
      <c r="B154" s="88" t="n">
        <v>2047</v>
      </c>
      <c r="C154" s="89" t="str">
        <f>SUMIFS('Annual_Cost'!$Q$2:$Q$1353,'Annual_Cost'!$A$2:$A$1353,A154,'Annual_Cost'!$B$2:$B$1353,B154)</f>
      </c>
      <c r="D154" s="90" t="str">
        <f>SUMIFS('Annual_Cost'!$R$2:$R$1353,'Annual_Cost'!$A$2:$A$1353,A154,'Annual_Cost'!$B$2:$B$1353,B154)</f>
      </c>
      <c r="E154" s="91" t="str">
        <f>SUMIFS('Annual_Cost'!$S$2:$S$1353,'Annual_Cost'!$A$2:$A$1353,A154,'Annual_Cost'!$B$2:$B$1353,B154)</f>
      </c>
      <c r="F154" s="92" t="str">
        <f>SUMIFS('Annual_Cost'!$Y$2:$Y$1353,'Annual_Cost'!$A$2:$A$1353,A154,'Annual_Cost'!$B$2:$B$1353,B154)</f>
      </c>
      <c r="G154" s="93" t="str">
        <f>SUMIFS($E$2:E154,$A$2:A154,A154)</f>
      </c>
      <c r="H154" s="94" t="str">
        <f>SUMIFS($F$2:F154,$A$2:A154,A154)</f>
      </c>
    </row>
    <row r="155">
      <c r="A155" t="s">
        <v>215</v>
      </c>
      <c r="B155" s="88" t="n">
        <v>2048</v>
      </c>
      <c r="C155" s="89" t="str">
        <f>SUMIFS('Annual_Cost'!$Q$2:$Q$1353,'Annual_Cost'!$A$2:$A$1353,A155,'Annual_Cost'!$B$2:$B$1353,B155)</f>
      </c>
      <c r="D155" s="90" t="str">
        <f>SUMIFS('Annual_Cost'!$R$2:$R$1353,'Annual_Cost'!$A$2:$A$1353,A155,'Annual_Cost'!$B$2:$B$1353,B155)</f>
      </c>
      <c r="E155" s="91" t="str">
        <f>SUMIFS('Annual_Cost'!$S$2:$S$1353,'Annual_Cost'!$A$2:$A$1353,A155,'Annual_Cost'!$B$2:$B$1353,B155)</f>
      </c>
      <c r="F155" s="92" t="str">
        <f>SUMIFS('Annual_Cost'!$Y$2:$Y$1353,'Annual_Cost'!$A$2:$A$1353,A155,'Annual_Cost'!$B$2:$B$1353,B155)</f>
      </c>
      <c r="G155" s="93" t="str">
        <f>SUMIFS($E$2:E155,$A$2:A155,A155)</f>
      </c>
      <c r="H155" s="94" t="str">
        <f>SUMIFS($F$2:F155,$A$2:A155,A155)</f>
      </c>
    </row>
    <row r="156">
      <c r="A156" t="s">
        <v>215</v>
      </c>
      <c r="B156" s="88" t="n">
        <v>2049</v>
      </c>
      <c r="C156" s="89" t="str">
        <f>SUMIFS('Annual_Cost'!$Q$2:$Q$1353,'Annual_Cost'!$A$2:$A$1353,A156,'Annual_Cost'!$B$2:$B$1353,B156)</f>
      </c>
      <c r="D156" s="90" t="str">
        <f>SUMIFS('Annual_Cost'!$R$2:$R$1353,'Annual_Cost'!$A$2:$A$1353,A156,'Annual_Cost'!$B$2:$B$1353,B156)</f>
      </c>
      <c r="E156" s="91" t="str">
        <f>SUMIFS('Annual_Cost'!$S$2:$S$1353,'Annual_Cost'!$A$2:$A$1353,A156,'Annual_Cost'!$B$2:$B$1353,B156)</f>
      </c>
      <c r="F156" s="92" t="str">
        <f>SUMIFS('Annual_Cost'!$Y$2:$Y$1353,'Annual_Cost'!$A$2:$A$1353,A156,'Annual_Cost'!$B$2:$B$1353,B156)</f>
      </c>
      <c r="G156" s="93" t="str">
        <f>SUMIFS($E$2:E156,$A$2:A156,A156)</f>
      </c>
      <c r="H156" s="94" t="str">
        <f>SUMIFS($F$2:F156,$A$2:A156,A156)</f>
      </c>
    </row>
    <row r="157">
      <c r="A157" t="s">
        <v>215</v>
      </c>
      <c r="B157" s="88" t="n">
        <v>2050</v>
      </c>
      <c r="C157" s="89" t="str">
        <f>SUMIFS('Annual_Cost'!$Q$2:$Q$1353,'Annual_Cost'!$A$2:$A$1353,A157,'Annual_Cost'!$B$2:$B$1353,B157)</f>
      </c>
      <c r="D157" s="90" t="str">
        <f>SUMIFS('Annual_Cost'!$R$2:$R$1353,'Annual_Cost'!$A$2:$A$1353,A157,'Annual_Cost'!$B$2:$B$1353,B157)</f>
      </c>
      <c r="E157" s="91" t="str">
        <f>SUMIFS('Annual_Cost'!$S$2:$S$1353,'Annual_Cost'!$A$2:$A$1353,A157,'Annual_Cost'!$B$2:$B$1353,B157)</f>
      </c>
      <c r="F157" s="92" t="str">
        <f>SUMIFS('Annual_Cost'!$Y$2:$Y$1353,'Annual_Cost'!$A$2:$A$1353,A157,'Annual_Cost'!$B$2:$B$1353,B157)</f>
      </c>
      <c r="G157" s="93" t="str">
        <f>SUMIFS($E$2:E157,$A$2:A157,A157)</f>
      </c>
      <c r="H157" s="94" t="str">
        <f>SUMIFS($F$2:F157,$A$2:A157,A157)</f>
      </c>
    </row>
    <row r="158">
      <c r="A158" t="s">
        <v>220</v>
      </c>
      <c r="B158" s="88" t="n">
        <v>2025</v>
      </c>
      <c r="C158" s="89" t="str">
        <f>SUMIFS('Annual_Cost'!$Q$2:$Q$1353,'Annual_Cost'!$A$2:$A$1353,A158,'Annual_Cost'!$B$2:$B$1353,B158)</f>
      </c>
      <c r="D158" s="90" t="str">
        <f>SUMIFS('Annual_Cost'!$R$2:$R$1353,'Annual_Cost'!$A$2:$A$1353,A158,'Annual_Cost'!$B$2:$B$1353,B158)</f>
      </c>
      <c r="E158" s="91" t="str">
        <f>SUMIFS('Annual_Cost'!$S$2:$S$1353,'Annual_Cost'!$A$2:$A$1353,A158,'Annual_Cost'!$B$2:$B$1353,B158)</f>
      </c>
      <c r="F158" s="92" t="str">
        <f>SUMIFS('Annual_Cost'!$Y$2:$Y$1353,'Annual_Cost'!$A$2:$A$1353,A158,'Annual_Cost'!$B$2:$B$1353,B158)</f>
      </c>
      <c r="G158" s="93" t="str">
        <f>SUMIFS($E$2:E158,$A$2:A158,A158)</f>
      </c>
      <c r="H158" s="94" t="str">
        <f>SUMIFS($F$2:F158,$A$2:A158,A158)</f>
      </c>
    </row>
    <row r="159">
      <c r="A159" t="s">
        <v>220</v>
      </c>
      <c r="B159" s="88" t="n">
        <v>2026</v>
      </c>
      <c r="C159" s="89" t="str">
        <f>SUMIFS('Annual_Cost'!$Q$2:$Q$1353,'Annual_Cost'!$A$2:$A$1353,A159,'Annual_Cost'!$B$2:$B$1353,B159)</f>
      </c>
      <c r="D159" s="90" t="str">
        <f>SUMIFS('Annual_Cost'!$R$2:$R$1353,'Annual_Cost'!$A$2:$A$1353,A159,'Annual_Cost'!$B$2:$B$1353,B159)</f>
      </c>
      <c r="E159" s="91" t="str">
        <f>SUMIFS('Annual_Cost'!$S$2:$S$1353,'Annual_Cost'!$A$2:$A$1353,A159,'Annual_Cost'!$B$2:$B$1353,B159)</f>
      </c>
      <c r="F159" s="92" t="str">
        <f>SUMIFS('Annual_Cost'!$Y$2:$Y$1353,'Annual_Cost'!$A$2:$A$1353,A159,'Annual_Cost'!$B$2:$B$1353,B159)</f>
      </c>
      <c r="G159" s="93" t="str">
        <f>SUMIFS($E$2:E159,$A$2:A159,A159)</f>
      </c>
      <c r="H159" s="94" t="str">
        <f>SUMIFS($F$2:F159,$A$2:A159,A159)</f>
      </c>
    </row>
    <row r="160">
      <c r="A160" t="s">
        <v>220</v>
      </c>
      <c r="B160" s="88" t="n">
        <v>2027</v>
      </c>
      <c r="C160" s="89" t="str">
        <f>SUMIFS('Annual_Cost'!$Q$2:$Q$1353,'Annual_Cost'!$A$2:$A$1353,A160,'Annual_Cost'!$B$2:$B$1353,B160)</f>
      </c>
      <c r="D160" s="90" t="str">
        <f>SUMIFS('Annual_Cost'!$R$2:$R$1353,'Annual_Cost'!$A$2:$A$1353,A160,'Annual_Cost'!$B$2:$B$1353,B160)</f>
      </c>
      <c r="E160" s="91" t="str">
        <f>SUMIFS('Annual_Cost'!$S$2:$S$1353,'Annual_Cost'!$A$2:$A$1353,A160,'Annual_Cost'!$B$2:$B$1353,B160)</f>
      </c>
      <c r="F160" s="92" t="str">
        <f>SUMIFS('Annual_Cost'!$Y$2:$Y$1353,'Annual_Cost'!$A$2:$A$1353,A160,'Annual_Cost'!$B$2:$B$1353,B160)</f>
      </c>
      <c r="G160" s="93" t="str">
        <f>SUMIFS($E$2:E160,$A$2:A160,A160)</f>
      </c>
      <c r="H160" s="94" t="str">
        <f>SUMIFS($F$2:F160,$A$2:A160,A160)</f>
      </c>
    </row>
    <row r="161">
      <c r="A161" t="s">
        <v>220</v>
      </c>
      <c r="B161" s="88" t="n">
        <v>2028</v>
      </c>
      <c r="C161" s="89" t="str">
        <f>SUMIFS('Annual_Cost'!$Q$2:$Q$1353,'Annual_Cost'!$A$2:$A$1353,A161,'Annual_Cost'!$B$2:$B$1353,B161)</f>
      </c>
      <c r="D161" s="90" t="str">
        <f>SUMIFS('Annual_Cost'!$R$2:$R$1353,'Annual_Cost'!$A$2:$A$1353,A161,'Annual_Cost'!$B$2:$B$1353,B161)</f>
      </c>
      <c r="E161" s="91" t="str">
        <f>SUMIFS('Annual_Cost'!$S$2:$S$1353,'Annual_Cost'!$A$2:$A$1353,A161,'Annual_Cost'!$B$2:$B$1353,B161)</f>
      </c>
      <c r="F161" s="92" t="str">
        <f>SUMIFS('Annual_Cost'!$Y$2:$Y$1353,'Annual_Cost'!$A$2:$A$1353,A161,'Annual_Cost'!$B$2:$B$1353,B161)</f>
      </c>
      <c r="G161" s="93" t="str">
        <f>SUMIFS($E$2:E161,$A$2:A161,A161)</f>
      </c>
      <c r="H161" s="94" t="str">
        <f>SUMIFS($F$2:F161,$A$2:A161,A161)</f>
      </c>
    </row>
    <row r="162">
      <c r="A162" t="s">
        <v>220</v>
      </c>
      <c r="B162" s="88" t="n">
        <v>2029</v>
      </c>
      <c r="C162" s="89" t="str">
        <f>SUMIFS('Annual_Cost'!$Q$2:$Q$1353,'Annual_Cost'!$A$2:$A$1353,A162,'Annual_Cost'!$B$2:$B$1353,B162)</f>
      </c>
      <c r="D162" s="90" t="str">
        <f>SUMIFS('Annual_Cost'!$R$2:$R$1353,'Annual_Cost'!$A$2:$A$1353,A162,'Annual_Cost'!$B$2:$B$1353,B162)</f>
      </c>
      <c r="E162" s="91" t="str">
        <f>SUMIFS('Annual_Cost'!$S$2:$S$1353,'Annual_Cost'!$A$2:$A$1353,A162,'Annual_Cost'!$B$2:$B$1353,B162)</f>
      </c>
      <c r="F162" s="92" t="str">
        <f>SUMIFS('Annual_Cost'!$Y$2:$Y$1353,'Annual_Cost'!$A$2:$A$1353,A162,'Annual_Cost'!$B$2:$B$1353,B162)</f>
      </c>
      <c r="G162" s="93" t="str">
        <f>SUMIFS($E$2:E162,$A$2:A162,A162)</f>
      </c>
      <c r="H162" s="94" t="str">
        <f>SUMIFS($F$2:F162,$A$2:A162,A162)</f>
      </c>
    </row>
    <row r="163">
      <c r="A163" t="s">
        <v>220</v>
      </c>
      <c r="B163" s="88" t="n">
        <v>2030</v>
      </c>
      <c r="C163" s="89" t="str">
        <f>SUMIFS('Annual_Cost'!$Q$2:$Q$1353,'Annual_Cost'!$A$2:$A$1353,A163,'Annual_Cost'!$B$2:$B$1353,B163)</f>
      </c>
      <c r="D163" s="90" t="str">
        <f>SUMIFS('Annual_Cost'!$R$2:$R$1353,'Annual_Cost'!$A$2:$A$1353,A163,'Annual_Cost'!$B$2:$B$1353,B163)</f>
      </c>
      <c r="E163" s="91" t="str">
        <f>SUMIFS('Annual_Cost'!$S$2:$S$1353,'Annual_Cost'!$A$2:$A$1353,A163,'Annual_Cost'!$B$2:$B$1353,B163)</f>
      </c>
      <c r="F163" s="92" t="str">
        <f>SUMIFS('Annual_Cost'!$Y$2:$Y$1353,'Annual_Cost'!$A$2:$A$1353,A163,'Annual_Cost'!$B$2:$B$1353,B163)</f>
      </c>
      <c r="G163" s="93" t="str">
        <f>SUMIFS($E$2:E163,$A$2:A163,A163)</f>
      </c>
      <c r="H163" s="94" t="str">
        <f>SUMIFS($F$2:F163,$A$2:A163,A163)</f>
      </c>
    </row>
    <row r="164">
      <c r="A164" t="s">
        <v>220</v>
      </c>
      <c r="B164" s="88" t="n">
        <v>2031</v>
      </c>
      <c r="C164" s="89" t="str">
        <f>SUMIFS('Annual_Cost'!$Q$2:$Q$1353,'Annual_Cost'!$A$2:$A$1353,A164,'Annual_Cost'!$B$2:$B$1353,B164)</f>
      </c>
      <c r="D164" s="90" t="str">
        <f>SUMIFS('Annual_Cost'!$R$2:$R$1353,'Annual_Cost'!$A$2:$A$1353,A164,'Annual_Cost'!$B$2:$B$1353,B164)</f>
      </c>
      <c r="E164" s="91" t="str">
        <f>SUMIFS('Annual_Cost'!$S$2:$S$1353,'Annual_Cost'!$A$2:$A$1353,A164,'Annual_Cost'!$B$2:$B$1353,B164)</f>
      </c>
      <c r="F164" s="92" t="str">
        <f>SUMIFS('Annual_Cost'!$Y$2:$Y$1353,'Annual_Cost'!$A$2:$A$1353,A164,'Annual_Cost'!$B$2:$B$1353,B164)</f>
      </c>
      <c r="G164" s="93" t="str">
        <f>SUMIFS($E$2:E164,$A$2:A164,A164)</f>
      </c>
      <c r="H164" s="94" t="str">
        <f>SUMIFS($F$2:F164,$A$2:A164,A164)</f>
      </c>
    </row>
    <row r="165">
      <c r="A165" t="s">
        <v>220</v>
      </c>
      <c r="B165" s="88" t="n">
        <v>2032</v>
      </c>
      <c r="C165" s="89" t="str">
        <f>SUMIFS('Annual_Cost'!$Q$2:$Q$1353,'Annual_Cost'!$A$2:$A$1353,A165,'Annual_Cost'!$B$2:$B$1353,B165)</f>
      </c>
      <c r="D165" s="90" t="str">
        <f>SUMIFS('Annual_Cost'!$R$2:$R$1353,'Annual_Cost'!$A$2:$A$1353,A165,'Annual_Cost'!$B$2:$B$1353,B165)</f>
      </c>
      <c r="E165" s="91" t="str">
        <f>SUMIFS('Annual_Cost'!$S$2:$S$1353,'Annual_Cost'!$A$2:$A$1353,A165,'Annual_Cost'!$B$2:$B$1353,B165)</f>
      </c>
      <c r="F165" s="92" t="str">
        <f>SUMIFS('Annual_Cost'!$Y$2:$Y$1353,'Annual_Cost'!$A$2:$A$1353,A165,'Annual_Cost'!$B$2:$B$1353,B165)</f>
      </c>
      <c r="G165" s="93" t="str">
        <f>SUMIFS($E$2:E165,$A$2:A165,A165)</f>
      </c>
      <c r="H165" s="94" t="str">
        <f>SUMIFS($F$2:F165,$A$2:A165,A165)</f>
      </c>
    </row>
    <row r="166">
      <c r="A166" t="s">
        <v>220</v>
      </c>
      <c r="B166" s="88" t="n">
        <v>2033</v>
      </c>
      <c r="C166" s="89" t="str">
        <f>SUMIFS('Annual_Cost'!$Q$2:$Q$1353,'Annual_Cost'!$A$2:$A$1353,A166,'Annual_Cost'!$B$2:$B$1353,B166)</f>
      </c>
      <c r="D166" s="90" t="str">
        <f>SUMIFS('Annual_Cost'!$R$2:$R$1353,'Annual_Cost'!$A$2:$A$1353,A166,'Annual_Cost'!$B$2:$B$1353,B166)</f>
      </c>
      <c r="E166" s="91" t="str">
        <f>SUMIFS('Annual_Cost'!$S$2:$S$1353,'Annual_Cost'!$A$2:$A$1353,A166,'Annual_Cost'!$B$2:$B$1353,B166)</f>
      </c>
      <c r="F166" s="92" t="str">
        <f>SUMIFS('Annual_Cost'!$Y$2:$Y$1353,'Annual_Cost'!$A$2:$A$1353,A166,'Annual_Cost'!$B$2:$B$1353,B166)</f>
      </c>
      <c r="G166" s="93" t="str">
        <f>SUMIFS($E$2:E166,$A$2:A166,A166)</f>
      </c>
      <c r="H166" s="94" t="str">
        <f>SUMIFS($F$2:F166,$A$2:A166,A166)</f>
      </c>
    </row>
    <row r="167">
      <c r="A167" t="s">
        <v>220</v>
      </c>
      <c r="B167" s="88" t="n">
        <v>2034</v>
      </c>
      <c r="C167" s="89" t="str">
        <f>SUMIFS('Annual_Cost'!$Q$2:$Q$1353,'Annual_Cost'!$A$2:$A$1353,A167,'Annual_Cost'!$B$2:$B$1353,B167)</f>
      </c>
      <c r="D167" s="90" t="str">
        <f>SUMIFS('Annual_Cost'!$R$2:$R$1353,'Annual_Cost'!$A$2:$A$1353,A167,'Annual_Cost'!$B$2:$B$1353,B167)</f>
      </c>
      <c r="E167" s="91" t="str">
        <f>SUMIFS('Annual_Cost'!$S$2:$S$1353,'Annual_Cost'!$A$2:$A$1353,A167,'Annual_Cost'!$B$2:$B$1353,B167)</f>
      </c>
      <c r="F167" s="92" t="str">
        <f>SUMIFS('Annual_Cost'!$Y$2:$Y$1353,'Annual_Cost'!$A$2:$A$1353,A167,'Annual_Cost'!$B$2:$B$1353,B167)</f>
      </c>
      <c r="G167" s="93" t="str">
        <f>SUMIFS($E$2:E167,$A$2:A167,A167)</f>
      </c>
      <c r="H167" s="94" t="str">
        <f>SUMIFS($F$2:F167,$A$2:A167,A167)</f>
      </c>
    </row>
    <row r="168">
      <c r="A168" t="s">
        <v>220</v>
      </c>
      <c r="B168" s="88" t="n">
        <v>2035</v>
      </c>
      <c r="C168" s="89" t="str">
        <f>SUMIFS('Annual_Cost'!$Q$2:$Q$1353,'Annual_Cost'!$A$2:$A$1353,A168,'Annual_Cost'!$B$2:$B$1353,B168)</f>
      </c>
      <c r="D168" s="90" t="str">
        <f>SUMIFS('Annual_Cost'!$R$2:$R$1353,'Annual_Cost'!$A$2:$A$1353,A168,'Annual_Cost'!$B$2:$B$1353,B168)</f>
      </c>
      <c r="E168" s="91" t="str">
        <f>SUMIFS('Annual_Cost'!$S$2:$S$1353,'Annual_Cost'!$A$2:$A$1353,A168,'Annual_Cost'!$B$2:$B$1353,B168)</f>
      </c>
      <c r="F168" s="92" t="str">
        <f>SUMIFS('Annual_Cost'!$Y$2:$Y$1353,'Annual_Cost'!$A$2:$A$1353,A168,'Annual_Cost'!$B$2:$B$1353,B168)</f>
      </c>
      <c r="G168" s="93" t="str">
        <f>SUMIFS($E$2:E168,$A$2:A168,A168)</f>
      </c>
      <c r="H168" s="94" t="str">
        <f>SUMIFS($F$2:F168,$A$2:A168,A168)</f>
      </c>
    </row>
    <row r="169">
      <c r="A169" t="s">
        <v>220</v>
      </c>
      <c r="B169" s="88" t="n">
        <v>2036</v>
      </c>
      <c r="C169" s="89" t="str">
        <f>SUMIFS('Annual_Cost'!$Q$2:$Q$1353,'Annual_Cost'!$A$2:$A$1353,A169,'Annual_Cost'!$B$2:$B$1353,B169)</f>
      </c>
      <c r="D169" s="90" t="str">
        <f>SUMIFS('Annual_Cost'!$R$2:$R$1353,'Annual_Cost'!$A$2:$A$1353,A169,'Annual_Cost'!$B$2:$B$1353,B169)</f>
      </c>
      <c r="E169" s="91" t="str">
        <f>SUMIFS('Annual_Cost'!$S$2:$S$1353,'Annual_Cost'!$A$2:$A$1353,A169,'Annual_Cost'!$B$2:$B$1353,B169)</f>
      </c>
      <c r="F169" s="92" t="str">
        <f>SUMIFS('Annual_Cost'!$Y$2:$Y$1353,'Annual_Cost'!$A$2:$A$1353,A169,'Annual_Cost'!$B$2:$B$1353,B169)</f>
      </c>
      <c r="G169" s="93" t="str">
        <f>SUMIFS($E$2:E169,$A$2:A169,A169)</f>
      </c>
      <c r="H169" s="94" t="str">
        <f>SUMIFS($F$2:F169,$A$2:A169,A169)</f>
      </c>
    </row>
    <row r="170">
      <c r="A170" t="s">
        <v>220</v>
      </c>
      <c r="B170" s="88" t="n">
        <v>2037</v>
      </c>
      <c r="C170" s="89" t="str">
        <f>SUMIFS('Annual_Cost'!$Q$2:$Q$1353,'Annual_Cost'!$A$2:$A$1353,A170,'Annual_Cost'!$B$2:$B$1353,B170)</f>
      </c>
      <c r="D170" s="90" t="str">
        <f>SUMIFS('Annual_Cost'!$R$2:$R$1353,'Annual_Cost'!$A$2:$A$1353,A170,'Annual_Cost'!$B$2:$B$1353,B170)</f>
      </c>
      <c r="E170" s="91" t="str">
        <f>SUMIFS('Annual_Cost'!$S$2:$S$1353,'Annual_Cost'!$A$2:$A$1353,A170,'Annual_Cost'!$B$2:$B$1353,B170)</f>
      </c>
      <c r="F170" s="92" t="str">
        <f>SUMIFS('Annual_Cost'!$Y$2:$Y$1353,'Annual_Cost'!$A$2:$A$1353,A170,'Annual_Cost'!$B$2:$B$1353,B170)</f>
      </c>
      <c r="G170" s="93" t="str">
        <f>SUMIFS($E$2:E170,$A$2:A170,A170)</f>
      </c>
      <c r="H170" s="94" t="str">
        <f>SUMIFS($F$2:F170,$A$2:A170,A170)</f>
      </c>
    </row>
    <row r="171">
      <c r="A171" t="s">
        <v>220</v>
      </c>
      <c r="B171" s="88" t="n">
        <v>2038</v>
      </c>
      <c r="C171" s="89" t="str">
        <f>SUMIFS('Annual_Cost'!$Q$2:$Q$1353,'Annual_Cost'!$A$2:$A$1353,A171,'Annual_Cost'!$B$2:$B$1353,B171)</f>
      </c>
      <c r="D171" s="90" t="str">
        <f>SUMIFS('Annual_Cost'!$R$2:$R$1353,'Annual_Cost'!$A$2:$A$1353,A171,'Annual_Cost'!$B$2:$B$1353,B171)</f>
      </c>
      <c r="E171" s="91" t="str">
        <f>SUMIFS('Annual_Cost'!$S$2:$S$1353,'Annual_Cost'!$A$2:$A$1353,A171,'Annual_Cost'!$B$2:$B$1353,B171)</f>
      </c>
      <c r="F171" s="92" t="str">
        <f>SUMIFS('Annual_Cost'!$Y$2:$Y$1353,'Annual_Cost'!$A$2:$A$1353,A171,'Annual_Cost'!$B$2:$B$1353,B171)</f>
      </c>
      <c r="G171" s="93" t="str">
        <f>SUMIFS($E$2:E171,$A$2:A171,A171)</f>
      </c>
      <c r="H171" s="94" t="str">
        <f>SUMIFS($F$2:F171,$A$2:A171,A171)</f>
      </c>
    </row>
    <row r="172">
      <c r="A172" t="s">
        <v>220</v>
      </c>
      <c r="B172" s="88" t="n">
        <v>2039</v>
      </c>
      <c r="C172" s="89" t="str">
        <f>SUMIFS('Annual_Cost'!$Q$2:$Q$1353,'Annual_Cost'!$A$2:$A$1353,A172,'Annual_Cost'!$B$2:$B$1353,B172)</f>
      </c>
      <c r="D172" s="90" t="str">
        <f>SUMIFS('Annual_Cost'!$R$2:$R$1353,'Annual_Cost'!$A$2:$A$1353,A172,'Annual_Cost'!$B$2:$B$1353,B172)</f>
      </c>
      <c r="E172" s="91" t="str">
        <f>SUMIFS('Annual_Cost'!$S$2:$S$1353,'Annual_Cost'!$A$2:$A$1353,A172,'Annual_Cost'!$B$2:$B$1353,B172)</f>
      </c>
      <c r="F172" s="92" t="str">
        <f>SUMIFS('Annual_Cost'!$Y$2:$Y$1353,'Annual_Cost'!$A$2:$A$1353,A172,'Annual_Cost'!$B$2:$B$1353,B172)</f>
      </c>
      <c r="G172" s="93" t="str">
        <f>SUMIFS($E$2:E172,$A$2:A172,A172)</f>
      </c>
      <c r="H172" s="94" t="str">
        <f>SUMIFS($F$2:F172,$A$2:A172,A172)</f>
      </c>
    </row>
    <row r="173">
      <c r="A173" t="s">
        <v>220</v>
      </c>
      <c r="B173" s="88" t="n">
        <v>2040</v>
      </c>
      <c r="C173" s="89" t="str">
        <f>SUMIFS('Annual_Cost'!$Q$2:$Q$1353,'Annual_Cost'!$A$2:$A$1353,A173,'Annual_Cost'!$B$2:$B$1353,B173)</f>
      </c>
      <c r="D173" s="90" t="str">
        <f>SUMIFS('Annual_Cost'!$R$2:$R$1353,'Annual_Cost'!$A$2:$A$1353,A173,'Annual_Cost'!$B$2:$B$1353,B173)</f>
      </c>
      <c r="E173" s="91" t="str">
        <f>SUMIFS('Annual_Cost'!$S$2:$S$1353,'Annual_Cost'!$A$2:$A$1353,A173,'Annual_Cost'!$B$2:$B$1353,B173)</f>
      </c>
      <c r="F173" s="92" t="str">
        <f>SUMIFS('Annual_Cost'!$Y$2:$Y$1353,'Annual_Cost'!$A$2:$A$1353,A173,'Annual_Cost'!$B$2:$B$1353,B173)</f>
      </c>
      <c r="G173" s="93" t="str">
        <f>SUMIFS($E$2:E173,$A$2:A173,A173)</f>
      </c>
      <c r="H173" s="94" t="str">
        <f>SUMIFS($F$2:F173,$A$2:A173,A173)</f>
      </c>
    </row>
    <row r="174">
      <c r="A174" t="s">
        <v>220</v>
      </c>
      <c r="B174" s="88" t="n">
        <v>2041</v>
      </c>
      <c r="C174" s="89" t="str">
        <f>SUMIFS('Annual_Cost'!$Q$2:$Q$1353,'Annual_Cost'!$A$2:$A$1353,A174,'Annual_Cost'!$B$2:$B$1353,B174)</f>
      </c>
      <c r="D174" s="90" t="str">
        <f>SUMIFS('Annual_Cost'!$R$2:$R$1353,'Annual_Cost'!$A$2:$A$1353,A174,'Annual_Cost'!$B$2:$B$1353,B174)</f>
      </c>
      <c r="E174" s="91" t="str">
        <f>SUMIFS('Annual_Cost'!$S$2:$S$1353,'Annual_Cost'!$A$2:$A$1353,A174,'Annual_Cost'!$B$2:$B$1353,B174)</f>
      </c>
      <c r="F174" s="92" t="str">
        <f>SUMIFS('Annual_Cost'!$Y$2:$Y$1353,'Annual_Cost'!$A$2:$A$1353,A174,'Annual_Cost'!$B$2:$B$1353,B174)</f>
      </c>
      <c r="G174" s="93" t="str">
        <f>SUMIFS($E$2:E174,$A$2:A174,A174)</f>
      </c>
      <c r="H174" s="94" t="str">
        <f>SUMIFS($F$2:F174,$A$2:A174,A174)</f>
      </c>
    </row>
    <row r="175">
      <c r="A175" t="s">
        <v>220</v>
      </c>
      <c r="B175" s="88" t="n">
        <v>2042</v>
      </c>
      <c r="C175" s="89" t="str">
        <f>SUMIFS('Annual_Cost'!$Q$2:$Q$1353,'Annual_Cost'!$A$2:$A$1353,A175,'Annual_Cost'!$B$2:$B$1353,B175)</f>
      </c>
      <c r="D175" s="90" t="str">
        <f>SUMIFS('Annual_Cost'!$R$2:$R$1353,'Annual_Cost'!$A$2:$A$1353,A175,'Annual_Cost'!$B$2:$B$1353,B175)</f>
      </c>
      <c r="E175" s="91" t="str">
        <f>SUMIFS('Annual_Cost'!$S$2:$S$1353,'Annual_Cost'!$A$2:$A$1353,A175,'Annual_Cost'!$B$2:$B$1353,B175)</f>
      </c>
      <c r="F175" s="92" t="str">
        <f>SUMIFS('Annual_Cost'!$Y$2:$Y$1353,'Annual_Cost'!$A$2:$A$1353,A175,'Annual_Cost'!$B$2:$B$1353,B175)</f>
      </c>
      <c r="G175" s="93" t="str">
        <f>SUMIFS($E$2:E175,$A$2:A175,A175)</f>
      </c>
      <c r="H175" s="94" t="str">
        <f>SUMIFS($F$2:F175,$A$2:A175,A175)</f>
      </c>
    </row>
    <row r="176">
      <c r="A176" t="s">
        <v>220</v>
      </c>
      <c r="B176" s="88" t="n">
        <v>2043</v>
      </c>
      <c r="C176" s="89" t="str">
        <f>SUMIFS('Annual_Cost'!$Q$2:$Q$1353,'Annual_Cost'!$A$2:$A$1353,A176,'Annual_Cost'!$B$2:$B$1353,B176)</f>
      </c>
      <c r="D176" s="90" t="str">
        <f>SUMIFS('Annual_Cost'!$R$2:$R$1353,'Annual_Cost'!$A$2:$A$1353,A176,'Annual_Cost'!$B$2:$B$1353,B176)</f>
      </c>
      <c r="E176" s="91" t="str">
        <f>SUMIFS('Annual_Cost'!$S$2:$S$1353,'Annual_Cost'!$A$2:$A$1353,A176,'Annual_Cost'!$B$2:$B$1353,B176)</f>
      </c>
      <c r="F176" s="92" t="str">
        <f>SUMIFS('Annual_Cost'!$Y$2:$Y$1353,'Annual_Cost'!$A$2:$A$1353,A176,'Annual_Cost'!$B$2:$B$1353,B176)</f>
      </c>
      <c r="G176" s="93" t="str">
        <f>SUMIFS($E$2:E176,$A$2:A176,A176)</f>
      </c>
      <c r="H176" s="94" t="str">
        <f>SUMIFS($F$2:F176,$A$2:A176,A176)</f>
      </c>
    </row>
    <row r="177">
      <c r="A177" t="s">
        <v>220</v>
      </c>
      <c r="B177" s="88" t="n">
        <v>2044</v>
      </c>
      <c r="C177" s="89" t="str">
        <f>SUMIFS('Annual_Cost'!$Q$2:$Q$1353,'Annual_Cost'!$A$2:$A$1353,A177,'Annual_Cost'!$B$2:$B$1353,B177)</f>
      </c>
      <c r="D177" s="90" t="str">
        <f>SUMIFS('Annual_Cost'!$R$2:$R$1353,'Annual_Cost'!$A$2:$A$1353,A177,'Annual_Cost'!$B$2:$B$1353,B177)</f>
      </c>
      <c r="E177" s="91" t="str">
        <f>SUMIFS('Annual_Cost'!$S$2:$S$1353,'Annual_Cost'!$A$2:$A$1353,A177,'Annual_Cost'!$B$2:$B$1353,B177)</f>
      </c>
      <c r="F177" s="92" t="str">
        <f>SUMIFS('Annual_Cost'!$Y$2:$Y$1353,'Annual_Cost'!$A$2:$A$1353,A177,'Annual_Cost'!$B$2:$B$1353,B177)</f>
      </c>
      <c r="G177" s="93" t="str">
        <f>SUMIFS($E$2:E177,$A$2:A177,A177)</f>
      </c>
      <c r="H177" s="94" t="str">
        <f>SUMIFS($F$2:F177,$A$2:A177,A177)</f>
      </c>
    </row>
    <row r="178">
      <c r="A178" t="s">
        <v>220</v>
      </c>
      <c r="B178" s="88" t="n">
        <v>2045</v>
      </c>
      <c r="C178" s="89" t="str">
        <f>SUMIFS('Annual_Cost'!$Q$2:$Q$1353,'Annual_Cost'!$A$2:$A$1353,A178,'Annual_Cost'!$B$2:$B$1353,B178)</f>
      </c>
      <c r="D178" s="90" t="str">
        <f>SUMIFS('Annual_Cost'!$R$2:$R$1353,'Annual_Cost'!$A$2:$A$1353,A178,'Annual_Cost'!$B$2:$B$1353,B178)</f>
      </c>
      <c r="E178" s="91" t="str">
        <f>SUMIFS('Annual_Cost'!$S$2:$S$1353,'Annual_Cost'!$A$2:$A$1353,A178,'Annual_Cost'!$B$2:$B$1353,B178)</f>
      </c>
      <c r="F178" s="92" t="str">
        <f>SUMIFS('Annual_Cost'!$Y$2:$Y$1353,'Annual_Cost'!$A$2:$A$1353,A178,'Annual_Cost'!$B$2:$B$1353,B178)</f>
      </c>
      <c r="G178" s="93" t="str">
        <f>SUMIFS($E$2:E178,$A$2:A178,A178)</f>
      </c>
      <c r="H178" s="94" t="str">
        <f>SUMIFS($F$2:F178,$A$2:A178,A178)</f>
      </c>
    </row>
    <row r="179">
      <c r="A179" t="s">
        <v>220</v>
      </c>
      <c r="B179" s="88" t="n">
        <v>2046</v>
      </c>
      <c r="C179" s="89" t="str">
        <f>SUMIFS('Annual_Cost'!$Q$2:$Q$1353,'Annual_Cost'!$A$2:$A$1353,A179,'Annual_Cost'!$B$2:$B$1353,B179)</f>
      </c>
      <c r="D179" s="90" t="str">
        <f>SUMIFS('Annual_Cost'!$R$2:$R$1353,'Annual_Cost'!$A$2:$A$1353,A179,'Annual_Cost'!$B$2:$B$1353,B179)</f>
      </c>
      <c r="E179" s="91" t="str">
        <f>SUMIFS('Annual_Cost'!$S$2:$S$1353,'Annual_Cost'!$A$2:$A$1353,A179,'Annual_Cost'!$B$2:$B$1353,B179)</f>
      </c>
      <c r="F179" s="92" t="str">
        <f>SUMIFS('Annual_Cost'!$Y$2:$Y$1353,'Annual_Cost'!$A$2:$A$1353,A179,'Annual_Cost'!$B$2:$B$1353,B179)</f>
      </c>
      <c r="G179" s="93" t="str">
        <f>SUMIFS($E$2:E179,$A$2:A179,A179)</f>
      </c>
      <c r="H179" s="94" t="str">
        <f>SUMIFS($F$2:F179,$A$2:A179,A179)</f>
      </c>
    </row>
    <row r="180">
      <c r="A180" t="s">
        <v>220</v>
      </c>
      <c r="B180" s="88" t="n">
        <v>2047</v>
      </c>
      <c r="C180" s="89" t="str">
        <f>SUMIFS('Annual_Cost'!$Q$2:$Q$1353,'Annual_Cost'!$A$2:$A$1353,A180,'Annual_Cost'!$B$2:$B$1353,B180)</f>
      </c>
      <c r="D180" s="90" t="str">
        <f>SUMIFS('Annual_Cost'!$R$2:$R$1353,'Annual_Cost'!$A$2:$A$1353,A180,'Annual_Cost'!$B$2:$B$1353,B180)</f>
      </c>
      <c r="E180" s="91" t="str">
        <f>SUMIFS('Annual_Cost'!$S$2:$S$1353,'Annual_Cost'!$A$2:$A$1353,A180,'Annual_Cost'!$B$2:$B$1353,B180)</f>
      </c>
      <c r="F180" s="92" t="str">
        <f>SUMIFS('Annual_Cost'!$Y$2:$Y$1353,'Annual_Cost'!$A$2:$A$1353,A180,'Annual_Cost'!$B$2:$B$1353,B180)</f>
      </c>
      <c r="G180" s="93" t="str">
        <f>SUMIFS($E$2:E180,$A$2:A180,A180)</f>
      </c>
      <c r="H180" s="94" t="str">
        <f>SUMIFS($F$2:F180,$A$2:A180,A180)</f>
      </c>
    </row>
    <row r="181">
      <c r="A181" t="s">
        <v>220</v>
      </c>
      <c r="B181" s="88" t="n">
        <v>2048</v>
      </c>
      <c r="C181" s="89" t="str">
        <f>SUMIFS('Annual_Cost'!$Q$2:$Q$1353,'Annual_Cost'!$A$2:$A$1353,A181,'Annual_Cost'!$B$2:$B$1353,B181)</f>
      </c>
      <c r="D181" s="90" t="str">
        <f>SUMIFS('Annual_Cost'!$R$2:$R$1353,'Annual_Cost'!$A$2:$A$1353,A181,'Annual_Cost'!$B$2:$B$1353,B181)</f>
      </c>
      <c r="E181" s="91" t="str">
        <f>SUMIFS('Annual_Cost'!$S$2:$S$1353,'Annual_Cost'!$A$2:$A$1353,A181,'Annual_Cost'!$B$2:$B$1353,B181)</f>
      </c>
      <c r="F181" s="92" t="str">
        <f>SUMIFS('Annual_Cost'!$Y$2:$Y$1353,'Annual_Cost'!$A$2:$A$1353,A181,'Annual_Cost'!$B$2:$B$1353,B181)</f>
      </c>
      <c r="G181" s="93" t="str">
        <f>SUMIFS($E$2:E181,$A$2:A181,A181)</f>
      </c>
      <c r="H181" s="94" t="str">
        <f>SUMIFS($F$2:F181,$A$2:A181,A181)</f>
      </c>
    </row>
    <row r="182">
      <c r="A182" t="s">
        <v>220</v>
      </c>
      <c r="B182" s="88" t="n">
        <v>2049</v>
      </c>
      <c r="C182" s="89" t="str">
        <f>SUMIFS('Annual_Cost'!$Q$2:$Q$1353,'Annual_Cost'!$A$2:$A$1353,A182,'Annual_Cost'!$B$2:$B$1353,B182)</f>
      </c>
      <c r="D182" s="90" t="str">
        <f>SUMIFS('Annual_Cost'!$R$2:$R$1353,'Annual_Cost'!$A$2:$A$1353,A182,'Annual_Cost'!$B$2:$B$1353,B182)</f>
      </c>
      <c r="E182" s="91" t="str">
        <f>SUMIFS('Annual_Cost'!$S$2:$S$1353,'Annual_Cost'!$A$2:$A$1353,A182,'Annual_Cost'!$B$2:$B$1353,B182)</f>
      </c>
      <c r="F182" s="92" t="str">
        <f>SUMIFS('Annual_Cost'!$Y$2:$Y$1353,'Annual_Cost'!$A$2:$A$1353,A182,'Annual_Cost'!$B$2:$B$1353,B182)</f>
      </c>
      <c r="G182" s="93" t="str">
        <f>SUMIFS($E$2:E182,$A$2:A182,A182)</f>
      </c>
      <c r="H182" s="94" t="str">
        <f>SUMIFS($F$2:F182,$A$2:A182,A182)</f>
      </c>
    </row>
    <row r="183">
      <c r="A183" t="s">
        <v>220</v>
      </c>
      <c r="B183" s="88" t="n">
        <v>2050</v>
      </c>
      <c r="C183" s="89" t="str">
        <f>SUMIFS('Annual_Cost'!$Q$2:$Q$1353,'Annual_Cost'!$A$2:$A$1353,A183,'Annual_Cost'!$B$2:$B$1353,B183)</f>
      </c>
      <c r="D183" s="90" t="str">
        <f>SUMIFS('Annual_Cost'!$R$2:$R$1353,'Annual_Cost'!$A$2:$A$1353,A183,'Annual_Cost'!$B$2:$B$1353,B183)</f>
      </c>
      <c r="E183" s="91" t="str">
        <f>SUMIFS('Annual_Cost'!$S$2:$S$1353,'Annual_Cost'!$A$2:$A$1353,A183,'Annual_Cost'!$B$2:$B$1353,B183)</f>
      </c>
      <c r="F183" s="92" t="str">
        <f>SUMIFS('Annual_Cost'!$Y$2:$Y$1353,'Annual_Cost'!$A$2:$A$1353,A183,'Annual_Cost'!$B$2:$B$1353,B183)</f>
      </c>
      <c r="G183" s="93" t="str">
        <f>SUMIFS($E$2:E183,$A$2:A183,A183)</f>
      </c>
      <c r="H183" s="94" t="str">
        <f>SUMIFS($F$2:F183,$A$2:A183,A183)</f>
      </c>
    </row>
    <row r="184">
      <c r="A184" t="s">
        <v>226</v>
      </c>
      <c r="B184" s="88" t="n">
        <v>2025</v>
      </c>
      <c r="C184" s="89" t="str">
        <f>SUMIFS('Annual_Cost'!$Q$2:$Q$1353,'Annual_Cost'!$A$2:$A$1353,A184,'Annual_Cost'!$B$2:$B$1353,B184)</f>
      </c>
      <c r="D184" s="90" t="str">
        <f>SUMIFS('Annual_Cost'!$R$2:$R$1353,'Annual_Cost'!$A$2:$A$1353,A184,'Annual_Cost'!$B$2:$B$1353,B184)</f>
      </c>
      <c r="E184" s="91" t="str">
        <f>SUMIFS('Annual_Cost'!$S$2:$S$1353,'Annual_Cost'!$A$2:$A$1353,A184,'Annual_Cost'!$B$2:$B$1353,B184)</f>
      </c>
      <c r="F184" s="92" t="str">
        <f>SUMIFS('Annual_Cost'!$Y$2:$Y$1353,'Annual_Cost'!$A$2:$A$1353,A184,'Annual_Cost'!$B$2:$B$1353,B184)</f>
      </c>
      <c r="G184" s="93" t="str">
        <f>SUMIFS($E$2:E184,$A$2:A184,A184)</f>
      </c>
      <c r="H184" s="94" t="str">
        <f>SUMIFS($F$2:F184,$A$2:A184,A184)</f>
      </c>
    </row>
    <row r="185">
      <c r="A185" t="s">
        <v>226</v>
      </c>
      <c r="B185" s="88" t="n">
        <v>2026</v>
      </c>
      <c r="C185" s="89" t="str">
        <f>SUMIFS('Annual_Cost'!$Q$2:$Q$1353,'Annual_Cost'!$A$2:$A$1353,A185,'Annual_Cost'!$B$2:$B$1353,B185)</f>
      </c>
      <c r="D185" s="90" t="str">
        <f>SUMIFS('Annual_Cost'!$R$2:$R$1353,'Annual_Cost'!$A$2:$A$1353,A185,'Annual_Cost'!$B$2:$B$1353,B185)</f>
      </c>
      <c r="E185" s="91" t="str">
        <f>SUMIFS('Annual_Cost'!$S$2:$S$1353,'Annual_Cost'!$A$2:$A$1353,A185,'Annual_Cost'!$B$2:$B$1353,B185)</f>
      </c>
      <c r="F185" s="92" t="str">
        <f>SUMIFS('Annual_Cost'!$Y$2:$Y$1353,'Annual_Cost'!$A$2:$A$1353,A185,'Annual_Cost'!$B$2:$B$1353,B185)</f>
      </c>
      <c r="G185" s="93" t="str">
        <f>SUMIFS($E$2:E185,$A$2:A185,A185)</f>
      </c>
      <c r="H185" s="94" t="str">
        <f>SUMIFS($F$2:F185,$A$2:A185,A185)</f>
      </c>
    </row>
    <row r="186">
      <c r="A186" t="s">
        <v>226</v>
      </c>
      <c r="B186" s="88" t="n">
        <v>2027</v>
      </c>
      <c r="C186" s="89" t="str">
        <f>SUMIFS('Annual_Cost'!$Q$2:$Q$1353,'Annual_Cost'!$A$2:$A$1353,A186,'Annual_Cost'!$B$2:$B$1353,B186)</f>
      </c>
      <c r="D186" s="90" t="str">
        <f>SUMIFS('Annual_Cost'!$R$2:$R$1353,'Annual_Cost'!$A$2:$A$1353,A186,'Annual_Cost'!$B$2:$B$1353,B186)</f>
      </c>
      <c r="E186" s="91" t="str">
        <f>SUMIFS('Annual_Cost'!$S$2:$S$1353,'Annual_Cost'!$A$2:$A$1353,A186,'Annual_Cost'!$B$2:$B$1353,B186)</f>
      </c>
      <c r="F186" s="92" t="str">
        <f>SUMIFS('Annual_Cost'!$Y$2:$Y$1353,'Annual_Cost'!$A$2:$A$1353,A186,'Annual_Cost'!$B$2:$B$1353,B186)</f>
      </c>
      <c r="G186" s="93" t="str">
        <f>SUMIFS($E$2:E186,$A$2:A186,A186)</f>
      </c>
      <c r="H186" s="94" t="str">
        <f>SUMIFS($F$2:F186,$A$2:A186,A186)</f>
      </c>
    </row>
    <row r="187">
      <c r="A187" t="s">
        <v>226</v>
      </c>
      <c r="B187" s="88" t="n">
        <v>2028</v>
      </c>
      <c r="C187" s="89" t="str">
        <f>SUMIFS('Annual_Cost'!$Q$2:$Q$1353,'Annual_Cost'!$A$2:$A$1353,A187,'Annual_Cost'!$B$2:$B$1353,B187)</f>
      </c>
      <c r="D187" s="90" t="str">
        <f>SUMIFS('Annual_Cost'!$R$2:$R$1353,'Annual_Cost'!$A$2:$A$1353,A187,'Annual_Cost'!$B$2:$B$1353,B187)</f>
      </c>
      <c r="E187" s="91" t="str">
        <f>SUMIFS('Annual_Cost'!$S$2:$S$1353,'Annual_Cost'!$A$2:$A$1353,A187,'Annual_Cost'!$B$2:$B$1353,B187)</f>
      </c>
      <c r="F187" s="92" t="str">
        <f>SUMIFS('Annual_Cost'!$Y$2:$Y$1353,'Annual_Cost'!$A$2:$A$1353,A187,'Annual_Cost'!$B$2:$B$1353,B187)</f>
      </c>
      <c r="G187" s="93" t="str">
        <f>SUMIFS($E$2:E187,$A$2:A187,A187)</f>
      </c>
      <c r="H187" s="94" t="str">
        <f>SUMIFS($F$2:F187,$A$2:A187,A187)</f>
      </c>
    </row>
    <row r="188">
      <c r="A188" t="s">
        <v>226</v>
      </c>
      <c r="B188" s="88" t="n">
        <v>2029</v>
      </c>
      <c r="C188" s="89" t="str">
        <f>SUMIFS('Annual_Cost'!$Q$2:$Q$1353,'Annual_Cost'!$A$2:$A$1353,A188,'Annual_Cost'!$B$2:$B$1353,B188)</f>
      </c>
      <c r="D188" s="90" t="str">
        <f>SUMIFS('Annual_Cost'!$R$2:$R$1353,'Annual_Cost'!$A$2:$A$1353,A188,'Annual_Cost'!$B$2:$B$1353,B188)</f>
      </c>
      <c r="E188" s="91" t="str">
        <f>SUMIFS('Annual_Cost'!$S$2:$S$1353,'Annual_Cost'!$A$2:$A$1353,A188,'Annual_Cost'!$B$2:$B$1353,B188)</f>
      </c>
      <c r="F188" s="92" t="str">
        <f>SUMIFS('Annual_Cost'!$Y$2:$Y$1353,'Annual_Cost'!$A$2:$A$1353,A188,'Annual_Cost'!$B$2:$B$1353,B188)</f>
      </c>
      <c r="G188" s="93" t="str">
        <f>SUMIFS($E$2:E188,$A$2:A188,A188)</f>
      </c>
      <c r="H188" s="94" t="str">
        <f>SUMIFS($F$2:F188,$A$2:A188,A188)</f>
      </c>
    </row>
    <row r="189">
      <c r="A189" t="s">
        <v>226</v>
      </c>
      <c r="B189" s="88" t="n">
        <v>2030</v>
      </c>
      <c r="C189" s="89" t="str">
        <f>SUMIFS('Annual_Cost'!$Q$2:$Q$1353,'Annual_Cost'!$A$2:$A$1353,A189,'Annual_Cost'!$B$2:$B$1353,B189)</f>
      </c>
      <c r="D189" s="90" t="str">
        <f>SUMIFS('Annual_Cost'!$R$2:$R$1353,'Annual_Cost'!$A$2:$A$1353,A189,'Annual_Cost'!$B$2:$B$1353,B189)</f>
      </c>
      <c r="E189" s="91" t="str">
        <f>SUMIFS('Annual_Cost'!$S$2:$S$1353,'Annual_Cost'!$A$2:$A$1353,A189,'Annual_Cost'!$B$2:$B$1353,B189)</f>
      </c>
      <c r="F189" s="92" t="str">
        <f>SUMIFS('Annual_Cost'!$Y$2:$Y$1353,'Annual_Cost'!$A$2:$A$1353,A189,'Annual_Cost'!$B$2:$B$1353,B189)</f>
      </c>
      <c r="G189" s="93" t="str">
        <f>SUMIFS($E$2:E189,$A$2:A189,A189)</f>
      </c>
      <c r="H189" s="94" t="str">
        <f>SUMIFS($F$2:F189,$A$2:A189,A189)</f>
      </c>
    </row>
    <row r="190">
      <c r="A190" t="s">
        <v>226</v>
      </c>
      <c r="B190" s="88" t="n">
        <v>2031</v>
      </c>
      <c r="C190" s="89" t="str">
        <f>SUMIFS('Annual_Cost'!$Q$2:$Q$1353,'Annual_Cost'!$A$2:$A$1353,A190,'Annual_Cost'!$B$2:$B$1353,B190)</f>
      </c>
      <c r="D190" s="90" t="str">
        <f>SUMIFS('Annual_Cost'!$R$2:$R$1353,'Annual_Cost'!$A$2:$A$1353,A190,'Annual_Cost'!$B$2:$B$1353,B190)</f>
      </c>
      <c r="E190" s="91" t="str">
        <f>SUMIFS('Annual_Cost'!$S$2:$S$1353,'Annual_Cost'!$A$2:$A$1353,A190,'Annual_Cost'!$B$2:$B$1353,B190)</f>
      </c>
      <c r="F190" s="92" t="str">
        <f>SUMIFS('Annual_Cost'!$Y$2:$Y$1353,'Annual_Cost'!$A$2:$A$1353,A190,'Annual_Cost'!$B$2:$B$1353,B190)</f>
      </c>
      <c r="G190" s="93" t="str">
        <f>SUMIFS($E$2:E190,$A$2:A190,A190)</f>
      </c>
      <c r="H190" s="94" t="str">
        <f>SUMIFS($F$2:F190,$A$2:A190,A190)</f>
      </c>
    </row>
    <row r="191">
      <c r="A191" t="s">
        <v>226</v>
      </c>
      <c r="B191" s="88" t="n">
        <v>2032</v>
      </c>
      <c r="C191" s="89" t="str">
        <f>SUMIFS('Annual_Cost'!$Q$2:$Q$1353,'Annual_Cost'!$A$2:$A$1353,A191,'Annual_Cost'!$B$2:$B$1353,B191)</f>
      </c>
      <c r="D191" s="90" t="str">
        <f>SUMIFS('Annual_Cost'!$R$2:$R$1353,'Annual_Cost'!$A$2:$A$1353,A191,'Annual_Cost'!$B$2:$B$1353,B191)</f>
      </c>
      <c r="E191" s="91" t="str">
        <f>SUMIFS('Annual_Cost'!$S$2:$S$1353,'Annual_Cost'!$A$2:$A$1353,A191,'Annual_Cost'!$B$2:$B$1353,B191)</f>
      </c>
      <c r="F191" s="92" t="str">
        <f>SUMIFS('Annual_Cost'!$Y$2:$Y$1353,'Annual_Cost'!$A$2:$A$1353,A191,'Annual_Cost'!$B$2:$B$1353,B191)</f>
      </c>
      <c r="G191" s="93" t="str">
        <f>SUMIFS($E$2:E191,$A$2:A191,A191)</f>
      </c>
      <c r="H191" s="94" t="str">
        <f>SUMIFS($F$2:F191,$A$2:A191,A191)</f>
      </c>
    </row>
    <row r="192">
      <c r="A192" t="s">
        <v>226</v>
      </c>
      <c r="B192" s="88" t="n">
        <v>2033</v>
      </c>
      <c r="C192" s="89" t="str">
        <f>SUMIFS('Annual_Cost'!$Q$2:$Q$1353,'Annual_Cost'!$A$2:$A$1353,A192,'Annual_Cost'!$B$2:$B$1353,B192)</f>
      </c>
      <c r="D192" s="90" t="str">
        <f>SUMIFS('Annual_Cost'!$R$2:$R$1353,'Annual_Cost'!$A$2:$A$1353,A192,'Annual_Cost'!$B$2:$B$1353,B192)</f>
      </c>
      <c r="E192" s="91" t="str">
        <f>SUMIFS('Annual_Cost'!$S$2:$S$1353,'Annual_Cost'!$A$2:$A$1353,A192,'Annual_Cost'!$B$2:$B$1353,B192)</f>
      </c>
      <c r="F192" s="92" t="str">
        <f>SUMIFS('Annual_Cost'!$Y$2:$Y$1353,'Annual_Cost'!$A$2:$A$1353,A192,'Annual_Cost'!$B$2:$B$1353,B192)</f>
      </c>
      <c r="G192" s="93" t="str">
        <f>SUMIFS($E$2:E192,$A$2:A192,A192)</f>
      </c>
      <c r="H192" s="94" t="str">
        <f>SUMIFS($F$2:F192,$A$2:A192,A192)</f>
      </c>
    </row>
    <row r="193">
      <c r="A193" t="s">
        <v>226</v>
      </c>
      <c r="B193" s="88" t="n">
        <v>2034</v>
      </c>
      <c r="C193" s="89" t="str">
        <f>SUMIFS('Annual_Cost'!$Q$2:$Q$1353,'Annual_Cost'!$A$2:$A$1353,A193,'Annual_Cost'!$B$2:$B$1353,B193)</f>
      </c>
      <c r="D193" s="90" t="str">
        <f>SUMIFS('Annual_Cost'!$R$2:$R$1353,'Annual_Cost'!$A$2:$A$1353,A193,'Annual_Cost'!$B$2:$B$1353,B193)</f>
      </c>
      <c r="E193" s="91" t="str">
        <f>SUMIFS('Annual_Cost'!$S$2:$S$1353,'Annual_Cost'!$A$2:$A$1353,A193,'Annual_Cost'!$B$2:$B$1353,B193)</f>
      </c>
      <c r="F193" s="92" t="str">
        <f>SUMIFS('Annual_Cost'!$Y$2:$Y$1353,'Annual_Cost'!$A$2:$A$1353,A193,'Annual_Cost'!$B$2:$B$1353,B193)</f>
      </c>
      <c r="G193" s="93" t="str">
        <f>SUMIFS($E$2:E193,$A$2:A193,A193)</f>
      </c>
      <c r="H193" s="94" t="str">
        <f>SUMIFS($F$2:F193,$A$2:A193,A193)</f>
      </c>
    </row>
    <row r="194">
      <c r="A194" t="s">
        <v>226</v>
      </c>
      <c r="B194" s="88" t="n">
        <v>2035</v>
      </c>
      <c r="C194" s="89" t="str">
        <f>SUMIFS('Annual_Cost'!$Q$2:$Q$1353,'Annual_Cost'!$A$2:$A$1353,A194,'Annual_Cost'!$B$2:$B$1353,B194)</f>
      </c>
      <c r="D194" s="90" t="str">
        <f>SUMIFS('Annual_Cost'!$R$2:$R$1353,'Annual_Cost'!$A$2:$A$1353,A194,'Annual_Cost'!$B$2:$B$1353,B194)</f>
      </c>
      <c r="E194" s="91" t="str">
        <f>SUMIFS('Annual_Cost'!$S$2:$S$1353,'Annual_Cost'!$A$2:$A$1353,A194,'Annual_Cost'!$B$2:$B$1353,B194)</f>
      </c>
      <c r="F194" s="92" t="str">
        <f>SUMIFS('Annual_Cost'!$Y$2:$Y$1353,'Annual_Cost'!$A$2:$A$1353,A194,'Annual_Cost'!$B$2:$B$1353,B194)</f>
      </c>
      <c r="G194" s="93" t="str">
        <f>SUMIFS($E$2:E194,$A$2:A194,A194)</f>
      </c>
      <c r="H194" s="94" t="str">
        <f>SUMIFS($F$2:F194,$A$2:A194,A194)</f>
      </c>
    </row>
    <row r="195">
      <c r="A195" t="s">
        <v>226</v>
      </c>
      <c r="B195" s="88" t="n">
        <v>2036</v>
      </c>
      <c r="C195" s="89" t="str">
        <f>SUMIFS('Annual_Cost'!$Q$2:$Q$1353,'Annual_Cost'!$A$2:$A$1353,A195,'Annual_Cost'!$B$2:$B$1353,B195)</f>
      </c>
      <c r="D195" s="90" t="str">
        <f>SUMIFS('Annual_Cost'!$R$2:$R$1353,'Annual_Cost'!$A$2:$A$1353,A195,'Annual_Cost'!$B$2:$B$1353,B195)</f>
      </c>
      <c r="E195" s="91" t="str">
        <f>SUMIFS('Annual_Cost'!$S$2:$S$1353,'Annual_Cost'!$A$2:$A$1353,A195,'Annual_Cost'!$B$2:$B$1353,B195)</f>
      </c>
      <c r="F195" s="92" t="str">
        <f>SUMIFS('Annual_Cost'!$Y$2:$Y$1353,'Annual_Cost'!$A$2:$A$1353,A195,'Annual_Cost'!$B$2:$B$1353,B195)</f>
      </c>
      <c r="G195" s="93" t="str">
        <f>SUMIFS($E$2:E195,$A$2:A195,A195)</f>
      </c>
      <c r="H195" s="94" t="str">
        <f>SUMIFS($F$2:F195,$A$2:A195,A195)</f>
      </c>
    </row>
    <row r="196">
      <c r="A196" t="s">
        <v>226</v>
      </c>
      <c r="B196" s="88" t="n">
        <v>2037</v>
      </c>
      <c r="C196" s="89" t="str">
        <f>SUMIFS('Annual_Cost'!$Q$2:$Q$1353,'Annual_Cost'!$A$2:$A$1353,A196,'Annual_Cost'!$B$2:$B$1353,B196)</f>
      </c>
      <c r="D196" s="90" t="str">
        <f>SUMIFS('Annual_Cost'!$R$2:$R$1353,'Annual_Cost'!$A$2:$A$1353,A196,'Annual_Cost'!$B$2:$B$1353,B196)</f>
      </c>
      <c r="E196" s="91" t="str">
        <f>SUMIFS('Annual_Cost'!$S$2:$S$1353,'Annual_Cost'!$A$2:$A$1353,A196,'Annual_Cost'!$B$2:$B$1353,B196)</f>
      </c>
      <c r="F196" s="92" t="str">
        <f>SUMIFS('Annual_Cost'!$Y$2:$Y$1353,'Annual_Cost'!$A$2:$A$1353,A196,'Annual_Cost'!$B$2:$B$1353,B196)</f>
      </c>
      <c r="G196" s="93" t="str">
        <f>SUMIFS($E$2:E196,$A$2:A196,A196)</f>
      </c>
      <c r="H196" s="94" t="str">
        <f>SUMIFS($F$2:F196,$A$2:A196,A196)</f>
      </c>
    </row>
    <row r="197">
      <c r="A197" t="s">
        <v>226</v>
      </c>
      <c r="B197" s="88" t="n">
        <v>2038</v>
      </c>
      <c r="C197" s="89" t="str">
        <f>SUMIFS('Annual_Cost'!$Q$2:$Q$1353,'Annual_Cost'!$A$2:$A$1353,A197,'Annual_Cost'!$B$2:$B$1353,B197)</f>
      </c>
      <c r="D197" s="90" t="str">
        <f>SUMIFS('Annual_Cost'!$R$2:$R$1353,'Annual_Cost'!$A$2:$A$1353,A197,'Annual_Cost'!$B$2:$B$1353,B197)</f>
      </c>
      <c r="E197" s="91" t="str">
        <f>SUMIFS('Annual_Cost'!$S$2:$S$1353,'Annual_Cost'!$A$2:$A$1353,A197,'Annual_Cost'!$B$2:$B$1353,B197)</f>
      </c>
      <c r="F197" s="92" t="str">
        <f>SUMIFS('Annual_Cost'!$Y$2:$Y$1353,'Annual_Cost'!$A$2:$A$1353,A197,'Annual_Cost'!$B$2:$B$1353,B197)</f>
      </c>
      <c r="G197" s="93" t="str">
        <f>SUMIFS($E$2:E197,$A$2:A197,A197)</f>
      </c>
      <c r="H197" s="94" t="str">
        <f>SUMIFS($F$2:F197,$A$2:A197,A197)</f>
      </c>
    </row>
    <row r="198">
      <c r="A198" t="s">
        <v>226</v>
      </c>
      <c r="B198" s="88" t="n">
        <v>2039</v>
      </c>
      <c r="C198" s="89" t="str">
        <f>SUMIFS('Annual_Cost'!$Q$2:$Q$1353,'Annual_Cost'!$A$2:$A$1353,A198,'Annual_Cost'!$B$2:$B$1353,B198)</f>
      </c>
      <c r="D198" s="90" t="str">
        <f>SUMIFS('Annual_Cost'!$R$2:$R$1353,'Annual_Cost'!$A$2:$A$1353,A198,'Annual_Cost'!$B$2:$B$1353,B198)</f>
      </c>
      <c r="E198" s="91" t="str">
        <f>SUMIFS('Annual_Cost'!$S$2:$S$1353,'Annual_Cost'!$A$2:$A$1353,A198,'Annual_Cost'!$B$2:$B$1353,B198)</f>
      </c>
      <c r="F198" s="92" t="str">
        <f>SUMIFS('Annual_Cost'!$Y$2:$Y$1353,'Annual_Cost'!$A$2:$A$1353,A198,'Annual_Cost'!$B$2:$B$1353,B198)</f>
      </c>
      <c r="G198" s="93" t="str">
        <f>SUMIFS($E$2:E198,$A$2:A198,A198)</f>
      </c>
      <c r="H198" s="94" t="str">
        <f>SUMIFS($F$2:F198,$A$2:A198,A198)</f>
      </c>
    </row>
    <row r="199">
      <c r="A199" t="s">
        <v>226</v>
      </c>
      <c r="B199" s="88" t="n">
        <v>2040</v>
      </c>
      <c r="C199" s="89" t="str">
        <f>SUMIFS('Annual_Cost'!$Q$2:$Q$1353,'Annual_Cost'!$A$2:$A$1353,A199,'Annual_Cost'!$B$2:$B$1353,B199)</f>
      </c>
      <c r="D199" s="90" t="str">
        <f>SUMIFS('Annual_Cost'!$R$2:$R$1353,'Annual_Cost'!$A$2:$A$1353,A199,'Annual_Cost'!$B$2:$B$1353,B199)</f>
      </c>
      <c r="E199" s="91" t="str">
        <f>SUMIFS('Annual_Cost'!$S$2:$S$1353,'Annual_Cost'!$A$2:$A$1353,A199,'Annual_Cost'!$B$2:$B$1353,B199)</f>
      </c>
      <c r="F199" s="92" t="str">
        <f>SUMIFS('Annual_Cost'!$Y$2:$Y$1353,'Annual_Cost'!$A$2:$A$1353,A199,'Annual_Cost'!$B$2:$B$1353,B199)</f>
      </c>
      <c r="G199" s="93" t="str">
        <f>SUMIFS($E$2:E199,$A$2:A199,A199)</f>
      </c>
      <c r="H199" s="94" t="str">
        <f>SUMIFS($F$2:F199,$A$2:A199,A199)</f>
      </c>
    </row>
    <row r="200">
      <c r="A200" t="s">
        <v>226</v>
      </c>
      <c r="B200" s="88" t="n">
        <v>2041</v>
      </c>
      <c r="C200" s="89" t="str">
        <f>SUMIFS('Annual_Cost'!$Q$2:$Q$1353,'Annual_Cost'!$A$2:$A$1353,A200,'Annual_Cost'!$B$2:$B$1353,B200)</f>
      </c>
      <c r="D200" s="90" t="str">
        <f>SUMIFS('Annual_Cost'!$R$2:$R$1353,'Annual_Cost'!$A$2:$A$1353,A200,'Annual_Cost'!$B$2:$B$1353,B200)</f>
      </c>
      <c r="E200" s="91" t="str">
        <f>SUMIFS('Annual_Cost'!$S$2:$S$1353,'Annual_Cost'!$A$2:$A$1353,A200,'Annual_Cost'!$B$2:$B$1353,B200)</f>
      </c>
      <c r="F200" s="92" t="str">
        <f>SUMIFS('Annual_Cost'!$Y$2:$Y$1353,'Annual_Cost'!$A$2:$A$1353,A200,'Annual_Cost'!$B$2:$B$1353,B200)</f>
      </c>
      <c r="G200" s="93" t="str">
        <f>SUMIFS($E$2:E200,$A$2:A200,A200)</f>
      </c>
      <c r="H200" s="94" t="str">
        <f>SUMIFS($F$2:F200,$A$2:A200,A200)</f>
      </c>
    </row>
    <row r="201">
      <c r="A201" t="s">
        <v>226</v>
      </c>
      <c r="B201" s="88" t="n">
        <v>2042</v>
      </c>
      <c r="C201" s="89" t="str">
        <f>SUMIFS('Annual_Cost'!$Q$2:$Q$1353,'Annual_Cost'!$A$2:$A$1353,A201,'Annual_Cost'!$B$2:$B$1353,B201)</f>
      </c>
      <c r="D201" s="90" t="str">
        <f>SUMIFS('Annual_Cost'!$R$2:$R$1353,'Annual_Cost'!$A$2:$A$1353,A201,'Annual_Cost'!$B$2:$B$1353,B201)</f>
      </c>
      <c r="E201" s="91" t="str">
        <f>SUMIFS('Annual_Cost'!$S$2:$S$1353,'Annual_Cost'!$A$2:$A$1353,A201,'Annual_Cost'!$B$2:$B$1353,B201)</f>
      </c>
      <c r="F201" s="92" t="str">
        <f>SUMIFS('Annual_Cost'!$Y$2:$Y$1353,'Annual_Cost'!$A$2:$A$1353,A201,'Annual_Cost'!$B$2:$B$1353,B201)</f>
      </c>
      <c r="G201" s="93" t="str">
        <f>SUMIFS($E$2:E201,$A$2:A201,A201)</f>
      </c>
      <c r="H201" s="94" t="str">
        <f>SUMIFS($F$2:F201,$A$2:A201,A201)</f>
      </c>
    </row>
    <row r="202">
      <c r="A202" t="s">
        <v>226</v>
      </c>
      <c r="B202" s="88" t="n">
        <v>2043</v>
      </c>
      <c r="C202" s="89" t="str">
        <f>SUMIFS('Annual_Cost'!$Q$2:$Q$1353,'Annual_Cost'!$A$2:$A$1353,A202,'Annual_Cost'!$B$2:$B$1353,B202)</f>
      </c>
      <c r="D202" s="90" t="str">
        <f>SUMIFS('Annual_Cost'!$R$2:$R$1353,'Annual_Cost'!$A$2:$A$1353,A202,'Annual_Cost'!$B$2:$B$1353,B202)</f>
      </c>
      <c r="E202" s="91" t="str">
        <f>SUMIFS('Annual_Cost'!$S$2:$S$1353,'Annual_Cost'!$A$2:$A$1353,A202,'Annual_Cost'!$B$2:$B$1353,B202)</f>
      </c>
      <c r="F202" s="92" t="str">
        <f>SUMIFS('Annual_Cost'!$Y$2:$Y$1353,'Annual_Cost'!$A$2:$A$1353,A202,'Annual_Cost'!$B$2:$B$1353,B202)</f>
      </c>
      <c r="G202" s="93" t="str">
        <f>SUMIFS($E$2:E202,$A$2:A202,A202)</f>
      </c>
      <c r="H202" s="94" t="str">
        <f>SUMIFS($F$2:F202,$A$2:A202,A202)</f>
      </c>
    </row>
    <row r="203">
      <c r="A203" t="s">
        <v>226</v>
      </c>
      <c r="B203" s="88" t="n">
        <v>2044</v>
      </c>
      <c r="C203" s="89" t="str">
        <f>SUMIFS('Annual_Cost'!$Q$2:$Q$1353,'Annual_Cost'!$A$2:$A$1353,A203,'Annual_Cost'!$B$2:$B$1353,B203)</f>
      </c>
      <c r="D203" s="90" t="str">
        <f>SUMIFS('Annual_Cost'!$R$2:$R$1353,'Annual_Cost'!$A$2:$A$1353,A203,'Annual_Cost'!$B$2:$B$1353,B203)</f>
      </c>
      <c r="E203" s="91" t="str">
        <f>SUMIFS('Annual_Cost'!$S$2:$S$1353,'Annual_Cost'!$A$2:$A$1353,A203,'Annual_Cost'!$B$2:$B$1353,B203)</f>
      </c>
      <c r="F203" s="92" t="str">
        <f>SUMIFS('Annual_Cost'!$Y$2:$Y$1353,'Annual_Cost'!$A$2:$A$1353,A203,'Annual_Cost'!$B$2:$B$1353,B203)</f>
      </c>
      <c r="G203" s="93" t="str">
        <f>SUMIFS($E$2:E203,$A$2:A203,A203)</f>
      </c>
      <c r="H203" s="94" t="str">
        <f>SUMIFS($F$2:F203,$A$2:A203,A203)</f>
      </c>
    </row>
    <row r="204">
      <c r="A204" t="s">
        <v>226</v>
      </c>
      <c r="B204" s="88" t="n">
        <v>2045</v>
      </c>
      <c r="C204" s="89" t="str">
        <f>SUMIFS('Annual_Cost'!$Q$2:$Q$1353,'Annual_Cost'!$A$2:$A$1353,A204,'Annual_Cost'!$B$2:$B$1353,B204)</f>
      </c>
      <c r="D204" s="90" t="str">
        <f>SUMIFS('Annual_Cost'!$R$2:$R$1353,'Annual_Cost'!$A$2:$A$1353,A204,'Annual_Cost'!$B$2:$B$1353,B204)</f>
      </c>
      <c r="E204" s="91" t="str">
        <f>SUMIFS('Annual_Cost'!$S$2:$S$1353,'Annual_Cost'!$A$2:$A$1353,A204,'Annual_Cost'!$B$2:$B$1353,B204)</f>
      </c>
      <c r="F204" s="92" t="str">
        <f>SUMIFS('Annual_Cost'!$Y$2:$Y$1353,'Annual_Cost'!$A$2:$A$1353,A204,'Annual_Cost'!$B$2:$B$1353,B204)</f>
      </c>
      <c r="G204" s="93" t="str">
        <f>SUMIFS($E$2:E204,$A$2:A204,A204)</f>
      </c>
      <c r="H204" s="94" t="str">
        <f>SUMIFS($F$2:F204,$A$2:A204,A204)</f>
      </c>
    </row>
    <row r="205">
      <c r="A205" t="s">
        <v>226</v>
      </c>
      <c r="B205" s="88" t="n">
        <v>2046</v>
      </c>
      <c r="C205" s="89" t="str">
        <f>SUMIFS('Annual_Cost'!$Q$2:$Q$1353,'Annual_Cost'!$A$2:$A$1353,A205,'Annual_Cost'!$B$2:$B$1353,B205)</f>
      </c>
      <c r="D205" s="90" t="str">
        <f>SUMIFS('Annual_Cost'!$R$2:$R$1353,'Annual_Cost'!$A$2:$A$1353,A205,'Annual_Cost'!$B$2:$B$1353,B205)</f>
      </c>
      <c r="E205" s="91" t="str">
        <f>SUMIFS('Annual_Cost'!$S$2:$S$1353,'Annual_Cost'!$A$2:$A$1353,A205,'Annual_Cost'!$B$2:$B$1353,B205)</f>
      </c>
      <c r="F205" s="92" t="str">
        <f>SUMIFS('Annual_Cost'!$Y$2:$Y$1353,'Annual_Cost'!$A$2:$A$1353,A205,'Annual_Cost'!$B$2:$B$1353,B205)</f>
      </c>
      <c r="G205" s="93" t="str">
        <f>SUMIFS($E$2:E205,$A$2:A205,A205)</f>
      </c>
      <c r="H205" s="94" t="str">
        <f>SUMIFS($F$2:F205,$A$2:A205,A205)</f>
      </c>
    </row>
    <row r="206">
      <c r="A206" t="s">
        <v>226</v>
      </c>
      <c r="B206" s="88" t="n">
        <v>2047</v>
      </c>
      <c r="C206" s="89" t="str">
        <f>SUMIFS('Annual_Cost'!$Q$2:$Q$1353,'Annual_Cost'!$A$2:$A$1353,A206,'Annual_Cost'!$B$2:$B$1353,B206)</f>
      </c>
      <c r="D206" s="90" t="str">
        <f>SUMIFS('Annual_Cost'!$R$2:$R$1353,'Annual_Cost'!$A$2:$A$1353,A206,'Annual_Cost'!$B$2:$B$1353,B206)</f>
      </c>
      <c r="E206" s="91" t="str">
        <f>SUMIFS('Annual_Cost'!$S$2:$S$1353,'Annual_Cost'!$A$2:$A$1353,A206,'Annual_Cost'!$B$2:$B$1353,B206)</f>
      </c>
      <c r="F206" s="92" t="str">
        <f>SUMIFS('Annual_Cost'!$Y$2:$Y$1353,'Annual_Cost'!$A$2:$A$1353,A206,'Annual_Cost'!$B$2:$B$1353,B206)</f>
      </c>
      <c r="G206" s="93" t="str">
        <f>SUMIFS($E$2:E206,$A$2:A206,A206)</f>
      </c>
      <c r="H206" s="94" t="str">
        <f>SUMIFS($F$2:F206,$A$2:A206,A206)</f>
      </c>
    </row>
    <row r="207">
      <c r="A207" t="s">
        <v>226</v>
      </c>
      <c r="B207" s="88" t="n">
        <v>2048</v>
      </c>
      <c r="C207" s="89" t="str">
        <f>SUMIFS('Annual_Cost'!$Q$2:$Q$1353,'Annual_Cost'!$A$2:$A$1353,A207,'Annual_Cost'!$B$2:$B$1353,B207)</f>
      </c>
      <c r="D207" s="90" t="str">
        <f>SUMIFS('Annual_Cost'!$R$2:$R$1353,'Annual_Cost'!$A$2:$A$1353,A207,'Annual_Cost'!$B$2:$B$1353,B207)</f>
      </c>
      <c r="E207" s="91" t="str">
        <f>SUMIFS('Annual_Cost'!$S$2:$S$1353,'Annual_Cost'!$A$2:$A$1353,A207,'Annual_Cost'!$B$2:$B$1353,B207)</f>
      </c>
      <c r="F207" s="92" t="str">
        <f>SUMIFS('Annual_Cost'!$Y$2:$Y$1353,'Annual_Cost'!$A$2:$A$1353,A207,'Annual_Cost'!$B$2:$B$1353,B207)</f>
      </c>
      <c r="G207" s="93" t="str">
        <f>SUMIFS($E$2:E207,$A$2:A207,A207)</f>
      </c>
      <c r="H207" s="94" t="str">
        <f>SUMIFS($F$2:F207,$A$2:A207,A207)</f>
      </c>
    </row>
    <row r="208">
      <c r="A208" t="s">
        <v>226</v>
      </c>
      <c r="B208" s="88" t="n">
        <v>2049</v>
      </c>
      <c r="C208" s="89" t="str">
        <f>SUMIFS('Annual_Cost'!$Q$2:$Q$1353,'Annual_Cost'!$A$2:$A$1353,A208,'Annual_Cost'!$B$2:$B$1353,B208)</f>
      </c>
      <c r="D208" s="90" t="str">
        <f>SUMIFS('Annual_Cost'!$R$2:$R$1353,'Annual_Cost'!$A$2:$A$1353,A208,'Annual_Cost'!$B$2:$B$1353,B208)</f>
      </c>
      <c r="E208" s="91" t="str">
        <f>SUMIFS('Annual_Cost'!$S$2:$S$1353,'Annual_Cost'!$A$2:$A$1353,A208,'Annual_Cost'!$B$2:$B$1353,B208)</f>
      </c>
      <c r="F208" s="92" t="str">
        <f>SUMIFS('Annual_Cost'!$Y$2:$Y$1353,'Annual_Cost'!$A$2:$A$1353,A208,'Annual_Cost'!$B$2:$B$1353,B208)</f>
      </c>
      <c r="G208" s="93" t="str">
        <f>SUMIFS($E$2:E208,$A$2:A208,A208)</f>
      </c>
      <c r="H208" s="94" t="str">
        <f>SUMIFS($F$2:F208,$A$2:A208,A208)</f>
      </c>
    </row>
    <row r="209">
      <c r="A209" t="s">
        <v>226</v>
      </c>
      <c r="B209" s="88" t="n">
        <v>2050</v>
      </c>
      <c r="C209" s="89" t="str">
        <f>SUMIFS('Annual_Cost'!$Q$2:$Q$1353,'Annual_Cost'!$A$2:$A$1353,A209,'Annual_Cost'!$B$2:$B$1353,B209)</f>
      </c>
      <c r="D209" s="90" t="str">
        <f>SUMIFS('Annual_Cost'!$R$2:$R$1353,'Annual_Cost'!$A$2:$A$1353,A209,'Annual_Cost'!$B$2:$B$1353,B209)</f>
      </c>
      <c r="E209" s="91" t="str">
        <f>SUMIFS('Annual_Cost'!$S$2:$S$1353,'Annual_Cost'!$A$2:$A$1353,A209,'Annual_Cost'!$B$2:$B$1353,B209)</f>
      </c>
      <c r="F209" s="92" t="str">
        <f>SUMIFS('Annual_Cost'!$Y$2:$Y$1353,'Annual_Cost'!$A$2:$A$1353,A209,'Annual_Cost'!$B$2:$B$1353,B209)</f>
      </c>
      <c r="G209" s="93" t="str">
        <f>SUMIFS($E$2:E209,$A$2:A209,A209)</f>
      </c>
      <c r="H209" s="94" t="str">
        <f>SUMIFS($F$2:F209,$A$2:A209,A209)</f>
      </c>
    </row>
    <row r="210">
      <c r="A210" t="s">
        <v>75</v>
      </c>
      <c r="B210" s="88" t="n">
        <v>2025</v>
      </c>
      <c r="C210" s="89" t="str">
        <f>SUMIFS('Annual_Cost'!$Q$2:$Q$1353,'Annual_Cost'!$A$2:$A$1353,A210,'Annual_Cost'!$B$2:$B$1353,B210)</f>
      </c>
      <c r="D210" s="90" t="str">
        <f>SUMIFS('Annual_Cost'!$R$2:$R$1353,'Annual_Cost'!$A$2:$A$1353,A210,'Annual_Cost'!$B$2:$B$1353,B210)</f>
      </c>
      <c r="E210" s="91" t="str">
        <f>SUMIFS('Annual_Cost'!$S$2:$S$1353,'Annual_Cost'!$A$2:$A$1353,A210,'Annual_Cost'!$B$2:$B$1353,B210)</f>
      </c>
      <c r="F210" s="92" t="str">
        <f>SUMIFS('Annual_Cost'!$Y$2:$Y$1353,'Annual_Cost'!$A$2:$A$1353,A210,'Annual_Cost'!$B$2:$B$1353,B210)</f>
      </c>
      <c r="G210" s="93" t="str">
        <f>SUMIFS($E$2:E210,$A$2:A210,A210)</f>
      </c>
      <c r="H210" s="94" t="str">
        <f>SUMIFS($F$2:F210,$A$2:A210,A210)</f>
      </c>
    </row>
    <row r="211">
      <c r="A211" t="s">
        <v>75</v>
      </c>
      <c r="B211" s="88" t="n">
        <v>2026</v>
      </c>
      <c r="C211" s="89" t="str">
        <f>SUMIFS('Annual_Cost'!$Q$2:$Q$1353,'Annual_Cost'!$A$2:$A$1353,A211,'Annual_Cost'!$B$2:$B$1353,B211)</f>
      </c>
      <c r="D211" s="90" t="str">
        <f>SUMIFS('Annual_Cost'!$R$2:$R$1353,'Annual_Cost'!$A$2:$A$1353,A211,'Annual_Cost'!$B$2:$B$1353,B211)</f>
      </c>
      <c r="E211" s="91" t="str">
        <f>SUMIFS('Annual_Cost'!$S$2:$S$1353,'Annual_Cost'!$A$2:$A$1353,A211,'Annual_Cost'!$B$2:$B$1353,B211)</f>
      </c>
      <c r="F211" s="92" t="str">
        <f>SUMIFS('Annual_Cost'!$Y$2:$Y$1353,'Annual_Cost'!$A$2:$A$1353,A211,'Annual_Cost'!$B$2:$B$1353,B211)</f>
      </c>
      <c r="G211" s="93" t="str">
        <f>SUMIFS($E$2:E211,$A$2:A211,A211)</f>
      </c>
      <c r="H211" s="94" t="str">
        <f>SUMIFS($F$2:F211,$A$2:A211,A211)</f>
      </c>
    </row>
    <row r="212">
      <c r="A212" t="s">
        <v>75</v>
      </c>
      <c r="B212" s="88" t="n">
        <v>2027</v>
      </c>
      <c r="C212" s="89" t="str">
        <f>SUMIFS('Annual_Cost'!$Q$2:$Q$1353,'Annual_Cost'!$A$2:$A$1353,A212,'Annual_Cost'!$B$2:$B$1353,B212)</f>
      </c>
      <c r="D212" s="90" t="str">
        <f>SUMIFS('Annual_Cost'!$R$2:$R$1353,'Annual_Cost'!$A$2:$A$1353,A212,'Annual_Cost'!$B$2:$B$1353,B212)</f>
      </c>
      <c r="E212" s="91" t="str">
        <f>SUMIFS('Annual_Cost'!$S$2:$S$1353,'Annual_Cost'!$A$2:$A$1353,A212,'Annual_Cost'!$B$2:$B$1353,B212)</f>
      </c>
      <c r="F212" s="92" t="str">
        <f>SUMIFS('Annual_Cost'!$Y$2:$Y$1353,'Annual_Cost'!$A$2:$A$1353,A212,'Annual_Cost'!$B$2:$B$1353,B212)</f>
      </c>
      <c r="G212" s="93" t="str">
        <f>SUMIFS($E$2:E212,$A$2:A212,A212)</f>
      </c>
      <c r="H212" s="94" t="str">
        <f>SUMIFS($F$2:F212,$A$2:A212,A212)</f>
      </c>
    </row>
    <row r="213">
      <c r="A213" t="s">
        <v>75</v>
      </c>
      <c r="B213" s="88" t="n">
        <v>2028</v>
      </c>
      <c r="C213" s="89" t="str">
        <f>SUMIFS('Annual_Cost'!$Q$2:$Q$1353,'Annual_Cost'!$A$2:$A$1353,A213,'Annual_Cost'!$B$2:$B$1353,B213)</f>
      </c>
      <c r="D213" s="90" t="str">
        <f>SUMIFS('Annual_Cost'!$R$2:$R$1353,'Annual_Cost'!$A$2:$A$1353,A213,'Annual_Cost'!$B$2:$B$1353,B213)</f>
      </c>
      <c r="E213" s="91" t="str">
        <f>SUMIFS('Annual_Cost'!$S$2:$S$1353,'Annual_Cost'!$A$2:$A$1353,A213,'Annual_Cost'!$B$2:$B$1353,B213)</f>
      </c>
      <c r="F213" s="92" t="str">
        <f>SUMIFS('Annual_Cost'!$Y$2:$Y$1353,'Annual_Cost'!$A$2:$A$1353,A213,'Annual_Cost'!$B$2:$B$1353,B213)</f>
      </c>
      <c r="G213" s="93" t="str">
        <f>SUMIFS($E$2:E213,$A$2:A213,A213)</f>
      </c>
      <c r="H213" s="94" t="str">
        <f>SUMIFS($F$2:F213,$A$2:A213,A213)</f>
      </c>
    </row>
    <row r="214">
      <c r="A214" t="s">
        <v>75</v>
      </c>
      <c r="B214" s="88" t="n">
        <v>2029</v>
      </c>
      <c r="C214" s="89" t="str">
        <f>SUMIFS('Annual_Cost'!$Q$2:$Q$1353,'Annual_Cost'!$A$2:$A$1353,A214,'Annual_Cost'!$B$2:$B$1353,B214)</f>
      </c>
      <c r="D214" s="90" t="str">
        <f>SUMIFS('Annual_Cost'!$R$2:$R$1353,'Annual_Cost'!$A$2:$A$1353,A214,'Annual_Cost'!$B$2:$B$1353,B214)</f>
      </c>
      <c r="E214" s="91" t="str">
        <f>SUMIFS('Annual_Cost'!$S$2:$S$1353,'Annual_Cost'!$A$2:$A$1353,A214,'Annual_Cost'!$B$2:$B$1353,B214)</f>
      </c>
      <c r="F214" s="92" t="str">
        <f>SUMIFS('Annual_Cost'!$Y$2:$Y$1353,'Annual_Cost'!$A$2:$A$1353,A214,'Annual_Cost'!$B$2:$B$1353,B214)</f>
      </c>
      <c r="G214" s="93" t="str">
        <f>SUMIFS($E$2:E214,$A$2:A214,A214)</f>
      </c>
      <c r="H214" s="94" t="str">
        <f>SUMIFS($F$2:F214,$A$2:A214,A214)</f>
      </c>
    </row>
    <row r="215">
      <c r="A215" t="s">
        <v>75</v>
      </c>
      <c r="B215" s="88" t="n">
        <v>2030</v>
      </c>
      <c r="C215" s="89" t="str">
        <f>SUMIFS('Annual_Cost'!$Q$2:$Q$1353,'Annual_Cost'!$A$2:$A$1353,A215,'Annual_Cost'!$B$2:$B$1353,B215)</f>
      </c>
      <c r="D215" s="90" t="str">
        <f>SUMIFS('Annual_Cost'!$R$2:$R$1353,'Annual_Cost'!$A$2:$A$1353,A215,'Annual_Cost'!$B$2:$B$1353,B215)</f>
      </c>
      <c r="E215" s="91" t="str">
        <f>SUMIFS('Annual_Cost'!$S$2:$S$1353,'Annual_Cost'!$A$2:$A$1353,A215,'Annual_Cost'!$B$2:$B$1353,B215)</f>
      </c>
      <c r="F215" s="92" t="str">
        <f>SUMIFS('Annual_Cost'!$Y$2:$Y$1353,'Annual_Cost'!$A$2:$A$1353,A215,'Annual_Cost'!$B$2:$B$1353,B215)</f>
      </c>
      <c r="G215" s="93" t="str">
        <f>SUMIFS($E$2:E215,$A$2:A215,A215)</f>
      </c>
      <c r="H215" s="94" t="str">
        <f>SUMIFS($F$2:F215,$A$2:A215,A215)</f>
      </c>
    </row>
    <row r="216">
      <c r="A216" t="s">
        <v>75</v>
      </c>
      <c r="B216" s="88" t="n">
        <v>2031</v>
      </c>
      <c r="C216" s="89" t="str">
        <f>SUMIFS('Annual_Cost'!$Q$2:$Q$1353,'Annual_Cost'!$A$2:$A$1353,A216,'Annual_Cost'!$B$2:$B$1353,B216)</f>
      </c>
      <c r="D216" s="90" t="str">
        <f>SUMIFS('Annual_Cost'!$R$2:$R$1353,'Annual_Cost'!$A$2:$A$1353,A216,'Annual_Cost'!$B$2:$B$1353,B216)</f>
      </c>
      <c r="E216" s="91" t="str">
        <f>SUMIFS('Annual_Cost'!$S$2:$S$1353,'Annual_Cost'!$A$2:$A$1353,A216,'Annual_Cost'!$B$2:$B$1353,B216)</f>
      </c>
      <c r="F216" s="92" t="str">
        <f>SUMIFS('Annual_Cost'!$Y$2:$Y$1353,'Annual_Cost'!$A$2:$A$1353,A216,'Annual_Cost'!$B$2:$B$1353,B216)</f>
      </c>
      <c r="G216" s="93" t="str">
        <f>SUMIFS($E$2:E216,$A$2:A216,A216)</f>
      </c>
      <c r="H216" s="94" t="str">
        <f>SUMIFS($F$2:F216,$A$2:A216,A216)</f>
      </c>
    </row>
    <row r="217">
      <c r="A217" t="s">
        <v>75</v>
      </c>
      <c r="B217" s="88" t="n">
        <v>2032</v>
      </c>
      <c r="C217" s="89" t="str">
        <f>SUMIFS('Annual_Cost'!$Q$2:$Q$1353,'Annual_Cost'!$A$2:$A$1353,A217,'Annual_Cost'!$B$2:$B$1353,B217)</f>
      </c>
      <c r="D217" s="90" t="str">
        <f>SUMIFS('Annual_Cost'!$R$2:$R$1353,'Annual_Cost'!$A$2:$A$1353,A217,'Annual_Cost'!$B$2:$B$1353,B217)</f>
      </c>
      <c r="E217" s="91" t="str">
        <f>SUMIFS('Annual_Cost'!$S$2:$S$1353,'Annual_Cost'!$A$2:$A$1353,A217,'Annual_Cost'!$B$2:$B$1353,B217)</f>
      </c>
      <c r="F217" s="92" t="str">
        <f>SUMIFS('Annual_Cost'!$Y$2:$Y$1353,'Annual_Cost'!$A$2:$A$1353,A217,'Annual_Cost'!$B$2:$B$1353,B217)</f>
      </c>
      <c r="G217" s="93" t="str">
        <f>SUMIFS($E$2:E217,$A$2:A217,A217)</f>
      </c>
      <c r="H217" s="94" t="str">
        <f>SUMIFS($F$2:F217,$A$2:A217,A217)</f>
      </c>
    </row>
    <row r="218">
      <c r="A218" t="s">
        <v>75</v>
      </c>
      <c r="B218" s="88" t="n">
        <v>2033</v>
      </c>
      <c r="C218" s="89" t="str">
        <f>SUMIFS('Annual_Cost'!$Q$2:$Q$1353,'Annual_Cost'!$A$2:$A$1353,A218,'Annual_Cost'!$B$2:$B$1353,B218)</f>
      </c>
      <c r="D218" s="90" t="str">
        <f>SUMIFS('Annual_Cost'!$R$2:$R$1353,'Annual_Cost'!$A$2:$A$1353,A218,'Annual_Cost'!$B$2:$B$1353,B218)</f>
      </c>
      <c r="E218" s="91" t="str">
        <f>SUMIFS('Annual_Cost'!$S$2:$S$1353,'Annual_Cost'!$A$2:$A$1353,A218,'Annual_Cost'!$B$2:$B$1353,B218)</f>
      </c>
      <c r="F218" s="92" t="str">
        <f>SUMIFS('Annual_Cost'!$Y$2:$Y$1353,'Annual_Cost'!$A$2:$A$1353,A218,'Annual_Cost'!$B$2:$B$1353,B218)</f>
      </c>
      <c r="G218" s="93" t="str">
        <f>SUMIFS($E$2:E218,$A$2:A218,A218)</f>
      </c>
      <c r="H218" s="94" t="str">
        <f>SUMIFS($F$2:F218,$A$2:A218,A218)</f>
      </c>
    </row>
    <row r="219">
      <c r="A219" t="s">
        <v>75</v>
      </c>
      <c r="B219" s="88" t="n">
        <v>2034</v>
      </c>
      <c r="C219" s="89" t="str">
        <f>SUMIFS('Annual_Cost'!$Q$2:$Q$1353,'Annual_Cost'!$A$2:$A$1353,A219,'Annual_Cost'!$B$2:$B$1353,B219)</f>
      </c>
      <c r="D219" s="90" t="str">
        <f>SUMIFS('Annual_Cost'!$R$2:$R$1353,'Annual_Cost'!$A$2:$A$1353,A219,'Annual_Cost'!$B$2:$B$1353,B219)</f>
      </c>
      <c r="E219" s="91" t="str">
        <f>SUMIFS('Annual_Cost'!$S$2:$S$1353,'Annual_Cost'!$A$2:$A$1353,A219,'Annual_Cost'!$B$2:$B$1353,B219)</f>
      </c>
      <c r="F219" s="92" t="str">
        <f>SUMIFS('Annual_Cost'!$Y$2:$Y$1353,'Annual_Cost'!$A$2:$A$1353,A219,'Annual_Cost'!$B$2:$B$1353,B219)</f>
      </c>
      <c r="G219" s="93" t="str">
        <f>SUMIFS($E$2:E219,$A$2:A219,A219)</f>
      </c>
      <c r="H219" s="94" t="str">
        <f>SUMIFS($F$2:F219,$A$2:A219,A219)</f>
      </c>
    </row>
    <row r="220">
      <c r="A220" t="s">
        <v>75</v>
      </c>
      <c r="B220" s="88" t="n">
        <v>2035</v>
      </c>
      <c r="C220" s="89" t="str">
        <f>SUMIFS('Annual_Cost'!$Q$2:$Q$1353,'Annual_Cost'!$A$2:$A$1353,A220,'Annual_Cost'!$B$2:$B$1353,B220)</f>
      </c>
      <c r="D220" s="90" t="str">
        <f>SUMIFS('Annual_Cost'!$R$2:$R$1353,'Annual_Cost'!$A$2:$A$1353,A220,'Annual_Cost'!$B$2:$B$1353,B220)</f>
      </c>
      <c r="E220" s="91" t="str">
        <f>SUMIFS('Annual_Cost'!$S$2:$S$1353,'Annual_Cost'!$A$2:$A$1353,A220,'Annual_Cost'!$B$2:$B$1353,B220)</f>
      </c>
      <c r="F220" s="92" t="str">
        <f>SUMIFS('Annual_Cost'!$Y$2:$Y$1353,'Annual_Cost'!$A$2:$A$1353,A220,'Annual_Cost'!$B$2:$B$1353,B220)</f>
      </c>
      <c r="G220" s="93" t="str">
        <f>SUMIFS($E$2:E220,$A$2:A220,A220)</f>
      </c>
      <c r="H220" s="94" t="str">
        <f>SUMIFS($F$2:F220,$A$2:A220,A220)</f>
      </c>
    </row>
    <row r="221">
      <c r="A221" t="s">
        <v>75</v>
      </c>
      <c r="B221" s="88" t="n">
        <v>2036</v>
      </c>
      <c r="C221" s="89" t="str">
        <f>SUMIFS('Annual_Cost'!$Q$2:$Q$1353,'Annual_Cost'!$A$2:$A$1353,A221,'Annual_Cost'!$B$2:$B$1353,B221)</f>
      </c>
      <c r="D221" s="90" t="str">
        <f>SUMIFS('Annual_Cost'!$R$2:$R$1353,'Annual_Cost'!$A$2:$A$1353,A221,'Annual_Cost'!$B$2:$B$1353,B221)</f>
      </c>
      <c r="E221" s="91" t="str">
        <f>SUMIFS('Annual_Cost'!$S$2:$S$1353,'Annual_Cost'!$A$2:$A$1353,A221,'Annual_Cost'!$B$2:$B$1353,B221)</f>
      </c>
      <c r="F221" s="92" t="str">
        <f>SUMIFS('Annual_Cost'!$Y$2:$Y$1353,'Annual_Cost'!$A$2:$A$1353,A221,'Annual_Cost'!$B$2:$B$1353,B221)</f>
      </c>
      <c r="G221" s="93" t="str">
        <f>SUMIFS($E$2:E221,$A$2:A221,A221)</f>
      </c>
      <c r="H221" s="94" t="str">
        <f>SUMIFS($F$2:F221,$A$2:A221,A221)</f>
      </c>
    </row>
    <row r="222">
      <c r="A222" t="s">
        <v>75</v>
      </c>
      <c r="B222" s="88" t="n">
        <v>2037</v>
      </c>
      <c r="C222" s="89" t="str">
        <f>SUMIFS('Annual_Cost'!$Q$2:$Q$1353,'Annual_Cost'!$A$2:$A$1353,A222,'Annual_Cost'!$B$2:$B$1353,B222)</f>
      </c>
      <c r="D222" s="90" t="str">
        <f>SUMIFS('Annual_Cost'!$R$2:$R$1353,'Annual_Cost'!$A$2:$A$1353,A222,'Annual_Cost'!$B$2:$B$1353,B222)</f>
      </c>
      <c r="E222" s="91" t="str">
        <f>SUMIFS('Annual_Cost'!$S$2:$S$1353,'Annual_Cost'!$A$2:$A$1353,A222,'Annual_Cost'!$B$2:$B$1353,B222)</f>
      </c>
      <c r="F222" s="92" t="str">
        <f>SUMIFS('Annual_Cost'!$Y$2:$Y$1353,'Annual_Cost'!$A$2:$A$1353,A222,'Annual_Cost'!$B$2:$B$1353,B222)</f>
      </c>
      <c r="G222" s="93" t="str">
        <f>SUMIFS($E$2:E222,$A$2:A222,A222)</f>
      </c>
      <c r="H222" s="94" t="str">
        <f>SUMIFS($F$2:F222,$A$2:A222,A222)</f>
      </c>
    </row>
    <row r="223">
      <c r="A223" t="s">
        <v>75</v>
      </c>
      <c r="B223" s="88" t="n">
        <v>2038</v>
      </c>
      <c r="C223" s="89" t="str">
        <f>SUMIFS('Annual_Cost'!$Q$2:$Q$1353,'Annual_Cost'!$A$2:$A$1353,A223,'Annual_Cost'!$B$2:$B$1353,B223)</f>
      </c>
      <c r="D223" s="90" t="str">
        <f>SUMIFS('Annual_Cost'!$R$2:$R$1353,'Annual_Cost'!$A$2:$A$1353,A223,'Annual_Cost'!$B$2:$B$1353,B223)</f>
      </c>
      <c r="E223" s="91" t="str">
        <f>SUMIFS('Annual_Cost'!$S$2:$S$1353,'Annual_Cost'!$A$2:$A$1353,A223,'Annual_Cost'!$B$2:$B$1353,B223)</f>
      </c>
      <c r="F223" s="92" t="str">
        <f>SUMIFS('Annual_Cost'!$Y$2:$Y$1353,'Annual_Cost'!$A$2:$A$1353,A223,'Annual_Cost'!$B$2:$B$1353,B223)</f>
      </c>
      <c r="G223" s="93" t="str">
        <f>SUMIFS($E$2:E223,$A$2:A223,A223)</f>
      </c>
      <c r="H223" s="94" t="str">
        <f>SUMIFS($F$2:F223,$A$2:A223,A223)</f>
      </c>
    </row>
    <row r="224">
      <c r="A224" t="s">
        <v>75</v>
      </c>
      <c r="B224" s="88" t="n">
        <v>2039</v>
      </c>
      <c r="C224" s="89" t="str">
        <f>SUMIFS('Annual_Cost'!$Q$2:$Q$1353,'Annual_Cost'!$A$2:$A$1353,A224,'Annual_Cost'!$B$2:$B$1353,B224)</f>
      </c>
      <c r="D224" s="90" t="str">
        <f>SUMIFS('Annual_Cost'!$R$2:$R$1353,'Annual_Cost'!$A$2:$A$1353,A224,'Annual_Cost'!$B$2:$B$1353,B224)</f>
      </c>
      <c r="E224" s="91" t="str">
        <f>SUMIFS('Annual_Cost'!$S$2:$S$1353,'Annual_Cost'!$A$2:$A$1353,A224,'Annual_Cost'!$B$2:$B$1353,B224)</f>
      </c>
      <c r="F224" s="92" t="str">
        <f>SUMIFS('Annual_Cost'!$Y$2:$Y$1353,'Annual_Cost'!$A$2:$A$1353,A224,'Annual_Cost'!$B$2:$B$1353,B224)</f>
      </c>
      <c r="G224" s="93" t="str">
        <f>SUMIFS($E$2:E224,$A$2:A224,A224)</f>
      </c>
      <c r="H224" s="94" t="str">
        <f>SUMIFS($F$2:F224,$A$2:A224,A224)</f>
      </c>
    </row>
    <row r="225">
      <c r="A225" t="s">
        <v>75</v>
      </c>
      <c r="B225" s="88" t="n">
        <v>2040</v>
      </c>
      <c r="C225" s="89" t="str">
        <f>SUMIFS('Annual_Cost'!$Q$2:$Q$1353,'Annual_Cost'!$A$2:$A$1353,A225,'Annual_Cost'!$B$2:$B$1353,B225)</f>
      </c>
      <c r="D225" s="90" t="str">
        <f>SUMIFS('Annual_Cost'!$R$2:$R$1353,'Annual_Cost'!$A$2:$A$1353,A225,'Annual_Cost'!$B$2:$B$1353,B225)</f>
      </c>
      <c r="E225" s="91" t="str">
        <f>SUMIFS('Annual_Cost'!$S$2:$S$1353,'Annual_Cost'!$A$2:$A$1353,A225,'Annual_Cost'!$B$2:$B$1353,B225)</f>
      </c>
      <c r="F225" s="92" t="str">
        <f>SUMIFS('Annual_Cost'!$Y$2:$Y$1353,'Annual_Cost'!$A$2:$A$1353,A225,'Annual_Cost'!$B$2:$B$1353,B225)</f>
      </c>
      <c r="G225" s="93" t="str">
        <f>SUMIFS($E$2:E225,$A$2:A225,A225)</f>
      </c>
      <c r="H225" s="94" t="str">
        <f>SUMIFS($F$2:F225,$A$2:A225,A225)</f>
      </c>
    </row>
    <row r="226">
      <c r="A226" t="s">
        <v>75</v>
      </c>
      <c r="B226" s="88" t="n">
        <v>2041</v>
      </c>
      <c r="C226" s="89" t="str">
        <f>SUMIFS('Annual_Cost'!$Q$2:$Q$1353,'Annual_Cost'!$A$2:$A$1353,A226,'Annual_Cost'!$B$2:$B$1353,B226)</f>
      </c>
      <c r="D226" s="90" t="str">
        <f>SUMIFS('Annual_Cost'!$R$2:$R$1353,'Annual_Cost'!$A$2:$A$1353,A226,'Annual_Cost'!$B$2:$B$1353,B226)</f>
      </c>
      <c r="E226" s="91" t="str">
        <f>SUMIFS('Annual_Cost'!$S$2:$S$1353,'Annual_Cost'!$A$2:$A$1353,A226,'Annual_Cost'!$B$2:$B$1353,B226)</f>
      </c>
      <c r="F226" s="92" t="str">
        <f>SUMIFS('Annual_Cost'!$Y$2:$Y$1353,'Annual_Cost'!$A$2:$A$1353,A226,'Annual_Cost'!$B$2:$B$1353,B226)</f>
      </c>
      <c r="G226" s="93" t="str">
        <f>SUMIFS($E$2:E226,$A$2:A226,A226)</f>
      </c>
      <c r="H226" s="94" t="str">
        <f>SUMIFS($F$2:F226,$A$2:A226,A226)</f>
      </c>
    </row>
    <row r="227">
      <c r="A227" t="s">
        <v>75</v>
      </c>
      <c r="B227" s="88" t="n">
        <v>2042</v>
      </c>
      <c r="C227" s="89" t="str">
        <f>SUMIFS('Annual_Cost'!$Q$2:$Q$1353,'Annual_Cost'!$A$2:$A$1353,A227,'Annual_Cost'!$B$2:$B$1353,B227)</f>
      </c>
      <c r="D227" s="90" t="str">
        <f>SUMIFS('Annual_Cost'!$R$2:$R$1353,'Annual_Cost'!$A$2:$A$1353,A227,'Annual_Cost'!$B$2:$B$1353,B227)</f>
      </c>
      <c r="E227" s="91" t="str">
        <f>SUMIFS('Annual_Cost'!$S$2:$S$1353,'Annual_Cost'!$A$2:$A$1353,A227,'Annual_Cost'!$B$2:$B$1353,B227)</f>
      </c>
      <c r="F227" s="92" t="str">
        <f>SUMIFS('Annual_Cost'!$Y$2:$Y$1353,'Annual_Cost'!$A$2:$A$1353,A227,'Annual_Cost'!$B$2:$B$1353,B227)</f>
      </c>
      <c r="G227" s="93" t="str">
        <f>SUMIFS($E$2:E227,$A$2:A227,A227)</f>
      </c>
      <c r="H227" s="94" t="str">
        <f>SUMIFS($F$2:F227,$A$2:A227,A227)</f>
      </c>
    </row>
    <row r="228">
      <c r="A228" t="s">
        <v>75</v>
      </c>
      <c r="B228" s="88" t="n">
        <v>2043</v>
      </c>
      <c r="C228" s="89" t="str">
        <f>SUMIFS('Annual_Cost'!$Q$2:$Q$1353,'Annual_Cost'!$A$2:$A$1353,A228,'Annual_Cost'!$B$2:$B$1353,B228)</f>
      </c>
      <c r="D228" s="90" t="str">
        <f>SUMIFS('Annual_Cost'!$R$2:$R$1353,'Annual_Cost'!$A$2:$A$1353,A228,'Annual_Cost'!$B$2:$B$1353,B228)</f>
      </c>
      <c r="E228" s="91" t="str">
        <f>SUMIFS('Annual_Cost'!$S$2:$S$1353,'Annual_Cost'!$A$2:$A$1353,A228,'Annual_Cost'!$B$2:$B$1353,B228)</f>
      </c>
      <c r="F228" s="92" t="str">
        <f>SUMIFS('Annual_Cost'!$Y$2:$Y$1353,'Annual_Cost'!$A$2:$A$1353,A228,'Annual_Cost'!$B$2:$B$1353,B228)</f>
      </c>
      <c r="G228" s="93" t="str">
        <f>SUMIFS($E$2:E228,$A$2:A228,A228)</f>
      </c>
      <c r="H228" s="94" t="str">
        <f>SUMIFS($F$2:F228,$A$2:A228,A228)</f>
      </c>
    </row>
    <row r="229">
      <c r="A229" t="s">
        <v>75</v>
      </c>
      <c r="B229" s="88" t="n">
        <v>2044</v>
      </c>
      <c r="C229" s="89" t="str">
        <f>SUMIFS('Annual_Cost'!$Q$2:$Q$1353,'Annual_Cost'!$A$2:$A$1353,A229,'Annual_Cost'!$B$2:$B$1353,B229)</f>
      </c>
      <c r="D229" s="90" t="str">
        <f>SUMIFS('Annual_Cost'!$R$2:$R$1353,'Annual_Cost'!$A$2:$A$1353,A229,'Annual_Cost'!$B$2:$B$1353,B229)</f>
      </c>
      <c r="E229" s="91" t="str">
        <f>SUMIFS('Annual_Cost'!$S$2:$S$1353,'Annual_Cost'!$A$2:$A$1353,A229,'Annual_Cost'!$B$2:$B$1353,B229)</f>
      </c>
      <c r="F229" s="92" t="str">
        <f>SUMIFS('Annual_Cost'!$Y$2:$Y$1353,'Annual_Cost'!$A$2:$A$1353,A229,'Annual_Cost'!$B$2:$B$1353,B229)</f>
      </c>
      <c r="G229" s="93" t="str">
        <f>SUMIFS($E$2:E229,$A$2:A229,A229)</f>
      </c>
      <c r="H229" s="94" t="str">
        <f>SUMIFS($F$2:F229,$A$2:A229,A229)</f>
      </c>
    </row>
    <row r="230">
      <c r="A230" t="s">
        <v>75</v>
      </c>
      <c r="B230" s="88" t="n">
        <v>2045</v>
      </c>
      <c r="C230" s="89" t="str">
        <f>SUMIFS('Annual_Cost'!$Q$2:$Q$1353,'Annual_Cost'!$A$2:$A$1353,A230,'Annual_Cost'!$B$2:$B$1353,B230)</f>
      </c>
      <c r="D230" s="90" t="str">
        <f>SUMIFS('Annual_Cost'!$R$2:$R$1353,'Annual_Cost'!$A$2:$A$1353,A230,'Annual_Cost'!$B$2:$B$1353,B230)</f>
      </c>
      <c r="E230" s="91" t="str">
        <f>SUMIFS('Annual_Cost'!$S$2:$S$1353,'Annual_Cost'!$A$2:$A$1353,A230,'Annual_Cost'!$B$2:$B$1353,B230)</f>
      </c>
      <c r="F230" s="92" t="str">
        <f>SUMIFS('Annual_Cost'!$Y$2:$Y$1353,'Annual_Cost'!$A$2:$A$1353,A230,'Annual_Cost'!$B$2:$B$1353,B230)</f>
      </c>
      <c r="G230" s="93" t="str">
        <f>SUMIFS($E$2:E230,$A$2:A230,A230)</f>
      </c>
      <c r="H230" s="94" t="str">
        <f>SUMIFS($F$2:F230,$A$2:A230,A230)</f>
      </c>
    </row>
    <row r="231">
      <c r="A231" t="s">
        <v>75</v>
      </c>
      <c r="B231" s="88" t="n">
        <v>2046</v>
      </c>
      <c r="C231" s="89" t="str">
        <f>SUMIFS('Annual_Cost'!$Q$2:$Q$1353,'Annual_Cost'!$A$2:$A$1353,A231,'Annual_Cost'!$B$2:$B$1353,B231)</f>
      </c>
      <c r="D231" s="90" t="str">
        <f>SUMIFS('Annual_Cost'!$R$2:$R$1353,'Annual_Cost'!$A$2:$A$1353,A231,'Annual_Cost'!$B$2:$B$1353,B231)</f>
      </c>
      <c r="E231" s="91" t="str">
        <f>SUMIFS('Annual_Cost'!$S$2:$S$1353,'Annual_Cost'!$A$2:$A$1353,A231,'Annual_Cost'!$B$2:$B$1353,B231)</f>
      </c>
      <c r="F231" s="92" t="str">
        <f>SUMIFS('Annual_Cost'!$Y$2:$Y$1353,'Annual_Cost'!$A$2:$A$1353,A231,'Annual_Cost'!$B$2:$B$1353,B231)</f>
      </c>
      <c r="G231" s="93" t="str">
        <f>SUMIFS($E$2:E231,$A$2:A231,A231)</f>
      </c>
      <c r="H231" s="94" t="str">
        <f>SUMIFS($F$2:F231,$A$2:A231,A231)</f>
      </c>
    </row>
    <row r="232">
      <c r="A232" t="s">
        <v>75</v>
      </c>
      <c r="B232" s="88" t="n">
        <v>2047</v>
      </c>
      <c r="C232" s="89" t="str">
        <f>SUMIFS('Annual_Cost'!$Q$2:$Q$1353,'Annual_Cost'!$A$2:$A$1353,A232,'Annual_Cost'!$B$2:$B$1353,B232)</f>
      </c>
      <c r="D232" s="90" t="str">
        <f>SUMIFS('Annual_Cost'!$R$2:$R$1353,'Annual_Cost'!$A$2:$A$1353,A232,'Annual_Cost'!$B$2:$B$1353,B232)</f>
      </c>
      <c r="E232" s="91" t="str">
        <f>SUMIFS('Annual_Cost'!$S$2:$S$1353,'Annual_Cost'!$A$2:$A$1353,A232,'Annual_Cost'!$B$2:$B$1353,B232)</f>
      </c>
      <c r="F232" s="92" t="str">
        <f>SUMIFS('Annual_Cost'!$Y$2:$Y$1353,'Annual_Cost'!$A$2:$A$1353,A232,'Annual_Cost'!$B$2:$B$1353,B232)</f>
      </c>
      <c r="G232" s="93" t="str">
        <f>SUMIFS($E$2:E232,$A$2:A232,A232)</f>
      </c>
      <c r="H232" s="94" t="str">
        <f>SUMIFS($F$2:F232,$A$2:A232,A232)</f>
      </c>
    </row>
    <row r="233">
      <c r="A233" t="s">
        <v>75</v>
      </c>
      <c r="B233" s="88" t="n">
        <v>2048</v>
      </c>
      <c r="C233" s="89" t="str">
        <f>SUMIFS('Annual_Cost'!$Q$2:$Q$1353,'Annual_Cost'!$A$2:$A$1353,A233,'Annual_Cost'!$B$2:$B$1353,B233)</f>
      </c>
      <c r="D233" s="90" t="str">
        <f>SUMIFS('Annual_Cost'!$R$2:$R$1353,'Annual_Cost'!$A$2:$A$1353,A233,'Annual_Cost'!$B$2:$B$1353,B233)</f>
      </c>
      <c r="E233" s="91" t="str">
        <f>SUMIFS('Annual_Cost'!$S$2:$S$1353,'Annual_Cost'!$A$2:$A$1353,A233,'Annual_Cost'!$B$2:$B$1353,B233)</f>
      </c>
      <c r="F233" s="92" t="str">
        <f>SUMIFS('Annual_Cost'!$Y$2:$Y$1353,'Annual_Cost'!$A$2:$A$1353,A233,'Annual_Cost'!$B$2:$B$1353,B233)</f>
      </c>
      <c r="G233" s="93" t="str">
        <f>SUMIFS($E$2:E233,$A$2:A233,A233)</f>
      </c>
      <c r="H233" s="94" t="str">
        <f>SUMIFS($F$2:F233,$A$2:A233,A233)</f>
      </c>
    </row>
    <row r="234">
      <c r="A234" t="s">
        <v>75</v>
      </c>
      <c r="B234" s="88" t="n">
        <v>2049</v>
      </c>
      <c r="C234" s="89" t="str">
        <f>SUMIFS('Annual_Cost'!$Q$2:$Q$1353,'Annual_Cost'!$A$2:$A$1353,A234,'Annual_Cost'!$B$2:$B$1353,B234)</f>
      </c>
      <c r="D234" s="90" t="str">
        <f>SUMIFS('Annual_Cost'!$R$2:$R$1353,'Annual_Cost'!$A$2:$A$1353,A234,'Annual_Cost'!$B$2:$B$1353,B234)</f>
      </c>
      <c r="E234" s="91" t="str">
        <f>SUMIFS('Annual_Cost'!$S$2:$S$1353,'Annual_Cost'!$A$2:$A$1353,A234,'Annual_Cost'!$B$2:$B$1353,B234)</f>
      </c>
      <c r="F234" s="92" t="str">
        <f>SUMIFS('Annual_Cost'!$Y$2:$Y$1353,'Annual_Cost'!$A$2:$A$1353,A234,'Annual_Cost'!$B$2:$B$1353,B234)</f>
      </c>
      <c r="G234" s="93" t="str">
        <f>SUMIFS($E$2:E234,$A$2:A234,A234)</f>
      </c>
      <c r="H234" s="94" t="str">
        <f>SUMIFS($F$2:F234,$A$2:A234,A234)</f>
      </c>
    </row>
    <row r="235">
      <c r="A235" t="s">
        <v>75</v>
      </c>
      <c r="B235" s="88" t="n">
        <v>2050</v>
      </c>
      <c r="C235" s="89" t="str">
        <f>SUMIFS('Annual_Cost'!$Q$2:$Q$1353,'Annual_Cost'!$A$2:$A$1353,A235,'Annual_Cost'!$B$2:$B$1353,B235)</f>
      </c>
      <c r="D235" s="90" t="str">
        <f>SUMIFS('Annual_Cost'!$R$2:$R$1353,'Annual_Cost'!$A$2:$A$1353,A235,'Annual_Cost'!$B$2:$B$1353,B235)</f>
      </c>
      <c r="E235" s="91" t="str">
        <f>SUMIFS('Annual_Cost'!$S$2:$S$1353,'Annual_Cost'!$A$2:$A$1353,A235,'Annual_Cost'!$B$2:$B$1353,B235)</f>
      </c>
      <c r="F235" s="92" t="str">
        <f>SUMIFS('Annual_Cost'!$Y$2:$Y$1353,'Annual_Cost'!$A$2:$A$1353,A235,'Annual_Cost'!$B$2:$B$1353,B235)</f>
      </c>
      <c r="G235" s="93" t="str">
        <f>SUMIFS($E$2:E235,$A$2:A235,A235)</f>
      </c>
      <c r="H235" s="94" t="str">
        <f>SUMIFS($F$2:F235,$A$2:A235,A235)</f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6.71" hidden="0" customWidth="1"/>
    <col min="4" max="4" width="15.71" hidden="0" customWidth="1"/>
    <col min="5" max="5" width="18.71" hidden="0" customWidth="1"/>
    <col min="6" max="6" width="23.71" hidden="0" customWidth="1"/>
    <col min="7" max="7" width="24.71" hidden="0" customWidth="1"/>
    <col min="8" max="8" width="11.71" hidden="0" customWidth="1"/>
    <col min="9" max="9" width="23.71" hidden="0" customWidth="1"/>
  </cols>
  <sheetData>
    <row r="1" ht="28" customHeight="1">
      <c r="A1" s="1" t="s">
        <v>325</v>
      </c>
      <c r="B1" s="1" t="s">
        <v>326</v>
      </c>
      <c r="C1" s="1" t="s">
        <v>331</v>
      </c>
      <c r="D1" s="1" t="s">
        <v>333</v>
      </c>
      <c r="E1" s="1" t="s">
        <v>352</v>
      </c>
      <c r="F1" s="1" t="s">
        <v>353</v>
      </c>
      <c r="G1" s="1" t="s">
        <v>356</v>
      </c>
      <c r="H1" s="1" t="s">
        <v>357</v>
      </c>
      <c r="I1" s="1" t="s">
        <v>358</v>
      </c>
    </row>
    <row r="2">
      <c r="A2" t="s">
        <v>75</v>
      </c>
      <c r="B2" s="18" t="s">
        <v>334</v>
      </c>
      <c r="C2" s="95" t="str">
        <f>SUMIFS('Annual_Mortality'!$H$2:$H$1821,'Annual_Mortality'!$A$2:$A$1821,A2)</f>
      </c>
      <c r="D2" s="96" t="str">
        <f>SUMIFS('Annual_Mortality'!$J$2:$J$1821,'Annual_Mortality'!$A$2:$A$1821,A2)</f>
      </c>
      <c r="E2" s="97" t="str">
        <f>SUMIFS('Budget_Impact'!$E$2:$E$235,'Budget_Impact'!$A$2:$A$235,A2)</f>
      </c>
      <c r="F2" s="98" t="str">
        <f>SUMIFS('Budget_Impact'!$F$2:$F$235,'Budget_Impact'!$A$2:$A$235,A2)</f>
      </c>
      <c r="G2" s="99" t="str">
        <f>IF(C2&gt;0,F2/C2,"")</f>
      </c>
      <c r="H2" s="100" t="str">
        <f>IF(AND(C2&gt;0,F2&lt;0),"Dominant (more health, lower cost)",IF(AND(C2&lt;=0,F2&gt;0),"Dominated (less/no health, higher cost)",IF(AND(C2&lt;=0,F2&lt;=0),"No deaths averted; ratio not defined","USD per death averted")))</f>
      </c>
      <c r="I2" s="20" t="str">
        <f>IF(AND(ABS(F2-SUMIFS('Budget_Impact'!$F$2:$F$235,'Budget_Impact'!$A$2:$A$235,A2))&lt;='Calculation_Assumptions'!$B$11,ABS(C2-SUMIFS('Annual_Mortality'!$H$2:$H$1821,'Annual_Mortality'!$A$2:$A$1821,A2))&lt;='Calculation_Assumptions'!$B$11),"consistent","mismatch")</f>
      </c>
    </row>
    <row r="3">
      <c r="A3" t="s">
        <v>162</v>
      </c>
      <c r="B3" s="18" t="s">
        <v>164</v>
      </c>
      <c r="C3" s="95" t="str">
        <f>SUMIFS('Annual_Mortality'!$H$2:$H$1821,'Annual_Mortality'!$A$2:$A$1821,A3)</f>
      </c>
      <c r="D3" s="96" t="str">
        <f>SUMIFS('Annual_Mortality'!$J$2:$J$1821,'Annual_Mortality'!$A$2:$A$1821,A3)</f>
      </c>
      <c r="E3" s="97" t="str">
        <f>SUMIFS('Budget_Impact'!$E$2:$E$235,'Budget_Impact'!$A$2:$A$235,A3)</f>
      </c>
      <c r="F3" s="98" t="str">
        <f>SUMIFS('Budget_Impact'!$F$2:$F$235,'Budget_Impact'!$A$2:$A$235,A3)</f>
      </c>
      <c r="G3" s="99" t="str">
        <f>IF(C3&gt;0,F3/C3,"")</f>
      </c>
      <c r="H3" s="100" t="str">
        <f>IF(AND(C3&gt;0,F3&lt;0),"Dominant (more health, lower cost)",IF(AND(C3&lt;=0,F3&gt;0),"Dominated (less/no health, higher cost)",IF(AND(C3&lt;=0,F3&lt;=0),"No deaths averted; ratio not defined","USD per death averted")))</f>
      </c>
      <c r="I3" s="20" t="str">
        <f>IF(AND(ABS(F3-SUMIFS('Budget_Impact'!$F$2:$F$235,'Budget_Impact'!$A$2:$A$235,A3))&lt;='Calculation_Assumptions'!$B$11,ABS(C3-SUMIFS('Annual_Mortality'!$H$2:$H$1821,'Annual_Mortality'!$A$2:$A$1821,A3))&lt;='Calculation_Assumptions'!$B$11),"consistent","mismatch")</f>
      </c>
    </row>
    <row r="4">
      <c r="A4" t="s">
        <v>226</v>
      </c>
      <c r="B4" s="18" t="s">
        <v>228</v>
      </c>
      <c r="C4" s="95" t="str">
        <f>SUMIFS('Annual_Mortality'!$H$2:$H$1821,'Annual_Mortality'!$A$2:$A$1821,A4)</f>
      </c>
      <c r="D4" s="96" t="str">
        <f>SUMIFS('Annual_Mortality'!$J$2:$J$1821,'Annual_Mortality'!$A$2:$A$1821,A4)</f>
      </c>
      <c r="E4" s="97" t="str">
        <f>SUMIFS('Budget_Impact'!$E$2:$E$235,'Budget_Impact'!$A$2:$A$235,A4)</f>
      </c>
      <c r="F4" s="98" t="str">
        <f>SUMIFS('Budget_Impact'!$F$2:$F$235,'Budget_Impact'!$A$2:$A$235,A4)</f>
      </c>
      <c r="G4" s="99" t="str">
        <f>IF(C4&gt;0,F4/C4,"")</f>
      </c>
      <c r="H4" s="100" t="str">
        <f>IF(AND(C4&gt;0,F4&lt;0),"Dominant (more health, lower cost)",IF(AND(C4&lt;=0,F4&gt;0),"Dominated (less/no health, higher cost)",IF(AND(C4&lt;=0,F4&lt;=0),"No deaths averted; ratio not defined","USD per death averted")))</f>
      </c>
      <c r="I4" s="20" t="str">
        <f>IF(AND(ABS(F4-SUMIFS('Budget_Impact'!$F$2:$F$235,'Budget_Impact'!$A$2:$A$235,A4))&lt;='Calculation_Assumptions'!$B$11,ABS(C4-SUMIFS('Annual_Mortality'!$H$2:$H$1821,'Annual_Mortality'!$A$2:$A$1821,A4))&lt;='Calculation_Assumptions'!$B$11),"consistent","mismatch")</f>
      </c>
    </row>
    <row r="5">
      <c r="A5" t="s">
        <v>205</v>
      </c>
      <c r="B5" s="18" t="s">
        <v>207</v>
      </c>
      <c r="C5" s="95" t="str">
        <f>SUMIFS('Annual_Mortality'!$H$2:$H$1821,'Annual_Mortality'!$A$2:$A$1821,A5)</f>
      </c>
      <c r="D5" s="96" t="str">
        <f>SUMIFS('Annual_Mortality'!$J$2:$J$1821,'Annual_Mortality'!$A$2:$A$1821,A5)</f>
      </c>
      <c r="E5" s="97" t="str">
        <f>SUMIFS('Budget_Impact'!$E$2:$E$235,'Budget_Impact'!$A$2:$A$235,A5)</f>
      </c>
      <c r="F5" s="98" t="str">
        <f>SUMIFS('Budget_Impact'!$F$2:$F$235,'Budget_Impact'!$A$2:$A$235,A5)</f>
      </c>
      <c r="G5" s="99" t="str">
        <f>IF(C5&gt;0,F5/C5,"")</f>
      </c>
      <c r="H5" s="100" t="str">
        <f>IF(AND(C5&gt;0,F5&lt;0),"Dominant (more health, lower cost)",IF(AND(C5&lt;=0,F5&gt;0),"Dominated (less/no health, higher cost)",IF(AND(C5&lt;=0,F5&lt;=0),"No deaths averted; ratio not defined","USD per death averted")))</f>
      </c>
      <c r="I5" s="20" t="str">
        <f>IF(AND(ABS(F5-SUMIFS('Budget_Impact'!$F$2:$F$235,'Budget_Impact'!$A$2:$A$235,A5))&lt;='Calculation_Assumptions'!$B$11,ABS(C5-SUMIFS('Annual_Mortality'!$H$2:$H$1821,'Annual_Mortality'!$A$2:$A$1821,A5))&lt;='Calculation_Assumptions'!$B$11),"consistent","mismatch")</f>
      </c>
    </row>
    <row r="6">
      <c r="A6" t="s">
        <v>200</v>
      </c>
      <c r="B6" s="18" t="s">
        <v>202</v>
      </c>
      <c r="C6" s="95" t="str">
        <f>SUMIFS('Annual_Mortality'!$H$2:$H$1821,'Annual_Mortality'!$A$2:$A$1821,A6)</f>
      </c>
      <c r="D6" s="96" t="str">
        <f>SUMIFS('Annual_Mortality'!$J$2:$J$1821,'Annual_Mortality'!$A$2:$A$1821,A6)</f>
      </c>
      <c r="E6" s="97" t="str">
        <f>SUMIFS('Budget_Impact'!$E$2:$E$235,'Budget_Impact'!$A$2:$A$235,A6)</f>
      </c>
      <c r="F6" s="98" t="str">
        <f>SUMIFS('Budget_Impact'!$F$2:$F$235,'Budget_Impact'!$A$2:$A$235,A6)</f>
      </c>
      <c r="G6" s="99" t="str">
        <f>IF(C6&gt;0,F6/C6,"")</f>
      </c>
      <c r="H6" s="100" t="str">
        <f>IF(AND(C6&gt;0,F6&lt;0),"Dominant (more health, lower cost)",IF(AND(C6&lt;=0,F6&gt;0),"Dominated (less/no health, higher cost)",IF(AND(C6&lt;=0,F6&lt;=0),"No deaths averted; ratio not defined","USD per death averted")))</f>
      </c>
      <c r="I6" s="20" t="str">
        <f>IF(AND(ABS(F6-SUMIFS('Budget_Impact'!$F$2:$F$235,'Budget_Impact'!$A$2:$A$235,A6))&lt;='Calculation_Assumptions'!$B$11,ABS(C6-SUMIFS('Annual_Mortality'!$H$2:$H$1821,'Annual_Mortality'!$A$2:$A$1821,A6))&lt;='Calculation_Assumptions'!$B$11),"consistent","mismatch")</f>
      </c>
    </row>
    <row r="7">
      <c r="A7" t="s">
        <v>186</v>
      </c>
      <c r="B7" s="18" t="s">
        <v>188</v>
      </c>
      <c r="C7" s="95" t="str">
        <f>SUMIFS('Annual_Mortality'!$H$2:$H$1821,'Annual_Mortality'!$A$2:$A$1821,A7)</f>
      </c>
      <c r="D7" s="96" t="str">
        <f>SUMIFS('Annual_Mortality'!$J$2:$J$1821,'Annual_Mortality'!$A$2:$A$1821,A7)</f>
      </c>
      <c r="E7" s="97" t="str">
        <f>SUMIFS('Budget_Impact'!$E$2:$E$235,'Budget_Impact'!$A$2:$A$235,A7)</f>
      </c>
      <c r="F7" s="98" t="str">
        <f>SUMIFS('Budget_Impact'!$F$2:$F$235,'Budget_Impact'!$A$2:$A$235,A7)</f>
      </c>
      <c r="G7" s="99" t="str">
        <f>IF(C7&gt;0,F7/C7,"")</f>
      </c>
      <c r="H7" s="100" t="str">
        <f>IF(AND(C7&gt;0,F7&lt;0),"Dominant (more health, lower cost)",IF(AND(C7&lt;=0,F7&gt;0),"Dominated (less/no health, higher cost)",IF(AND(C7&lt;=0,F7&lt;=0),"No deaths averted; ratio not defined","USD per death averted")))</f>
      </c>
      <c r="I7" s="20" t="str">
        <f>IF(AND(ABS(F7-SUMIFS('Budget_Impact'!$F$2:$F$235,'Budget_Impact'!$A$2:$A$235,A7))&lt;='Calculation_Assumptions'!$B$11,ABS(C7-SUMIFS('Annual_Mortality'!$H$2:$H$1821,'Annual_Mortality'!$A$2:$A$1821,A7))&lt;='Calculation_Assumptions'!$B$11),"consistent","mismatch")</f>
      </c>
    </row>
    <row r="8">
      <c r="A8" t="s">
        <v>220</v>
      </c>
      <c r="B8" s="18" t="s">
        <v>222</v>
      </c>
      <c r="C8" s="95" t="str">
        <f>SUMIFS('Annual_Mortality'!$H$2:$H$1821,'Annual_Mortality'!$A$2:$A$1821,A8)</f>
      </c>
      <c r="D8" s="96" t="str">
        <f>SUMIFS('Annual_Mortality'!$J$2:$J$1821,'Annual_Mortality'!$A$2:$A$1821,A8)</f>
      </c>
      <c r="E8" s="97" t="str">
        <f>SUMIFS('Budget_Impact'!$E$2:$E$235,'Budget_Impact'!$A$2:$A$235,A8)</f>
      </c>
      <c r="F8" s="98" t="str">
        <f>SUMIFS('Budget_Impact'!$F$2:$F$235,'Budget_Impact'!$A$2:$A$235,A8)</f>
      </c>
      <c r="G8" s="99" t="str">
        <f>IF(C8&gt;0,F8/C8,"")</f>
      </c>
      <c r="H8" s="100" t="str">
        <f>IF(AND(C8&gt;0,F8&lt;0),"Dominant (more health, lower cost)",IF(AND(C8&lt;=0,F8&gt;0),"Dominated (less/no health, higher cost)",IF(AND(C8&lt;=0,F8&lt;=0),"No deaths averted; ratio not defined","USD per death averted")))</f>
      </c>
      <c r="I8" s="20" t="str">
        <f>IF(AND(ABS(F8-SUMIFS('Budget_Impact'!$F$2:$F$235,'Budget_Impact'!$A$2:$A$235,A8))&lt;='Calculation_Assumptions'!$B$11,ABS(C8-SUMIFS('Annual_Mortality'!$H$2:$H$1821,'Annual_Mortality'!$A$2:$A$1821,A8))&lt;='Calculation_Assumptions'!$B$11),"consistent","mismatch")</f>
      </c>
    </row>
    <row r="9">
      <c r="A9" t="s">
        <v>208</v>
      </c>
      <c r="B9" s="18" t="s">
        <v>210</v>
      </c>
      <c r="C9" s="95" t="str">
        <f>SUMIFS('Annual_Mortality'!$H$2:$H$1821,'Annual_Mortality'!$A$2:$A$1821,A9)</f>
      </c>
      <c r="D9" s="96" t="str">
        <f>SUMIFS('Annual_Mortality'!$J$2:$J$1821,'Annual_Mortality'!$A$2:$A$1821,A9)</f>
      </c>
      <c r="E9" s="97" t="str">
        <f>SUMIFS('Budget_Impact'!$E$2:$E$235,'Budget_Impact'!$A$2:$A$235,A9)</f>
      </c>
      <c r="F9" s="98" t="str">
        <f>SUMIFS('Budget_Impact'!$F$2:$F$235,'Budget_Impact'!$A$2:$A$235,A9)</f>
      </c>
      <c r="G9" s="99" t="str">
        <f>IF(C9&gt;0,F9/C9,"")</f>
      </c>
      <c r="H9" s="100" t="str">
        <f>IF(AND(C9&gt;0,F9&lt;0),"Dominant (more health, lower cost)",IF(AND(C9&lt;=0,F9&gt;0),"Dominated (less/no health, higher cost)",IF(AND(C9&lt;=0,F9&lt;=0),"No deaths averted; ratio not defined","USD per death averted")))</f>
      </c>
      <c r="I9" s="20" t="str">
        <f>IF(AND(ABS(F9-SUMIFS('Budget_Impact'!$F$2:$F$235,'Budget_Impact'!$A$2:$A$235,A9))&lt;='Calculation_Assumptions'!$B$11,ABS(C9-SUMIFS('Annual_Mortality'!$H$2:$H$1821,'Annual_Mortality'!$A$2:$A$1821,A9))&lt;='Calculation_Assumptions'!$B$11),"consistent","mismatch")</f>
      </c>
    </row>
    <row r="10">
      <c r="A10" t="s">
        <v>215</v>
      </c>
      <c r="B10" s="18" t="s">
        <v>217</v>
      </c>
      <c r="C10" s="95" t="str">
        <f>SUMIFS('Annual_Mortality'!$H$2:$H$1821,'Annual_Mortality'!$A$2:$A$1821,A10)</f>
      </c>
      <c r="D10" s="96" t="str">
        <f>SUMIFS('Annual_Mortality'!$J$2:$J$1821,'Annual_Mortality'!$A$2:$A$1821,A10)</f>
      </c>
      <c r="E10" s="97" t="str">
        <f>SUMIFS('Budget_Impact'!$E$2:$E$235,'Budget_Impact'!$A$2:$A$235,A10)</f>
      </c>
      <c r="F10" s="98" t="str">
        <f>SUMIFS('Budget_Impact'!$F$2:$F$235,'Budget_Impact'!$A$2:$A$235,A10)</f>
      </c>
      <c r="G10" s="99" t="str">
        <f>IF(C10&gt;0,F10/C10,"")</f>
      </c>
      <c r="H10" s="100" t="str">
        <f>IF(AND(C10&gt;0,F10&lt;0),"Dominant (more health, lower cost)",IF(AND(C10&lt;=0,F10&gt;0),"Dominated (less/no health, higher cost)",IF(AND(C10&lt;=0,F10&lt;=0),"No deaths averted; ratio not defined","USD per death averted")))</f>
      </c>
      <c r="I10" s="20" t="str">
        <f>IF(AND(ABS(F10-SUMIFS('Budget_Impact'!$F$2:$F$235,'Budget_Impact'!$A$2:$A$235,A10))&lt;='Calculation_Assumptions'!$B$11,ABS(C10-SUMIFS('Annual_Mortality'!$H$2:$H$1821,'Annual_Mortality'!$A$2:$A$1821,A10))&lt;='Calculation_Assumptions'!$B$11),"consistent","mismatch")</f>
      </c>
    </row>
  </sheetData>
  <autoFilter ref="A1:I1"/>
  <conditionalFormatting sqref="I2:I10">
    <cfRule type="containsText" dxfId="0" priority="3" operator="containsText" text="consistent">
      <formula>NOT(ISERROR(SEARCH("consistent", I2)))</formula>
    </cfRule>
    <cfRule type="containsText" dxfId="1" priority="2" operator="containsText" text="mismatch">
      <formula>NOT(ISERROR(SEARCH("mismatch", I2)))</formula>
    </cfRule>
  </conditionalFormatting>
  <conditionalFormatting sqref="H2:H10">
    <cfRule type="containsText" dxfId="2" priority="1" operator="containsText" text="Dominated">
      <formula>NOT(ISERROR(SEARCH("Dominated", H2)))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0.71" hidden="0" customWidth="1"/>
  </cols>
  <sheetData>
    <row r="1">
      <c r="A1" s="1" t="s">
        <v>359</v>
      </c>
    </row>
    <row r="2">
      <c r="A2" t="s">
        <v>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 ht="28" customHeight="1">
      <c r="A1" s="1" t="s">
        <v>44</v>
      </c>
      <c r="B1" s="1" t="s">
        <v>361</v>
      </c>
      <c r="C1" s="1" t="s">
        <v>362</v>
      </c>
      <c r="D1" s="1" t="s">
        <v>363</v>
      </c>
      <c r="E1" s="1" t="s">
        <v>364</v>
      </c>
    </row>
    <row r="2">
      <c r="A2" t="s">
        <v>365</v>
      </c>
      <c r="B2" t="s">
        <v>322</v>
      </c>
      <c r="C2" t="s">
        <v>247</v>
      </c>
      <c r="D2" s="18" t="s">
        <v>366</v>
      </c>
      <c r="E2" t="s">
        <v>367</v>
      </c>
    </row>
    <row r="3">
      <c r="A3" t="s">
        <v>365</v>
      </c>
      <c r="B3" t="s">
        <v>322</v>
      </c>
      <c r="C3" t="s">
        <v>246</v>
      </c>
      <c r="D3" s="18" t="s">
        <v>368</v>
      </c>
      <c r="E3" t="s">
        <v>367</v>
      </c>
    </row>
  </sheetData>
  <autoFilter ref="A1:E1"/>
  <conditionalFormatting sqref="E2:E3">
    <cfRule type="containsText" dxfId="1" priority="2" operator="containsText" text="FAIL">
      <formula>NOT(ISERROR(SEARCH("FAIL", E2)))</formula>
    </cfRule>
    <cfRule type="containsText" dxfId="2" priority="1" operator="containsText" text="REVIEW">
      <formula>NOT(ISERROR(SEARCH("REVIEW", E2)))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 ht="28" customHeight="1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359</v>
      </c>
    </row>
    <row r="2">
      <c r="A2" t="s">
        <v>373</v>
      </c>
      <c r="B2" t="s">
        <v>133</v>
      </c>
      <c r="C2" s="20" t="str">
        <f>COUNTIF('Selected_Interventions'!$U$2:$U$18,"&gt;1")</f>
      </c>
      <c r="D2" s="20" t="str">
        <f>IF(C2=0,"PASS","FAIL")</f>
      </c>
      <c r="E2" s="18" t="s">
        <v>374</v>
      </c>
    </row>
    <row r="3">
      <c r="A3" t="s">
        <v>375</v>
      </c>
      <c r="B3" t="s">
        <v>133</v>
      </c>
      <c r="C3" s="20" t="str">
        <f>COUNTIF('Input_Diagnostic'!$E$2:$E$3,"FAIL")</f>
      </c>
      <c r="D3" s="20" t="str">
        <f>IF(C3=0,"PASS","REVIEW")</f>
      </c>
      <c r="E3" s="18" t="s">
        <v>376</v>
      </c>
    </row>
    <row r="4">
      <c r="A4" t="s">
        <v>377</v>
      </c>
      <c r="B4" t="s">
        <v>133</v>
      </c>
      <c r="C4" s="20" t="str">
        <f>COUNTIF('Input_Diagnostic'!$E$2:$E$3,"REVIEW")</f>
      </c>
      <c r="D4" s="20" t="str">
        <f>IF(C4=0,"PASS","REVIEW")</f>
      </c>
      <c r="E4" s="18" t="s">
        <v>378</v>
      </c>
    </row>
    <row r="5">
      <c r="A5" t="s">
        <v>379</v>
      </c>
      <c r="B5" t="s">
        <v>380</v>
      </c>
      <c r="C5" s="20" t="str">
        <f>COUNTBLANK('Annual_Mortality'!$G$2:$G$1821)=0</f>
      </c>
      <c r="D5" s="20" t="str">
        <f>IF(C5=TRUE,"PASS","FAIL")</f>
      </c>
      <c r="E5" s="18" t="s">
        <v>381</v>
      </c>
    </row>
    <row r="6">
      <c r="A6" t="s">
        <v>382</v>
      </c>
      <c r="B6" t="s">
        <v>133</v>
      </c>
      <c r="C6" s="20" t="str">
        <f>'Calculation_Assumptions'!$B$16</f>
      </c>
      <c r="D6" s="20" t="str">
        <f>IF(C6=0,"PASS","FAIL")</f>
      </c>
      <c r="E6" s="18" t="s">
        <v>383</v>
      </c>
    </row>
    <row r="7">
      <c r="A7" t="s">
        <v>384</v>
      </c>
      <c r="B7" t="s">
        <v>385</v>
      </c>
      <c r="C7" s="20" t="str">
        <f>'Calculation_Assumptions'!$B$14</f>
      </c>
      <c r="D7" s="20" t="str">
        <f>IF(C7&lt;='Calculation_Assumptions'!$B$12,"PASS","REVIEW")</f>
      </c>
      <c r="E7" s="18" t="s">
        <v>386</v>
      </c>
    </row>
    <row r="8">
      <c r="A8" t="s">
        <v>387</v>
      </c>
      <c r="B8" t="s">
        <v>388</v>
      </c>
      <c r="C8" s="20" t="str">
        <f>'Calculation_Assumptions'!$B$15</f>
      </c>
      <c r="D8" s="20" t="str">
        <f>IF(C8=1,"PASS","FAIL")</f>
      </c>
      <c r="E8" s="18" t="s">
        <v>389</v>
      </c>
    </row>
    <row r="9">
      <c r="A9" t="s">
        <v>390</v>
      </c>
      <c r="B9" t="s">
        <v>391</v>
      </c>
      <c r="C9" s="20" t="str">
        <f>ABS(SUM('Budget_Impact'!$D$2:$D$235)-SUM('Annual_Cost'!$R$2:$R$1353))+ABS(SUM('Budget_Impact'!$C$2:$C$235)-SUM('Annual_Cost'!$Q$2:$Q$1353))</f>
      </c>
      <c r="D9" s="20" t="str">
        <f>IF(C9&lt;='Calculation_Assumptions'!$B$11,"PASS","FAIL")</f>
      </c>
      <c r="E9" s="18" t="s">
        <v>392</v>
      </c>
    </row>
    <row r="10">
      <c r="A10" t="s">
        <v>393</v>
      </c>
      <c r="B10" t="s">
        <v>133</v>
      </c>
      <c r="C10" s="20" t="str">
        <f>COUNTIF('Annual_Cost'!$AH$2:$AH$1353,"&gt;1")</f>
      </c>
      <c r="D10" s="20" t="str">
        <f>IF(C10=0,"PASS","FAIL")</f>
      </c>
      <c r="E10" s="18" t="s">
        <v>394</v>
      </c>
    </row>
    <row r="11">
      <c r="A11" t="s">
        <v>395</v>
      </c>
      <c r="B11" t="s">
        <v>396</v>
      </c>
      <c r="C11" s="20" t="str">
        <f>IF(COUNTIF('Cost_Effectiveness'!$I$2:$I$10,"mismatch")=0,"consistent","mismatch")</f>
      </c>
      <c r="D11" s="20" t="str">
        <f>IF(C11="consistent","PASS","FAIL")</f>
      </c>
      <c r="E11" s="18" t="s">
        <v>397</v>
      </c>
    </row>
    <row r="12">
      <c r="A12" t="s">
        <v>398</v>
      </c>
      <c r="B12" t="s">
        <v>399</v>
      </c>
      <c r="C12" s="20" t="str">
        <f>INDEX('Cost_Effectiveness'!$C$2:$C$10,MATCH('Calculation_Assumptions'!$B$20,'Cost_Effectiveness'!$A$2:$A$10,0))</f>
      </c>
      <c r="D12" s="20" t="str">
        <f>IF(ABS(C12-'Calculation_Assumptions'!$B$17)&lt;=ABS('Calculation_Assumptions'!$B$17)*0.000001+0.5,"PASS","FAIL")</f>
      </c>
      <c r="E12" s="18" t="s">
        <v>400</v>
      </c>
    </row>
    <row r="13">
      <c r="A13" t="s">
        <v>401</v>
      </c>
      <c r="B13" t="s">
        <v>399</v>
      </c>
      <c r="C13" s="20" t="str">
        <f>INDEX('Cost_Effectiveness'!$F$2:$F$10,MATCH('Calculation_Assumptions'!$B$20,'Cost_Effectiveness'!$A$2:$A$10,0))</f>
      </c>
      <c r="D13" s="20" t="str">
        <f>IF(ABS(C13-'Calculation_Assumptions'!$B$18)&lt;=ABS('Calculation_Assumptions'!$B$18)*0.000001+1,"PASS","FAIL")</f>
      </c>
      <c r="E13" s="18" t="s">
        <v>402</v>
      </c>
    </row>
    <row r="14">
      <c r="A14" t="s">
        <v>403</v>
      </c>
      <c r="B14" t="s">
        <v>399</v>
      </c>
      <c r="C14" s="20" t="str">
        <f>INDEX('Cost_Effectiveness'!$G$2:$G$10,MATCH('Calculation_Assumptions'!$B$20,'Cost_Effectiveness'!$A$2:$A$10,0))</f>
      </c>
      <c r="D14" s="20" t="str">
        <f>IF(ABS(C14-'Calculation_Assumptions'!$B$19)&lt;=ABS('Calculation_Assumptions'!$B$19)*0.000001+1,"PASS","FAIL")</f>
      </c>
      <c r="E14" s="18" t="s">
        <v>404</v>
      </c>
    </row>
  </sheetData>
  <autoFilter ref="A1:E1"/>
  <conditionalFormatting sqref="D2:D14">
    <cfRule type="containsText" dxfId="0" priority="3" operator="containsText" text="PASS">
      <formula>NOT(ISERROR(SEARCH("PASS", D2)))</formula>
    </cfRule>
    <cfRule type="containsText" dxfId="1" priority="2" operator="containsText" text="FAIL">
      <formula>NOT(ISERROR(SEARCH("FAIL", D2)))</formula>
    </cfRule>
    <cfRule type="containsText" dxfId="2" priority="1" operator="containsText" text="REVIEW">
      <formula>NOT(ISERROR(SEARCH("REVIEW", D2)))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6.71" hidden="0" customWidth="1"/>
    <col min="3" max="3" width="88.71" hidden="0" customWidth="1"/>
    <col min="4" max="4" width="58.71" hidden="0" customWidth="1"/>
  </cols>
  <sheetData>
    <row r="1" ht="28" customHeight="1">
      <c r="A1" s="1" t="s">
        <v>405</v>
      </c>
      <c r="B1" s="1" t="s">
        <v>406</v>
      </c>
      <c r="C1" s="1" t="s">
        <v>407</v>
      </c>
      <c r="D1" s="1" t="s">
        <v>5</v>
      </c>
    </row>
    <row r="2">
      <c r="A2" t="s">
        <v>408</v>
      </c>
      <c r="B2" t="s">
        <v>409</v>
      </c>
      <c r="C2" s="18" t="s">
        <v>410</v>
      </c>
      <c r="D2" s="18" t="s">
        <v>411</v>
      </c>
    </row>
    <row r="3">
      <c r="A3" t="s">
        <v>412</v>
      </c>
      <c r="B3" t="s">
        <v>413</v>
      </c>
      <c r="C3" s="18" t="s">
        <v>414</v>
      </c>
      <c r="D3" s="18" t="s">
        <v>411</v>
      </c>
    </row>
    <row r="4">
      <c r="A4" t="s">
        <v>415</v>
      </c>
      <c r="B4" t="s">
        <v>416</v>
      </c>
      <c r="C4" s="18" t="s">
        <v>417</v>
      </c>
      <c r="D4" s="18" t="s">
        <v>411</v>
      </c>
    </row>
    <row r="5">
      <c r="A5" t="s">
        <v>418</v>
      </c>
      <c r="B5" t="s">
        <v>419</v>
      </c>
      <c r="C5" s="18" t="s">
        <v>420</v>
      </c>
      <c r="D5" s="18" t="s">
        <v>411</v>
      </c>
    </row>
    <row r="6">
      <c r="A6" t="s">
        <v>421</v>
      </c>
      <c r="B6" t="s">
        <v>422</v>
      </c>
      <c r="C6" s="18" t="s">
        <v>423</v>
      </c>
      <c r="D6" s="18" t="s">
        <v>424</v>
      </c>
    </row>
    <row r="7">
      <c r="A7" t="s">
        <v>425</v>
      </c>
      <c r="B7" t="s">
        <v>426</v>
      </c>
      <c r="C7" s="18" t="s">
        <v>427</v>
      </c>
      <c r="D7" s="18" t="s">
        <v>428</v>
      </c>
    </row>
    <row r="8">
      <c r="A8" t="s">
        <v>429</v>
      </c>
      <c r="B8" t="s">
        <v>430</v>
      </c>
      <c r="C8" s="18" t="s">
        <v>431</v>
      </c>
      <c r="D8" s="18" t="s">
        <v>428</v>
      </c>
    </row>
    <row r="9">
      <c r="A9" t="s">
        <v>432</v>
      </c>
      <c r="B9" t="s">
        <v>433</v>
      </c>
      <c r="C9" s="18" t="s">
        <v>434</v>
      </c>
      <c r="D9" s="18" t="s">
        <v>428</v>
      </c>
    </row>
    <row r="10">
      <c r="A10" t="s">
        <v>435</v>
      </c>
      <c r="B10" t="s">
        <v>93</v>
      </c>
      <c r="C10" s="18" t="s">
        <v>436</v>
      </c>
      <c r="D10" s="18" t="s">
        <v>428</v>
      </c>
    </row>
    <row r="11">
      <c r="A11" t="s">
        <v>437</v>
      </c>
      <c r="B11" t="s">
        <v>95</v>
      </c>
      <c r="C11" s="18" t="s">
        <v>438</v>
      </c>
      <c r="D11" s="18" t="s">
        <v>428</v>
      </c>
    </row>
    <row r="12">
      <c r="A12" t="s">
        <v>439</v>
      </c>
      <c r="B12" t="s">
        <v>440</v>
      </c>
      <c r="C12" s="18" t="s">
        <v>441</v>
      </c>
      <c r="D12" s="18" t="s">
        <v>442</v>
      </c>
    </row>
    <row r="13">
      <c r="A13" t="s">
        <v>443</v>
      </c>
      <c r="B13" t="s">
        <v>444</v>
      </c>
      <c r="C13" s="18" t="s">
        <v>445</v>
      </c>
      <c r="D13" s="18" t="s">
        <v>446</v>
      </c>
    </row>
    <row r="14">
      <c r="A14" t="s">
        <v>447</v>
      </c>
      <c r="B14" t="s">
        <v>448</v>
      </c>
      <c r="C14" s="18" t="s">
        <v>449</v>
      </c>
      <c r="D14" s="18" t="s">
        <v>450</v>
      </c>
    </row>
    <row r="15">
      <c r="A15" t="s">
        <v>451</v>
      </c>
      <c r="B15" t="s">
        <v>452</v>
      </c>
      <c r="C15" s="18" t="s">
        <v>453</v>
      </c>
      <c r="D15" s="18" t="s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8.71" hidden="0" customWidth="1"/>
    <col min="3" max="3" width="34.71" hidden="0" customWidth="1"/>
    <col min="4" max="4" width="52.71" hidden="0" customWidth="1"/>
    <col min="5" max="5" width="26.71" hidden="0" customWidth="1"/>
  </cols>
  <sheetData>
    <row r="1" ht="28" customHeight="1">
      <c r="A1" s="1" t="s">
        <v>455</v>
      </c>
      <c r="B1" s="1" t="s">
        <v>456</v>
      </c>
      <c r="C1" s="1" t="s">
        <v>457</v>
      </c>
      <c r="D1" s="1" t="s">
        <v>458</v>
      </c>
      <c r="E1" s="1" t="s">
        <v>459</v>
      </c>
    </row>
    <row r="2">
      <c r="A2" t="s">
        <v>460</v>
      </c>
      <c r="B2" t="s">
        <v>461</v>
      </c>
      <c r="C2" s="18" t="s">
        <v>462</v>
      </c>
      <c r="D2" s="18" t="s">
        <v>463</v>
      </c>
      <c r="E2" t="s">
        <v>464</v>
      </c>
    </row>
    <row r="3">
      <c r="A3" t="s">
        <v>465</v>
      </c>
      <c r="B3" t="s">
        <v>466</v>
      </c>
      <c r="C3" s="18" t="s">
        <v>460</v>
      </c>
      <c r="D3" s="18" t="s">
        <v>467</v>
      </c>
      <c r="E3" t="s">
        <v>464</v>
      </c>
    </row>
    <row r="4">
      <c r="A4" t="s">
        <v>468</v>
      </c>
      <c r="B4" t="s">
        <v>469</v>
      </c>
      <c r="C4" s="18" t="s">
        <v>470</v>
      </c>
      <c r="D4" s="18" t="s">
        <v>471</v>
      </c>
      <c r="E4" t="s">
        <v>464</v>
      </c>
    </row>
    <row r="5">
      <c r="A5" t="s">
        <v>472</v>
      </c>
      <c r="B5" t="s">
        <v>473</v>
      </c>
      <c r="C5" s="18" t="s">
        <v>474</v>
      </c>
      <c r="D5" s="18" t="s">
        <v>475</v>
      </c>
      <c r="E5" t="s">
        <v>464</v>
      </c>
    </row>
    <row r="6">
      <c r="A6" t="s">
        <v>472</v>
      </c>
      <c r="B6" t="s">
        <v>476</v>
      </c>
      <c r="C6" s="18" t="s">
        <v>477</v>
      </c>
      <c r="D6" s="18" t="s">
        <v>478</v>
      </c>
      <c r="E6" t="s">
        <v>479</v>
      </c>
    </row>
    <row r="7">
      <c r="A7" t="s">
        <v>480</v>
      </c>
      <c r="B7" t="s">
        <v>481</v>
      </c>
      <c r="C7" s="18" t="s">
        <v>472</v>
      </c>
      <c r="D7" s="18" t="s">
        <v>482</v>
      </c>
      <c r="E7" t="s">
        <v>464</v>
      </c>
    </row>
    <row r="8">
      <c r="A8" t="s">
        <v>483</v>
      </c>
      <c r="B8" t="s">
        <v>484</v>
      </c>
      <c r="C8" s="18" t="s">
        <v>485</v>
      </c>
      <c r="D8" s="18" t="s">
        <v>486</v>
      </c>
      <c r="E8" t="s">
        <v>464</v>
      </c>
    </row>
    <row r="9">
      <c r="A9" t="s">
        <v>487</v>
      </c>
      <c r="B9" t="s">
        <v>488</v>
      </c>
      <c r="C9" s="18" t="s">
        <v>489</v>
      </c>
      <c r="D9" s="18" t="s">
        <v>490</v>
      </c>
      <c r="E9" t="s">
        <v>464</v>
      </c>
    </row>
    <row r="10">
      <c r="A10" t="s">
        <v>491</v>
      </c>
      <c r="B10" t="s">
        <v>492</v>
      </c>
      <c r="C10" s="18" t="s">
        <v>493</v>
      </c>
      <c r="D10" s="18" t="s">
        <v>494</v>
      </c>
      <c r="E10" t="s">
        <v>464</v>
      </c>
    </row>
    <row r="11">
      <c r="A11" t="s">
        <v>495</v>
      </c>
      <c r="B11" t="s">
        <v>496</v>
      </c>
      <c r="C11" s="18" t="s">
        <v>497</v>
      </c>
      <c r="D11" s="18" t="s">
        <v>498</v>
      </c>
      <c r="E11" t="s">
        <v>464</v>
      </c>
    </row>
    <row r="12">
      <c r="A12" t="s">
        <v>499</v>
      </c>
      <c r="B12" t="s">
        <v>500</v>
      </c>
      <c r="C12" s="18" t="s">
        <v>501</v>
      </c>
      <c r="D12" s="18" t="s">
        <v>502</v>
      </c>
      <c r="E12" t="s">
        <v>503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2026-08-21T18:18:59Z</dcterms:created>
</coreProperties>
</file>